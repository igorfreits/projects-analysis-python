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Dashboard" sheetId="1" state="visible" r:id="rId1"/>
    <sheet name="Integrações" sheetId="2" state="hidden" r:id="rId2"/>
    <sheet name="Processado Erro - BASE" sheetId="3" state="visible" r:id="rId3"/>
    <sheet name="Analise" sheetId="4" state="hidden" r:id="rId4"/>
  </sheets>
  <definedNames>
    <definedName name="_xlnm._FilterDatabase" localSheetId="2" hidden="1">'Processado Erro - BASE'!$A$1:$AQ$2062</definedName>
    <definedName name="_xlnm._FilterDatabase" localSheetId="3" hidden="1">'Analise'!$A$1:$F$47</definedName>
  </definedNames>
  <calcPr calcId="191029" fullCalcOnLoad="1"/>
  <pivotCaches>
    <pivotCache cacheId="147" r:id="rId5"/>
    <pivotCache cacheId="153" r:id="rId6"/>
  </pivotCaches>
</workbook>
</file>

<file path=xl/styles.xml><?xml version="1.0" encoding="utf-8"?>
<styleSheet xmlns="http://schemas.openxmlformats.org/spreadsheetml/2006/main">
  <numFmts count="4">
    <numFmt numFmtId="164" formatCode="d/m/yy\ h:mm;@"/>
    <numFmt numFmtId="165" formatCode="yyyy\-mm\-dd\ h:mm:ss"/>
    <numFmt numFmtId="166" formatCode="&quot;R$&quot;\ #,##0.00"/>
    <numFmt numFmtId="167" formatCode="yyyy-mm-dd h:mm:ss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theme="0"/>
      <sz val="24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i val="1"/>
      <color theme="0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color rgb="FFFF0000"/>
      <sz val="12"/>
      <scheme val="minor"/>
    </font>
    <font>
      <name val="Calibri"/>
      <b val="1"/>
      <color rgb="FF18F194"/>
      <sz val="11"/>
    </font>
    <font>
      <name val="Calibri"/>
      <b val="1"/>
      <color rgb="FF591F6A"/>
      <sz val="11"/>
    </font>
    <font>
      <name val="Calibri"/>
      <color rgb="FFFF0000"/>
      <sz val="11"/>
    </font>
    <font>
      <b val="1"/>
      <color rgb="0018F194"/>
    </font>
    <font>
      <b val="1"/>
      <color rgb="00591F6A"/>
    </font>
    <font>
      <color rgb="00FF0000"/>
    </font>
  </fonts>
  <fills count="12">
    <fill>
      <patternFill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  <fill>
      <patternFill patternType="solid">
        <fgColor rgb="00591F6A"/>
        <bgColor rgb="00591F6A"/>
      </patternFill>
    </fill>
    <fill>
      <patternFill patternType="solid">
        <fgColor rgb="0018F194"/>
        <bgColor rgb="00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3" fontId="2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4" fillId="3" borderId="0" applyAlignment="1" pivotButton="0" quotePrefix="0" xfId="0">
      <alignment horizontal="center"/>
    </xf>
    <xf numFmtId="1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0" fontId="8" fillId="0" borderId="0" applyAlignment="1" pivotButton="1" quotePrefix="0" xfId="0">
      <alignment horizontal="left"/>
    </xf>
    <xf numFmtId="0" fontId="8" fillId="0" borderId="0" applyAlignment="1" pivotButton="1" quotePrefix="0" xfId="0">
      <alignment horizontal="center"/>
    </xf>
    <xf numFmtId="0" fontId="7" fillId="0" borderId="0" applyAlignment="1" pivotButton="1" quotePrefix="0" xfId="0">
      <alignment horizontal="left"/>
    </xf>
    <xf numFmtId="3" fontId="7" fillId="0" borderId="0" applyAlignment="1" pivotButton="0" quotePrefix="0" xfId="0">
      <alignment horizontal="center"/>
    </xf>
    <xf numFmtId="0" fontId="7" fillId="0" borderId="0" applyAlignment="1" pivotButton="1" quotePrefix="0" xfId="0">
      <alignment horizontal="center"/>
    </xf>
    <xf numFmtId="166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0" fontId="9" fillId="0" borderId="0" applyAlignment="1" pivotButton="1" quotePrefix="0" xfId="0">
      <alignment horizontal="center"/>
    </xf>
    <xf numFmtId="0" fontId="9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/>
    </xf>
    <xf numFmtId="3" fontId="6" fillId="7" borderId="0" applyAlignment="1" pivotButton="0" quotePrefix="0" xfId="0">
      <alignment horizontal="center"/>
    </xf>
    <xf numFmtId="9" fontId="6" fillId="7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0" fontId="6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9" fillId="0" borderId="0" applyAlignment="1" pivotButton="1" quotePrefix="0" xfId="0">
      <alignment horizontal="left"/>
    </xf>
    <xf numFmtId="3" fontId="7" fillId="7" borderId="0" applyAlignment="1" pivotButton="0" quotePrefix="0" xfId="0">
      <alignment horizontal="center"/>
    </xf>
    <xf numFmtId="3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 indent="1"/>
    </xf>
    <xf numFmtId="0" fontId="7" fillId="0" borderId="0" applyAlignment="1" pivotButton="0" quotePrefix="0" xfId="0">
      <alignment horizontal="center" indent="1"/>
    </xf>
    <xf numFmtId="0" fontId="7" fillId="0" borderId="0" pivotButton="0" quotePrefix="0" xfId="0"/>
    <xf numFmtId="0" fontId="16" fillId="8" borderId="0" applyAlignment="1" pivotButton="0" quotePrefix="0" xfId="0">
      <alignment horizontal="left"/>
    </xf>
    <xf numFmtId="0" fontId="16" fillId="8" borderId="0" pivotButton="0" quotePrefix="0" xfId="0"/>
    <xf numFmtId="0" fontId="17" fillId="9" borderId="0" pivotButton="0" quotePrefix="0" xfId="0"/>
    <xf numFmtId="0" fontId="18" fillId="0" borderId="0" applyAlignment="1" pivotButton="0" quotePrefix="0" xfId="0">
      <alignment horizontal="left"/>
    </xf>
    <xf numFmtId="0" fontId="8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11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19" fillId="10" borderId="0" applyAlignment="1" pivotButton="0" quotePrefix="0" xfId="0">
      <alignment horizontal="left"/>
    </xf>
    <xf numFmtId="0" fontId="19" fillId="10" borderId="0" pivotButton="0" quotePrefix="0" xfId="0"/>
    <xf numFmtId="0" fontId="20" fillId="11" borderId="0" pivotButton="0" quotePrefix="0" xfId="0"/>
    <xf numFmtId="167" fontId="0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font>
        <i val="1"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 val="1"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 val="1"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 val="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 val="1"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 val="1"/>
      </font>
    </dxf>
    <dxf>
      <alignment horizontal="center"/>
    </dxf>
    <dxf>
      <alignment horizontal="center"/>
    </dxf>
    <dxf>
      <font>
        <i val="1"/>
      </font>
    </dxf>
    <dxf>
      <font>
        <i val="1"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 val="1"/>
        <color theme="0"/>
      </font>
      <fill>
        <patternFill>
          <bgColor rgb="FF591F6A"/>
        </patternFill>
      </fill>
    </dxf>
    <dxf>
      <font>
        <b val="1"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pivotCacheDefinition" Target="/xl/pivotCache/pivotCacheDefinition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Igor Freitas dos Santos" refreshedDate="45985.32137083334" createdVersion="8" refreshedVersion="8" minRefreshableVersion="3" recordCount="601" r:id="rId1">
  <cacheSource type="worksheet">
    <worksheetSource ref="A1:AQ1048576" sheet="Processado Erro - BASE"/>
  </cacheSource>
  <cacheFields count="45">
    <cacheField name="Handle PNR" uniqueList="1" numFmtId="0" sqlType="0" hierarchy="0" level="0" databaseField="1">
      <sharedItems count="0" containsBlank="1" containsInteger="1" containsNumber="1" containsString="0" minValue="21721135" maxValue="23376667"/>
    </cacheField>
    <cacheField name="Handle ACC" uniqueList="1" numFmtId="0" sqlType="0" hierarchy="0" level="0" databaseField="1">
      <sharedItems count="0" containsBlank="1" containsInteger="1" containsNumber="1" containsString="0" minValue="22644986" maxValue="24100904"/>
    </cacheField>
    <cacheField name="Sequencia" uniqueList="1" numFmtId="0" sqlType="0" hierarchy="0" level="0" databaseField="1">
      <sharedItems count="0" containsBlank="1"/>
    </cacheField>
    <cacheField name="Data Inclusão" uniqueList="1" numFmtId="0" sqlType="0" hierarchy="0" level="0" databaseField="1">
      <sharedItems count="8000" containsBlank="1" containsDate="1" containsNonDate="0" containsString="0" minDate="2024-08-27T20:34:26" maxDate="2025-11-23T22:22:30">
        <d v="2025-11-17T20:54:54"/>
        <d v="2025-11-17T20:54:55"/>
        <d v="2025-11-07T11:55:57"/>
        <d v="2025-11-13T17:05:26"/>
        <d v="2025-11-15T15:54:04"/>
        <d v="2025-11-21T08:35:01"/>
        <d v="2025-11-21T08:46:22"/>
        <d v="2025-11-15T15:36:11"/>
        <d v="2025-11-21T21:58:19"/>
        <d v="2025-11-21T09:53:12"/>
        <d v="2025-11-22T00:21:06"/>
        <d v="2025-11-22T10:02:08"/>
        <d v="2025-11-22T10:03:08"/>
        <d v="2025-11-23T11:57:09"/>
        <d v="2025-11-23T12:20:17"/>
        <d v="2025-11-23T13:25:07"/>
        <d v="2025-11-23T13:26:08"/>
        <d v="2025-11-23T16:02:06"/>
        <d v="2025-11-23T18:02:06"/>
        <d v="2025-11-23T18:03:06"/>
        <d v="2025-11-21T20:45:14"/>
        <d v="2025-11-21T19:25:13"/>
        <d v="2025-11-21T19:26:13"/>
        <d v="2025-11-21T11:49:09"/>
        <d v="2025-11-21T14:07:14"/>
        <d v="2025-11-21T07:57:06"/>
        <d v="2025-11-15T06:50:05"/>
        <d v="2025-11-15T12:44:06"/>
        <d v="2025-11-16T18:36:14"/>
        <d v="2025-11-16T20:27:04"/>
        <d v="2025-11-15T22:01:07"/>
        <d v="2025-11-16T03:23:21"/>
        <d v="2025-11-16T18:48:09"/>
        <d v="2025-11-21T14:04:30"/>
        <d v="2025-11-18T11:34:47"/>
        <d v="2025-11-18T12:32:35"/>
        <d v="2025-11-18T10:14:45"/>
        <d v="2025-11-18T10:16:46"/>
        <d v="2025-11-18T13:47:03"/>
        <d v="2025-11-17T09:10:29"/>
        <d v="2025-11-17T09:04:30"/>
        <d v="2025-11-15T16:12:27"/>
        <d v="2025-11-16T15:46:37"/>
        <d v="2025-11-10T20:58:36"/>
        <d v="2025-11-11T09:28:28"/>
        <d v="2025-11-10T21:14:37"/>
        <d v="2025-11-10T21:22:28"/>
        <d v="2025-11-10T21:36:28"/>
        <d v="2025-11-11T09:00:27"/>
        <d v="2025-11-10T21:04:37"/>
        <d v="2025-11-10T20:42:25"/>
        <d v="2025-11-10T20:43:23"/>
        <d v="2025-11-06T20:26:36"/>
        <d v="2025-11-22T20:38:26"/>
        <d v="2025-11-20T19:40:28"/>
        <d v="2025-10-17T15:55:43"/>
        <d v="2025-10-15T16:30:14"/>
        <d v="2025-10-27T08:54:29"/>
        <d v="2025-11-10T16:25:31"/>
        <d v="2025-11-14T20:54:56"/>
        <d v="2025-11-18T11:15:16"/>
        <d v="2025-11-19T16:03:20"/>
        <d v="2025-11-19T16:25:58"/>
        <d v="2025-11-18T17:36:20"/>
        <d v="2025-11-19T13:44:29"/>
        <d v="2025-11-19T14:24:24"/>
        <d v="2025-11-11T08:14:44"/>
        <d v="2025-11-14T14:08:19"/>
        <d v="2025-11-14T14:08:20"/>
        <d v="2025-10-27T19:15:56"/>
        <d v="2025-11-15T15:54:05"/>
        <d v="2025-11-15T15:54:06"/>
        <d v="2025-10-30T19:35:21"/>
        <d v="2025-10-30T19:35:22"/>
        <d v="2025-11-05T14:59:24"/>
        <d v="2025-11-18T10:54:49"/>
        <d v="2025-11-17T09:24:56"/>
        <d v="2025-11-19T18:04:31"/>
        <d v="2025-10-27T16:24:50"/>
        <d v="2025-11-14T14:13:04"/>
        <d v="2025-11-21T16:27:57"/>
        <d v="2025-11-19T21:56:25"/>
        <d v="2025-11-19T15:39:25"/>
        <d v="2025-11-21T16:27:44"/>
        <d v="2025-11-23T22:22:30"/>
        <d v="2025-11-23T16:17:01"/>
        <d v="2025-11-19T21:55:30"/>
        <d v="2025-11-19T21:55:58"/>
        <d v="2025-11-19T03:13:26"/>
        <d v="2025-11-18T12:41:51"/>
        <d v="2025-11-19T16:32:19"/>
        <d v="2025-11-21T17:21:42"/>
        <d v="2025-11-21T17:21:46"/>
        <d v="2025-11-13T15:52:44"/>
        <d v="2025-11-10T12:55:21"/>
        <d v="2025-11-12T15:13:39"/>
        <d v="2025-11-21T10:21:28"/>
        <d v="2025-11-21T10:21:33"/>
        <d v="2025-11-18T15:01:46"/>
        <d v="2025-11-19T10:23:45"/>
        <d v="2025-11-19T16:32:42"/>
        <d v="2025-11-13T07:56:14"/>
        <d v="2025-11-21T14:05:52"/>
        <d v="2025-11-17T20:53:45"/>
        <d v="2025-11-06T13:14:42"/>
        <d v="2025-11-19T17:53:01"/>
        <d v="2025-11-17T15:05:55"/>
        <d v="2025-10-28T17:05:23"/>
        <d v="2025-11-07T11:07:27"/>
        <d v="2025-11-21T15:55:26"/>
        <d v="2025-11-21T15:55:29"/>
        <d v="2025-11-20T15:17:19"/>
        <d v="2025-11-17T09:07:28"/>
        <d v="2025-11-21T15:55:44"/>
        <d v="2025-11-14T19:33:37"/>
        <d v="2025-10-24T12:28:26"/>
        <d v="2025-11-11T18:43:13"/>
        <d v="2025-11-11T18:43:18"/>
        <d v="2025-11-03T21:57:30"/>
        <d v="2025-11-17T09:35:05"/>
        <d v="2025-11-14T15:47:25"/>
        <d v="2025-11-14T15:47:28"/>
        <d v="2025-11-14T15:47:30"/>
        <d v="2025-11-10T14:50:34"/>
        <d v="2025-11-21T10:09:35"/>
        <d v="2025-11-21T12:39:28"/>
        <d v="2025-11-21T15:52:34"/>
        <d v="2025-11-21T20:35:52"/>
        <d v="2025-11-21T17:26:21"/>
        <d v="2025-11-07T18:12:00"/>
        <d v="2025-11-13T12:44:16"/>
        <d v="2025-11-12T09:21:49"/>
        <d v="2025-11-12T11:21:53"/>
        <d v="2025-10-30T09:54:26"/>
        <d v="2025-10-21T15:03:41"/>
        <d v="2025-11-04T09:11:43"/>
        <d v="2025-11-06T08:52:10"/>
        <d v="2025-11-03T19:51:07"/>
        <d v="2025-11-14T13:16:18"/>
        <d v="2025-11-12T12:37:37"/>
        <d v="2025-11-11T18:23:52"/>
        <d v="2025-11-11T18:23:59"/>
        <d v="2025-11-04T22:07:36"/>
        <d v="2025-10-23T18:10:32"/>
        <d v="2025-11-04T16:06:10"/>
        <d v="2025-11-21T15:39:52"/>
        <d v="2025-11-06T17:42:30"/>
        <d v="2025-11-07T23:06:51"/>
        <d v="2025-11-11T18:26:34"/>
        <d v="2025-11-17T15:01:28"/>
        <d v="2025-11-18T14:37:30"/>
        <d v="2025-11-21T15:40:02"/>
        <d v="2025-11-17T15:01:05"/>
        <d v="2025-11-10T18:58:17"/>
        <d v="2025-11-10T18:58:23"/>
        <d v="2025-11-07T23:07:21"/>
        <d v="2025-11-04T16:05:12"/>
        <d v="2025-11-21T15:41:27"/>
        <d v="2025-11-21T15:41:49"/>
        <d v="2025-11-21T21:42:08"/>
        <d v="2025-11-21T21:45:54"/>
        <d v="2025-11-21T21:42:45"/>
        <d v="2025-11-21T21:42:48"/>
        <d v="2025-11-21T15:35:50"/>
        <d v="2025-11-21T15:35:54"/>
        <d v="2025-11-21T15:36:16"/>
        <d v="2025-11-21T15:36:25"/>
        <d v="2025-11-21T15:36:44"/>
        <d v="2025-11-21T15:36:59"/>
        <d v="2025-11-21T15:37:28"/>
        <d v="2025-11-21T15:37:57"/>
        <d v="2025-11-21T15:38:20"/>
        <d v="2025-11-18T20:43:47"/>
        <d v="2025-11-19T15:36:32"/>
        <d v="2025-11-21T21:41:23"/>
        <d v="2025-11-17T14:19:58"/>
        <d v="2025-10-20T23:11:23"/>
        <d v="2025-11-12T18:46:17"/>
        <d v="2025-11-12T18:46:53"/>
        <d v="2025-10-10T19:52:16"/>
        <d v="2025-10-10T19:52:22"/>
        <d v="2025-10-10T19:52:29"/>
        <d v="2025-11-18T20:45:17"/>
        <d v="2025-11-19T21:06:44"/>
        <d v="2025-11-19T21:06:58"/>
        <d v="2025-11-19T21:07:45"/>
        <d v="2025-11-21T15:40:51"/>
        <d v="2025-11-21T15:40:54"/>
        <d v="2025-11-21T15:40:58"/>
        <d v="2025-11-21T15:41:01"/>
        <d v="2025-11-21T15:41:14"/>
        <d v="2025-11-21T15:39:55"/>
        <d v="2025-11-14T19:20:45"/>
        <d v="2025-11-17T20:21:04"/>
        <d v="2025-11-17T20:21:30"/>
        <d v="2025-11-21T09:24:54"/>
        <d v="2025-11-21T09:24:55"/>
        <d v="2025-10-27T13:53:54"/>
        <d v="2025-02-26T11:43:30"/>
        <d v="2025-11-18T20:54:23"/>
        <d v="2025-11-18T20:54:32"/>
        <d v="2025-11-18T20:54:37"/>
        <d v="2025-11-13T19:19:09"/>
        <d v="2025-04-09T20:04:45"/>
        <d v="2025-03-26T03:41:59"/>
        <d v="2025-11-07T23:26:11"/>
        <d v="2025-11-09T11:36:38"/>
        <d v="2025-11-11T18:48:08"/>
        <d v="2025-11-15T01:28:05"/>
        <d v="2025-11-21T20:33:24"/>
        <d v="2025-11-17T19:41:29"/>
        <d v="2025-11-04T09:35:23"/>
        <d v="2025-11-19T17:14:28"/>
        <d v="2025-11-19T16:02:21"/>
        <d v="2025-11-19T19:11:02"/>
        <d v="2025-11-21T18:41:10"/>
        <d v="2025-11-17T11:21:11"/>
        <d v="2025-11-19T17:11:54"/>
        <d v="2025-10-24T15:15:40"/>
        <d v="2025-10-24T15:15:42"/>
        <d v="2025-11-21T17:16:33"/>
        <d v="2025-10-22T12:10:29"/>
        <d v="2025-10-31T18:03:06"/>
        <d v="2025-10-17T19:09:06"/>
        <d v="2025-11-04T11:20:51"/>
        <d v="2025-11-04T13:03:00"/>
        <d v="2025-11-03T11:03:31"/>
        <d v="2025-11-03T11:04:11"/>
        <d v="2025-11-19T16:46:01"/>
        <d v="2025-11-19T16:46:10"/>
        <d v="2025-11-20T17:33:20"/>
        <d v="2025-11-21T17:34:42"/>
        <d v="2025-11-21T13:14:51"/>
        <d v="2025-11-21T08:55:44"/>
        <d v="2025-11-19T16:00:33"/>
        <d v="2025-11-19T21:21:51"/>
        <d v="2025-11-22T15:56:46"/>
        <d v="2025-10-20T18:14:07"/>
        <d v="2025-11-18T19:52:26"/>
        <d v="2025-11-17T19:41:43"/>
        <d v="2025-11-19T15:34:08"/>
        <d v="2025-11-21T16:21:55"/>
        <d v="2025-11-21T09:35:53"/>
        <d v="2025-10-28T20:30:56"/>
        <d v="2025-11-17T20:57:56"/>
        <d v="2025-11-19T21:39:35"/>
        <d v="2025-11-21T16:19:29"/>
        <d v="2025-11-21T16:19:30"/>
        <d v="2025-11-21T09:35:05"/>
        <d v="2025-10-16T13:48:18"/>
        <d v="2025-11-11T20:04:22"/>
        <d v="2025-11-12T16:24:32"/>
        <d v="2025-11-17T11:54:51"/>
        <d v="2025-11-07T11:45:50"/>
        <d v="2025-11-07T16:26:10"/>
        <d v="2025-11-06T15:24:56"/>
        <d v="2025-11-06T11:15:04"/>
        <d v="2025-11-14T19:44:06"/>
        <d v="2025-11-18T10:06:32"/>
        <d v="2025-11-17T19:44:36"/>
        <d v="2025-11-18T18:14:25"/>
        <d v="2025-11-14T14:18:00"/>
        <d v="2025-10-18T00:06:56"/>
        <d v="2025-10-17T00:04:50"/>
        <d v="2025-10-28T16:26:14"/>
        <d v="2025-11-03T10:31:09"/>
        <d v="2025-11-21T17:01:43"/>
        <d v="2025-11-18T13:21:04"/>
        <d v="2025-11-18T09:41:17"/>
        <d v="2025-11-18T13:22:07"/>
        <d v="2025-11-06T15:51:12"/>
        <d v="2025-11-21T10:20:48"/>
        <d v="2025-11-17T14:41:12"/>
        <d v="2025-11-14T19:21:27"/>
        <d v="2025-11-21T12:13:04"/>
        <d v="2025-11-19T11:50:33"/>
        <d v="2025-11-19T11:50:38"/>
        <d v="2025-11-18T17:01:00"/>
        <d v="2025-11-19T18:50:54"/>
        <d v="2025-11-17T17:01:27"/>
        <d v="2025-11-17T17:01:43"/>
        <d v="2025-11-19T08:51:20"/>
        <d v="2025-11-12T15:20:48"/>
        <d v="2025-11-05T18:31:04"/>
        <d v="2025-11-06T18:31:08"/>
        <d v="2025-11-13T08:41:49"/>
        <d v="2025-10-28T14:14:58"/>
        <d v="2025-11-19T02:53:37"/>
        <d v="2025-10-28T14:13:34"/>
        <d v="2025-11-11T19:06:46"/>
        <d v="2025-10-28T20:16:49"/>
        <d v="2025-11-21T17:33:55"/>
        <d v="2025-11-21T08:53:41"/>
        <d v="2025-11-17T18:54:02"/>
        <d v="2025-11-21T08:53:22"/>
        <d v="2025-11-19T19:43:01"/>
        <d v="2025-11-18T16:52:50"/>
        <d v="2025-11-18T15:53:10"/>
        <d v="2025-11-18T09:54:44"/>
        <d v="2025-11-21T20:32:57"/>
        <d v="2025-11-17T18:54:14"/>
        <d v="2025-11-18T17:15:10"/>
        <d v="2025-10-31T12:00:43"/>
        <d v="2025-11-12T08:34:39"/>
        <d v="2025-11-17T14:31:41"/>
        <d v="2025-11-17T14:32:28"/>
        <d v="2025-11-17T14:32:32"/>
        <d v="2025-11-17T14:32:37"/>
        <d v="2025-11-18T14:49:19"/>
        <d v="2025-11-21T15:52:45"/>
        <d v="2025-11-18T20:57:26"/>
        <d v="2025-11-21T21:56:30"/>
        <d v="2025-11-21T15:52:42"/>
        <d v="2025-11-21T21:56:59"/>
        <d v="2025-11-21T15:52:56"/>
        <d v="2025-11-15T01:28:21"/>
        <d v="2025-10-08T19:37:30"/>
        <d v="2025-11-19T16:02:37"/>
        <d v="2025-11-19T16:02:31"/>
        <d v="2025-11-21T09:00:47"/>
        <d v="2025-11-19T17:01:09"/>
        <d v="2025-11-14T14:02:33"/>
        <d v="2025-11-19T17:02:32"/>
        <d v="2025-11-19T14:44:43"/>
        <d v="2025-11-19T17:44:12"/>
        <d v="2025-11-11T12:36:45"/>
        <d v="2025-11-06T17:19:01"/>
        <d v="2025-11-12T12:54:49"/>
        <d v="2025-11-19T02:52:17"/>
        <d v="2025-11-21T22:01:47"/>
        <d v="2025-11-18T14:57:53"/>
        <d v="2025-11-18T14:57:59"/>
        <d v="2025-11-18T14:58:02"/>
        <d v="2025-11-18T14:58:09"/>
        <d v="2025-11-22T15:57:13"/>
        <d v="2025-11-21T22:02:46"/>
        <d v="2025-11-21T22:05:06"/>
        <d v="2025-11-18T21:07:38"/>
        <d v="2025-11-18T21:07:50"/>
        <d v="2025-11-19T21:28:27"/>
        <d v="2025-11-19T15:20:52"/>
        <d v="2025-11-19T15:20:56"/>
        <d v="2025-11-19T15:20:59"/>
        <d v="2025-11-19T15:21:20"/>
        <d v="2025-11-19T15:22:42"/>
        <d v="2025-11-17T20:45:37"/>
        <d v="2025-11-17T20:47:51"/>
        <d v="2025-11-18T14:58:37"/>
        <d v="2025-11-18T15:00:00"/>
        <d v="2025-11-18T15:00:03"/>
        <d v="2025-11-18T15:00:07"/>
        <d v="2025-11-19T15:19:56"/>
        <d v="2025-11-19T15:20:12"/>
        <d v="2025-11-19T15:20:33"/>
        <d v="2025-11-19T15:20:39"/>
        <d v="2025-11-19T15:20:41"/>
        <d v="2025-11-19T15:20:49"/>
        <d v="2025-11-21T15:59:03"/>
        <d v="2025-11-21T15:59:04"/>
        <d v="2025-11-21T15:59:12"/>
        <d v="2025-11-21T15:59:17"/>
        <d v="2025-11-21T16:03:15"/>
        <d v="2025-11-21T16:04:04"/>
        <d v="2025-11-21T16:04:05"/>
        <d v="2025-11-21T16:04:33"/>
        <d v="2025-11-21T16:04:44"/>
        <d v="2025-11-19T15:22:50"/>
        <d v="2025-11-19T15:23:06"/>
        <d v="2025-11-19T15:23:07"/>
        <d v="2025-11-19T15:23:13"/>
        <d v="2025-11-19T21:28:40"/>
        <d v="2025-11-19T21:28:37"/>
        <d v="2025-11-13T15:34:34"/>
        <d v="2025-11-14T11:15:07"/>
        <d v="2025-11-13T10:13:50"/>
        <d v="2025-10-22T14:39:35"/>
        <d v="2025-10-22T14:39:41"/>
        <d v="2025-11-18T14:51:39"/>
        <d v="2025-11-18T14:51:40"/>
        <d v="2025-11-20T15:17:10"/>
        <d v="2025-11-20T15:17:13"/>
        <d v="2025-11-19T09:04:15"/>
        <d v="2025-11-19T08:25:02"/>
        <d v="2025-11-19T13:05:03"/>
        <d v="2025-11-17T11:15:41"/>
        <d v="2025-11-05T22:29:36"/>
        <d v="2025-11-14T13:20:08"/>
        <d v="2025-11-13T00:46:40"/>
        <d v="2025-10-24T18:29:32"/>
        <d v="2025-11-21T21:41:28"/>
        <d v="2025-11-14T19:23:07"/>
        <d v="2025-11-14T19:23:08"/>
        <d v="2025-11-05T16:23:19"/>
        <d v="2025-11-03T21:47:57"/>
        <d v="2025-10-24T18:31:45"/>
        <d v="2025-11-05T22:27:08"/>
        <d v="2025-11-18T20:43:08"/>
        <d v="2025-11-10T12:22:29"/>
        <d v="2025-10-30T14:59:37"/>
        <d v="2025-11-17T14:46:50"/>
        <d v="2025-11-17T14:47:18"/>
        <d v="2025-11-11T12:39:26"/>
        <d v="2025-11-11T12:39:22"/>
        <d v="2025-11-19T21:22:43"/>
        <d v="2025-11-19T21:23:05"/>
        <d v="2025-11-19T21:23:28"/>
        <d v="2025-11-19T21:23:41"/>
        <d v="2025-11-19T21:23:44"/>
        <d v="2025-11-19T21:23:56"/>
        <d v="2025-11-21T09:32:41"/>
        <d v="2025-11-21T15:53:02"/>
        <d v="2025-11-17T14:33:22"/>
        <d v="2025-11-19T13:03:51"/>
        <d v="2025-11-19T13:03:57"/>
        <d v="2025-11-15T15:54:07"/>
        <d v="2025-11-06T11:52:33"/>
        <d v="2025-10-31T16:32:17"/>
        <d v="2025-11-22T15:59:20"/>
        <d v="2025-11-21T22:20:10"/>
        <d v="2025-11-21T16:25:51"/>
        <d v="2025-11-21T16:25:54"/>
        <d v="2025-11-17T21:12:08"/>
        <d v="2025-11-17T21:12:39"/>
        <d v="2025-11-18T15:15:38"/>
        <d v="2025-11-19T15:35:34"/>
        <d v="2025-11-17T14:59:14"/>
        <d v="2025-11-02T16:54:57"/>
        <d v="2025-11-14T16:36:20"/>
        <d v="2025-10-21T14:44:33"/>
        <d v="2025-10-21T11:45:30"/>
        <d v="2025-11-11T16:24:52"/>
        <d v="2025-11-17T14:45:09"/>
        <d v="2025-11-17T16:25:29"/>
        <d v="2025-11-19T18:04:44"/>
        <d v="2025-11-19T16:54:41"/>
        <d v="2025-11-21T20:24:13"/>
        <d v="2025-11-17T14:01:31"/>
        <d v="2025-11-17T14:01:32"/>
        <d v="2025-11-17T14:01:34"/>
        <d v="2025-11-14T12:01:10"/>
        <d v="2025-11-21T11:01:55"/>
        <d v="2025-11-21T18:01:05"/>
        <d v="2025-11-21T21:02:01"/>
        <d v="2025-11-19T17:01:26"/>
        <d v="2025-11-19T16:02:35"/>
        <d v="2025-11-19T17:01:41"/>
        <d v="2025-11-21T17:01:58"/>
        <d v="2025-11-04T09:11:08"/>
        <d v="2025-11-14T07:11:07"/>
        <d v="2025-11-14T07:11:08"/>
        <d v="2025-11-14T07:11:09"/>
        <d v="2025-11-14T07:20:59"/>
        <d v="2025-11-14T07:21:00"/>
        <d v="2025-10-31T09:38:40"/>
        <d v="2025-10-16T08:24:48"/>
        <d v="2025-10-17T08:44:29"/>
        <d v="2025-10-30T11:55:30"/>
        <d v="2025-11-05T22:46:30"/>
        <d v="2025-11-21T15:55:12"/>
        <d v="2025-11-21T19:14:07"/>
        <d v="2025-11-21T17:53:46"/>
        <d v="2025-11-19T17:44:44"/>
        <d v="2025-11-19T17:44:47"/>
        <d v="2025-11-17T18:14:52"/>
        <d v="2025-11-17T12:34:22"/>
        <d v="2025-11-11T10:14:51"/>
        <d v="2025-11-04T10:02:27"/>
        <d v="2025-11-04T10:42:53"/>
        <d v="2025-11-03T11:05:10"/>
        <d v="2025-11-03T12:22:55"/>
        <d v="2025-11-03T19:22:40"/>
        <d v="2025-11-05T18:43:21"/>
        <d v="2025-11-05T18:43:25"/>
        <d v="2025-11-03T10:03:33"/>
        <d v="2025-11-11T14:53:04"/>
        <d v="2025-11-11T09:33:41"/>
        <d v="2025-11-10T14:53:08"/>
        <d v="2025-11-10T18:14:19"/>
        <d v="2025-11-19T17:04:29"/>
        <d v="2025-11-18T16:34:11"/>
        <d v="2025-11-18T16:34:15"/>
        <d v="2025-11-21T17:17:14"/>
        <d v="2025-11-21T17:17:20"/>
        <d v="2025-11-21T14:14:31"/>
        <d v="2025-11-21T11:53:36"/>
        <d v="2025-11-21T11:53:40"/>
        <d v="2025-11-21T11:53:43"/>
        <d v="2025-11-21T10:16:22"/>
        <d v="2025-11-21T10:16:26"/>
        <d v="2025-11-21T10:16:30"/>
        <d v="2025-11-21T10:16:35"/>
        <d v="2025-11-21T10:16:41"/>
        <d v="2025-11-21T10:16:51"/>
        <d v="2025-11-21T10:17:02"/>
        <d v="2025-11-17T20:36:29"/>
        <d v="2025-11-19T19:05:29"/>
        <d v="2025-11-18T09:55:40"/>
        <d v="2025-11-19T17:43:16"/>
        <d v="2025-11-17T14:45:05"/>
        <d v="2025-11-17T14:21:26"/>
        <d v="2025-11-17T14:21:27"/>
        <d v="2025-11-17T14:21:22"/>
        <d v="2025-11-06T16:49:32"/>
        <d v="2025-11-21T21:43:26"/>
        <d v="2025-11-21T21:43:29"/>
        <d v="2025-11-14T13:24:44"/>
        <d v="2025-11-18T20:47:03"/>
        <d v="2025-11-18T20:47:13"/>
        <d v="2025-11-21T21:43:07"/>
        <d v="2025-11-19T21:26:13"/>
        <d v="2025-11-19T15:16:01"/>
        <d v="2025-11-17T20:40:55"/>
        <d v="2025-11-14T19:49:09"/>
        <d v="2025-11-21T22:00:58"/>
        <d v="2025-11-21T22:01:13"/>
        <d v="2025-11-21T22:01:27"/>
        <d v="2025-11-11T18:55:55"/>
        <d v="2025-11-11T12:33:21"/>
        <d v="2025-11-11T12:33:17"/>
        <d v="2025-04-04T18:06:33"/>
        <d v="2025-11-20T21:24:10"/>
        <m/>
        <d v="2025-11-18T14:04:05" u="1"/>
        <d v="2025-11-18T14:03:54" u="1"/>
        <d v="2025-11-18T14:05:22" u="1"/>
        <d v="2025-11-13T15:41:25" u="1"/>
        <d v="2025-11-17T22:51:14" u="1"/>
        <d v="2025-11-17T22:52:14" u="1"/>
        <d v="2025-11-17T17:32:12" u="1"/>
        <d v="2025-11-17T15:41:06" u="1"/>
        <d v="2025-11-17T15:42:06" u="1"/>
        <d v="2025-11-18T19:42:09" u="1"/>
        <d v="2025-11-18T19:43:06" u="1"/>
        <d v="2025-11-18T11:11:11" u="1"/>
        <d v="2025-11-18T15:22:42" u="1"/>
        <d v="2025-11-12T19:06:26" u="1"/>
        <d v="2025-11-17T19:14:30" u="1"/>
        <d v="2025-11-17T11:25:34" u="1"/>
        <d v="2025-11-17T10:05:03" u="1"/>
        <d v="2025-11-13T15:54:59" u="1"/>
        <d v="2025-11-10T16:13:18" u="1"/>
        <d v="2025-10-29T11:55:05" u="1"/>
        <d v="2025-10-29T11:55:06" u="1"/>
        <d v="2025-11-06T09:34:49" u="1"/>
        <d v="2025-11-19T03:13:20" u="1"/>
        <d v="2025-11-14T17:41:48" u="1"/>
        <d v="2025-11-13T15:52:50" u="1"/>
        <d v="2025-11-17T16:41:15" u="1"/>
        <d v="2025-11-17T16:21:16" u="1"/>
        <d v="2025-11-07T12:24:23" u="1"/>
        <d v="2025-11-18T15:01:56" u="1"/>
        <d v="2025-11-18T15:01:48" u="1"/>
        <d v="2025-11-17T20:53:28" u="1"/>
        <d v="2025-11-07T13:35:52" u="1"/>
        <d v="2025-10-31T14:59:38" u="1"/>
        <d v="2025-10-17T22:28:55" u="1"/>
        <d v="2025-10-23T18:18:15" u="1"/>
        <d v="2025-11-13T00:47:03" u="1"/>
        <d v="2025-11-13T00:47:01" u="1"/>
        <d v="2025-11-18T16:47:54" u="1"/>
        <d v="2025-11-18T17:34:30" u="1"/>
        <d v="2025-11-18T19:04:01" u="1"/>
        <d v="2025-11-12T18:44:13" u="1"/>
        <d v="2025-11-13T19:07:42" u="1"/>
        <d v="2025-11-13T19:07:49" u="1"/>
        <d v="2025-11-04T17:18:12" u="1"/>
        <d v="2025-10-09T19:34:29" u="1"/>
        <d v="2025-10-14T21:12:33" u="1"/>
        <d v="2025-10-13T20:53:16" u="1"/>
        <d v="2025-10-06T18:33:40" u="1"/>
        <d v="2025-10-16T21:51:38" u="1"/>
        <d v="2025-10-16T21:51:45" u="1"/>
        <d v="2025-10-14T09:00:50" u="1"/>
        <d v="2025-11-06T10:36:22" u="1"/>
        <d v="2025-11-18T14:39:09" u="1"/>
        <d v="2025-11-17T20:22:10" u="1"/>
        <d v="2025-11-18T14:37:39" u="1"/>
        <d v="2025-11-18T14:35:27" u="1"/>
        <d v="2025-11-18T20:43:02" u="1"/>
        <d v="2025-11-18T20:40:50" u="1"/>
        <d v="2025-11-18T20:41:55" u="1"/>
        <d v="2025-11-17T14:17:30" u="1"/>
        <d v="2025-11-17T14:19:55" u="1"/>
        <d v="2025-11-18T20:45:56" u="1"/>
        <d v="2025-11-18T20:46:32" u="1"/>
        <d v="2025-11-03T21:50:23" u="1"/>
        <d v="2025-10-31T20:49:12" u="1"/>
        <d v="2025-10-24T18:32:49" u="1"/>
        <d v="2025-11-14T20:20:46" u="1"/>
        <d v="2025-11-14T20:20:53" u="1"/>
        <d v="2025-11-17T14:20:05" u="1"/>
        <d v="2025-11-17T20:23:47" u="1"/>
        <d v="2025-11-17T20:23:53" u="1"/>
        <d v="2025-11-18T20:44:56" u="1"/>
        <d v="2025-10-20T17:31:23" u="1"/>
        <d v="2025-10-20T17:31:35" u="1"/>
        <d v="2025-10-13T21:14:51" u="1"/>
        <d v="2025-10-08T13:19:07" u="1"/>
        <d v="2025-10-20T17:33:08" u="1"/>
        <d v="2025-10-28T20:02:18" u="1"/>
        <d v="2025-10-28T20:02:25" u="1"/>
        <d v="2025-11-03T16:03:18" u="1"/>
        <d v="2025-10-22T23:57:49" u="1"/>
        <d v="2025-11-03T16:02:43" u="1"/>
        <d v="2025-11-03T16:03:03" u="1"/>
        <d v="2025-11-07T23:25:02" u="1"/>
        <d v="2025-11-03T16:03:07" u="1"/>
        <d v="2025-11-03T16:02:49" u="1"/>
        <d v="2025-10-30T14:40:45" u="1"/>
        <d v="2025-11-13T19:19:21" u="1"/>
        <d v="2025-11-06T10:44:55" u="1"/>
        <d v="2025-11-10T17:44:47" u="1"/>
        <d v="2025-11-06T14:54:54" u="1"/>
        <d v="2025-10-17T13:14:29" u="1"/>
        <d v="2025-10-24T15:15:41" u="1"/>
        <d v="2025-10-29T10:17:58" u="1"/>
        <d v="2025-10-24T16:54:58" u="1"/>
        <d v="2025-11-13T17:25:01" u="1"/>
        <d v="2025-11-14T13:17:19" u="1"/>
        <d v="2025-11-11T17:34:51" u="1"/>
        <d v="2025-11-13T13:54:38" u="1"/>
        <d v="2025-11-11T15:53:16" u="1"/>
        <d v="2025-11-18T21:22:53" u="1"/>
        <d v="2025-11-10T17:15:15" u="1"/>
        <d v="2025-11-14T19:47:14" u="1"/>
        <d v="2025-11-10T12:14:01" u="1"/>
        <d v="2025-11-12T19:12:18" u="1"/>
        <d v="2025-11-18T14:52:47" u="1"/>
        <d v="2025-11-17T20:39:06" u="1"/>
        <d v="2025-11-17T20:39:03" u="1"/>
        <d v="2025-11-07T17:31:52" u="1"/>
        <d v="2025-11-07T17:32:08" u="1"/>
        <d v="2025-11-18T12:35:43" u="1"/>
        <d v="2025-11-05T14:25:57" u="1"/>
        <d v="2025-11-05T16:25:07" u="1"/>
        <d v="2025-11-12T14:24:28" u="1"/>
        <d v="2025-10-27T09:34:41" u="1"/>
        <d v="2025-11-06T14:04:25" u="1"/>
        <d v="2025-11-06T14:04:26" u="1"/>
        <d v="2025-11-12T12:02:05" u="1"/>
        <d v="2025-11-14T12:43:32" u="1"/>
        <d v="2025-11-13T19:48:35" u="1"/>
        <d v="2025-11-13T19:48:43" u="1"/>
        <d v="2025-10-16T22:33:04" u="1"/>
        <d v="2025-10-14T15:46:11" u="1"/>
        <d v="2025-11-05T23:09:14" u="1"/>
        <d v="2025-11-03T16:33:51" u="1"/>
        <d v="2025-11-07T23:40:59" u="1"/>
        <d v="2025-11-19T03:09:37" u="1"/>
        <d v="2025-11-11T19:23:36" u="1"/>
        <d v="2025-10-20T18:15:35" u="1"/>
        <d v="2025-11-17T20:58:55" u="1"/>
        <d v="2025-11-07T11:18:53" u="1"/>
        <d v="2025-10-06T19:34:25" u="1"/>
        <d v="2025-10-16T16:53:00" u="1"/>
        <d v="2025-11-19T03:01:31" u="1"/>
        <d v="2025-10-03T18:30:01" u="1"/>
        <d v="2025-10-20T23:39:58" u="1"/>
        <d v="2025-11-15T01:30:29" u="1"/>
        <d v="2025-11-15T01:30:32" u="1"/>
        <d v="2025-11-19T03:09:18" u="1"/>
        <d v="2025-11-17T14:55:55" u="1"/>
        <d v="2025-10-30T15:03:23" u="1"/>
        <d v="2025-10-08T13:15:02" u="1"/>
        <d v="2025-10-15T00:04:47" u="1"/>
        <d v="2025-11-14T10:52:30" u="1"/>
        <d v="2025-11-18T17:21:42" u="1"/>
        <d v="2025-11-13T13:41:21" u="1"/>
        <d v="2025-11-18T13:21:31" u="1"/>
        <d v="2025-11-15T13:26:21" u="1"/>
        <d v="2025-11-17T14:55:38" u="1"/>
        <d v="2025-11-18T15:13:27" u="1"/>
        <d v="2025-11-17T18:53:59" u="1"/>
        <d v="2025-11-18T17:15:14" u="1"/>
        <d v="2025-11-14T12:55:42" u="1"/>
        <d v="2025-10-21T11:39:37" u="1"/>
        <d v="2025-10-21T11:39:45" u="1"/>
        <d v="2025-11-13T19:46:07" u="1"/>
        <d v="2025-11-17T14:49:34" u="1"/>
        <d v="2025-11-14T20:02:55" u="1"/>
        <d v="2025-10-27T20:11:29" u="1"/>
        <d v="2025-10-21T18:21:37" u="1"/>
        <d v="2025-10-08T20:00:41" u="1"/>
        <d v="2025-11-17T20:34:59" u="1"/>
        <d v="2025-11-17T20:35:03" u="1"/>
        <d v="2025-11-17T20:35:06" u="1"/>
        <d v="2025-11-17T20:35:09" u="1"/>
        <d v="2025-11-18T20:57:53" u="1"/>
        <d v="2025-11-11T18:49:41" u="1"/>
        <d v="2025-11-11T18:49:44" u="1"/>
        <d v="2025-11-17T20:35:36" u="1"/>
        <d v="2025-10-16T16:18:34" u="1"/>
        <d v="2025-11-12T19:06:14" u="1"/>
        <d v="2025-11-05T10:24:47" u="1"/>
        <d v="2025-11-18T20:57:23" u="1"/>
        <d v="2025-11-18T20:57:31" u="1"/>
        <d v="2025-11-18T20:57:32" u="1"/>
        <d v="2025-10-10T13:57:35" u="1"/>
        <d v="2025-11-18T17:02:27" u="1"/>
        <d v="2025-11-18T18:02:29" u="1"/>
        <d v="2025-11-17T16:00:37" u="1"/>
        <d v="2025-11-17T19:01:27" u="1"/>
        <d v="2025-11-04T19:00:34" u="1"/>
        <d v="2025-11-10T17:01:44" u="1"/>
        <d v="2025-11-17T17:54:00" u="1"/>
        <d v="2025-11-18T09:33:47" u="1"/>
        <d v="2025-11-19T02:47:46" u="1"/>
        <d v="2025-11-19T02:48:25" u="1"/>
        <d v="2025-11-14T19:44:08" u="1"/>
        <d v="2025-11-13T12:46:35" u="1"/>
        <d v="2025-11-14T15:15:17" u="1"/>
        <d v="2025-11-13T12:46:38" u="1"/>
        <d v="2025-11-06T16:42:56" u="1"/>
        <d v="2025-10-15T15:32:18" u="1"/>
        <d v="2025-10-24T12:23:36" u="1"/>
        <d v="2025-11-13T19:02:34" u="1"/>
        <d v="2025-11-04T16:05:58" u="1"/>
        <d v="2025-10-28T19:49:04" u="1"/>
        <d v="2025-10-24T12:23:17" u="1"/>
        <d v="2025-10-03T23:38:34" u="1"/>
        <d v="2025-10-13T14:48:48" u="1"/>
        <d v="2025-11-07T10:57:32" u="1"/>
        <d v="2025-11-07T10:58:02" u="1"/>
        <d v="2025-11-12T18:48:02" u="1"/>
        <d v="2025-10-15T15:39:12" u="1"/>
        <d v="2025-10-08T19:19:29" u="1"/>
        <d v="2025-10-29T14:06:08" u="1"/>
        <d v="2025-11-06T10:38:54" u="1"/>
        <d v="2025-10-01T10:49:34" u="1"/>
        <d v="2025-11-10T18:38:14" u="1"/>
        <d v="2025-11-10T18:38:10" u="1"/>
        <d v="2025-10-30T15:00:23" u="1"/>
        <d v="2025-11-18T14:50:06" u="1"/>
        <d v="2025-11-17T08:11:27" u="1"/>
        <d v="2025-10-13T15:06:08" u="1"/>
        <d v="2025-11-19T03:10:15" u="1"/>
        <d v="2025-11-19T03:10:17" u="1"/>
        <d v="2025-11-11T19:30:05" u="1"/>
        <d v="2025-11-19T03:11:32" u="1"/>
        <d v="2025-11-19T03:11:36" u="1"/>
        <d v="2025-11-19T03:11:40" u="1"/>
        <d v="2025-11-19T03:11:44" u="1"/>
        <d v="2025-11-19T03:11:47" u="1"/>
        <d v="2025-11-17T21:12:05" u="1"/>
        <d v="2025-11-18T15:15:16" u="1"/>
        <d v="2025-11-04T11:54:38" u="1"/>
        <d v="2025-11-06T11:05:58" u="1"/>
        <d v="2025-11-06T12:55:00" u="1"/>
        <d v="2025-11-13T15:55:01" u="1"/>
        <d v="2025-11-13T15:54:58" u="1"/>
        <d v="2025-11-13T15:55:00" u="1"/>
        <d v="2025-11-18T10:54:51" u="1"/>
        <d v="2025-11-18T17:15:59" u="1"/>
        <d v="2025-11-11T18:14:26" u="1"/>
        <d v="2025-11-11T18:14:27" u="1"/>
        <d v="2025-11-11T18:14:28" u="1"/>
        <d v="2025-11-18T12:45:02" u="1"/>
        <d v="2025-11-10T12:25:41" u="1"/>
        <d v="2025-10-31T16:45:13" u="1"/>
        <d v="2025-11-10T13:14:57" u="1"/>
        <d v="2025-11-11T13:45:11" u="1"/>
        <d v="2025-11-06T14:54:53" u="1"/>
        <d v="2025-11-14T16:36:26" u="1"/>
        <d v="2025-11-10T12:05:47" u="1"/>
        <d v="2025-11-13T19:44:11" u="1"/>
        <d v="2025-11-11T17:14:46" u="1"/>
        <d v="2025-11-13T11:09:02" u="1"/>
        <d v="2025-11-14T17:26:31" u="1"/>
        <d v="2025-11-12T12:44:34" u="1"/>
        <d v="2025-11-14T11:46:34" u="1"/>
        <d v="2025-11-07T16:02:55" u="1"/>
        <d v="2025-11-18T12:01:25" u="1"/>
        <d v="2025-11-13T16:03:26" u="1"/>
        <d v="2025-11-14T18:03:15" u="1"/>
        <d v="2025-11-17T17:00:36" u="1"/>
        <d v="2025-11-16T22:01:19" u="1"/>
        <d v="2025-11-07T19:01:58" u="1"/>
        <d v="2025-11-13T20:00:43" u="1"/>
        <d v="2025-11-12T13:00:55" u="1"/>
        <d v="2025-11-18T17:02:28" u="1"/>
        <d v="2025-11-18T11:01:20" u="1"/>
        <d v="2025-11-18T11:01:19" u="1"/>
        <d v="2025-11-18T17:22:29" u="1"/>
        <d v="2025-11-18T17:22:32" u="1"/>
        <d v="2025-11-18T17:22:39" u="1"/>
        <d v="2025-11-18T21:00:09" u="1"/>
        <d v="2025-11-07T21:11:25" u="1"/>
        <d v="2025-10-15T15:41:27" u="1"/>
        <d v="2025-10-15T11:15:31" u="1"/>
        <d v="2025-10-21T11:29:50" u="1"/>
        <d v="2025-10-07T19:21:40" u="1"/>
        <d v="2025-11-18T13:35:02" u="1"/>
        <d v="2025-11-17T23:33:19" u="1"/>
        <d v="2025-11-19T00:43:19" u="1"/>
        <d v="2025-11-19T01:03:34" u="1"/>
        <d v="2025-11-18T13:54:16" u="1"/>
        <d v="2025-11-18T00:33:21" u="1"/>
        <d v="2025-10-07T01:26:25" u="1"/>
        <d v="2025-10-09T16:08:46" u="1"/>
        <d v="2025-11-18T17:16:49" u="1"/>
        <d v="2025-11-18T17:16:53" u="1"/>
        <d v="2025-11-17T20:36:45" u="1"/>
        <d v="2025-11-19T02:53:55" u="1"/>
        <d v="2025-11-18T14:38:54" u="1"/>
        <d v="2025-11-18T14:39:00" u="1"/>
        <d v="2025-11-18T14:39:04" u="1"/>
        <d v="2025-11-18T02:27:20" u="1"/>
        <d v="2025-11-18T02:27:43" u="1"/>
        <d v="2025-11-17T20:24:28" u="1"/>
        <d v="2025-11-18T21:03:06" u="1"/>
        <d v="2025-11-17T20:43:10" u="1"/>
        <d v="2025-11-18T08:32:45" u="1"/>
        <d v="2025-11-10T18:29:01" u="1"/>
        <d v="2025-11-14T13:49:14" u="1"/>
        <d v="2025-11-04T10:04:07" u="1"/>
        <d v="2025-11-17T19:23:59" u="1"/>
        <d v="2025-11-17T19:24:00" u="1"/>
        <d v="2025-11-17T14:54:08" u="1"/>
        <d v="2025-11-17T15:57:51" u="1"/>
        <d v="2025-10-23T12:46:29" u="1"/>
        <d v="2025-11-17T17:04:55" u="1"/>
        <d v="2025-11-17T21:34:44" u="1"/>
        <d v="2025-11-17T11:35:26" u="1"/>
        <d v="2025-11-17T16:51:48" u="1"/>
        <d v="2025-11-01T12:24:11" u="1"/>
        <d v="2025-10-30T21:02:06" u="1"/>
        <d v="2025-11-14T14:56:11" u="1"/>
        <d v="2025-11-14T15:27:11" u="1"/>
        <d v="2025-11-14T15:49:11" u="1"/>
        <d v="2025-11-14T16:23:12" u="1"/>
        <d v="2025-11-14T16:24:13" u="1"/>
        <d v="2025-11-14T15:03:07" u="1"/>
        <d v="2025-11-14T12:41:13" u="1"/>
        <d v="2025-11-14T13:45:25" u="1"/>
        <d v="2025-11-14T13:14:14" u="1"/>
        <d v="2025-11-14T12:29:08" u="1"/>
        <d v="2025-11-14T08:13:13" u="1"/>
        <d v="2025-11-14T10:39:24" u="1"/>
        <d v="2025-11-14T11:03:08" u="1"/>
        <d v="2025-11-14T08:34:14" u="1"/>
        <d v="2025-11-14T13:49:16" u="1"/>
        <d v="2025-11-14T13:54:22" u="1"/>
        <d v="2025-11-14T00:10:11" u="1"/>
        <d v="2025-11-14T00:15:14" u="1"/>
        <d v="2025-11-06T14:45:49" u="1"/>
        <d v="2025-11-08T07:28:11" u="1"/>
        <d v="2025-11-17T14:54:07" u="1"/>
        <d v="2025-11-17T13:17:29" u="1"/>
        <d v="2025-11-17T14:55:07" u="1"/>
        <d v="2025-11-17T14:59:09" u="1"/>
        <d v="2025-11-17T15:00:09" u="1"/>
        <d v="2025-11-17T14:39:12" u="1"/>
        <d v="2025-11-17T14:39:59" u="1"/>
        <d v="2025-11-17T14:40:12" u="1"/>
        <d v="2025-11-17T14:52:06" u="1"/>
        <d v="2025-11-17T14:52:38" u="1"/>
        <d v="2025-11-17T14:53:06" u="1"/>
        <d v="2025-11-17T14:53:13" u="1"/>
        <d v="2025-11-17T14:47:37" u="1"/>
        <d v="2025-11-17T14:48:14" u="1"/>
        <d v="2025-11-17T14:48:37" u="1"/>
        <d v="2025-11-17T14:49:16" u="1"/>
        <d v="2025-11-17T14:47:15" u="1"/>
        <d v="2025-11-17T14:45:48" u="1"/>
        <d v="2025-11-17T14:46:24" u="1"/>
        <d v="2025-11-17T14:41:45" u="1"/>
        <d v="2025-11-17T14:42:18" u="1"/>
        <d v="2025-11-17T14:42:59" u="1"/>
        <d v="2025-11-17T14:43:12" u="1"/>
        <d v="2025-11-17T14:43:35" u="1"/>
        <d v="2025-11-17T14:44:21" u="1"/>
        <d v="2025-11-17T14:44:55" u="1"/>
        <d v="2025-11-17T14:21:42" u="1"/>
        <d v="2025-11-17T14:22:17" u="1"/>
        <d v="2025-11-17T14:23:22" u="1"/>
        <d v="2025-11-17T10:46:09" u="1"/>
        <d v="2025-11-17T14:33:08" u="1"/>
        <d v="2025-11-17T14:34:08" u="1"/>
        <d v="2025-11-17T12:13:14" u="1"/>
        <d v="2025-11-17T14:40:32" u="1"/>
        <d v="2025-11-17T14:41:11" u="1"/>
        <d v="2025-11-17T15:26:38" u="1"/>
        <d v="2025-11-17T15:27:10" u="1"/>
        <d v="2025-11-17T15:27:32" u="1"/>
        <d v="2025-11-17T15:28:15" u="1"/>
        <d v="2025-11-17T15:28:57" u="1"/>
        <d v="2025-11-17T15:29:11" u="1"/>
        <d v="2025-11-17T15:30:11" u="1"/>
        <d v="2025-11-17T15:31:12" u="1"/>
        <d v="2025-11-17T14:54:39" u="1"/>
        <d v="2025-11-17T14:51:37" u="1"/>
        <d v="2025-11-17T14:50:50" u="1"/>
        <d v="2025-11-17T14:50:13" u="1"/>
        <d v="2025-11-17T15:25:10" u="1"/>
        <d v="2025-11-17T15:25:35" u="1"/>
        <d v="2025-11-17T15:02:10" u="1"/>
        <d v="2025-11-17T15:02:11" u="1"/>
        <d v="2025-11-17T15:02:29" u="1"/>
        <d v="2025-11-17T15:03:11" u="1"/>
        <d v="2025-11-17T15:03:30" u="1"/>
        <d v="2025-11-17T15:04:11" u="1"/>
        <d v="2025-11-17T15:04:12" u="1"/>
        <d v="2025-11-17T15:04:46" u="1"/>
        <d v="2025-11-17T15:05:11" u="1"/>
        <d v="2025-11-17T15:05:13" u="1"/>
        <d v="2025-11-17T15:05:37" u="1"/>
        <d v="2025-11-17T15:06:08" u="1"/>
        <d v="2025-11-17T15:06:48" u="1"/>
        <d v="2025-11-17T15:07:40" u="1"/>
        <d v="2025-11-17T15:08:13" u="1"/>
        <d v="2025-11-17T15:08:21" u="1"/>
        <d v="2025-11-17T15:08:55" u="1"/>
        <d v="2025-11-17T15:09:13" u="1"/>
        <d v="2025-11-17T15:09:32" u="1"/>
        <d v="2025-11-17T15:10:13" u="1"/>
        <d v="2025-11-17T15:10:22" u="1"/>
        <d v="2025-11-17T15:11:08" u="1"/>
        <d v="2025-11-17T15:11:13" u="1"/>
        <d v="2025-11-17T15:13:55" u="1"/>
        <d v="2025-11-17T15:14:05" u="1"/>
        <d v="2025-11-17T15:14:43" u="1"/>
        <d v="2025-11-17T15:15:06" u="1"/>
        <d v="2025-11-17T15:15:07" u="1"/>
        <d v="2025-11-17T15:15:21" u="1"/>
        <d v="2025-11-17T15:15:56" u="1"/>
        <d v="2025-11-17T15:16:07" u="1"/>
        <d v="2025-11-17T15:16:32" u="1"/>
        <d v="2025-11-17T15:17:22" u="1"/>
        <d v="2025-11-17T15:18:10" u="1"/>
        <d v="2025-11-17T15:19:00" u="1"/>
        <d v="2025-11-17T15:21:01" u="1"/>
        <d v="2025-11-17T15:21:08" u="1"/>
        <d v="2025-11-17T15:22:52" u="1"/>
        <d v="2025-11-17T15:23:09" u="1"/>
        <d v="2025-11-17T15:23:15" u="1"/>
        <d v="2025-11-17T15:23:47" u="1"/>
        <d v="2025-11-17T15:24:09" u="1"/>
        <d v="2025-11-17T15:24:32" u="1"/>
        <d v="2025-11-17T15:13:21" u="1"/>
        <d v="2025-11-17T15:12:24" u="1"/>
        <d v="2025-11-17T15:11:50" u="1"/>
        <d v="2025-11-15T16:55:10" u="1"/>
        <d v="2025-11-15T16:56:10" u="1"/>
        <d v="2025-11-14T14:53:09" u="1"/>
        <d v="2025-11-14T14:54:15" u="1"/>
        <d v="2025-11-14T16:40:13" u="1"/>
        <d v="2025-11-14T16:43:14" u="1"/>
        <d v="2025-11-15T05:15:24" u="1"/>
        <d v="2025-11-15T05:45:10" u="1"/>
        <d v="2025-11-15T09:41:06" u="1"/>
        <d v="2025-11-15T09:42:06" u="1"/>
        <d v="2025-11-15T09:50:15" u="1"/>
        <d v="2025-11-15T13:13:18" u="1"/>
        <d v="2025-11-15T13:14:20" u="1"/>
        <d v="2025-11-15T00:36:11" u="1"/>
        <d v="2025-11-15T00:53:09" u="1"/>
        <d v="2025-11-15T22:07:10" u="1"/>
        <d v="2025-11-15T23:25:19" u="1"/>
        <d v="2025-11-16T00:15:05" u="1"/>
        <d v="2025-11-16T03:46:20" u="1"/>
        <d v="2025-11-16T07:42:23" u="1"/>
        <d v="2025-11-16T09:41:14" u="1"/>
        <d v="2025-11-17T14:21:07" u="1"/>
        <d v="2025-11-17T14:21:15" u="1"/>
        <d v="2025-11-17T14:26:06" u="1"/>
        <d v="2025-11-17T14:28:07" u="1"/>
        <d v="2025-11-17T09:31:10" u="1"/>
        <d v="2025-11-16T18:55:13" u="1"/>
        <d v="2025-11-15T19:55:10" u="1"/>
        <d v="2025-11-15T21:56:14" u="1"/>
        <d v="2025-11-16T18:29:11" u="1"/>
        <d v="2025-11-16T14:33:07" u="1"/>
        <d v="2025-11-17T11:52:10" u="1"/>
        <d v="2025-11-16T09:57:10" u="1"/>
        <d v="2025-11-16T09:58:09" u="1"/>
        <d v="2025-11-16T10:21:12" u="1"/>
        <d v="2025-11-16T10:52:04" u="1"/>
        <d v="2025-11-16T11:03:10" u="1"/>
        <d v="2025-11-16T11:04:10" u="1"/>
        <d v="2025-11-16T13:39:13" u="1"/>
        <d v="2025-11-17T15:33:13" u="1"/>
        <d v="2025-11-17T15:33:14" u="1"/>
        <d v="2025-11-17T15:34:13" u="1"/>
        <d v="2025-11-17T15:35:13" u="1"/>
        <d v="2025-11-17T15:36:16" u="1"/>
        <d v="2025-11-17T15:37:14" u="1"/>
        <d v="2025-11-17T15:43:06" u="1"/>
        <d v="2025-11-17T15:44:17" u="1"/>
        <d v="2025-11-17T15:45:23" u="1"/>
        <d v="2025-11-17T15:45:26" u="1"/>
        <d v="2025-11-17T15:46:09" u="1"/>
        <d v="2025-11-17T15:47:08" u="1"/>
        <d v="2025-11-17T15:48:18" u="1"/>
        <d v="2025-11-17T15:48:19" u="1"/>
        <d v="2025-11-17T15:48:20" u="1"/>
        <d v="2025-11-17T15:50:11" u="1"/>
        <d v="2025-11-17T15:51:16" u="1"/>
        <d v="2025-11-17T16:03:06" u="1"/>
        <d v="2025-11-17T16:03:07" u="1"/>
        <d v="2025-11-17T16:03:19" u="1"/>
        <d v="2025-11-17T16:04:12" u="1"/>
        <d v="2025-11-17T16:05:07" u="1"/>
        <d v="2025-11-17T16:05:59" u="1"/>
        <d v="2025-11-17T16:06:06" u="1"/>
        <d v="2025-11-17T16:06:49" u="1"/>
        <d v="2025-11-17T16:07:29" u="1"/>
        <d v="2025-11-17T16:08:09" u="1"/>
        <d v="2025-11-17T16:08:32" u="1"/>
        <d v="2025-11-17T16:09:07" u="1"/>
        <d v="2025-11-17T16:10:08" u="1"/>
        <d v="2025-11-17T16:11:08" u="1"/>
        <d v="2025-11-17T16:11:11" u="1"/>
        <d v="2025-11-17T16:12:02" u="1"/>
        <d v="2025-11-17T16:12:09" u="1"/>
        <d v="2025-11-17T16:13:09" u="1"/>
        <d v="2025-11-17T16:13:37" u="1"/>
        <d v="2025-11-17T16:14:09" u="1"/>
        <d v="2025-11-17T16:14:39" u="1"/>
        <d v="2025-11-17T16:15:58" u="1"/>
        <d v="2025-11-17T16:16:11" u="1"/>
        <d v="2025-11-17T16:16:17" u="1"/>
        <d v="2025-11-17T16:16:50" u="1"/>
        <d v="2025-11-17T16:35:19" u="1"/>
        <d v="2025-11-17T16:35:58" u="1"/>
        <d v="2025-11-17T16:36:45" u="1"/>
        <d v="2025-11-17T16:37:23" u="1"/>
        <d v="2025-11-17T16:38:13" u="1"/>
        <d v="2025-11-17T16:39:10" u="1"/>
        <d v="2025-11-17T16:39:43" u="1"/>
        <d v="2025-11-17T16:40:20" u="1"/>
        <d v="2025-11-17T16:40:52" u="1"/>
        <d v="2025-11-17T16:41:11" u="1"/>
        <d v="2025-11-17T16:26:05" u="1"/>
        <d v="2025-11-17T16:26:50" u="1"/>
        <d v="2025-11-17T16:27:15" u="1"/>
        <d v="2025-11-17T16:27:16" u="1"/>
        <d v="2025-11-17T16:27:20" u="1"/>
        <d v="2025-11-17T16:27:57" u="1"/>
        <d v="2025-11-17T16:28:14" u="1"/>
        <d v="2025-11-17T16:28:33" u="1"/>
        <d v="2025-11-17T16:29:21" u="1"/>
        <d v="2025-11-17T16:30:10" u="1"/>
        <d v="2025-11-17T16:30:42" u="1"/>
        <d v="2025-11-17T16:31:06" u="1"/>
        <d v="2025-11-17T16:31:12" u="1"/>
        <d v="2025-11-17T16:31:43" u="1"/>
        <d v="2025-11-17T16:32:07" u="1"/>
        <d v="2025-11-17T16:32:16" u="1"/>
        <d v="2025-11-17T16:32:59" u="1"/>
        <d v="2025-11-17T16:33:07" u="1"/>
        <d v="2025-11-17T16:33:08" u="1"/>
        <d v="2025-11-17T16:33:45" u="1"/>
        <d v="2025-11-17T15:54:11" u="1"/>
        <d v="2025-11-17T15:54:46" u="1"/>
        <d v="2025-11-17T15:55:12" u="1"/>
        <d v="2025-11-17T15:56:03" u="1"/>
        <d v="2025-11-17T15:56:11" u="1"/>
        <d v="2025-11-17T15:56:12" u="1"/>
        <d v="2025-11-17T15:56:48" u="1"/>
        <d v="2025-11-17T15:53:11" u="1"/>
        <d v="2025-11-17T15:53:15" u="1"/>
        <d v="2025-11-17T15:58:22" u="1"/>
        <d v="2025-11-17T15:58:56" u="1"/>
        <d v="2025-11-17T15:59:13" u="1"/>
        <d v="2025-11-17T15:59:34" u="1"/>
        <d v="2025-11-17T16:00:26" u="1"/>
        <d v="2025-11-17T16:01:02" u="1"/>
        <d v="2025-11-17T16:02:01" u="1"/>
        <d v="2025-11-17T16:17:35" u="1"/>
        <d v="2025-11-17T16:19:00" u="1"/>
        <d v="2025-11-17T16:19:11" u="1"/>
        <d v="2025-11-17T16:19:50" u="1"/>
        <d v="2025-11-17T16:20:34" u="1"/>
        <d v="2025-11-17T16:22:03" u="1"/>
        <d v="2025-11-17T16:22:39" u="1"/>
        <d v="2025-11-17T16:23:11" u="1"/>
        <d v="2025-11-17T16:23:56" u="1"/>
        <d v="2025-11-17T16:24:13" u="1"/>
        <d v="2025-11-17T16:24:35" u="1"/>
        <d v="2025-11-17T16:25:13" u="1"/>
        <d v="2025-11-17T16:25:14" u="1"/>
        <d v="2025-11-17T16:25:28" u="1"/>
        <d v="2025-11-17T17:37:16" u="1"/>
        <d v="2025-11-17T17:38:27" u="1"/>
        <d v="2025-11-17T17:39:16" u="1"/>
        <d v="2025-11-17T17:39:17" u="1"/>
        <d v="2025-11-17T17:42:06" u="1"/>
        <d v="2025-11-17T17:43:06" u="1"/>
        <d v="2025-11-17T17:45:22" u="1"/>
        <d v="2025-11-17T17:45:23" u="1"/>
        <d v="2025-11-17T17:46:07" u="1"/>
        <d v="2025-11-17T17:47:08" u="1"/>
        <d v="2025-11-17T17:47:14" u="1"/>
        <d v="2025-11-17T17:48:12" u="1"/>
        <d v="2025-11-17T17:49:08" u="1"/>
        <d v="2025-11-17T17:49:19" u="1"/>
        <d v="2025-11-17T17:50:09" u="1"/>
        <d v="2025-11-17T17:51:10" u="1"/>
        <d v="2025-11-17T17:52:10" u="1"/>
        <d v="2025-11-17T17:53:12" u="1"/>
        <d v="2025-11-17T17:26:09" u="1"/>
        <d v="2025-11-17T17:29:10" u="1"/>
        <d v="2025-11-17T17:31:11" u="1"/>
        <d v="2025-11-17T17:33:12" u="1"/>
        <d v="2025-11-17T17:35:13" u="1"/>
        <d v="2025-11-17T17:02:09" u="1"/>
        <d v="2025-11-17T17:02:13" u="1"/>
        <d v="2025-11-17T17:03:01" u="1"/>
        <d v="2025-11-17T17:03:09" u="1"/>
        <d v="2025-11-17T16:45:43" u="1"/>
        <d v="2025-11-17T16:41:24" u="1"/>
        <d v="2025-11-17T16:41:58" u="1"/>
        <d v="2025-11-17T17:00:51" u="1"/>
        <d v="2025-11-17T17:01:35" u="1"/>
        <d v="2025-11-17T16:56:22" u="1"/>
        <d v="2025-11-17T16:57:07" u="1"/>
        <d v="2025-11-17T16:57:08" u="1"/>
        <d v="2025-11-17T16:57:11" u="1"/>
        <d v="2025-11-17T16:57:47" u="1"/>
        <d v="2025-11-17T16:58:22" u="1"/>
        <d v="2025-11-17T16:58:57" u="1"/>
        <d v="2025-11-17T16:59:07" u="1"/>
        <d v="2025-11-17T16:59:33" u="1"/>
        <d v="2025-11-17T17:00:14" u="1"/>
        <d v="2025-11-17T17:05:11" u="1"/>
        <d v="2025-11-17T17:05:37" u="1"/>
        <d v="2025-11-17T17:06:11" u="1"/>
        <d v="2025-11-17T17:06:12" u="1"/>
        <d v="2025-11-17T17:06:39" u="1"/>
        <d v="2025-11-17T17:07:13" u="1"/>
        <d v="2025-11-17T17:07:14" u="1"/>
        <d v="2025-11-17T17:07:35" u="1"/>
        <d v="2025-11-17T17:08:32" u="1"/>
        <d v="2025-11-17T17:09:12" u="1"/>
        <d v="2025-11-17T17:09:33" u="1"/>
        <d v="2025-11-17T17:10:08" u="1"/>
        <d v="2025-11-17T17:10:15" u="1"/>
        <d v="2025-11-17T17:11:13" u="1"/>
        <d v="2025-11-17T17:12:13" u="1"/>
        <d v="2025-11-17T17:16:05" u="1"/>
        <d v="2025-11-17T17:18:06" u="1"/>
        <d v="2025-11-17T17:19:07" u="1"/>
        <d v="2025-11-17T17:21:07" u="1"/>
        <d v="2025-11-17T15:57:25" u="1"/>
        <d v="2025-11-17T16:21:28" u="1"/>
        <d v="2025-11-17T16:34:22" u="1"/>
        <d v="2025-11-17T16:35:08" u="1"/>
        <d v="2025-11-17T16:42:11" u="1"/>
        <d v="2025-11-17T16:42:37" u="1"/>
        <d v="2025-11-17T16:43:11" u="1"/>
        <d v="2025-11-17T16:43:34" u="1"/>
        <d v="2025-11-17T16:44:30" u="1"/>
        <d v="2025-11-17T16:45:09" u="1"/>
        <d v="2025-11-17T16:46:17" u="1"/>
        <d v="2025-11-17T16:46:51" u="1"/>
        <d v="2025-11-17T16:47:24" u="1"/>
        <d v="2025-11-17T16:47:58" u="1"/>
        <d v="2025-11-17T16:48:13" u="1"/>
        <d v="2025-11-17T16:48:54" u="1"/>
        <d v="2025-11-17T16:49:15" u="1"/>
        <d v="2025-11-17T16:49:29" u="1"/>
        <d v="2025-11-17T16:50:02" u="1"/>
        <d v="2025-11-17T16:50:36" u="1"/>
        <d v="2025-11-17T16:51:14" u="1"/>
        <d v="2025-11-17T16:51:20" u="1"/>
        <d v="2025-11-17T16:52:15" u="1"/>
        <d v="2025-11-17T16:52:22" u="1"/>
        <d v="2025-11-17T16:52:56" u="1"/>
        <d v="2025-11-17T16:53:42" u="1"/>
        <d v="2025-11-17T16:54:05" u="1"/>
        <d v="2025-11-17T16:54:15" u="1"/>
        <d v="2025-11-17T16:54:48" u="1"/>
        <d v="2025-11-17T16:55:07" u="1"/>
        <d v="2025-11-17T16:55:35" u="1"/>
        <d v="2025-11-17T21:13:16" u="1"/>
        <d v="2025-11-17T21:15:05" u="1"/>
        <d v="2025-11-17T21:06:11" u="1"/>
        <d v="2025-11-17T21:07:11" u="1"/>
        <d v="2025-11-17T21:10:12" u="1"/>
        <d v="2025-11-17T21:11:13" u="1"/>
        <d v="2025-11-17T20:37:08" u="1"/>
        <d v="2025-11-17T21:18:06" u="1"/>
        <d v="2025-11-17T21:19:07" u="1"/>
        <d v="2025-11-17T21:20:07" u="1"/>
        <d v="2025-11-17T20:35:07" u="1"/>
        <d v="2025-11-17T20:56:06" u="1"/>
        <d v="2025-11-17T20:54:05" u="1"/>
        <d v="2025-11-17T20:59:07" u="1"/>
        <d v="2025-11-17T21:00:18" u="1"/>
        <d v="2025-11-17T21:01:09" u="1"/>
        <d v="2025-11-17T21:03:10" u="1"/>
        <d v="2025-11-17T21:04:10" u="1"/>
        <d v="2025-11-17T21:05:11" u="1"/>
        <d v="2025-11-17T21:05:12" u="1"/>
        <d v="2025-11-17T21:37:09" u="1"/>
        <d v="2025-11-17T21:39:07" u="1"/>
        <d v="2025-11-17T21:40:08" u="1"/>
        <d v="2025-11-17T21:41:09" u="1"/>
        <d v="2025-11-17T21:42:19" u="1"/>
        <d v="2025-11-17T21:43:14" u="1"/>
        <d v="2025-11-17T21:43:21" u="1"/>
        <d v="2025-11-17T21:45:10" u="1"/>
        <d v="2025-11-17T21:47:13" u="1"/>
        <d v="2025-11-17T21:47:22" u="1"/>
        <d v="2025-11-17T21:47:34" u="1"/>
        <d v="2025-11-17T21:48:11" u="1"/>
        <d v="2025-11-17T21:48:15" u="1"/>
        <d v="2025-11-17T21:49:15" u="1"/>
        <d v="2025-11-17T21:49:21" u="1"/>
        <d v="2025-11-17T21:50:13" u="1"/>
        <d v="2025-11-17T21:50:23" u="1"/>
        <d v="2025-11-17T21:51:14" u="1"/>
        <d v="2025-11-17T21:53:05" u="1"/>
        <d v="2025-11-17T21:53:12" u="1"/>
        <d v="2025-11-17T21:54:05" u="1"/>
        <d v="2025-11-17T21:55:05" u="1"/>
        <d v="2025-11-17T21:57:07" u="1"/>
        <d v="2025-11-17T21:57:11" u="1"/>
        <d v="2025-11-17T21:59:07" u="1"/>
        <d v="2025-11-17T22:00:18" u="1"/>
        <d v="2025-11-17T22:01:09" u="1"/>
        <d v="2025-11-17T22:03:10" u="1"/>
        <d v="2025-11-17T22:03:11" u="1"/>
        <d v="2025-11-17T22:04:10" u="1"/>
        <d v="2025-11-17T22:05:10" u="1"/>
        <d v="2025-11-17T22:07:13" u="1"/>
        <d v="2025-11-17T22:09:13" u="1"/>
        <d v="2025-11-17T22:10:13" u="1"/>
        <d v="2025-11-17T22:14:15" u="1"/>
        <d v="2025-11-17T22:15:06" u="1"/>
        <d v="2025-11-17T22:17:07" u="1"/>
        <d v="2025-11-17T22:21:10" u="1"/>
        <d v="2025-11-17T22:21:11" u="1"/>
        <d v="2025-11-17T22:22:09" u="1"/>
        <d v="2025-11-17T22:22:10" u="1"/>
        <d v="2025-11-17T22:23:10" u="1"/>
        <d v="2025-11-17T22:24:10" u="1"/>
        <d v="2025-11-17T22:26:11" u="1"/>
        <d v="2025-11-17T22:27:12" u="1"/>
        <d v="2025-11-17T22:28:13" u="1"/>
        <d v="2025-11-17T22:29:15" u="1"/>
        <d v="2025-11-17T22:29:16" u="1"/>
        <d v="2025-11-17T22:30:14" u="1"/>
        <d v="2025-11-17T22:31:14" u="1"/>
        <d v="2025-11-17T22:31:15" u="1"/>
        <d v="2025-11-17T22:32:15" u="1"/>
        <d v="2025-11-17T22:33:05" u="1"/>
        <d v="2025-11-17T22:34:05" u="1"/>
        <d v="2025-11-17T22:35:06" u="1"/>
        <d v="2025-11-17T22:36:07" u="1"/>
        <d v="2025-11-17T22:37:08" u="1"/>
        <d v="2025-11-17T22:38:08" u="1"/>
        <d v="2025-11-17T22:39:08" u="1"/>
        <d v="2025-11-17T22:41:10" u="1"/>
        <d v="2025-11-17T22:43:10" u="1"/>
        <d v="2025-11-17T22:47:11" u="1"/>
        <d v="2025-11-17T22:48:12" u="1"/>
        <d v="2025-11-17T22:49:13" u="1"/>
        <d v="2025-11-17T22:50:13" u="1"/>
        <d v="2025-11-17T22:53:15" u="1"/>
        <d v="2025-11-17T22:54:05" u="1"/>
        <d v="2025-11-17T22:54:06" u="1"/>
        <d v="2025-11-17T22:55:06" u="1"/>
        <d v="2025-11-17T22:56:06" u="1"/>
        <d v="2025-11-17T22:57:06" u="1"/>
        <d v="2025-11-17T22:58:07" u="1"/>
        <d v="2025-11-17T22:59:07" u="1"/>
        <d v="2025-11-17T22:59:08" u="1"/>
        <d v="2025-11-17T23:00:18" u="1"/>
        <d v="2025-11-17T21:20:08" u="1"/>
        <d v="2025-11-17T21:21:09" u="1"/>
        <d v="2025-11-17T21:22:09" u="1"/>
        <d v="2025-11-17T21:23:09" u="1"/>
        <d v="2025-11-17T21:24:09" u="1"/>
        <d v="2025-11-17T21:25:10" u="1"/>
        <d v="2025-11-17T21:27:11" u="1"/>
        <d v="2025-11-17T21:28:13" u="1"/>
        <d v="2025-11-17T21:29:13" u="1"/>
        <d v="2025-11-17T21:29:14" u="1"/>
        <d v="2025-11-17T21:31:16" u="1"/>
        <d v="2025-11-17T21:32:14" u="1"/>
        <d v="2025-11-17T21:32:15" u="1"/>
        <d v="2025-11-17T21:33:16" u="1"/>
        <d v="2025-11-17T21:34:05" u="1"/>
        <d v="2025-11-17T20:34:06" u="1"/>
        <d v="2025-11-17T20:31:06" u="1"/>
        <d v="2025-11-17T23:05:11" u="1"/>
        <d v="2025-11-17T23:05:12" u="1"/>
        <d v="2025-11-17T23:06:11" u="1"/>
        <d v="2025-11-17T23:07:11" u="1"/>
        <d v="2025-11-17T23:09:14" u="1"/>
        <d v="2025-11-17T23:10:13" u="1"/>
        <d v="2025-11-17T23:11:13" u="1"/>
        <d v="2025-11-17T20:57:06" u="1"/>
        <d v="2025-11-17T23:13:14" u="1"/>
        <d v="2025-11-17T23:15:15" u="1"/>
        <d v="2025-11-17T19:45:17" u="1"/>
        <d v="2025-11-17T19:45:26" u="1"/>
        <d v="2025-11-17T19:46:13" u="1"/>
        <d v="2025-11-17T19:47:13" u="1"/>
        <d v="2025-11-17T19:49:14" u="1"/>
        <d v="2025-11-17T19:50:23" u="1"/>
        <d v="2025-11-17T19:51:07" u="1"/>
        <d v="2025-11-17T19:51:10" u="1"/>
        <d v="2025-11-17T19:53:05" u="1"/>
        <d v="2025-11-17T19:55:07" u="1"/>
        <d v="2025-11-17T19:55:12" u="1"/>
        <d v="2025-11-17T19:56:07" u="1"/>
        <d v="2025-11-17T19:56:11" u="1"/>
        <d v="2025-11-17T19:58:07" u="1"/>
        <d v="2025-11-17T19:59:12" u="1"/>
        <d v="2025-11-17T20:02:11" u="1"/>
        <d v="2025-11-17T20:03:12" u="1"/>
        <d v="2025-11-17T20:03:17" u="1"/>
        <d v="2025-11-17T20:04:12" u="1"/>
        <d v="2025-11-17T19:24:13" u="1"/>
        <d v="2025-11-17T19:25:14" u="1"/>
        <d v="2025-11-17T19:27:05" u="1"/>
        <d v="2025-11-17T19:28:16" u="1"/>
        <d v="2025-11-17T19:29:05" u="1"/>
        <d v="2025-11-17T19:33:07" u="1"/>
        <d v="2025-11-17T19:34:07" u="1"/>
        <d v="2025-11-17T19:35:07" u="1"/>
        <d v="2025-11-17T19:37:13" u="1"/>
        <d v="2025-11-17T19:38:09" u="1"/>
        <d v="2025-11-17T19:39:10" u="1"/>
        <d v="2025-11-17T19:41:14" u="1"/>
        <d v="2025-11-17T19:41:21" u="1"/>
        <d v="2025-11-17T20:49:13" u="1"/>
        <d v="2025-11-17T20:51:14" u="1"/>
        <d v="2025-11-17T20:53:14" u="1"/>
        <d v="2025-11-17T20:24:12" u="1"/>
        <d v="2025-11-17T20:44:10" u="1"/>
        <d v="2025-11-17T20:45:11" u="1"/>
        <d v="2025-11-17T20:25:12" u="1"/>
        <d v="2025-11-17T20:47:12" u="1"/>
        <d v="2025-11-17T20:07:13" u="1"/>
        <d v="2025-11-17T20:21:11" u="1"/>
        <d v="2025-11-17T20:23:12" u="1"/>
        <d v="2025-11-17T19:13:09" u="1"/>
        <d v="2025-11-17T19:42:13" u="1"/>
        <d v="2025-11-17T19:43:12" u="1"/>
        <d v="2025-11-17T19:44:12" u="1"/>
        <d v="2025-11-17T19:44:19" u="1"/>
        <d v="2025-11-17T20:08:14" u="1"/>
        <d v="2025-11-17T20:09:15" u="1"/>
        <d v="2025-11-17T20:10:09" u="1"/>
        <d v="2025-11-17T20:12:06" u="1"/>
        <d v="2025-11-17T20:13:07" u="1"/>
        <d v="2025-11-17T20:15:08" u="1"/>
        <d v="2025-11-17T20:16:09" u="1"/>
        <d v="2025-11-17T20:17:09" u="1"/>
        <d v="2025-11-17T17:55:12" u="1"/>
        <d v="2025-11-17T17:55:18" u="1"/>
        <d v="2025-11-17T17:57:12" u="1"/>
        <d v="2025-11-17T17:59:16" u="1"/>
        <d v="2025-11-17T17:23:08" u="1"/>
        <d v="2025-11-17T17:25:08" u="1"/>
        <d v="2025-11-17T18:02:14" u="1"/>
        <d v="2025-11-17T18:04:15" u="1"/>
        <d v="2025-11-17T18:04:16" u="1"/>
        <d v="2025-11-17T18:05:06" u="1"/>
        <d v="2025-11-17T18:06:07" u="1"/>
        <d v="2025-11-17T18:07:06" u="1"/>
        <d v="2025-11-17T18:07:07" u="1"/>
        <d v="2025-11-17T18:10:08" u="1"/>
        <d v="2025-11-17T18:10:09" u="1"/>
        <d v="2025-11-17T18:13:09" u="1"/>
        <d v="2025-11-17T18:15:10" u="1"/>
        <d v="2025-11-17T18:15:11" u="1"/>
        <d v="2025-11-17T18:15:16" u="1"/>
        <d v="2025-11-17T18:27:07" u="1"/>
        <d v="2025-11-17T18:29:07" u="1"/>
        <d v="2025-11-17T18:31:10" u="1"/>
        <d v="2025-11-17T18:31:11" u="1"/>
        <d v="2025-11-17T18:32:10" u="1"/>
        <d v="2025-11-17T18:33:10" u="1"/>
        <d v="2025-11-17T18:16:11" u="1"/>
        <d v="2025-11-17T18:17:12" u="1"/>
        <d v="2025-11-17T18:17:13" u="1"/>
        <d v="2025-11-17T18:18:12" u="1"/>
        <d v="2025-11-17T18:19:13" u="1"/>
        <d v="2025-11-17T18:20:13" u="1"/>
        <d v="2025-11-17T18:21:13" u="1"/>
        <d v="2025-11-17T18:25:06" u="1"/>
        <d v="2025-11-17T19:05:05" u="1"/>
        <d v="2025-11-17T19:06:05" u="1"/>
        <d v="2025-11-17T19:07:06" u="1"/>
        <d v="2025-11-17T19:09:06" u="1"/>
        <d v="2025-11-17T19:11:08" u="1"/>
        <d v="2025-11-17T19:17:11" u="1"/>
        <d v="2025-11-17T19:18:10" u="1"/>
        <d v="2025-11-17T19:18:11" u="1"/>
        <d v="2025-11-17T19:19:10" u="1"/>
        <d v="2025-11-17T19:21:12" u="1"/>
        <d v="2025-11-17T19:21:13" u="1"/>
        <d v="2025-11-17T19:22:12" u="1"/>
        <d v="2025-11-17T19:23:13" u="1"/>
        <d v="2025-11-17T18:55:10" u="1"/>
        <d v="2025-11-17T18:57:11" u="1"/>
        <d v="2025-11-17T18:58:11" u="1"/>
        <d v="2025-11-17T18:59:12" u="1"/>
        <d v="2025-11-17T19:00:13" u="1"/>
        <d v="2025-11-17T17:04:40" u="1"/>
        <d v="2025-11-17T19:02:14" u="1"/>
        <d v="2025-11-17T19:03:14" u="1"/>
        <d v="2025-11-17T18:45:15" u="1"/>
        <d v="2025-11-17T18:45:16" u="1"/>
        <d v="2025-11-17T18:47:06" u="1"/>
        <d v="2025-11-17T18:48:07" u="1"/>
        <d v="2025-11-17T18:49:07" u="1"/>
        <d v="2025-11-17T18:51:08" u="1"/>
        <d v="2025-11-17T18:37:12" u="1"/>
        <d v="2025-11-17T18:38:12" u="1"/>
        <d v="2025-11-17T18:39:13" u="1"/>
        <d v="2025-11-17T18:40:13" u="1"/>
        <d v="2025-11-17T18:41:15" u="1"/>
        <d v="2025-11-17T18:42:13" u="1"/>
        <d v="2025-11-17T18:42:14" u="1"/>
        <d v="2025-11-17T18:43:15" u="1"/>
        <d v="2025-11-17T18:44:14" u="1"/>
        <d v="2025-11-17T23:45:08" u="1"/>
        <d v="2025-11-17T23:45:17" u="1"/>
        <d v="2025-11-17T23:46:17" u="1"/>
        <d v="2025-11-17T23:55:22" u="1"/>
        <d v="2025-11-17T23:57:21" u="1"/>
        <d v="2025-11-18T00:00:18" u="1"/>
        <d v="2025-11-18T00:03:06" u="1"/>
        <d v="2025-11-18T00:03:11" u="1"/>
        <d v="2025-11-18T00:03:12" u="1"/>
        <d v="2025-11-17T23:16:05" u="1"/>
        <d v="2025-11-17T23:17:05" u="1"/>
        <d v="2025-11-17T23:20:06" u="1"/>
        <d v="2025-11-17T23:37:18" u="1"/>
        <d v="2025-11-17T23:38:15" u="1"/>
        <d v="2025-11-17T23:39:05" u="1"/>
        <d v="2025-11-17T23:21:07" u="1"/>
        <d v="2025-11-17T23:21:08" u="1"/>
        <d v="2025-11-17T23:22:08" u="1"/>
        <d v="2025-11-17T23:23:08" u="1"/>
        <d v="2025-11-17T23:24:08" u="1"/>
        <d v="2025-11-17T23:25:10" u="1"/>
        <d v="2025-11-17T23:26:09" u="1"/>
        <d v="2025-11-17T23:27:10" u="1"/>
        <d v="2025-11-17T23:29:11" u="1"/>
        <d v="2025-11-17T23:31:12" u="1"/>
        <d v="2025-11-17T23:32:12" u="1"/>
        <d v="2025-11-17T23:33:13" u="1"/>
        <d v="2025-11-18T00:35:08" u="1"/>
        <d v="2025-11-18T00:36:09" u="1"/>
        <d v="2025-11-18T00:37:09" u="1"/>
        <d v="2025-11-18T00:41:11" u="1"/>
        <d v="2025-11-18T00:43:12" u="1"/>
        <d v="2025-11-18T00:46:13" u="1"/>
        <d v="2025-11-18T00:49:04" u="1"/>
        <d v="2025-11-18T00:50:04" u="1"/>
        <d v="2025-11-18T00:51:05" u="1"/>
        <d v="2025-11-18T00:53:06" u="1"/>
        <d v="2025-11-18T00:55:07" u="1"/>
        <d v="2025-11-18T00:56:07" u="1"/>
        <d v="2025-11-18T00:57:08" u="1"/>
        <d v="2025-11-18T01:02:30" u="1"/>
        <d v="2025-11-18T01:04:20" u="1"/>
        <d v="2025-11-18T01:08:20" u="1"/>
        <d v="2025-11-18T01:09:25" u="1"/>
        <d v="2025-11-18T01:09:27" u="1"/>
        <d v="2025-11-18T01:10:23" u="1"/>
        <d v="2025-11-18T01:15:10" u="1"/>
        <d v="2025-11-18T01:19:11" u="1"/>
        <d v="2025-11-18T01:23:12" u="1"/>
        <d v="2025-11-18T01:25:15" u="1"/>
        <d v="2025-11-18T01:29:11" u="1"/>
        <d v="2025-11-18T01:29:16" u="1"/>
        <d v="2025-11-18T01:31:16" u="1"/>
        <d v="2025-11-18T01:33:13" u="1"/>
        <d v="2025-11-18T01:35:15" u="1"/>
        <d v="2025-11-18T01:51:11" u="1"/>
        <d v="2025-11-18T01:53:10" u="1"/>
        <d v="2025-11-18T02:17:10" u="1"/>
        <d v="2025-11-18T02:43:11" u="1"/>
        <d v="2025-11-18T02:44:12" u="1"/>
        <d v="2025-11-18T02:50:14" u="1"/>
        <d v="2025-11-18T03:00:16" u="1"/>
        <d v="2025-11-18T03:00:17" u="1"/>
        <d v="2025-11-18T03:02:09" u="1"/>
        <d v="2025-11-18T03:09:19" u="1"/>
        <d v="2025-11-18T03:19:13" u="1"/>
        <d v="2025-11-18T03:20:15" u="1"/>
        <d v="2025-11-18T04:08:45" u="1"/>
        <d v="2025-11-18T04:12:16" u="1"/>
        <d v="2025-11-18T04:13:17" u="1"/>
        <d v="2025-11-18T04:14:17" u="1"/>
        <d v="2025-11-18T04:31:24" u="1"/>
        <d v="2025-11-18T04:59:31" u="1"/>
        <d v="2025-11-18T05:00:25" u="1"/>
        <d v="2025-11-18T05:18:22" u="1"/>
        <d v="2025-11-18T05:24:13" u="1"/>
        <d v="2025-11-18T05:25:14" u="1"/>
        <d v="2025-11-18T00:05:10" u="1"/>
        <d v="2025-11-18T00:07:10" u="1"/>
        <d v="2025-11-18T00:13:09" u="1"/>
        <d v="2025-11-18T00:19:11" u="1"/>
        <d v="2025-11-18T00:20:12" u="1"/>
        <d v="2025-11-18T00:27:09" u="1"/>
        <d v="2025-11-18T00:29:06" u="1"/>
        <d v="2025-11-18T02:29:05" u="1"/>
        <d v="2025-11-18T05:46:21" u="1"/>
        <d v="2025-11-18T05:47:22" u="1"/>
        <d v="2025-11-18T05:51:07" u="1"/>
        <d v="2025-11-18T05:53:10" u="1"/>
        <d v="2025-11-18T06:10:17" u="1"/>
        <d v="2025-11-18T06:31:13" u="1"/>
        <d v="2025-11-18T06:35:14" u="1"/>
        <d v="2025-11-18T06:35:13" u="1"/>
        <d v="2025-11-18T06:38:14" u="1"/>
        <d v="2025-11-18T06:39:05" u="1"/>
        <d v="2025-11-18T06:39:06" u="1"/>
        <d v="2025-11-18T06:45:07" u="1"/>
        <d v="2025-11-18T06:51:10" u="1"/>
        <d v="2025-11-18T06:52:10" u="1"/>
        <d v="2025-11-18T06:55:15" u="1"/>
        <d v="2025-11-17T16:35:16" u="1"/>
        <d v="2025-11-17T19:44:37" u="1"/>
        <d v="2025-11-17T20:35:00" u="1"/>
        <d v="2025-11-17T20:04:49" u="1"/>
        <d v="2025-11-17T20:04:48" u="1"/>
        <d v="2025-11-17T17:26:07" u="1"/>
        <d v="2025-11-17T18:14:35" u="1"/>
        <d v="2025-11-17T18:44:25" u="1"/>
        <d v="2025-11-17T20:35:02" u="1"/>
        <d v="2025-10-16T16:19:08" u="1"/>
        <d v="2025-10-16T16:19:13" u="1"/>
        <d v="2025-11-17T23:20:31" u="1"/>
        <d v="2025-11-17T13:54:21" u="1"/>
        <d v="2025-11-17T18:14:27" u="1"/>
        <d v="2025-11-17T17:54:31" u="1"/>
        <d v="2025-11-17T16:17:22" u="1"/>
        <d v="2025-11-17T12:14:33" u="1"/>
        <d v="2025-10-24T07:45:03" u="1"/>
        <d v="2025-10-24T07:45:04" u="1"/>
        <d v="2025-11-17T21:17:39" u="1"/>
        <d v="2025-11-17T21:17:20" u="1"/>
        <d v="2025-11-14T20:21:55" u="1"/>
        <d v="2025-11-14T20:24:30" u="1"/>
        <d v="2025-11-17T21:17:00" u="1"/>
        <d v="2025-11-14T14:11:41" u="1"/>
        <d v="2025-11-14T14:12:24" u="1"/>
        <d v="2025-11-13T20:04:26" u="1"/>
        <d v="2025-03-05T12:24:29" u="1"/>
        <d v="2025-11-17T15:04:53" u="1"/>
        <d v="2025-11-17T15:05:03" u="1"/>
        <d v="2025-11-17T15:04:25" u="1"/>
        <d v="2025-11-17T21:17:35" u="1"/>
        <d v="2025-11-12T19:53:43" u="1"/>
        <d v="2025-11-03T10:52:02" u="1"/>
        <d v="2025-11-06T19:11:34" u="1"/>
        <d v="2025-10-24T14:12:26" u="1"/>
        <d v="2025-11-13T18:02:31" u="1"/>
        <d v="2025-10-31T18:33:45" u="1"/>
        <d v="2025-11-17T20:53:41" u="1"/>
        <d v="2025-11-17T16:55:41" u="1"/>
        <d v="2025-11-17T16:45:20" u="1"/>
        <d v="2025-10-29T12:25:21" u="1"/>
        <d v="2025-10-16T16:38:47" u="1"/>
        <d v="2025-11-17T21:14:54" u="1"/>
        <d v="2025-11-17T16:42:04" u="1"/>
        <d v="2025-11-17T16:45:46" u="1"/>
        <d v="2025-11-17T14:28:19" u="1"/>
        <d v="2025-11-17T16:02:04" u="1"/>
        <d v="2025-11-17T16:02:07" u="1"/>
        <d v="2025-11-17T16:33:51" u="1"/>
        <d v="2025-11-17T16:21:54" u="1"/>
        <d v="2025-11-17T15:26:18" u="1"/>
        <d v="2025-11-17T15:28:20" u="1"/>
        <d v="2025-11-17T15:03:51" u="1"/>
        <d v="2025-11-17T14:55:53" u="1"/>
        <d v="2025-11-17T20:07:41" u="1"/>
        <d v="2025-11-17T19:15:47" u="1"/>
        <d v="2025-11-17T19:49:58" u="1"/>
        <d v="2025-11-17T18:25:45" u="1"/>
        <d v="2025-11-17T18:35:47" u="1"/>
        <d v="2025-11-17T18:15:52" u="1"/>
        <d v="2025-11-17T19:11:47" u="1"/>
        <d v="2025-11-17T20:27:41" u="1"/>
        <d v="2025-11-17T20:55:46" u="1"/>
        <d v="2025-11-17T21:05:48" u="1"/>
        <d v="2025-11-17T22:27:41" u="1"/>
        <d v="2025-11-13T16:01:49" u="1"/>
        <d v="2025-11-13T12:44:04" u="1"/>
        <d v="2025-11-10T10:11:40" u="1"/>
        <d v="2025-11-11T18:21:23" u="1"/>
        <d v="2025-11-17T10:22:11" u="1"/>
        <d v="2025-11-17T10:22:21" u="1"/>
        <d v="2025-11-17T11:33:34" u="1"/>
        <d v="2025-11-17T09:13:04" u="1"/>
        <d v="2025-11-17T09:13:08" u="1"/>
        <d v="2025-11-17T16:33:53" u="1"/>
        <d v="2025-11-17T20:54:03" u="1"/>
        <d v="2025-11-17T19:14:12" u="1"/>
        <d v="2025-11-17T15:53:40" u="1"/>
        <d v="2025-11-14T17:54:16" u="1"/>
        <d v="2025-11-17T23:16:03" u="1"/>
        <d v="2025-11-17T23:04:34" u="1"/>
        <d v="2025-10-20T13:24:48" u="1"/>
        <d v="2025-10-15T11:25:29" u="1"/>
        <d v="2025-10-21T08:44:33" u="1"/>
        <d v="2025-10-20T13:24:49" u="1"/>
        <d v="2025-10-20T13:24:50" u="1"/>
        <d v="2025-10-15T11:25:28" u="1"/>
        <d v="2025-11-17T23:08:55" u="1"/>
        <d v="2025-11-17T23:13:11" u="1"/>
        <d v="2025-02-24T17:35:57" u="1"/>
        <d v="2025-11-13T19:22:07" u="1"/>
        <d v="2025-11-13T19:22:14" u="1"/>
        <d v="2025-11-13T19:22:19" u="1"/>
        <d v="2025-11-13T19:22:22" u="1"/>
        <d v="2025-11-17T14:29:42" u="1"/>
        <d v="2025-11-17T15:26:28" u="1"/>
        <d v="2025-11-17T15:53:10" u="1"/>
        <d v="2025-11-17T20:55:35" u="1"/>
        <d v="2025-11-14T17:02:41" u="1"/>
        <d v="2025-11-14T17:02:53" u="1"/>
        <d v="2025-11-14T15:45:30" u="1"/>
        <d v="2025-10-22T16:40:18" u="1"/>
        <d v="2025-11-17T13:15:13" u="1"/>
        <d v="2025-11-17T15:32:27" u="1"/>
        <d v="2025-11-17T13:13:28" u="1"/>
        <d v="2025-11-06T13:22:52" u="1"/>
        <d v="2025-11-13T13:34:43" u="1"/>
        <d v="2025-11-13T11:14:56" u="1"/>
        <d v="2025-10-29T10:13:42" u="1"/>
        <d v="2025-10-20T10:59:17" u="1"/>
        <d v="2025-10-24T18:57:56" u="1"/>
        <d v="2025-11-02T18:23:59" u="1"/>
        <d v="2025-11-02T15:33:42" u="1"/>
        <d v="2025-11-02T15:44:22" u="1"/>
        <d v="2025-11-02T18:04:26" u="1"/>
        <d v="2025-11-02T17:54:14" u="1"/>
        <d v="2025-11-02T15:54:39" u="1"/>
        <d v="2025-11-17T23:53:53" u="1"/>
        <d v="2025-11-17T23:44:37" u="1"/>
        <d v="2025-11-17T19:04:52" u="1"/>
        <d v="2025-11-17T17:35:23" u="1"/>
        <d v="2025-11-17T18:05:42" u="1"/>
        <d v="2025-11-17T20:54:53" u="1"/>
        <d v="2025-11-14T12:34:33" u="1"/>
        <d v="2025-10-16T22:30:27" u="1"/>
        <d v="2025-11-18T00:05:05" u="1"/>
        <d v="2025-11-07T11:45:35" u="1"/>
        <d v="2025-11-07T11:55:58" u="1"/>
        <d v="2025-11-17T20:52:22" u="1"/>
        <d v="2025-11-17T18:01:47" u="1"/>
        <d v="2025-11-17T17:03:27" u="1"/>
        <d v="2025-11-17T17:22:33" u="1"/>
        <d v="2025-11-17T17:22:45" u="1"/>
        <d v="2025-11-17T13:01:02" u="1"/>
        <d v="2025-11-14T13:01:46" u="1"/>
        <d v="2025-11-17T18:40:39" u="1"/>
        <d v="2025-10-31T18:32:02" u="1"/>
        <d v="2025-11-14T17:20:41" u="1"/>
        <d v="2025-11-05T14:52:02" u="1"/>
        <d v="2025-11-03T12:31:17" u="1"/>
        <d v="2025-11-14T08:20:55" u="1"/>
        <d v="2025-11-13T17:20:49" u="1"/>
        <d v="2025-11-10T11:52:55" u="1"/>
        <d v="2025-11-10T11:53:00" u="1"/>
        <d v="2025-11-10T17:21:11" u="1"/>
        <d v="2025-11-10T10:10:39" u="1"/>
        <d v="2025-11-11T16:42:05" u="1"/>
        <d v="2025-11-12T12:01:24" u="1"/>
        <d v="2025-11-11T10:32:45" u="1"/>
        <d v="2025-11-11T12:21:06" u="1"/>
        <d v="2025-11-11T17:21:22" u="1"/>
        <d v="2025-11-11T16:42:01" u="1"/>
        <d v="2025-11-17T15:01:02" u="1"/>
        <d v="2025-11-17T14:41:16" u="1"/>
        <d v="2025-10-24T10:11:02" u="1"/>
        <d v="2025-10-24T10:11:50" u="1"/>
        <d v="2025-10-28T08:42:05" u="1"/>
        <d v="2025-10-28T12:01:30" u="1"/>
        <d v="2025-10-29T12:51:04" u="1"/>
        <d v="2025-10-29T12:51:16" u="1"/>
        <d v="2025-10-30T13:11:55" u="1"/>
        <d v="2025-10-30T18:11:39" u="1"/>
        <d v="2025-10-30T18:31:15" u="1"/>
        <d v="2025-10-30T17:11:13" u="1"/>
        <d v="2025-10-30T17:11:23" u="1"/>
        <d v="2025-10-30T17:12:55" u="1"/>
        <d v="2025-11-06T18:31:34" u="1"/>
        <d v="2025-11-06T18:50:28" u="1"/>
        <d v="2025-11-07T14:42:08" u="1"/>
        <d v="2025-11-07T14:42:18" u="1"/>
        <d v="2025-10-23T20:00:58" u="1"/>
        <d v="2025-11-17T18:13:41" u="1"/>
        <d v="2025-11-17T20:53:57" u="1"/>
        <d v="2025-11-17T15:53:20" u="1"/>
        <d v="2025-11-17T20:54:19" u="1"/>
        <d v="2025-11-17T18:54:17" u="1"/>
        <d v="2025-11-17T18:54:21" u="1"/>
        <d v="2025-11-17T18:53:54" u="1"/>
        <d v="2025-10-30T16:01:23" u="1"/>
        <d v="2025-10-29T15:11:21" u="1"/>
        <d v="2025-11-13T19:13:34" u="1"/>
        <d v="2025-11-17T20:56:41" u="1"/>
        <d v="2025-11-17T15:56:54" u="1"/>
        <d v="2025-11-04T18:01:08" u="1"/>
        <d v="2025-11-18T02:29:33" u="1"/>
        <d v="2025-11-18T02:29:32" u="1"/>
        <d v="2025-11-07T17:20:41" u="1"/>
        <d v="2025-11-18T02:28:06" u="1"/>
        <d v="2025-11-18T02:28:02" u="1"/>
        <d v="2025-11-14T13:42:21" u="1"/>
        <d v="2025-11-13T19:23:08" u="1"/>
        <d v="2025-11-17T18:00:30" u="1"/>
        <d v="2025-11-04T12:02:29" u="1"/>
        <d v="2025-11-11T18:01:55" u="1"/>
        <d v="2025-11-11T16:02:36" u="1"/>
        <d v="2025-11-07T18:01:44" u="1"/>
        <d v="2025-11-03T16:00:35" u="1"/>
        <d v="2025-11-14T17:03:44" u="1"/>
        <d v="2025-11-14T15:03:31" u="1"/>
        <d v="2025-11-14T15:03:34" u="1"/>
        <d v="2025-11-14T15:03:36" u="1"/>
        <d v="2025-11-14T16:03:40" u="1"/>
        <d v="2025-11-17T17:54:16" u="1"/>
        <d v="2025-11-13T19:34:52" u="1"/>
        <d v="2025-11-07T17:32:39" u="1"/>
        <d v="2025-11-11T12:37:04" u="1"/>
        <d v="2025-11-05T17:02:21" u="1"/>
        <d v="2025-10-30T21:13:45" u="1"/>
        <d v="2025-11-18T02:29:09" u="1"/>
        <d v="2025-11-18T02:29:04" u="1"/>
        <d v="2025-11-10T18:34:32" u="1"/>
        <d v="2025-11-06T10:44:17" u="1"/>
        <d v="2025-11-14T19:57:40" u="1"/>
        <d v="2025-11-17T20:47:44" u="1"/>
        <d v="2025-11-12T12:55:29" u="1"/>
        <d v="2025-11-13T19:39:30" u="1"/>
        <d v="2025-11-14T19:54:58" u="1"/>
        <d v="2025-11-14T19:56:50" u="1"/>
        <d v="2025-11-14T19:56:51" u="1"/>
        <d v="2025-11-14T13:52:12" u="1"/>
        <d v="2025-11-13T19:35:55" u="1"/>
        <d v="2025-11-13T19:36:17" u="1"/>
        <d v="2025-11-17T14:40:41" u="1"/>
        <d v="2025-11-17T14:40:56" u="1"/>
        <d v="2025-11-13T13:26:11" u="1"/>
        <d v="2025-11-13T13:26:21" u="1"/>
        <d v="2025-11-13T13:26:44" u="1"/>
        <d v="2025-11-17T20:49:59" u="1"/>
        <d v="2025-11-17T23:12:40" u="1"/>
        <d v="2025-11-17T12:15:58" u="1"/>
        <d v="2025-11-17T09:35:04" u="1"/>
        <d v="2025-11-17T09:55:18" u="1"/>
        <d v="2025-11-17T20:23:28" u="1"/>
        <d v="2025-11-17T14:19:25" u="1"/>
        <d v="2025-11-17T20:23:50" u="1"/>
        <d v="2025-11-17T20:24:18" u="1"/>
        <d v="2025-11-15T01:26:42" u="1"/>
        <d v="2025-11-13T19:02:28" u="1"/>
        <d v="2025-11-14T01:06:53" u="1"/>
        <d v="2025-11-12T18:43:07" u="1"/>
        <d v="2025-11-12T18:43:39" u="1"/>
        <d v="2025-11-12T18:44:49" u="1"/>
        <d v="2025-10-28T19:48:09" u="1"/>
        <d v="2025-11-10T18:05:32" u="1"/>
        <d v="2025-11-18T02:29:28" u="1"/>
        <d v="2025-11-18T02:29:26" u="1"/>
        <d v="2025-11-17T20:21:37" u="1"/>
        <d v="2025-11-14T13:48:04" u="1"/>
        <d v="2025-11-14T13:48:09" u="1"/>
        <d v="2025-11-14T13:48:16" u="1"/>
        <d v="2025-11-14T13:48:23" u="1"/>
        <d v="2025-11-17T20:40:13" u="1"/>
        <d v="2025-11-17T20:40:18" u="1"/>
        <d v="2025-10-24T16:52:11" u="1"/>
        <d v="2025-11-18T02:31:10" u="1"/>
        <d v="2025-11-17T14:25:56" u="1"/>
        <d v="2025-10-29T15:06:37" u="1"/>
        <d v="2025-11-14T19:44:05" u="1"/>
        <d v="2025-11-12T16:54:58" u="1"/>
        <d v="2025-11-10T17:44:45" u="1"/>
        <d v="2025-11-06T14:34:55" u="1"/>
        <d v="2025-11-05T13:55:57" u="1"/>
        <d v="2025-11-17T14:15:17" u="1"/>
        <d v="2025-11-17T12:01:56" u="1"/>
        <d v="2025-11-14T15:03:03" u="1"/>
        <d v="2025-11-12T15:01:29" u="1"/>
        <d v="2025-11-11T14:01:43" u="1"/>
        <d v="2025-11-11T14:01:34" u="1"/>
        <d v="2025-11-11T14:01:39" u="1"/>
        <d v="2025-11-10T19:01:33" u="1"/>
        <d v="2025-11-14T16:03:51" u="1"/>
        <d v="2025-11-06T13:02:32" u="1"/>
        <d v="2025-11-05T17:05:16" u="1"/>
        <d v="2025-11-17T20:52:38" u="1"/>
        <d v="2025-11-10T19:14:25" u="1"/>
        <d v="2025-11-17T18:14:40" u="1"/>
        <d v="2025-11-17T18:14:44" u="1"/>
        <d v="2025-11-17T18:14:57" u="1"/>
        <d v="2025-11-14T18:14:04" u="1"/>
        <d v="2025-11-14T18:14:08" u="1"/>
        <d v="2025-11-14T18:14:11" u="1"/>
        <d v="2025-11-17T12:34:26" u="1"/>
        <d v="2025-11-17T12:34:30" u="1"/>
        <d v="2025-11-17T10:14:19" u="1"/>
        <d v="2025-11-17T10:14:23" u="1"/>
        <d v="2025-11-17T10:14:32" u="1"/>
        <d v="2025-11-17T10:14:35" u="1"/>
        <d v="2025-11-17T10:14:39" u="1"/>
        <d v="2025-11-17T10:14:43" u="1"/>
        <d v="2025-11-17T12:34:15" u="1"/>
        <d v="2025-11-17T12:34:19" u="1"/>
        <d v="2025-11-05T18:43:29" u="1"/>
        <d v="2025-11-05T18:43:32" u="1"/>
        <d v="2025-11-03T16:03:01" u="1"/>
        <d v="2025-11-03T12:22:59" u="1"/>
        <d v="2025-11-03T12:23:03" u="1"/>
        <d v="2025-11-03T12:23:08" u="1"/>
        <d v="2025-11-05T10:42:48" u="1"/>
        <d v="2025-11-05T11:42:44" u="1"/>
        <d v="2025-11-06T11:02:05" u="1"/>
        <d v="2025-11-06T11:02:09" u="1"/>
        <d v="2025-11-07T15:02:45" u="1"/>
        <d v="2025-11-07T18:23:13" u="1"/>
        <d v="2025-11-10T09:42:02" u="1"/>
        <d v="2025-11-10T13:13:46" u="1"/>
        <d v="2025-11-10T13:13:50" u="1"/>
        <d v="2025-11-14T10:16:16" u="1"/>
        <d v="2025-11-14T10:34:29" u="1"/>
        <d v="2025-11-13T15:13:53" u="1"/>
        <d v="2025-11-13T18:15:03" u="1"/>
        <d v="2025-11-13T18:15:07" u="1"/>
        <d v="2025-11-13T18:15:11" u="1"/>
        <d v="2025-11-13T18:53:33" u="1"/>
        <d v="2025-11-14T18:33:55" u="1"/>
        <d v="2025-11-14T18:33:58" u="1"/>
        <d v="2025-11-14T18:34:05" u="1"/>
        <d v="2025-11-14T18:34:09" u="1"/>
        <d v="2025-11-14T18:34:12" u="1"/>
        <d v="2025-11-14T18:34:16" u="1"/>
        <d v="2025-11-14T18:34:19" u="1"/>
        <d v="2025-11-12T09:52:48" u="1"/>
        <d v="2025-11-11T11:33:15" u="1"/>
        <d v="2025-11-11T16:33:25" u="1"/>
        <d v="2025-11-11T16:33:32" u="1"/>
        <d v="2025-11-12T15:34:36" u="1"/>
        <d v="2025-11-10T18:14:14" u="1"/>
        <d v="2025-11-10T14:53:04" u="1"/>
        <d v="2025-11-10T14:53:12" u="1"/>
        <d v="2025-11-10T16:53:39" u="1"/>
        <d v="2025-11-18T01:13:54" u="1"/>
        <d v="2025-10-23T15:50:24" u="1"/>
        <d v="2025-10-23T15:50:28" u="1"/>
        <d v="2025-10-09T00:36:31" u="1"/>
        <d v="2025-10-09T00:36:28" u="1"/>
        <d v="2025-10-03T00:35:50" u="1"/>
        <d v="2025-10-03T00:25:59" u="1"/>
        <d v="2025-10-03T00:25:55" u="1"/>
        <d v="2025-10-03T00:25:52" u="1"/>
        <d v="2025-11-18T02:28:09" u="1"/>
        <d v="2025-11-03T15:43:01" u="1"/>
        <d v="2025-11-14T13:25:15" u="1"/>
        <d v="2025-11-17T15:54:01" u="1"/>
        <d v="2025-11-17T20:55:22" u="1"/>
        <d v="2025-01-13T14:43:20" u="1"/>
        <d v="2025-03-13T17:15:06" u="1"/>
        <d v="2025-08-21T13:54:37" u="1"/>
        <d v="2025-05-06T12:18:41" u="1"/>
        <d v="2025-04-01T14:11:37" u="1"/>
        <d v="2025-09-01T12:58:17" u="1"/>
        <d v="2025-09-02T22:16:46" u="1"/>
        <d v="2025-09-04T08:06:27" u="1"/>
        <d v="2025-09-03T10:16:12" u="1"/>
        <d v="2025-09-03T10:07:16" u="1"/>
        <d v="2025-09-03T09:16:07" u="1"/>
        <d v="2025-09-04T08:32:17" u="1"/>
        <d v="2025-09-02T11:00:16" u="1"/>
        <d v="2025-09-02T14:00:45" u="1"/>
        <d v="2025-09-04T17:45:11" u="1"/>
        <d v="2025-09-05T15:45:42" u="1"/>
        <d v="2025-09-04T17:12:08" u="1"/>
        <d v="2025-09-04T08:32:23" u="1"/>
        <d v="2025-09-08T18:06:00" u="1"/>
        <d v="2025-09-05T10:22:51" u="1"/>
        <d v="2025-09-05T10:22:55" u="1"/>
        <d v="2025-09-05T10:23:33" u="1"/>
        <d v="2025-09-10T22:45:26" u="1"/>
        <d v="2025-09-10T17:02:21" u="1"/>
        <d v="2025-09-09T15:00:38" u="1"/>
        <d v="2025-09-09T16:03:33" u="1"/>
        <d v="2025-09-08T17:02:00" u="1"/>
        <d v="2025-09-08T17:02:04" u="1"/>
        <d v="2025-09-10T22:45:48" u="1"/>
        <d v="2025-09-10T22:45:56" u="1"/>
        <d v="2025-09-10T22:46:41" u="1"/>
        <d v="2025-09-10T22:46:51" u="1"/>
        <d v="2025-09-10T22:47:01" u="1"/>
        <d v="2025-09-10T22:47:05" u="1"/>
        <d v="2025-09-10T22:47:09" u="1"/>
        <d v="2025-09-10T22:47:13" u="1"/>
        <d v="2025-09-10T22:47:28" u="1"/>
        <d v="2025-09-10T22:47:39" u="1"/>
        <d v="2025-09-10T22:48:19" u="1"/>
        <d v="2025-09-10T22:48:51" u="1"/>
        <d v="2025-09-10T22:49:26" u="1"/>
        <d v="2025-09-10T22:49:29" u="1"/>
        <d v="2025-09-12T00:31:42" u="1"/>
        <d v="2025-09-12T12:43:35" u="1"/>
        <d v="2025-09-12T09:16:17" u="1"/>
        <d v="2025-09-12T09:16:18" u="1"/>
        <d v="2025-09-12T12:55:33" u="1"/>
        <d v="2025-09-12T10:46:19" u="1"/>
        <d v="2025-09-11T16:19:02" u="1"/>
        <d v="2025-09-11T19:33:38" u="1"/>
        <d v="2025-09-11T19:33:41" u="1"/>
        <d v="2025-09-11T19:33:49" u="1"/>
        <d v="2025-09-11T19:33:57" u="1"/>
        <d v="2025-09-10T22:45:31" u="1"/>
        <d v="2025-09-11T15:16:22" u="1"/>
        <d v="2025-09-12T07:27:30" u="1"/>
        <d v="2025-09-16T14:14:47" u="1"/>
        <d v="2025-09-12T18:37:43" u="1"/>
        <d v="2025-09-15T15:02:01" u="1"/>
        <d v="2025-09-18T11:37:26" u="1"/>
        <d v="2025-09-22T09:56:36" u="1"/>
        <d v="2025-09-16T17:47:33" u="1"/>
        <d v="2025-09-17T18:54:09" u="1"/>
        <d v="2025-09-12T19:06:10" u="1"/>
        <d v="2025-09-12T19:07:26" u="1"/>
        <d v="2025-09-12T19:08:06" u="1"/>
        <d v="2025-09-19T15:58:41" u="1"/>
        <d v="2025-09-19T15:58:43" u="1"/>
        <d v="2025-09-20T10:20:07" u="1"/>
        <d v="2025-09-19T00:14:59" u="1"/>
        <d v="2025-09-15T12:09:00" u="1"/>
        <d v="2025-09-15T12:09:03" u="1"/>
        <d v="2025-09-22T20:01:32" u="1"/>
        <d v="2025-09-17T13:35:12" u="1"/>
        <d v="2025-09-17T13:35:23" u="1"/>
        <d v="2025-09-17T13:35:28" u="1"/>
        <d v="2025-09-17T16:58:32" u="1"/>
        <d v="2025-09-18T17:58:30" u="1"/>
        <d v="2025-09-18T17:58:44" u="1"/>
        <d v="2025-09-18T17:59:13" u="1"/>
        <d v="2025-09-18T17:59:58" u="1"/>
        <d v="2025-09-18T18:00:02" u="1"/>
        <d v="2025-09-22T13:54:51" u="1"/>
        <d v="2025-09-22T13:54:56" u="1"/>
        <d v="2025-09-16T19:30:50" u="1"/>
        <d v="2025-09-16T15:58:50" u="1"/>
        <d v="2025-09-17T19:54:17" u="1"/>
        <d v="2025-09-12T14:46:52" u="1"/>
        <d v="2025-09-12T18:25:59" u="1"/>
        <d v="2025-09-15T12:26:11" u="1"/>
        <d v="2025-09-15T12:26:15" u="1"/>
        <d v="2025-09-16T17:58:23" u="1"/>
        <d v="2025-09-20T07:23:19" u="1"/>
        <d v="2025-09-20T07:23:25" u="1"/>
        <d v="2025-09-20T07:23:31" u="1"/>
        <d v="2025-09-20T07:28:53" u="1"/>
        <d v="2025-09-22T19:59:02" u="1"/>
        <d v="2025-09-22T20:01:56" u="1"/>
        <d v="2025-09-15T11:31:41" u="1"/>
        <d v="2025-09-16T15:58:56" u="1"/>
        <d v="2025-09-16T15:59:01" u="1"/>
        <d v="2025-09-12T20:19:32" u="1"/>
        <d v="2025-09-12T17:10:13" u="1"/>
        <d v="2025-09-12T13:46:44" u="1"/>
        <d v="2025-09-12T13:46:49" u="1"/>
        <d v="2025-09-12T13:46:53" u="1"/>
        <d v="2025-09-12T13:46:56" u="1"/>
        <d v="2025-09-21T19:37:33" u="1"/>
        <d v="2025-09-15T17:00:27" u="1"/>
        <d v="2025-09-16T18:05:53" u="1"/>
        <d v="2025-09-16T17:59:42" u="1"/>
        <d v="2025-09-16T09:02:00" u="1"/>
        <d v="2025-09-17T00:19:45" u="1"/>
        <d v="2025-09-15T17:38:42" u="1"/>
        <d v="2025-09-15T17:38:48" u="1"/>
        <d v="2025-09-15T17:38:54" u="1"/>
        <d v="2025-10-07T11:44:59" u="1"/>
        <d v="2025-10-07T10:54:42" u="1"/>
        <d v="2025-10-06T15:25:34" u="1"/>
        <d v="2025-09-30T16:45:55" u="1"/>
        <d v="2025-10-07T14:14:37" u="1"/>
        <d v="2025-10-02T16:07:30" u="1"/>
        <d v="2025-10-03T17:55:20" u="1"/>
        <d v="2025-09-25T15:10:15" u="1"/>
        <d v="2025-09-30T16:38:17" u="1"/>
        <d v="2025-09-23T14:19:17" u="1"/>
        <d v="2025-09-23T20:21:44" u="1"/>
        <d v="2025-09-25T14:54:11" u="1"/>
        <d v="2025-09-25T14:54:19" u="1"/>
        <d v="2025-10-06T18:30:54" u="1"/>
        <d v="2025-10-03T17:33:11" u="1"/>
        <d v="2025-10-06T12:28:12" u="1"/>
        <d v="2025-10-06T12:28:18" u="1"/>
        <d v="2025-09-25T21:02:49" u="1"/>
        <d v="2025-09-26T21:16:36" u="1"/>
        <d v="2025-09-26T21:17:14" u="1"/>
        <d v="2025-09-26T21:17:15" u="1"/>
        <d v="2025-09-30T10:42:45" u="1"/>
        <d v="2025-10-01T17:04:11" u="1"/>
        <d v="2025-10-01T17:05:15" u="1"/>
        <d v="2025-10-01T17:05:22" u="1"/>
        <d v="2025-10-06T11:45:19" u="1"/>
        <d v="2025-10-03T11:38:46" u="1"/>
        <d v="2025-10-03T11:39:09" u="1"/>
        <d v="2025-10-03T11:39:19" u="1"/>
        <d v="2025-10-01T23:09:00" u="1"/>
        <d v="2025-10-01T23:09:02" u="1"/>
        <d v="2025-09-25T10:25:26" u="1"/>
        <d v="2025-09-29T15:47:09" u="1"/>
        <d v="2025-09-25T16:06:45" u="1"/>
        <d v="2025-09-29T23:06:56" u="1"/>
        <d v="2025-10-04T05:43:29" u="1"/>
        <d v="2025-09-29T17:17:04" u="1"/>
        <d v="2025-09-30T17:18:57" u="1"/>
        <d v="2025-09-25T22:38:24" u="1"/>
        <d v="2025-10-02T23:34:59" u="1"/>
        <d v="2025-09-23T00:05:04" u="1"/>
        <d v="2025-10-01T18:55:35" u="1"/>
        <d v="2025-09-30T19:05:11" u="1"/>
        <d v="2025-09-25T14:28:15" u="1"/>
        <d v="2025-09-26T10:59:36" u="1"/>
        <d v="2025-10-03T11:55:10" u="1"/>
        <d v="2025-09-25T21:38:01" u="1"/>
        <d v="2025-10-01T23:10:28" u="1"/>
        <d v="2025-10-01T23:10:34" u="1"/>
        <d v="2025-09-29T16:38:24" u="1"/>
        <d v="2025-09-29T14:01:59" u="1"/>
        <d v="2025-09-29T16:00:30" u="1"/>
        <d v="2025-10-07T14:36:00" u="1"/>
        <d v="2025-10-03T18:10:06" u="1"/>
        <d v="2025-10-01T23:17:38" u="1"/>
        <d v="2025-10-01T10:49:19" u="1"/>
        <d v="2025-10-02T11:06:58" u="1"/>
        <d v="2025-10-05T18:13:05" u="1"/>
        <d v="2025-10-03T11:40:12" u="1"/>
        <d v="2025-10-02T23:35:37" u="1"/>
        <d v="2025-10-03T00:25:48" u="1"/>
        <d v="2025-10-02T19:56:07" u="1"/>
        <d v="2025-10-03T15:46:00" u="1"/>
        <d v="2025-10-03T16:06:52" u="1"/>
        <d v="2025-10-03T16:15:49" u="1"/>
        <d v="2025-10-03T16:36:11" u="1"/>
        <d v="2025-10-03T16:46:11" u="1"/>
        <d v="2025-10-03T17:56:36" u="1"/>
        <d v="2025-10-06T12:46:15" u="1"/>
        <d v="2025-10-06T12:46:19" u="1"/>
        <d v="2025-10-06T13:06:39" u="1"/>
        <d v="2025-10-06T13:27:01" u="1"/>
        <d v="2025-10-06T13:36:36" u="1"/>
        <d v="2025-10-06T15:37:08" u="1"/>
        <d v="2025-10-06T16:26:11" u="1"/>
        <d v="2025-10-06T16:26:15" u="1"/>
        <d v="2025-10-06T23:36:37" u="1"/>
        <d v="2025-10-06T23:45:58" u="1"/>
        <d v="2025-09-29T13:08:40" u="1"/>
        <d v="2025-09-25T16:25:36" u="1"/>
        <d v="2025-09-24T15:48:55" u="1"/>
        <d v="2025-09-24T15:49:00" u="1"/>
        <d v="2025-09-24T15:49:06" u="1"/>
        <d v="2025-09-24T15:49:10" u="1"/>
        <d v="2025-09-24T15:49:15" u="1"/>
        <d v="2025-09-25T13:02:08" u="1"/>
        <d v="2025-09-23T16:27:37" u="1"/>
        <d v="2025-10-01T14:56:38" u="1"/>
        <d v="2025-10-02T01:05:50" u="1"/>
        <d v="2025-10-02T01:05:55" u="1"/>
        <d v="2025-10-02T01:25:19" u="1"/>
        <d v="2025-09-30T15:35:42" u="1"/>
        <d v="2025-09-30T15:35:46" u="1"/>
        <d v="2025-09-30T15:55:46" u="1"/>
        <d v="2025-09-30T15:55:50" u="1"/>
        <d v="2025-09-30T16:15:25" u="1"/>
        <d v="2025-09-30T16:15:34" u="1"/>
        <d v="2025-09-30T16:35:35" u="1"/>
        <d v="2025-10-03T17:58:40" u="1"/>
        <d v="2025-09-29T10:18:45" u="1"/>
        <d v="2025-09-24T17:05:01" u="1"/>
        <d v="2025-10-02T11:02:06" u="1"/>
        <d v="2025-10-03T10:01:43" u="1"/>
        <d v="2025-10-07T07:10:59" u="1"/>
        <d v="2025-09-26T21:15:33" u="1"/>
        <d v="2025-10-07T07:10:28" u="1"/>
        <d v="2025-09-25T09:00:45" u="1"/>
        <d v="2025-09-24T11:03:46" u="1"/>
        <d v="2025-09-24T17:04:43" u="1"/>
        <d v="2025-09-25T09:02:37" u="1"/>
        <d v="2025-09-29T18:01:29" u="1"/>
        <d v="2025-09-25T18:04:49" u="1"/>
        <d v="2025-10-07T07:11:08" u="1"/>
        <d v="2025-10-07T14:35:50" u="1"/>
        <d v="2025-09-24T16:01:33" u="1"/>
        <d v="2025-09-24T15:00:53" u="1"/>
        <d v="2025-09-24T16:01:19" u="1"/>
        <d v="2025-10-15T14:58:26" u="1"/>
        <d v="2025-10-13T08:55:00" u="1"/>
        <d v="2025-10-13T11:46:20" u="1"/>
        <d v="2025-10-13T16:55:14" u="1"/>
        <d v="2025-10-10T09:35:11" u="1"/>
        <d v="2025-10-08T16:25:37" u="1"/>
        <d v="2025-10-15T11:15:29" u="1"/>
        <d v="2025-10-17T08:24:37" u="1"/>
        <d v="2025-10-15T16:52:24" u="1"/>
        <d v="2025-10-15T16:54:23" u="1"/>
        <d v="2025-10-16T17:51:48" u="1"/>
        <d v="2025-10-09T20:02:16" u="1"/>
        <d v="2025-10-10T13:58:50" u="1"/>
        <d v="2025-10-13T15:07:17" u="1"/>
        <d v="2025-10-16T16:23:24" u="1"/>
        <d v="2025-10-07T16:14:51" u="1"/>
        <d v="2025-10-16T15:47:33" u="1"/>
        <d v="2025-10-15T21:36:14" u="1"/>
        <d v="2025-10-15T21:36:49" u="1"/>
        <d v="2025-10-15T21:37:19" u="1"/>
        <d v="2025-10-15T21:38:18" u="1"/>
        <d v="2025-10-13T15:41:33" u="1"/>
        <d v="2025-10-10T19:51:51" u="1"/>
        <d v="2025-10-13T20:52:39" u="1"/>
        <d v="2025-10-09T19:32:02" u="1"/>
        <d v="2025-10-09T19:32:14" u="1"/>
        <d v="2025-10-09T19:32:39" u="1"/>
        <d v="2025-10-09T19:33:02" u="1"/>
        <d v="2025-10-09T19:33:12" u="1"/>
        <d v="2025-10-09T19:33:18" u="1"/>
        <d v="2025-10-08T19:14:33" u="1"/>
        <d v="2025-10-15T15:28:14" u="1"/>
        <d v="2025-10-08T19:14:21" u="1"/>
        <d v="2025-10-08T13:07:50" u="1"/>
        <d v="2025-10-09T13:27:11" u="1"/>
        <d v="2025-10-08T19:14:26" u="1"/>
        <d v="2025-10-15T17:35:44" u="1"/>
        <d v="2025-10-08T09:14:54" u="1"/>
        <d v="2025-10-08T14:24:50" u="1"/>
        <d v="2025-10-14T11:25:27" u="1"/>
        <d v="2025-10-14T16:48:49" u="1"/>
        <d v="2025-10-14T16:49:08" u="1"/>
        <d v="2025-10-13T18:48:25" u="1"/>
        <d v="2025-10-08T12:25:52" u="1"/>
        <d v="2025-10-09T20:22:20" u="1"/>
        <d v="2025-10-09T20:22:27" u="1"/>
        <d v="2025-10-10T14:21:01" u="1"/>
        <d v="2025-10-11T02:06:17" u="1"/>
        <d v="2025-10-14T15:47:11" u="1"/>
        <d v="2025-10-14T15:47:12" u="1"/>
        <d v="2025-10-14T15:48:56" u="1"/>
        <d v="2025-10-14T21:56:25" u="1"/>
        <d v="2025-10-16T22:36:04" u="1"/>
        <d v="2025-10-08T20:04:29" u="1"/>
        <d v="2025-10-20T18:14:59" u="1"/>
        <d v="2025-10-07T21:14:12" u="1"/>
        <d v="2025-10-10T16:24:59" u="1"/>
        <d v="2025-10-15T14:45:49" u="1"/>
        <d v="2025-10-16T14:15:20" u="1"/>
        <d v="2025-10-14T08:36:55" u="1"/>
        <d v="2025-10-14T08:37:13" u="1"/>
        <d v="2025-10-12T17:01:27" u="1"/>
        <d v="2025-10-12T17:01:28" u="1"/>
        <d v="2025-10-16T14:07:07" u="1"/>
        <d v="2025-10-16T14:10:24" u="1"/>
        <d v="2025-10-16T14:10:36" u="1"/>
        <d v="2025-10-16T14:13:42" u="1"/>
        <d v="2025-10-16T14:16:38" u="1"/>
        <d v="2025-10-14T09:05:18" u="1"/>
        <d v="2025-10-10T01:38:42" u="1"/>
        <d v="2025-10-10T20:14:48" u="1"/>
        <d v="2025-10-14T08:35:10" u="1"/>
        <d v="2025-10-14T08:36:52" u="1"/>
        <d v="2025-10-07T14:36:01" u="1"/>
        <d v="2025-10-14T11:54:24" u="1"/>
        <d v="2025-10-14T12:24:16" u="1"/>
        <d v="2025-10-10T14:06:50" u="1"/>
        <d v="2025-10-09T13:57:41" u="1"/>
        <d v="2025-10-10T14:08:17" u="1"/>
        <d v="2025-10-09T13:56:49" u="1"/>
        <d v="2025-10-17T09:34:57" u="1"/>
        <d v="2025-10-16T15:49:48" u="1"/>
        <d v="2025-10-16T15:54:59" u="1"/>
        <d v="2025-10-09T13:28:31" u="1"/>
        <d v="2025-10-08T19:14:25" u="1"/>
        <d v="2025-10-14T21:16:54" u="1"/>
        <d v="2025-10-14T21:17:05" u="1"/>
        <d v="2025-10-13T20:52:52" u="1"/>
        <d v="2025-10-14T21:51:25" u="1"/>
        <d v="2025-10-15T16:29:57" u="1"/>
        <d v="2025-10-15T16:30:11" u="1"/>
        <d v="2025-10-15T16:30:20" u="1"/>
        <d v="2025-10-15T22:07:12" u="1"/>
        <d v="2025-10-15T22:07:17" u="1"/>
        <d v="2025-10-10T01:40:54" u="1"/>
        <d v="2025-10-07T19:29:38" u="1"/>
        <d v="2025-10-09T14:21:45" u="1"/>
        <d v="2025-10-14T09:14:23" u="1"/>
        <d v="2025-10-10T18:44:45" u="1"/>
        <d v="2025-10-10T18:44:46" u="1"/>
        <d v="2025-10-09T00:56:15" u="1"/>
        <d v="2025-10-09T01:26:24" u="1"/>
        <d v="2025-10-09T01:36:38" u="1"/>
        <d v="2025-10-09T15:08:25" u="1"/>
        <d v="2025-10-09T15:38:09" u="1"/>
        <d v="2025-10-10T17:39:11" u="1"/>
        <d v="2025-10-07T17:36:36" u="1"/>
        <d v="2025-10-08T10:47:08" u="1"/>
        <d v="2025-10-08T10:56:48" u="1"/>
        <d v="2025-10-15T16:29:19" u="1"/>
        <d v="2025-10-15T16:40:55" u="1"/>
        <d v="2025-10-14T15:29:41" u="1"/>
        <d v="2025-10-13T23:37:42" u="1"/>
        <d v="2025-10-13T23:47:15" u="1"/>
        <d v="2025-10-13T23:47:19" u="1"/>
        <d v="2025-10-13T23:47:22" u="1"/>
        <d v="2025-10-13T23:47:25" u="1"/>
        <d v="2025-10-14T01:58:09" u="1"/>
        <d v="2025-10-13T13:08:03" u="1"/>
        <d v="2025-10-17T09:18:41" u="1"/>
        <d v="2025-10-16T16:30:06" u="1"/>
        <d v="2025-10-16T12:08:37" u="1"/>
        <d v="2025-10-17T09:58:55" u="1"/>
        <d v="2025-10-17T09:58:59" u="1"/>
        <d v="2025-10-17T09:59:03" u="1"/>
        <d v="2025-10-14T21:17:43" u="1"/>
        <d v="2025-10-10T19:55:41" u="1"/>
        <d v="2025-10-08T13:12:10" u="1"/>
        <d v="2025-10-16T21:56:16" u="1"/>
        <d v="2025-10-10T20:20:19" u="1"/>
        <d v="2025-10-08T19:42:40" u="1"/>
        <d v="2025-10-08T11:07:30" u="1"/>
        <d v="2025-10-08T13:16:09" u="1"/>
        <d v="2025-10-08T15:57:21" u="1"/>
        <d v="2025-10-08T15:57:26" u="1"/>
        <d v="2025-10-08T16:06:49" u="1"/>
        <d v="2025-10-08T16:06:53" u="1"/>
        <d v="2025-10-09T12:36:58" u="1"/>
        <d v="2025-10-09T12:47:14" u="1"/>
        <d v="2025-10-09T12:57:12" u="1"/>
        <d v="2025-10-09T13:07:03" u="1"/>
        <d v="2025-10-09T13:07:08" u="1"/>
        <d v="2025-10-09T13:17:47" u="1"/>
        <d v="2025-10-09T13:17:51" u="1"/>
        <d v="2025-10-09T13:17:54" u="1"/>
        <d v="2025-10-15T10:19:52" u="1"/>
        <d v="2025-10-16T14:00:36" u="1"/>
        <d v="2025-10-16T14:03:23" u="1"/>
        <d v="2025-10-09T13:25:27" u="1"/>
        <d v="2025-10-10T12:02:17" u="1"/>
        <d v="2025-10-20T11:00:38" u="1"/>
        <d v="2025-10-15T00:03:26" u="1"/>
        <d v="2025-10-14T08:34:57" u="1"/>
        <d v="2025-10-13T12:02:10" u="1"/>
        <d v="2025-10-14T20:37:27" u="1"/>
        <d v="2025-10-09T12:00:43" u="1"/>
        <d v="2025-10-16T14:08:25" u="1"/>
        <d v="2025-10-13T10:00:29" u="1"/>
        <d v="2025-10-15T00:01:45" u="1"/>
        <d v="2025-10-08T19:42:45" u="1"/>
        <d v="2025-10-15T09:24:49" u="1"/>
        <d v="2025-10-13T21:24:14" u="1"/>
        <d v="2025-10-17T12:15:25" u="1"/>
        <d v="2025-10-21T16:35:29" u="1"/>
        <d v="2025-10-21T11:38:47" u="1"/>
        <d v="2025-10-21T17:59:05" u="1"/>
        <d v="2025-10-20T17:38:42" u="1"/>
        <d v="2025-10-20T11:04:22" u="1"/>
        <d v="2025-10-20T23:24:23" u="1"/>
        <d v="2025-10-17T16:14:51" u="1"/>
        <d v="2025-10-21T23:34:20" u="1"/>
        <d v="2025-10-21T09:40:10" u="1"/>
        <d v="2025-10-20T18:24:34" u="1"/>
        <d v="2025-10-19T16:47:49" u="1"/>
        <d v="2025-10-20T23:27:05" u="1"/>
        <d v="2025-10-17T18:39:44" u="1"/>
        <d v="2025-10-20T11:09:07" u="1"/>
        <d v="2025-10-20T10:58:58" u="1"/>
        <d v="2025-10-20T11:19:36" u="1"/>
        <d v="2025-10-21T17:59:12" u="1"/>
        <d v="2025-10-21T17:59:34" u="1"/>
        <d v="2025-10-21T11:21:19" u="1"/>
        <d v="2025-10-17T22:12:43" u="1"/>
        <d v="2025-10-20T17:08:52" u="1"/>
        <d v="2025-10-21T11:31:42" u="1"/>
        <d v="2025-10-17T16:55:13" u="1"/>
        <d v="2025-10-21T23:52:15" u="1"/>
        <d v="2025-10-20T18:01:01" u="1"/>
        <d v="2025-10-20T11:16:55" u="1"/>
        <d v="2025-10-17T19:24:40" u="1"/>
        <d v="2025-10-17T19:18:06" u="1"/>
        <d v="2025-10-17T16:51:22" u="1"/>
        <d v="2025-10-17T16:19:38" u="1"/>
        <d v="2025-10-17T11:31:51" u="1"/>
        <d v="2025-10-17T11:01:15" u="1"/>
        <d v="2025-10-20T11:31:16" u="1"/>
        <d v="2025-10-20T10:11:37" u="1"/>
        <d v="2025-10-20T17:00:55" u="1"/>
        <d v="2025-10-21T10:29:24" u="1"/>
        <d v="2025-10-21T16:50:45" u="1"/>
        <d v="2025-10-21T16:50:55" u="1"/>
        <d v="2025-10-21T15:01:20" u="1"/>
        <d v="2025-10-20T16:21:41" u="1"/>
        <d v="2025-10-20T16:22:33" u="1"/>
        <d v="2025-10-17T16:51:26" u="1"/>
        <d v="2025-10-17T17:50:46" u="1"/>
        <d v="2025-10-17T17:50:51" u="1"/>
        <d v="2025-10-21T08:51:12" u="1"/>
        <d v="2025-10-21T16:51:13" u="1"/>
        <d v="2025-10-21T17:41:45" u="1"/>
        <d v="2025-10-21T16:52:08" u="1"/>
        <d v="2025-10-21T17:39:12" u="1"/>
        <d v="2025-10-21T16:09:08" u="1"/>
        <d v="2025-10-21T10:01:59" u="1"/>
        <d v="2025-10-21T09:00:31" u="1"/>
        <d v="2025-10-17T10:01:50" u="1"/>
        <d v="2025-10-21T11:28:58" u="1"/>
        <d v="2025-10-20T23:27:51" u="1"/>
        <d v="2025-10-17T22:35:55" u="1"/>
        <d v="2025-10-21T17:53:04" u="1"/>
        <d v="2025-10-21T17:53:36" u="1"/>
        <d v="2025-10-17T15:02:29" u="1"/>
        <d v="2025-10-21T09:01:24" u="1"/>
        <d v="2025-10-20T17:02:37" u="1"/>
        <d v="2025-10-21T10:01:45" u="1"/>
        <d v="2025-10-21T17:55:01" u="1"/>
        <d v="2025-10-21T18:10:40" u="1"/>
        <d v="2025-10-17T22:45:07" u="1"/>
        <d v="2025-10-17T22:45:11" u="1"/>
        <d v="2025-10-21T17:02:29" u="1"/>
        <d v="2025-10-20T10:00:43" u="1"/>
        <d v="2025-10-20T17:01:35" u="1"/>
        <d v="2025-10-20T16:01:44" u="1"/>
        <d v="2025-10-20T16:32:32" u="1"/>
        <d v="2025-10-20T16:49:42" u="1"/>
        <d v="2025-10-20T17:02:24" u="1"/>
        <d v="2025-10-20T18:16:30" u="1"/>
        <d v="2025-10-20T18:20:39" u="1"/>
        <d v="2025-10-21T11:42:34" u="1"/>
        <d v="2025-10-21T14:44:36" u="1"/>
        <d v="2025-10-20T23:11:53" u="1"/>
        <d v="2025-10-17T10:01:36" u="1"/>
        <d v="2025-10-21T17:26:54" u="1"/>
        <d v="2025-10-21T11:29:04" u="1"/>
        <d v="2025-10-20T16:59:54" u="1"/>
        <d v="2025-10-20T17:52:59" u="1"/>
        <d v="2025-10-20T17:53:03" u="1"/>
        <d v="2025-10-17T15:20:25" u="1"/>
        <d v="2025-10-17T15:40:17" u="1"/>
        <d v="2025-10-17T12:19:01" u="1"/>
        <d v="2025-10-17T12:19:06" u="1"/>
        <d v="2025-10-17T12:19:10" u="1"/>
        <d v="2025-10-17T10:28:31" u="1"/>
        <d v="2025-10-20T15:20:30" u="1"/>
        <d v="2025-10-20T15:20:35" u="1"/>
        <d v="2025-10-21T15:30:06" u="1"/>
        <d v="2025-10-21T17:05:22" u="1"/>
        <d v="2025-10-21T16:54:20" u="1"/>
        <d v="2025-10-17T16:39:53" u="1"/>
        <d v="2025-10-20T17:11:45" u="1"/>
        <d v="2025-10-21T11:23:05" u="1"/>
        <d v="2025-10-21T17:33:36" u="1"/>
        <d v="2025-10-21T11:34:38" u="1"/>
        <d v="2025-10-21T18:04:54" u="1"/>
        <d v="2025-10-21T18:05:41" u="1"/>
        <d v="2025-10-17T16:29:50" u="1"/>
        <d v="2025-10-20T11:20:22" u="1"/>
        <d v="2025-10-21T14:18:42" u="1"/>
        <d v="2025-10-20T14:19:43" u="1"/>
        <d v="2025-10-21T10:29:48" u="1"/>
        <d v="2025-10-21T17:12:05" u="1"/>
        <d v="2025-10-17T16:18:07" u="1"/>
        <d v="2025-10-17T16:18:28" u="1"/>
        <d v="2025-10-17T16:19:09" u="1"/>
        <d v="2025-10-17T11:09:53" u="1"/>
        <d v="2025-10-20T15:00:27" u="1"/>
        <d v="2025-10-21T09:35:51" u="1"/>
        <d v="2025-10-21T09:37:51" u="1"/>
        <d v="2025-10-21T09:41:58" u="1"/>
        <d v="2025-10-21T09:23:48" u="1"/>
        <d v="2025-10-21T09:23:58" u="1"/>
        <d v="2025-10-21T13:52:22" u="1"/>
        <d v="2025-10-21T14:00:18" u="1"/>
        <d v="2025-10-21T16:31:45" u="1"/>
        <d v="2025-10-21T16:36:03" u="1"/>
        <d v="2025-10-21T16:11:55" u="1"/>
        <d v="2025-10-21T16:22:16" u="1"/>
        <d v="2025-10-21T12:33:52" u="1"/>
        <d v="2025-10-21T17:56:04" u="1"/>
        <d v="2025-10-21T17:56:06" u="1"/>
        <d v="2025-10-21T18:13:02" u="1"/>
        <d v="2025-10-21T18:13:05" u="1"/>
        <d v="2025-10-21T11:49:33" u="1"/>
        <d v="2025-10-21T18:09:05" u="1"/>
        <d v="2025-10-21T16:20:00" u="1"/>
        <d v="2025-10-17T13:38:34" u="1"/>
        <d v="2025-10-20T20:28:24" u="1"/>
        <d v="2025-10-17T19:20:21" u="1"/>
        <d v="2025-10-17T13:39:05" u="1"/>
        <d v="2025-10-20T15:25:21" u="1"/>
        <d v="2025-10-21T15:45:24" u="1"/>
        <d v="2025-10-21T15:50:09" u="1"/>
        <d v="2025-10-21T15:50:14" u="1"/>
        <d v="2025-10-21T16:52:05" u="1"/>
        <d v="2025-10-21T15:12:02" u="1"/>
        <d v="2025-10-21T16:14:03" u="1"/>
        <d v="2025-10-21T17:39:55" u="1"/>
        <d v="2025-10-21T09:26:18" u="1"/>
        <d v="2025-10-21T09:33:52" u="1"/>
        <d v="2025-10-21T17:06:12" u="1"/>
        <d v="2025-10-21T17:32:17" u="1"/>
        <d v="2025-10-21T18:19:07" u="1"/>
        <d v="2025-10-21T16:09:04" u="1"/>
        <d v="2025-10-21T14:49:55" u="1"/>
        <d v="2025-10-21T14:42:12" u="1"/>
        <d v="2025-10-21T16:13:53" u="1"/>
        <d v="2025-10-21T14:43:57" u="1"/>
        <d v="2025-10-21T14:37:55" u="1"/>
        <d v="2025-10-21T10:29:49" u="1"/>
        <d v="2025-10-21T15:55:01" u="1"/>
        <d v="2025-10-21T11:29:37" u="1"/>
        <d v="2025-10-20T15:01:13" u="1"/>
        <d v="2025-10-20T15:35:20" u="1"/>
        <d v="2025-10-20T15:25:23" u="1"/>
        <d v="2025-10-17T18:18:54" u="1"/>
        <d v="2025-10-21T09:40:57" u="1"/>
        <d v="2025-10-20T12:58:41" u="1"/>
        <d v="2025-10-20T12:58:46" u="1"/>
        <d v="2025-10-21T09:58:45" u="1"/>
        <d v="2025-10-21T09:58:49" u="1"/>
        <d v="2025-10-21T11:41:52" u="1"/>
        <d v="2025-10-21T07:44:24" u="1"/>
        <d v="2025-10-20T11:21:42" u="1"/>
        <d v="2025-10-21T17:00:57" u="1"/>
        <d v="2025-10-17T11:00:49" u="1"/>
        <d v="2025-10-21T18:39:14" u="1"/>
        <d v="2025-10-21T18:39:33" u="1"/>
        <d v="2025-10-21T23:43:59" u="1"/>
        <d v="2025-10-21T18:23:44" u="1"/>
        <d v="2025-10-21T18:25:15" u="1"/>
        <d v="2025-10-21T18:31:08" u="1"/>
        <d v="2025-10-21T18:41:40" u="1"/>
        <d v="2025-10-21T19:06:00" u="1"/>
        <d v="2025-10-21T20:03:57" u="1"/>
        <d v="2025-10-21T23:48:10" u="1"/>
        <d v="2025-10-21T23:32:45" u="1"/>
        <d v="2025-10-21T23:58:11" u="1"/>
        <d v="2025-10-21T23:56:09" u="1"/>
        <d v="2025-10-21T23:56:48" u="1"/>
        <d v="2025-10-21T23:56:54" u="1"/>
        <d v="2025-10-21T23:58:34" u="1"/>
        <d v="2025-10-21T23:58:48" u="1"/>
        <d v="2025-10-21T23:45:03" u="1"/>
        <d v="2025-10-21T23:44:58" u="1"/>
        <d v="2025-10-21T21:03:18" u="1"/>
        <d v="2025-10-22T01:17:13" u="1"/>
        <d v="2025-10-21T19:10:29" u="1"/>
        <d v="2025-10-21T23:49:42" u="1"/>
        <d v="2025-10-21T23:49:39" u="1"/>
        <d v="2025-10-22T01:34:08" u="1"/>
        <d v="2025-10-21T19:54:13" u="1"/>
        <d v="2025-10-22T01:46:13" u="1"/>
        <d v="2025-10-21T19:22:21" u="1"/>
        <d v="2025-10-21T19:50:58" u="1"/>
        <d v="2025-10-21T23:48:53" u="1"/>
        <d v="2025-10-21T18:56:51" u="1"/>
        <d v="2025-10-21T19:12:25" u="1"/>
        <d v="2025-10-21T18:46:20" u="1"/>
        <d v="2025-10-21T15:49:04" u="1"/>
        <d v="2025-09-03T06:14:45" u="1"/>
        <d v="2025-09-04T11:19:47" u="1"/>
        <d v="2025-09-04T11:19:53" u="1"/>
        <d v="2025-09-05T16:33:44" u="1"/>
        <d v="2025-09-04T18:22:09" u="1"/>
        <d v="2025-09-09T22:02:36" u="1"/>
        <d v="2025-09-12T08:41:03" u="1"/>
        <d v="2025-09-17T12:33:32" u="1"/>
        <d v="2025-09-12T10:46:13" u="1"/>
        <d v="2025-09-12T12:59:12" u="1"/>
        <d v="2025-09-18T19:04:00" u="1"/>
        <d v="2025-09-19T12:02:07" u="1"/>
        <d v="2025-09-30T17:25:05" u="1"/>
        <d v="2025-09-20T09:51:52" u="1"/>
        <d v="2025-09-20T09:51:56" u="1"/>
        <d v="2025-09-20T08:40:51" u="1"/>
        <d v="2025-10-02T19:02:25" u="1"/>
        <d v="2025-10-03T18:00:57" u="1"/>
        <d v="2025-10-02T11:08:08" u="1"/>
        <d v="2025-09-30T16:33:43" u="1"/>
        <d v="2025-09-26T19:03:11" u="1"/>
        <d v="2025-10-01T19:01:24" u="1"/>
        <d v="2025-09-26T10:47:01" u="1"/>
        <d v="2025-10-10T13:58:47" u="1"/>
        <d v="2025-10-10T13:46:29" u="1"/>
        <d v="2025-10-09T19:33:36" u="1"/>
        <d v="2025-10-09T19:32:42" u="1"/>
        <d v="2025-10-06T18:32:51" u="1"/>
        <d v="2025-10-13T20:53:03" u="1"/>
        <d v="2025-10-13T20:53:05" u="1"/>
        <d v="2025-10-13T19:18:29" u="1"/>
        <d v="2025-10-09T20:30:27" u="1"/>
        <d v="2025-10-07T00:53:50" u="1"/>
        <d v="2025-10-07T00:53:51" u="1"/>
        <d v="2025-10-08T20:07:29" u="1"/>
        <d v="2025-10-09T15:05:17" u="1"/>
        <d v="2025-10-09T15:35:14" u="1"/>
        <d v="2025-10-13T11:35:29" u="1"/>
        <d v="2025-10-13T11:35:33" u="1"/>
        <d v="2025-10-10T20:39:02" u="1"/>
        <d v="2025-10-09T19:59:41" u="1"/>
        <d v="2025-10-09T19:59:45" u="1"/>
        <d v="2025-10-09T19:59:48" u="1"/>
        <d v="2025-10-13T21:17:54" u="1"/>
        <d v="2025-10-14T08:36:54" u="1"/>
        <d v="2025-10-09T17:00:57" u="1"/>
        <d v="2025-10-08T19:15:33" u="1"/>
        <d v="2025-10-08T13:31:02" u="1"/>
        <d v="2025-10-13T16:35:15" u="1"/>
        <d v="2025-10-13T10:05:03" u="1"/>
        <d v="2025-10-13T14:55:57" u="1"/>
        <d v="2025-10-13T08:44:29" u="1"/>
        <d v="2025-10-08T19:39:00" u="1"/>
        <d v="2025-10-13T20:59:13" u="1"/>
        <d v="2025-10-09T20:06:58" u="1"/>
        <d v="2025-10-09T20:07:02" u="1"/>
        <d v="2025-10-10T14:05:13" u="1"/>
        <d v="2025-10-10T14:05:17" u="1"/>
        <d v="2025-10-09T13:49:20" u="1"/>
        <d v="2025-10-09T20:02:58" u="1"/>
        <d v="2025-10-08T19:21:55" u="1"/>
        <d v="2025-10-08T19:22:27" u="1"/>
        <d v="2025-10-07T13:01:28" u="1"/>
        <d v="2025-10-06T22:23:27" u="1"/>
        <d v="2025-10-07T19:42:25" u="1"/>
        <d v="2025-10-09T10:37:49" u="1"/>
        <d v="2025-10-10T20:19:11" u="1"/>
        <d v="2025-10-10T17:17:15" u="1"/>
        <d v="2025-10-16T15:45:34" u="1"/>
        <d v="2025-10-08T09:44:31" u="1"/>
        <d v="2025-10-07T14:34:55" u="1"/>
        <d v="2025-10-09T13:36:54" u="1"/>
        <d v="2025-10-09T19:31:13" u="1"/>
        <d v="2025-10-09T19:33:28" u="1"/>
        <d v="2025-10-10T20:31:00" u="1"/>
        <d v="2025-10-13T23:06:40" u="1"/>
        <d v="2025-10-10T20:31:01" u="1"/>
        <d v="2025-10-08T12:30:54" u="1"/>
        <d v="2025-10-10T21:02:23" u="1"/>
        <d v="2025-10-07T14:35:08" u="1"/>
        <d v="2025-10-07T07:10:00" u="1"/>
        <d v="2025-10-14T15:14:58" u="1"/>
        <d v="2025-10-15T16:08:20" u="1"/>
        <d v="2025-10-16T15:08:47" u="1"/>
        <d v="2025-10-15T11:15:38" u="1"/>
        <d v="2025-10-14T22:07:01" u="1"/>
        <d v="2025-10-15T16:51:26" u="1"/>
        <d v="2025-10-17T16:59:45" u="1"/>
        <d v="2025-10-17T17:00:05" u="1"/>
        <d v="2025-10-17T17:00:29" u="1"/>
        <d v="2025-10-17T17:01:12" u="1"/>
        <d v="2025-10-17T17:02:24" u="1"/>
        <d v="2025-10-17T22:59:06" u="1"/>
        <d v="2025-10-18T10:22:48" u="1"/>
        <d v="2025-10-18T10:22:51" u="1"/>
        <d v="2025-10-17T16:40:38" u="1"/>
        <d v="2025-10-17T10:00:58" u="1"/>
        <d v="2025-10-17T10:01:01" u="1"/>
        <d v="2025-10-14T15:09:22" u="1"/>
        <d v="2025-10-15T21:38:23" u="1"/>
        <d v="2025-10-15T15:26:15" u="1"/>
        <d v="2025-10-15T15:27:10" u="1"/>
        <d v="2025-10-15T15:28:17" u="1"/>
        <d v="2025-10-17T16:58:19" u="1"/>
        <d v="2025-10-17T16:06:32" u="1"/>
        <d v="2025-10-10T14:05:22" u="1"/>
        <d v="2025-10-17T13:41:43" u="1"/>
        <d v="2025-10-16T16:16:20" u="1"/>
        <d v="2025-10-17T16:28:28" u="1"/>
        <d v="2025-10-17T16:28:43" u="1"/>
        <d v="2025-10-17T10:14:16" u="1"/>
        <d v="2025-10-14T15:49:25" u="1"/>
        <d v="2025-10-14T21:53:39" u="1"/>
        <d v="2025-10-14T21:53:47" u="1"/>
        <d v="2025-10-15T16:32:34" u="1"/>
        <d v="2025-10-15T22:11:47" u="1"/>
        <d v="2025-10-15T22:16:23" u="1"/>
        <d v="2025-10-16T09:53:50" u="1"/>
        <d v="2025-10-17T16:49:05" u="1"/>
        <d v="2025-10-17T16:49:44" u="1"/>
        <d v="2025-10-17T10:25:34" u="1"/>
        <d v="2025-10-17T10:35:05" u="1"/>
        <d v="2025-10-16T11:55:44" u="1"/>
        <d v="2025-10-17T16:51:57" u="1"/>
        <d v="2025-10-16T16:09:19" u="1"/>
        <d v="2025-10-17T10:02:32" u="1"/>
        <d v="2025-10-17T11:02:22" u="1"/>
        <d v="2025-10-14T21:31:14" u="1"/>
        <d v="2025-10-17T16:24:48" u="1"/>
        <d v="2025-10-16T16:19:34" u="1"/>
        <d v="2025-10-16T14:16:17" u="1"/>
        <d v="2025-10-16T14:16:20" u="1"/>
        <d v="2025-10-16T18:02:03" u="1"/>
        <d v="2025-10-17T15:02:17" u="1"/>
        <d v="2025-10-17T12:03:47" u="1"/>
        <d v="2025-10-16T16:40:35" u="1"/>
        <d v="2025-10-17T16:35:49" u="1"/>
        <d v="2025-10-17T16:37:35" u="1"/>
        <d v="2025-10-15T16:23:02" u="1"/>
        <d v="2025-10-17T17:15:45" u="1"/>
        <d v="2025-10-17T16:07:39" u="1"/>
        <d v="2025-10-14T15:10:49" u="1"/>
        <d v="2025-10-14T21:50:41" u="1"/>
        <d v="2025-10-17T16:44:57" u="1"/>
        <d v="2025-10-17T16:25:36" u="1"/>
        <d v="2025-10-15T16:47:26" u="1"/>
        <d v="2025-10-17T16:35:34" u="1"/>
        <d v="2025-10-14T17:45:01" u="1"/>
        <d v="2025-10-17T16:09:55" u="1"/>
        <d v="2025-10-17T10:03:02" u="1"/>
        <d v="2025-10-16T10:13:46" u="1"/>
        <d v="2025-10-16T10:13:47" u="1"/>
        <d v="2025-10-17T16:30:02" u="1"/>
        <d v="2025-10-17T16:30:26" u="1"/>
        <d v="2025-10-17T10:09:54" u="1"/>
        <d v="2025-10-17T10:10:13" u="1"/>
        <d v="2025-10-16T22:17:02" u="1"/>
        <d v="2025-10-17T11:20:51" u="1"/>
        <d v="2025-10-17T13:12:05" u="1"/>
        <d v="2025-10-17T11:01:30" u="1"/>
        <d v="2025-10-17T16:24:22" u="1"/>
        <d v="2025-10-16T15:46:11" u="1"/>
        <d v="2025-10-15T12:24:38" u="1"/>
        <d v="2025-10-16T17:34:46" u="1"/>
        <d v="2025-10-17T13:40:42" u="1"/>
        <d v="2025-10-16T13:08:29" u="1"/>
        <d v="2025-10-17T11:01:45" u="1"/>
        <d v="2025-10-16T13:40:29" u="1"/>
        <d v="2025-10-10T20:21:52" u="1"/>
        <d v="2025-10-17T14:17:08" u="1"/>
        <d v="2025-10-17T17:04:37" u="1"/>
        <d v="2025-10-16T22:10:40" u="1"/>
        <d v="2025-10-16T17:51:13" u="1"/>
        <d v="2025-10-15T11:04:39" u="1"/>
        <d v="2025-10-15T11:10:50" u="1"/>
        <d v="2025-10-17T15:56:25" u="1"/>
        <d v="2025-10-17T16:06:12" u="1"/>
        <d v="2025-10-17T06:20:53" u="1"/>
        <d v="2025-10-17T10:30:48" u="1"/>
        <d v="2025-10-15T16:51:07" u="1"/>
        <d v="2025-10-16T19:02:12" u="1"/>
        <d v="2025-10-15T17:42:03" u="1"/>
        <d v="2025-10-17T16:30:34" u="1"/>
        <d v="2025-10-17T22:47:00" u="1"/>
        <d v="2025-10-17T22:30:37" u="1"/>
        <d v="2025-10-17T22:12:52" u="1"/>
        <d v="2025-10-17T22:12:55" u="1"/>
        <d v="2025-10-17T22:12:58" u="1"/>
        <d v="2025-10-17T22:58:44" u="1"/>
        <d v="2025-10-17T22:39:12" u="1"/>
        <d v="2025-10-18T14:10:50" u="1"/>
        <d v="2025-10-17T18:02:25" u="1"/>
        <d v="2025-10-19T22:51:26" u="1"/>
        <d v="2025-10-19T22:51:29" u="1"/>
        <d v="2025-10-17T22:57:57" u="1"/>
        <d v="2025-10-18T20:43:56" u="1"/>
        <d v="2025-10-18T20:54:22" u="1"/>
        <d v="2025-10-17T22:37:27" u="1"/>
        <d v="2025-10-17T22:40:32" u="1"/>
        <d v="2025-10-17T22:41:26" u="1"/>
        <d v="2025-10-17T22:41:39" u="1"/>
        <d v="2025-10-18T13:50:47" u="1"/>
        <d v="2025-10-17T18:30:53" u="1"/>
        <d v="2025-10-18T09:11:50" u="1"/>
        <d v="2025-10-19T18:44:10" u="1"/>
        <d v="2025-10-19T12:41:10" u="1"/>
        <d v="2025-10-18T22:23:10" u="1"/>
        <d v="2025-10-17T19:41:12" u="1"/>
        <d v="2025-10-18T12:26:09" u="1"/>
        <d v="2025-10-16T16:28:58" u="1"/>
        <d v="2025-10-19T15:12:15" u="1"/>
        <d v="2025-10-18T17:26:22" u="1"/>
        <d v="2025-10-17T17:41:55" u="1"/>
        <d v="2025-10-17T18:16:26" u="1"/>
        <d v="2025-10-17T17:37:56" u="1"/>
        <d v="2025-10-17T17:23:54" u="1"/>
        <d v="2025-10-17T20:33:46" u="1"/>
        <d v="2025-10-18T17:51:50" u="1"/>
        <d v="2025-10-17T17:32:40" u="1"/>
        <d v="2025-10-18T09:07:47" u="1"/>
        <d v="2025-10-18T13:50:42" u="1"/>
        <d v="2025-10-17T22:58:29" u="1"/>
        <d v="2025-10-18T02:10:59" u="1"/>
        <d v="2025-10-18T14:10:45" u="1"/>
        <d v="2025-10-17T19:21:02" u="1"/>
        <d v="2025-10-17T19:18:42" u="1"/>
        <d v="2025-10-18T16:26:08" u="1"/>
        <d v="2025-10-18T16:26:09" u="1"/>
        <d v="2025-10-18T11:41:51" u="1"/>
        <d v="2025-10-19T11:55:47" u="1"/>
        <d v="2025-10-19T11:23:51" u="1"/>
        <d v="2025-10-17T17:19:56" u="1"/>
        <d v="2025-10-17T18:25:57" u="1"/>
        <d v="2025-10-17T22:56:14" u="1"/>
        <d v="2025-10-19T12:14:08" u="1"/>
        <d v="2025-10-18T00:50:24" u="1"/>
        <d v="2025-10-18T17:30:07" u="1"/>
        <d v="2025-10-18T18:02:14" u="1"/>
        <d v="2025-10-18T20:46:09" u="1"/>
        <d v="2025-10-18T23:21:07" u="1"/>
        <d v="2025-10-15T17:27:14" u="1"/>
        <d v="2025-10-17T19:19:43" u="1"/>
        <d v="2025-10-16T15:36:38" u="1"/>
        <d v="2025-10-17T00:11:07" u="1"/>
        <d v="2025-10-17T00:38:14" u="1"/>
        <d v="2025-10-16T18:58:06" u="1"/>
        <d v="2025-10-16T20:43:15" u="1"/>
        <d v="2025-10-16T20:44:06" u="1"/>
        <d v="2025-10-16T20:48:10" u="1"/>
        <d v="2025-10-16T14:40:26" u="1"/>
        <d v="2025-10-16T15:02:22" u="1"/>
        <d v="2025-10-16T15:03:19" u="1"/>
        <d v="2025-10-16T11:56:06" u="1"/>
        <d v="2025-10-16T11:24:15" u="1"/>
        <d v="2025-10-16T11:33:14" u="1"/>
        <d v="2025-10-16T11:35:07" u="1"/>
        <d v="2025-10-16T12:27:06" u="1"/>
        <d v="2025-10-16T12:28:07" u="1"/>
        <d v="2025-10-09T13:58:48" u="1"/>
        <d v="2025-10-09T14:04:41" u="1"/>
        <d v="2025-10-09T14:17:26" u="1"/>
        <d v="2025-10-08T10:08:36" u="1"/>
        <d v="2025-10-08T10:15:00" u="1"/>
        <d v="2025-10-02T12:01:06" u="1"/>
        <d v="2025-10-16T17:08:09" u="1"/>
        <d v="2025-10-15T16:51:10" u="1"/>
        <d v="2025-10-15T16:51:22" u="1"/>
        <d v="2025-10-09T18:03:33" u="1"/>
        <d v="2025-10-15T22:05:33" u="1"/>
        <d v="2025-10-16T16:49:12" u="1"/>
        <d v="2025-10-16T20:15:06" u="1"/>
        <d v="2025-10-16T08:13:46" u="1"/>
        <d v="2025-10-16T12:29:55" u="1"/>
        <d v="2025-10-16T12:35:51" u="1"/>
        <d v="2025-10-16T11:40:22" u="1"/>
        <d v="2025-10-16T15:46:12" u="1"/>
        <d v="2025-10-16T14:51:56" u="1"/>
        <d v="2025-10-16T14:51:58" u="1"/>
        <d v="2025-10-16T14:51:59" u="1"/>
        <d v="2025-10-16T21:47:49" u="1"/>
        <d v="2025-10-16T18:58:13" u="1"/>
        <d v="2025-10-16T19:13:51" u="1"/>
        <d v="2025-10-16T19:34:00" u="1"/>
        <d v="2025-10-16T16:36:05" u="1"/>
        <d v="2025-10-16T16:22:12" u="1"/>
        <d v="2025-10-16T16:28:01" u="1"/>
        <d v="2025-10-16T16:28:16" u="1"/>
        <d v="2025-10-16T16:30:01" u="1"/>
        <d v="2025-10-16T20:39:46" u="1"/>
        <d v="2025-10-16T20:41:46" u="1"/>
        <d v="2025-10-16T20:51:46" u="1"/>
        <d v="2025-10-16T20:55:46" u="1"/>
        <d v="2025-10-16T20:59:45" u="1"/>
        <d v="2025-10-16T17:35:27" u="1"/>
        <d v="2025-10-16T17:47:53" u="1"/>
        <d v="2025-10-16T17:08:00" u="1"/>
        <d v="2025-10-16T17:03:59" u="1"/>
        <d v="2025-10-16T21:50:53" u="1"/>
        <d v="2025-10-17T03:55:31" u="1"/>
        <d v="2025-10-16T15:45:32" u="1"/>
        <d v="2025-10-15T15:25:36" u="1"/>
        <d v="2025-10-08T14:27:18" u="1"/>
        <d v="2025-10-03T12:15:22" u="1"/>
        <d v="2025-10-15T09:24:03" u="1"/>
        <d v="2025-10-16T17:51:36" u="1"/>
        <d v="2025-10-16T17:01:09" u="1"/>
        <d v="2025-10-15T16:31:31" u="1"/>
        <d v="2025-10-16T09:55:01" u="1"/>
        <d v="2025-10-16T20:13:53" u="1"/>
        <d v="2025-10-16T20:14:08" u="1"/>
        <d v="2025-10-16T20:11:50" u="1"/>
        <d v="2025-10-16T20:12:07" u="1"/>
        <d v="2025-10-16T18:50:54" u="1"/>
        <d v="2025-10-16T16:21:16" u="1"/>
        <d v="2025-10-16T16:21:22" u="1"/>
        <d v="2025-10-16T16:21:40" u="1"/>
        <d v="2025-10-16T18:20:42" u="1"/>
        <d v="2025-10-16T18:31:45" u="1"/>
        <d v="2025-10-16T21:03:49" u="1"/>
        <d v="2025-10-16T14:18:21" u="1"/>
        <d v="2025-10-16T11:38:04" u="1"/>
        <d v="2025-10-16T16:04:42" u="1"/>
        <d v="2025-10-16T18:01:57" u="1"/>
        <d v="2025-10-16T20:02:24" u="1"/>
        <d v="2025-10-15T16:07:42" u="1"/>
        <d v="2025-10-16T16:17:45" u="1"/>
        <d v="2025-10-16T16:18:25" u="1"/>
        <d v="2025-10-16T16:03:54" u="1"/>
        <d v="2025-10-16T14:13:54" u="1"/>
        <d v="2025-10-16T14:16:21" u="1"/>
        <d v="2025-10-16T16:38:02" u="1"/>
        <d v="2025-10-16T16:45:13" u="1"/>
        <d v="2025-10-01T17:35:55" u="1"/>
        <d v="2025-09-08T11:56:36" u="1"/>
        <d v="2025-10-16T18:48:03" u="1"/>
        <d v="2025-10-06T17:47:15" u="1"/>
        <d v="2025-10-16T22:13:36" u="1"/>
        <d v="2025-10-14T15:24:27" u="1"/>
        <d v="2025-10-15T21:50:02" u="1"/>
        <d v="2025-10-15T22:21:03" u="1"/>
        <d v="2025-10-15T22:21:27" u="1"/>
        <d v="2025-10-16T22:36:28" u="1"/>
        <d v="2025-10-16T22:36:31" u="1"/>
        <d v="2025-10-16T17:04:19" u="1"/>
        <d v="2025-10-16T20:11:33" u="1"/>
        <d v="2025-10-16T20:13:35" u="1"/>
        <d v="2025-10-10T10:08:32" u="1"/>
        <d v="2025-10-16T22:24:47" u="1"/>
        <d v="2025-10-16T21:55:24" u="1"/>
        <d v="2025-10-16T21:55:31" u="1"/>
        <d v="2025-10-16T21:55:47" u="1"/>
        <d v="2025-10-16T21:55:54" u="1"/>
        <d v="2025-10-16T21:56:01" u="1"/>
        <d v="2025-10-16T21:56:04" u="1"/>
        <d v="2025-10-16T21:56:13" u="1"/>
        <d v="2025-10-15T15:41:47" u="1"/>
        <d v="2025-10-15T16:15:40" u="1"/>
        <d v="2025-10-15T16:19:27" u="1"/>
        <d v="2025-10-15T21:56:09" u="1"/>
        <d v="2025-10-16T09:50:39" u="1"/>
        <d v="2025-10-16T09:50:42" u="1"/>
        <d v="2025-10-16T22:17:17" u="1"/>
        <d v="2025-10-16T16:30:08" u="1"/>
        <d v="2025-10-15T11:25:53" u="1"/>
        <d v="2025-10-15T14:16:01" u="1"/>
        <d v="2025-10-15T14:18:03" u="1"/>
        <d v="2025-10-15T14:18:27" u="1"/>
        <d v="2025-10-14T20:30:15" u="1"/>
        <d v="2025-10-14T21:11:22" u="1"/>
        <d v="2025-10-14T14:52:07" u="1"/>
        <d v="2025-10-14T07:14:14" u="1"/>
        <d v="2025-10-15T09:01:12" u="1"/>
        <d v="2025-10-15T10:14:24" u="1"/>
        <d v="2025-10-15T21:47:13" u="1"/>
        <d v="2025-10-15T22:02:11" u="1"/>
        <d v="2025-10-15T23:23:10" u="1"/>
        <d v="2025-10-15T23:24:10" u="1"/>
        <d v="2025-10-16T01:56:23" u="1"/>
        <d v="2025-10-15T20:34:07" u="1"/>
        <d v="2025-10-15T10:04:16" u="1"/>
        <d v="2025-10-15T17:05:15" u="1"/>
        <d v="2025-10-15T17:09:19" u="1"/>
        <d v="2025-10-15T17:14:31" u="1"/>
        <d v="2025-10-15T17:19:15" u="1"/>
        <d v="2025-10-13T09:31:08" u="1"/>
        <d v="2025-10-08T11:46:14" u="1"/>
        <d v="2025-10-15T20:41:44" u="1"/>
        <d v="2025-10-15T20:41:46" u="1"/>
        <d v="2025-10-15T19:26:05" u="1"/>
        <d v="2025-10-15T19:26:06" u="1"/>
        <d v="2025-10-15T19:27:53" u="1"/>
        <d v="2025-10-15T19:38:32" u="1"/>
        <d v="2025-10-15T17:45:55" u="1"/>
        <d v="2025-10-07T15:21:20" u="1"/>
        <d v="2025-10-07T15:21:26" u="1"/>
        <d v="2025-10-08T19:31:21" u="1"/>
        <d v="2025-10-08T10:51:25" u="1"/>
        <d v="2025-10-10T18:31:48" u="1"/>
        <d v="2025-10-10T13:41:25" u="1"/>
        <d v="2025-09-18T20:18:41" u="1"/>
        <d v="2025-09-17T12:32:48" u="1"/>
        <d v="2025-10-07T20:47:22" u="1"/>
        <d v="2025-10-15T17:38:35" u="1"/>
        <d v="2025-10-08T17:00:24" u="1"/>
        <d v="2025-10-08T17:00:29" u="1"/>
        <d v="2025-10-08T17:17:54" u="1"/>
        <d v="2025-10-08T16:26:32" u="1"/>
        <d v="2025-10-08T16:36:28" u="1"/>
        <d v="2025-10-08T16:46:47" u="1"/>
        <d v="2025-10-08T16:46:51" u="1"/>
        <d v="2025-10-13T10:07:44" u="1"/>
        <d v="2025-10-10T15:51:29" u="1"/>
        <d v="2025-10-10T14:21:00" u="1"/>
        <d v="2025-10-08T17:51:05" u="1"/>
        <d v="2025-10-03T16:51:48" u="1"/>
        <d v="2025-09-22T16:45:24" u="1"/>
        <d v="2025-10-15T22:47:22" u="1"/>
        <d v="2025-10-07T16:11:09" u="1"/>
        <d v="2025-10-07T16:11:19" u="1"/>
        <d v="2025-10-07T16:11:29" u="1"/>
        <d v="2025-10-15T17:41:37" u="1"/>
        <d v="2025-10-15T17:41:46" u="1"/>
        <d v="2025-10-15T17:41:55" u="1"/>
        <d v="2025-10-15T17:42:11" u="1"/>
        <d v="2025-10-15T17:42:20" u="1"/>
        <d v="2025-10-15T17:42:32" u="1"/>
        <d v="2025-10-15T17:42:41" u="1"/>
        <d v="2025-10-13T19:18:22" u="1"/>
        <d v="2025-10-15T11:28:52" u="1"/>
        <d v="2025-10-03T18:55:41" u="1"/>
        <d v="2025-10-15T12:39:08" u="1"/>
        <d v="2025-10-13T18:48:15" u="1"/>
        <d v="2025-10-15T17:02:00" u="1"/>
        <d v="2025-10-10T18:28:02" u="1"/>
        <d v="2025-10-08T11:07:02" u="1"/>
        <d v="2025-10-13T10:28:24" u="1"/>
        <d v="2025-10-10T16:06:53" u="1"/>
        <d v="2025-10-10T17:21:34" u="1"/>
        <d v="2025-10-10T17:21:43" u="1"/>
        <d v="2025-10-14T16:48:59" u="1"/>
        <d v="2025-10-15T16:51:39" u="1"/>
        <d v="2025-10-15T16:51:53" u="1"/>
        <d v="2025-10-15T18:49:49" u="1"/>
        <d v="2025-10-09T19:01:43" u="1"/>
        <d v="2025-10-10T18:17:22" u="1"/>
        <d v="2025-10-15T18:49:29" u="1"/>
        <d v="2025-10-09T15:01:21" u="1"/>
        <d v="2025-10-07T15:40:46" u="1"/>
        <d v="2025-10-08T18:01:03" u="1"/>
        <d v="2025-09-19T16:06:14" u="1"/>
        <d v="2025-10-15T15:21:41" u="1"/>
        <d v="2025-10-15T18:50:40" u="1"/>
        <d v="2025-10-15T18:01:11" u="1"/>
        <d v="2025-10-14T15:31:25" u="1"/>
        <d v="2025-10-15T18:54:20" u="1"/>
        <d v="2025-10-15T15:41:51" u="1"/>
        <d v="2025-10-15T12:39:34" u="1"/>
        <d v="2025-10-15T13:31:38" u="1"/>
        <d v="2025-10-15T13:31:54" u="1"/>
        <d v="2025-10-09T08:50:22" u="1"/>
        <d v="2025-10-06T12:40:55" u="1"/>
        <d v="2025-10-06T12:01:10" u="1"/>
        <d v="2025-10-06T12:40:45" u="1"/>
        <d v="2025-10-09T17:11:20" u="1"/>
        <d v="2025-10-13T19:10:38" u="1"/>
        <d v="2025-10-06T10:10:58" u="1"/>
        <d v="2025-09-22T12:22:00" u="1"/>
        <d v="2025-10-14T18:05:15" u="1"/>
        <d v="2025-10-15T14:38:38" u="1"/>
        <d v="2025-10-15T15:49:24" u="1"/>
        <d v="2025-10-15T18:51:37" u="1"/>
        <d v="2025-10-15T16:28:21" u="1"/>
        <d v="2025-10-14T08:27:28" u="1"/>
        <d v="2025-10-15T14:19:29" u="1"/>
        <d v="2025-09-24T16:08:26" u="1"/>
        <d v="2025-09-25T17:04:39" u="1"/>
        <d v="2025-09-25T17:04:40" u="1"/>
        <d v="2025-09-25T14:03:00" u="1"/>
        <d v="2025-10-03T18:03:31" u="1"/>
        <d v="2025-10-03T18:03:44" u="1"/>
        <d v="2025-10-03T18:03:45" u="1"/>
        <d v="2025-10-07T17:15:32" u="1"/>
        <d v="2025-10-07T17:15:58" u="1"/>
        <d v="2025-10-07T17:15:59" u="1"/>
        <d v="2025-10-07T14:36:50" u="1"/>
        <d v="2025-10-02T14:00:55" u="1"/>
        <d v="2025-10-02T14:00:58" u="1"/>
        <d v="2025-10-02T18:03:18" u="1"/>
        <d v="2025-10-03T17:04:09" u="1"/>
        <d v="2025-10-15T14:14:37" u="1"/>
        <d v="2025-10-15T00:07:05" u="1"/>
        <d v="2025-10-15T00:07:11" u="1"/>
        <d v="2025-10-08T07:53:24" u="1"/>
        <d v="2025-10-09T13:04:01" u="1"/>
        <d v="2025-10-09T18:01:17" u="1"/>
        <d v="2025-10-09T18:01:21" u="1"/>
        <d v="2025-10-10T10:02:38" u="1"/>
        <d v="2025-10-14T08:35:08" u="1"/>
        <d v="2025-10-14T08:35:41" u="1"/>
        <d v="2025-10-14T19:35:20" u="1"/>
        <d v="2025-10-07T18:36:24" u="1"/>
        <d v="2025-09-26T13:46:13" u="1"/>
        <d v="2025-09-15T15:17:22" u="1"/>
        <d v="2025-10-13T19:07:44" u="1"/>
        <d v="2025-10-14T21:38:57" u="1"/>
        <d v="2025-10-09T16:36:40" u="1"/>
        <d v="2025-10-13T10:25:15" u="1"/>
        <d v="2025-10-07T19:54:51" u="1"/>
        <d v="2025-10-08T16:58:37" u="1"/>
        <d v="2025-10-15T16:42:54" u="1"/>
        <d v="2025-10-15T16:43:11" u="1"/>
        <d v="2025-10-10T01:42:04" u="1"/>
        <d v="2025-10-09T20:32:23" u="1"/>
        <d v="2025-10-09T20:32:51" u="1"/>
        <d v="2025-10-09T20:33:19" u="1"/>
        <d v="2025-10-09T20:33:30" u="1"/>
        <d v="2025-10-15T22:18:21" u="1"/>
        <d v="2025-10-15T22:18:27" u="1"/>
        <d v="2025-10-15T22:19:09" u="1"/>
        <d v="2025-10-15T22:19:49" u="1"/>
        <d v="2025-10-15T22:19:57" u="1"/>
        <d v="2025-10-13T15:36:57" u="1"/>
        <d v="2025-10-13T15:37:36" u="1"/>
        <d v="2025-10-08T13:39:53" u="1"/>
        <d v="2025-10-08T13:40:37" u="1"/>
        <d v="2025-10-08T13:40:52" u="1"/>
        <d v="2025-10-08T20:12:24" u="1"/>
        <d v="2025-10-08T20:13:53" u="1"/>
        <d v="2025-10-09T01:24:35" u="1"/>
        <d v="2025-10-14T22:03:10" u="1"/>
        <d v="2025-10-09T08:31:48" u="1"/>
        <d v="2025-10-13T08:41:18" u="1"/>
        <d v="2025-10-14T21:32:45" u="1"/>
        <d v="2025-10-14T13:34:40" u="1"/>
        <d v="2025-10-14T22:14:16" u="1"/>
        <d v="2025-10-14T11:45:10" u="1"/>
        <d v="2025-10-14T22:06:32" u="1"/>
        <d v="2025-10-14T15:53:19" u="1"/>
        <d v="2025-10-14T22:06:42" u="1"/>
        <d v="2025-10-13T16:18:20" u="1"/>
        <d v="2025-10-14T19:11:13" u="1"/>
        <d v="2025-10-14T15:37:47" u="1"/>
        <d v="2025-10-10T20:32:51" u="1"/>
        <d v="2025-10-03T23:49:54" u="1"/>
        <d v="2025-10-03T23:49:58" u="1"/>
        <d v="2025-10-10T12:04:51" u="1"/>
        <d v="2025-10-14T11:33:48" u="1"/>
        <d v="2025-10-14T11:55:57" u="1"/>
        <d v="2025-10-14T12:18:20" u="1"/>
        <d v="2025-10-14T10:29:48" u="1"/>
        <d v="2025-10-14T10:34:03" u="1"/>
        <d v="2025-10-14T10:34:18" u="1"/>
        <d v="2025-10-14T10:37:51" u="1"/>
        <d v="2025-10-14T10:46:15" u="1"/>
        <d v="2025-10-14T15:58:04" u="1"/>
        <d v="2025-10-14T15:38:11" u="1"/>
        <d v="2025-10-14T12:27:51" u="1"/>
        <d v="2025-10-14T12:41:48" u="1"/>
        <d v="2025-10-14T13:44:57" u="1"/>
        <d v="2025-10-14T18:23:53" u="1"/>
        <d v="2025-10-14T18:31:49" u="1"/>
        <d v="2025-10-14T18:31:50" u="1"/>
        <d v="2025-10-14T16:52:21" u="1"/>
        <d v="2025-10-14T16:52:43" u="1"/>
        <d v="2025-10-14T17:00:59" u="1"/>
        <d v="2025-10-14T17:02:40" u="1"/>
        <d v="2025-10-14T17:13:03" u="1"/>
        <d v="2025-09-02T19:28:23" u="1"/>
        <d v="2025-09-02T19:28:24" u="1"/>
        <d v="2025-09-02T19:28:28" u="1"/>
        <d v="2025-09-02T19:28:29" u="1"/>
        <d v="2025-09-17T12:11:18" u="1"/>
        <d v="2025-10-14T15:07:25" u="1"/>
        <d v="2025-10-14T15:08:56" u="1"/>
        <d v="2025-10-02T11:07:26" u="1"/>
        <d v="2025-09-17T18:19:32" u="1"/>
        <d v="2025-10-14T16:08:58" u="1"/>
        <d v="2025-10-14T15:41:00" u="1"/>
        <d v="2025-10-14T15:21:00" u="1"/>
        <d v="2025-10-14T15:21:48" u="1"/>
        <d v="2025-10-14T15:21:57" u="1"/>
        <d v="2025-10-14T15:22:06" u="1"/>
        <d v="2025-10-14T19:01:32" u="1"/>
        <d v="2025-10-13T19:18:14" u="1"/>
        <d v="2025-10-07T16:06:26" u="1"/>
        <d v="2025-10-07T16:06:34" u="1"/>
        <d v="2025-10-14T09:04:02" u="1"/>
        <d v="2025-10-14T15:26:56" u="1"/>
        <d v="2025-10-14T15:27:15" u="1"/>
        <d v="2025-10-14T15:27:18" u="1"/>
        <d v="2025-10-10T19:57:59" u="1"/>
        <d v="2025-10-14T15:47:47" u="1"/>
        <d v="2025-10-14T21:52:43" u="1"/>
        <d v="2025-10-14T19:32:49" u="1"/>
        <d v="2025-10-07T18:21:13" u="1"/>
        <d v="2025-10-14T16:50:42" u="1"/>
        <d v="2025-10-14T18:05:14" u="1"/>
        <d v="2025-10-06T19:01:34" u="1"/>
        <d v="2025-10-14T11:47:19" u="1"/>
        <d v="2025-10-14T17:37:27" u="1"/>
        <d v="2025-10-13T11:58:31" u="1"/>
        <d v="2025-10-14T19:33:09" u="1"/>
        <d v="2025-10-15T00:07:04" u="1"/>
        <d v="2025-10-15T00:07:06" u="1"/>
        <d v="2025-10-15T00:07:12" u="1"/>
        <d v="2025-10-09T17:03:57" u="1"/>
        <d v="2025-10-13T21:15:13" u="1"/>
        <d v="2025-10-14T15:23:40" u="1"/>
        <d v="2025-10-14T15:24:00" u="1"/>
        <d v="2025-10-14T15:24:10" u="1"/>
        <d v="2025-10-14T09:03:38" u="1"/>
        <d v="2025-10-10T16:02:51" u="1"/>
        <d v="2025-10-10T16:02:52" u="1"/>
        <d v="2025-10-14T08:36:47" u="1"/>
        <d v="2025-10-14T08:36:50" u="1"/>
        <d v="2025-10-15T00:06:30" u="1"/>
        <d v="2025-10-14T15:25:35" u="1"/>
        <d v="2025-10-14T21:31:33" u="1"/>
        <d v="2025-10-14T21:31:40" u="1"/>
        <d v="2025-10-14T21:31:51" u="1"/>
        <d v="2025-10-14T15:24:35" u="1"/>
        <d v="2025-10-14T19:31:02" u="1"/>
        <d v="2025-10-07T14:25:41" u="1"/>
        <d v="2025-10-14T22:03:36" u="1"/>
        <d v="2025-10-14T10:30:41" u="1"/>
        <d v="2025-10-08T18:26:45" u="1"/>
        <d v="2025-10-13T18:17:55" u="1"/>
        <d v="2025-10-14T21:47:20" u="1"/>
        <d v="2025-10-14T15:13:24" u="1"/>
        <d v="2025-10-14T15:13:34" u="1"/>
        <d v="2025-10-14T21:17:26" u="1"/>
        <d v="2025-10-14T21:36:08" u="1"/>
        <d v="2025-10-10T16:57:40" u="1"/>
        <d v="2025-10-13T14:45:40" u="1"/>
        <d v="2025-10-11T20:07:45" u="1"/>
        <d v="2025-10-13T10:27:09" u="1"/>
        <d v="2025-10-13T18:31:12" u="1"/>
        <d v="2025-10-13T20:53:06" u="1"/>
        <d v="2025-10-13T18:23:10" u="1"/>
        <d v="2025-10-13T18:38:08" u="1"/>
        <d v="2025-10-13T16:46:12" u="1"/>
        <d v="2025-10-13T13:21:08" u="1"/>
        <d v="2025-10-13T16:18:57" u="1"/>
        <d v="2025-10-10T17:48:18" u="1"/>
        <d v="2025-10-03T17:56:23" u="1"/>
        <d v="2025-09-26T18:09:06" u="1"/>
        <d v="2025-09-26T18:09:52" u="1"/>
        <d v="2025-10-13T21:46:03" u="1"/>
        <d v="2025-09-16T19:18:54" u="1"/>
        <d v="2025-10-09T20:35:12" u="1"/>
        <d v="2025-10-10T21:01:30" u="1"/>
        <d v="2025-10-10T16:11:10" u="1"/>
        <d v="2025-10-13T19:58:14" u="1"/>
        <d v="2025-10-13T19:58:51" u="1"/>
        <d v="2025-10-13T17:01:41" u="1"/>
        <d v="2025-10-08T16:51:46" u="1"/>
        <d v="2025-10-08T17:11:44" u="1"/>
        <d v="2025-10-09T12:41:56" u="1"/>
        <d v="2025-10-13T10:39:45" u="1"/>
        <d v="2025-10-13T08:35:58" u="1"/>
        <d v="2025-10-13T08:40:17" u="1"/>
        <d v="2025-10-10T12:37:57" u="1"/>
        <d v="2025-10-10T12:42:22" u="1"/>
        <d v="2025-10-10T12:42:33" u="1"/>
        <d v="2025-10-10T12:51:54" u="1"/>
        <d v="2025-10-10T14:25:57" u="1"/>
        <d v="2025-10-10T20:01:58" u="1"/>
        <d v="2025-10-10T17:14:15" u="1"/>
        <d v="2025-10-11T16:43:46" u="1"/>
        <d v="2025-10-13T13:57:48" u="1"/>
        <d v="2025-10-13T13:59:47" u="1"/>
        <d v="2025-10-13T14:23:48" u="1"/>
        <d v="2025-10-13T11:38:21" u="1"/>
        <d v="2025-10-13T11:05:50" u="1"/>
        <d v="2025-10-13T16:50:39" u="1"/>
        <d v="2025-10-13T15:47:50" u="1"/>
        <d v="2025-10-13T15:51:49" u="1"/>
        <d v="2025-10-13T16:08:19" u="1"/>
        <d v="2025-10-13T18:41:48" u="1"/>
        <d v="2025-10-13T17:45:58" u="1"/>
        <d v="2025-10-13T17:04:12" u="1"/>
        <d v="2025-10-13T17:05:53" u="1"/>
        <d v="2025-10-13T17:07:50" u="1"/>
        <d v="2025-10-13T18:37:51" u="1"/>
        <d v="2025-10-13T16:32:27" u="1"/>
        <d v="2025-10-13T20:13:42" u="1"/>
        <d v="2025-10-10T17:13:43" u="1"/>
        <d v="2025-10-10T16:12:18" u="1"/>
        <d v="2025-10-13T20:52:03" u="1"/>
        <d v="2025-10-13T14:46:33" u="1"/>
        <d v="2025-10-13T14:46:41" u="1"/>
        <d v="2025-10-13T20:50:55" u="1"/>
        <d v="2025-10-13T14:47:20" u="1"/>
        <d v="2025-10-13T09:18:04" u="1"/>
        <d v="2025-10-13T16:37:32" u="1"/>
        <d v="2025-10-13T17:19:14" u="1"/>
        <d v="2025-10-13T14:47:32" u="1"/>
        <d v="2025-10-08T16:03:44" u="1"/>
        <d v="2025-10-10T11:31:18" u="1"/>
        <d v="2025-10-13T17:19:07" u="1"/>
        <d v="2025-10-13T21:19:24" u="1"/>
        <d v="2025-10-13T21:19:41" u="1"/>
        <d v="2025-10-13T21:19:50" u="1"/>
        <d v="2025-10-01T09:35:58" u="1"/>
        <d v="2025-10-10T20:53:59" u="1"/>
        <d v="2025-10-10T20:54:07" u="1"/>
        <d v="2025-10-14T01:16:07" u="1"/>
        <d v="2025-10-09T10:31:44" u="1"/>
        <d v="2025-10-09T10:30:47" u="1"/>
        <d v="2025-10-09T14:10:46" u="1"/>
        <d v="2025-10-07T15:31:21" u="1"/>
        <d v="2025-10-07T15:31:36" u="1"/>
        <d v="2025-10-07T16:10:38" u="1"/>
        <d v="2025-10-07T18:20:49" u="1"/>
        <d v="2025-10-07T18:20:53" u="1"/>
        <d v="2025-10-09T15:01:01" u="1"/>
        <d v="2025-10-09T18:40:46" u="1"/>
        <d v="2025-10-09T18:40:51" u="1"/>
        <d v="2025-10-09T17:01:20" u="1"/>
        <d v="2025-10-09T17:01:25" u="1"/>
        <d v="2025-10-10T15:10:46" u="1"/>
        <d v="2025-10-10T10:51:27" u="1"/>
        <d v="2025-10-10T17:31:48" u="1"/>
        <d v="2025-10-06T14:41:03" u="1"/>
        <d v="2025-10-13T19:10:42" u="1"/>
        <d v="2025-10-07T18:21:35" u="1"/>
        <d v="2025-10-07T16:20:40" u="1"/>
        <d v="2025-10-06T18:11:17" u="1"/>
        <d v="2025-10-06T16:50:31" u="1"/>
        <d v="2025-10-06T17:31:00" u="1"/>
        <d v="2025-10-08T18:02:55" u="1"/>
        <d v="2025-10-08T15:40:50" u="1"/>
        <d v="2025-10-08T15:41:02" u="1"/>
        <d v="2025-10-08T15:41:07" u="1"/>
        <d v="2025-10-07T13:00:47" u="1"/>
        <d v="2025-10-09T15:01:09" u="1"/>
        <d v="2025-10-10T15:10:56" u="1"/>
        <d v="2025-10-10T17:31:04" u="1"/>
        <d v="2025-10-10T17:31:19" u="1"/>
        <d v="2025-10-13T16:20:42" u="1"/>
        <d v="2025-10-13T18:30:23" u="1"/>
        <d v="2025-10-13T17:41:17" u="1"/>
        <d v="2025-10-13T17:41:34" u="1"/>
        <d v="2025-10-10T16:24:53" u="1"/>
        <d v="2025-10-13T16:25:02" u="1"/>
        <d v="2025-10-13T16:25:03" u="1"/>
        <d v="2025-10-13T12:07:19" u="1"/>
        <d v="2025-10-10T17:03:35" u="1"/>
        <d v="2025-10-13T11:01:48" u="1"/>
        <d v="2025-10-11T14:02:18" u="1"/>
        <d v="2025-10-12T11:01:49" u="1"/>
        <d v="2025-10-12T11:01:53" u="1"/>
        <d v="2025-10-07T07:15:00" u="1"/>
        <d v="2025-10-07T07:15:02" u="1"/>
        <d v="2025-10-07T07:15:49" u="1"/>
        <d v="2025-10-14T03:00:03" u="1"/>
        <d v="2025-10-13T15:05:00" u="1"/>
        <d v="2025-10-03T18:09:47" u="1"/>
        <d v="2025-10-13T21:24:58" u="1"/>
        <d v="2025-10-13T20:51:36" u="1"/>
        <d v="2025-10-13T20:51:39" u="1"/>
        <d v="2025-10-13T14:47:00" u="1"/>
        <d v="2025-10-13T15:05:39" u="1"/>
        <d v="2025-10-13T15:36:39" u="1"/>
        <d v="2025-10-13T15:36:42" u="1"/>
        <d v="2025-10-13T15:36:45" u="1"/>
        <d v="2025-10-13T15:36:48" u="1"/>
        <d v="2025-10-13T15:37:05" u="1"/>
        <d v="2025-10-13T15:37:23" u="1"/>
        <d v="2025-10-13T21:42:59" u="1"/>
        <d v="2025-10-13T21:43:20" u="1"/>
        <d v="2025-10-13T14:57:50" u="1"/>
        <d v="2025-09-29T19:05:12" u="1"/>
        <d v="2025-10-06T11:46:45" u="1"/>
        <d v="2025-10-06T13:15:55" u="1"/>
        <d v="2025-10-14T02:17:52" u="1"/>
        <d v="2025-10-09T11:46:27" u="1"/>
        <d v="2025-10-13T21:30:35" u="1"/>
        <d v="2025-10-13T15:18:55" u="1"/>
        <d v="2025-10-13T15:18:52" u="1"/>
        <d v="2025-10-13T14:50:42" u="1"/>
        <d v="2025-10-13T20:58:17" u="1"/>
        <d v="2025-10-13T20:58:49" u="1"/>
        <d v="2025-10-13T20:58:56" u="1"/>
        <d v="2025-10-13T20:59:11" u="1"/>
        <d v="2025-10-11T01:56:58" u="1"/>
        <d v="2025-10-13T21:21:06" u="1"/>
        <d v="2025-10-13T21:21:09" u="1"/>
        <d v="2025-10-13T21:23:23" u="1"/>
        <d v="2025-10-10T07:57:09" u="1"/>
        <d v="2025-10-10T08:38:17" u="1"/>
        <d v="2025-10-10T12:48:13" u="1"/>
        <d v="2025-10-10T12:49:14" u="1"/>
        <d v="2025-10-10T22:32:17" u="1"/>
        <d v="2025-10-11T11:02:14" u="1"/>
        <d v="2025-10-11T12:48:14" u="1"/>
        <d v="2025-10-11T13:28:14" u="1"/>
        <d v="2025-10-11T18:43:13" u="1"/>
        <d v="2025-10-11T19:45:11" u="1"/>
        <d v="2025-10-11T20:08:14" u="1"/>
        <d v="2025-10-11T23:15:08" u="1"/>
        <d v="2025-10-12T10:26:09" u="1"/>
        <d v="2025-10-12T11:00:13" u="1"/>
        <d v="2025-10-10T16:33:08" u="1"/>
        <d v="2025-10-12T21:01:07" u="1"/>
        <d v="2025-10-12T21:09:12" u="1"/>
        <d v="2025-10-12T22:26:22" u="1"/>
        <d v="2025-10-07T11:05:00" u="1"/>
        <d v="2025-10-09T10:15:32" u="1"/>
        <d v="2025-10-08T18:54:34" u="1"/>
        <d v="2025-10-07T18:04:36" u="1"/>
        <d v="2025-10-06T15:15:23" u="1"/>
        <d v="2025-10-06T12:05:09" u="1"/>
        <d v="2025-10-03T17:07:09" u="1"/>
        <d v="2025-10-10T11:17:11" u="1"/>
        <d v="2025-10-03T16:55:59" u="1"/>
        <d v="2025-10-03T18:40:52" u="1"/>
        <d v="2025-09-19T13:05:23" u="1"/>
        <d v="2025-10-09T14:11:47" u="1"/>
        <d v="2025-10-10T21:01:02" u="1"/>
        <d v="2025-10-10T21:01:17" u="1"/>
        <d v="2025-10-10T21:01:25" u="1"/>
        <d v="2025-10-10T14:23:02" u="1"/>
        <d v="2025-10-10T14:23:34" u="1"/>
        <d v="2025-09-16T19:18:30" u="1"/>
        <d v="2025-09-15T19:18:45" u="1"/>
        <d v="2025-09-15T19:19:15" u="1"/>
        <d v="2025-10-10T14:23:46" u="1"/>
        <d v="2025-10-10T14:24:30" u="1"/>
        <d v="2025-10-09T20:37:24" u="1"/>
        <d v="2025-10-10T17:19:13" u="1"/>
        <d v="2025-10-10T14:10:34" u="1"/>
        <d v="2025-10-11T02:05:45" u="1"/>
        <d v="2025-10-10T14:44:24" u="1"/>
        <d v="2025-10-11T14:09:51" u="1"/>
        <d v="2025-10-10T20:15:53" u="1"/>
        <d v="2025-10-10T19:57:55" u="1"/>
        <d v="2025-10-10T20:11:55" u="1"/>
        <d v="2025-10-11T13:31:46" u="1"/>
        <d v="2025-10-10T21:34:09" u="1"/>
        <d v="2025-10-10T21:34:10" u="1"/>
        <d v="2025-10-10T21:34:19" u="1"/>
        <d v="2025-10-10T21:34:20" u="1"/>
        <d v="2025-10-09T13:29:54" u="1"/>
        <d v="2025-10-09T13:37:55" u="1"/>
        <d v="2025-10-12T12:14:16" u="1"/>
        <d v="2025-10-12T12:14:17" u="1"/>
        <d v="2025-10-12T12:47:44" u="1"/>
        <d v="2025-10-12T12:51:45" u="1"/>
        <d v="2025-10-10T14:41:56" u="1"/>
        <d v="2025-10-10T16:38:07" u="1"/>
        <d v="2025-10-10T16:43:58" u="1"/>
        <d v="2025-10-10T16:45:57" u="1"/>
        <d v="2025-10-10T15:10:02" u="1"/>
        <d v="2025-10-10T18:06:00" u="1"/>
        <d v="2025-10-10T18:06:01" u="1"/>
        <d v="2025-10-10T17:26:05" u="1"/>
        <d v="2025-10-10T17:26:06" u="1"/>
        <d v="2025-10-10T16:06:41" u="1"/>
        <d v="2025-10-10T16:13:55" u="1"/>
        <d v="2025-10-09T17:00:14" u="1"/>
        <d v="2025-10-09T15:10:11" u="1"/>
        <d v="2025-10-09T10:59:51" u="1"/>
        <d v="2025-10-09T11:39:53" u="1"/>
        <d v="2025-10-09T19:59:51" u="1"/>
        <d v="2025-10-09T19:03:54" u="1"/>
        <d v="2025-10-09T19:03:55" u="1"/>
        <d v="2025-10-10T08:40:00" u="1"/>
        <d v="2025-10-10T10:03:51" u="1"/>
        <d v="2025-10-10T19:52:09" u="1"/>
        <d v="2025-10-08T00:55:19" u="1"/>
        <d v="2025-10-07T18:51:55" u="1"/>
        <d v="2025-10-08T20:15:32" u="1"/>
        <d v="2025-10-08T20:15:37" u="1"/>
        <d v="2025-10-06T12:27:42" u="1"/>
        <d v="2025-10-07T12:46:26" u="1"/>
        <d v="2025-10-07T12:47:20" u="1"/>
        <d v="2025-10-10T13:49:17" u="1"/>
        <d v="2025-10-08T19:33:18" u="1"/>
        <d v="2025-10-07T19:17:22" u="1"/>
        <d v="2025-10-07T19:17:25" u="1"/>
        <d v="2025-10-07T19:17:27" u="1"/>
        <d v="2025-10-10T12:47:08" u="1"/>
        <d v="2025-10-10T19:27:47" u="1"/>
        <d v="2025-10-09T16:56:37" u="1"/>
        <d v="2025-10-10T12:27:33" u="1"/>
        <d v="2025-10-08T17:00:59" u="1"/>
        <d v="2025-10-12T19:47:05" u="1"/>
        <d v="2025-10-10T13:59:34" u="1"/>
        <d v="2025-10-10T13:59:37" u="1"/>
        <d v="2025-10-10T14:00:03" u="1"/>
        <d v="2025-10-10T14:00:20" u="1"/>
        <d v="2025-10-12T20:32:49" u="1"/>
        <d v="2025-10-11T14:08:41" u="1"/>
        <d v="2025-10-10T00:04:40" u="1"/>
        <d v="2025-10-09T22:14:53" u="1"/>
        <d v="2025-10-10T19:28:01" u="1"/>
        <d v="2025-10-09T13:11:05" u="1"/>
        <d v="2025-10-10T17:30:49" u="1"/>
        <d v="2025-10-10T17:30:59" u="1"/>
        <d v="2025-10-08T15:40:54" u="1"/>
        <d v="2025-10-10T18:20:37" u="1"/>
        <d v="2025-10-10T10:51:14" u="1"/>
        <d v="2025-10-07T16:20:45" u="1"/>
        <d v="2025-10-07T00:50:59" u="1"/>
        <d v="2025-10-10T17:19:49" u="1"/>
        <d v="2025-10-03T17:34:43" u="1"/>
        <d v="2025-10-08T17:25:13" u="1"/>
        <d v="2025-10-10T20:39:21" u="1"/>
        <d v="2025-10-05T18:12:20" u="1"/>
        <d v="2025-10-06T00:16:35" u="1"/>
        <d v="2025-10-10T07:41:37" u="1"/>
        <d v="2025-10-07T07:12:31" u="1"/>
        <d v="2025-10-07T14:36:17" u="1"/>
        <d v="2025-10-07T07:11:26" u="1"/>
        <d v="2025-10-10T20:25:59" u="1"/>
        <d v="2025-10-10T20:26:19" u="1"/>
        <d v="2025-10-10T10:57:57" u="1"/>
        <d v="2025-10-10T13:58:15" u="1"/>
        <d v="2025-10-10T20:33:32" u="1"/>
        <d v="2025-10-03T23:59:32" u="1"/>
        <d v="2025-10-03T23:59:41" u="1"/>
        <d v="2025-10-10T14:11:55" u="1"/>
        <d v="2025-10-10T19:51:00" u="1"/>
        <d v="2025-10-10T20:57:47" u="1"/>
        <d v="2025-10-01T17:17:51" u="1"/>
        <d v="2025-10-10T20:15:42" u="1"/>
        <d v="2025-10-09T13:58:20" u="1"/>
        <d v="2025-09-26T15:55:45" u="1"/>
        <d v="2025-09-30T17:12:40" u="1"/>
        <d v="2025-10-03T23:39:50" u="1"/>
        <d v="2025-10-03T23:40:09" u="1"/>
        <d v="2025-10-07T12:50:07" u="1"/>
        <d v="2025-10-10T19:55:07" u="1"/>
        <d v="2025-10-10T19:55:36" u="1"/>
        <d v="2025-10-10T19:55:39" u="1"/>
        <d v="2025-10-11T01:56:39" u="1"/>
        <d v="2025-10-11T01:56:42" u="1"/>
        <d v="2025-10-11T01:56:44" u="1"/>
        <d v="2025-10-11T01:56:55" u="1"/>
        <d v="2025-10-10T19:55:44" u="1"/>
        <d v="2025-10-10T14:04:38" u="1"/>
        <d v="2025-10-10T20:19:57" u="1"/>
        <d v="2025-10-10T20:20:45" u="1"/>
        <d v="2025-10-10T20:23:32" u="1"/>
        <d v="2025-10-09T20:07:38" u="1"/>
        <d v="2025-10-10T01:39:32" u="1"/>
        <d v="2025-10-03T18:02:57" u="1"/>
        <d v="2025-10-08T11:01:43" u="1"/>
        <d v="2025-10-08T14:31:25" u="1"/>
        <d v="2025-10-09T18:03:10" u="1"/>
        <d v="2025-10-09T09:53:11" u="1"/>
        <d v="2025-10-09T11:35:40" u="1"/>
        <d v="2025-10-09T11:28:32" u="1"/>
        <d v="2025-10-09T12:16:19" u="1"/>
        <d v="2025-10-09T21:44:08" u="1"/>
        <d v="2025-10-09T16:10:22" u="1"/>
        <d v="2025-10-09T13:36:23" u="1"/>
        <d v="2025-10-09T13:46:49" u="1"/>
        <d v="2025-09-27T16:12:21" u="1"/>
        <d v="2025-10-09T11:51:22" u="1"/>
        <d v="2025-10-09T11:41:33" u="1"/>
        <d v="2025-10-09T20:09:59" u="1"/>
        <d v="2025-10-06T10:01:45" u="1"/>
        <d v="2025-10-08T11:26:13" u="1"/>
        <d v="2025-10-09T10:38:13" u="1"/>
        <d v="2025-10-09T19:37:54" u="1"/>
        <d v="2025-10-09T18:07:55" u="1"/>
        <d v="2025-10-09T11:29:53" u="1"/>
        <d v="2025-10-09T14:43:55" u="1"/>
        <d v="2025-10-09T17:06:04" u="1"/>
        <d v="2025-10-09T14:41:34" u="1"/>
        <d v="2025-10-09T20:06:22" u="1"/>
        <d v="2025-10-09T20:09:50" u="1"/>
        <d v="2025-10-07T19:23:28" u="1"/>
        <d v="2025-10-07T07:15:48" u="1"/>
        <d v="2025-10-07T07:13:22" u="1"/>
        <d v="2025-10-02T14:01:00" u="1"/>
        <d v="2025-10-09T19:03:03" u="1"/>
        <d v="2025-10-09T19:03:04" u="1"/>
        <d v="2025-10-09T19:03:05" u="1"/>
        <d v="2025-10-09T19:03:02" u="1"/>
        <d v="2025-10-09T20:01:16" u="1"/>
        <d v="2025-10-09T13:45:19" u="1"/>
        <d v="2025-10-09T13:45:29" u="1"/>
        <d v="2025-10-10T01:38:55" u="1"/>
        <d v="2025-10-09T19:33:39" u="1"/>
        <d v="2025-10-03T17:01:26" u="1"/>
        <d v="2025-10-07T08:51:15" u="1"/>
        <d v="2025-10-03T09:21:17" u="1"/>
        <d v="2025-10-08T16:25:46" u="1"/>
        <d v="2025-10-08T16:14:38" u="1"/>
        <d v="2025-10-07T16:31:12" u="1"/>
        <d v="2025-10-03T14:32:49" u="1"/>
        <d v="2025-10-09T14:36:56" u="1"/>
        <d v="2025-10-09T19:47:34" u="1"/>
        <d v="2025-10-09T14:11:44" u="1"/>
        <d v="2025-10-09T20:35:24" u="1"/>
        <d v="2025-10-09T20:35:58" u="1"/>
        <d v="2025-10-09T20:36:46" u="1"/>
        <d v="2025-10-08T08:44:19" u="1"/>
        <d v="2025-10-07T20:24:08" u="1"/>
        <d v="2025-10-07T10:54:50" u="1"/>
        <d v="2025-10-08T16:45:51" u="1"/>
        <d v="2025-10-08T16:45:53" u="1"/>
        <d v="2025-10-09T17:07:49" u="1"/>
        <d v="2025-10-09T20:08:12" u="1"/>
        <d v="2025-10-08T17:25:49" u="1"/>
        <d v="2025-10-08T16:06:12" u="1"/>
        <d v="2025-10-08T15:36:24" u="1"/>
        <d v="2025-10-07T17:26:32" u="1"/>
        <d v="2025-10-09T19:58:06" u="1"/>
        <d v="2025-10-09T13:44:29" u="1"/>
        <d v="2025-10-07T14:36:48" u="1"/>
        <d v="2025-10-08T17:11:51" u="1"/>
        <d v="2025-10-08T17:12:38" u="1"/>
        <d v="2025-10-09T13:09:07" u="1"/>
        <d v="2025-09-16T10:01:31" u="1"/>
        <d v="2025-10-07T07:16:03" u="1"/>
        <d v="2025-10-07T14:37:55" u="1"/>
        <d v="2025-10-09T17:11:04" u="1"/>
        <d v="2025-10-06T17:21:09" u="1"/>
        <d v="2025-10-09T18:10:54" u="1"/>
        <d v="2025-10-09T18:30:50" u="1"/>
        <d v="2025-10-09T20:16:59" u="1"/>
        <d v="2025-10-09T20:17:07" u="1"/>
        <d v="2025-10-09T20:17:14" u="1"/>
        <d v="2025-09-22T17:52:17" u="1"/>
        <d v="2025-10-09T09:34:57" u="1"/>
        <d v="2025-10-07T12:55:03" u="1"/>
        <d v="2025-10-09T15:35:06" u="1"/>
        <d v="2025-10-08T17:55:09" u="1"/>
        <d v="2025-10-09T19:31:35" u="1"/>
        <d v="2025-10-09T20:05:37" u="1"/>
        <d v="2025-10-09T13:51:25" u="1"/>
        <d v="2025-10-08T13:24:46" u="1"/>
        <d v="2025-10-09T14:08:55" u="1"/>
        <d v="2025-10-09T20:32:13" u="1"/>
        <d v="2025-10-09T20:34:01" u="1"/>
        <d v="2025-10-03T11:06:38" u="1"/>
        <d v="2025-10-01T23:25:00" u="1"/>
        <d v="2025-10-09T09:54:28" u="1"/>
        <d v="2025-10-09T09:25:31" u="1"/>
        <d v="2025-10-09T12:25:15" u="1"/>
        <d v="2025-10-09T18:14:50" u="1"/>
        <d v="2025-10-08T11:17:17" u="1"/>
        <d v="2025-10-08T18:34:23" u="1"/>
        <d v="2025-10-08T18:34:24" u="1"/>
        <d v="2025-10-08T18:24:24" u="1"/>
        <d v="2025-10-09T17:57:13" u="1"/>
        <d v="2025-10-10T01:36:35" u="1"/>
        <d v="2025-10-08T15:57:14" u="1"/>
        <d v="2025-10-08T17:03:18" u="1"/>
        <d v="2025-10-08T17:05:20" u="1"/>
        <d v="2025-10-08T14:48:09" u="1"/>
        <d v="2025-10-08T14:50:11" u="1"/>
        <d v="2025-10-08T18:03:12" u="1"/>
        <d v="2025-10-08T17:21:14" u="1"/>
        <d v="2025-10-08T12:47:08" u="1"/>
        <d v="2025-10-08T14:51:12" u="1"/>
        <d v="2025-10-08T15:10:15" u="1"/>
        <d v="2025-10-08T21:12:15" u="1"/>
        <d v="2025-10-08T21:13:15" u="1"/>
        <d v="2025-10-08T15:58:05" u="1"/>
        <d v="2025-10-08T21:15:54" u="1"/>
        <d v="2025-10-08T20:16:44" u="1"/>
        <d v="2025-10-08T20:16:18" u="1"/>
        <d v="2025-10-08T20:18:22" u="1"/>
        <d v="2025-10-08T14:13:56" u="1"/>
        <d v="2025-10-08T22:05:44" u="1"/>
        <d v="2025-10-08T14:21:52" u="1"/>
        <d v="2025-10-08T14:24:10" u="1"/>
        <d v="2025-10-08T13:02:29" u="1"/>
        <d v="2025-10-08T13:05:48" u="1"/>
        <d v="2025-10-08T13:41:50" u="1"/>
        <d v="2025-10-08T13:49:46" u="1"/>
        <d v="2025-10-08T13:50:04" u="1"/>
        <d v="2025-10-08T13:27:47" u="1"/>
        <d v="2025-10-08T13:31:44" u="1"/>
        <d v="2025-10-08T14:08:46" u="1"/>
        <d v="2025-10-08T14:50:24" u="1"/>
        <d v="2025-10-08T18:14:25" u="1"/>
        <d v="2025-10-08T18:15:55" u="1"/>
        <d v="2025-10-08T18:29:55" u="1"/>
        <d v="2025-10-08T18:30:08" u="1"/>
        <d v="2025-10-08T18:23:54" u="1"/>
        <d v="2025-10-08T19:15:53" u="1"/>
        <d v="2025-10-08T19:16:14" u="1"/>
        <d v="2025-10-08T18:36:25" u="1"/>
        <d v="2025-10-08T18:43:53" u="1"/>
        <d v="2025-10-08T18:49:54" u="1"/>
        <d v="2025-10-08T18:53:54" u="1"/>
        <d v="2025-10-08T18:57:58" u="1"/>
        <d v="2025-10-08T19:01:55" u="1"/>
        <d v="2025-10-08T19:07:58" u="1"/>
        <d v="2025-10-08T19:08:09" u="1"/>
        <d v="2025-10-08T19:13:55" u="1"/>
        <d v="2025-10-08T11:47:53" u="1"/>
        <d v="2025-10-08T12:12:00" u="1"/>
        <d v="2025-10-08T16:06:02" u="1"/>
        <d v="2025-10-08T13:13:48" u="1"/>
        <d v="2025-10-08T16:09:38" u="1"/>
        <d v="2025-10-07T19:49:44" u="1"/>
        <d v="2025-10-08T09:55:58" u="1"/>
        <d v="2025-10-08T11:15:52" u="1"/>
        <d v="2025-10-08T20:07:51" u="1"/>
        <d v="2025-10-08T20:01:04" u="1"/>
        <d v="2025-10-08T19:43:52" u="1"/>
        <d v="2025-10-08T12:43:44" u="1"/>
        <d v="2025-10-08T17:43:58" u="1"/>
        <d v="2025-10-08T12:49:51" u="1"/>
        <d v="2025-10-08T14:49:54" u="1"/>
        <d v="2025-10-08T16:35:03" u="1"/>
        <d v="2025-10-07T20:47:05" u="1"/>
        <d v="2025-10-08T13:22:57" u="1"/>
        <d v="2025-10-08T13:23:05" u="1"/>
        <d v="2025-10-08T13:23:17" u="1"/>
        <d v="2025-10-08T20:15:40" u="1"/>
        <d v="2025-10-07T07:16:02" u="1"/>
        <d v="2025-10-08T07:53:36" u="1"/>
        <d v="2025-10-07T19:19:00" u="1"/>
        <d v="2025-10-07T19:19:07" u="1"/>
        <d v="2025-10-08T13:35:12" u="1"/>
        <d v="2025-10-08T13:37:33" u="1"/>
        <d v="2025-10-07T19:44:18" u="1"/>
        <d v="2025-10-07T18:51:09" u="1"/>
        <d v="2025-10-07T18:51:34" u="1"/>
        <d v="2025-10-08T16:57:36" u="1"/>
        <d v="2025-10-06T09:45:54" u="1"/>
        <d v="2025-10-07T19:57:50" u="1"/>
        <d v="2025-10-08T20:17:04" u="1"/>
        <d v="2025-10-08T20:17:58" u="1"/>
        <d v="2025-10-07T12:59:07" u="1"/>
        <d v="2025-10-08T19:34:50" u="1"/>
        <d v="2025-10-08T19:35:31" u="1"/>
        <d v="2025-10-08T19:36:04" u="1"/>
        <d v="2025-10-08T13:20:42" u="1"/>
        <d v="2025-10-08T01:02:27" u="1"/>
        <d v="2025-10-08T19:55:04" u="1"/>
        <d v="2025-10-08T20:17:55" u="1"/>
        <d v="2025-10-06T17:50:51" u="1"/>
        <d v="2025-10-07T18:21:32" u="1"/>
        <d v="2025-10-08T18:02:50" u="1"/>
        <d v="2025-10-08T18:21:13" u="1"/>
        <d v="2025-10-08T15:16:24" u="1"/>
        <d v="2025-10-07T13:09:52" u="1"/>
        <d v="2025-10-08T13:30:30" u="1"/>
        <d v="2025-09-06T00:21:47" u="1"/>
        <d v="2025-10-07T12:46:14" u="1"/>
        <d v="2025-10-07T19:26:08" u="1"/>
        <d v="2025-10-07T19:28:21" u="1"/>
        <d v="2025-10-08T13:23:50" u="1"/>
        <d v="2025-10-08T13:24:40" u="1"/>
        <d v="2025-10-08T19:44:30" u="1"/>
        <d v="2025-10-08T19:45:23" u="1"/>
        <d v="2025-10-07T13:02:53" u="1"/>
        <d v="2025-10-07T13:18:11" u="1"/>
        <d v="2025-10-08T13:39:51" u="1"/>
        <d v="2025-10-08T13:40:29" u="1"/>
        <d v="2025-10-08T13:40:48" u="1"/>
        <d v="2025-10-08T13:40:55" u="1"/>
        <d v="2025-09-24T22:31:53" u="1"/>
        <d v="2025-10-07T19:54:20" u="1"/>
        <d v="2025-10-07T19:54:26" u="1"/>
        <d v="2025-10-08T20:11:50" u="1"/>
        <d v="2025-10-08T20:13:04" u="1"/>
        <d v="2025-10-09T01:24:48" u="1"/>
        <d v="2025-10-03T18:33:44" u="1"/>
        <d v="2025-10-03T18:33:48" u="1"/>
        <d v="2025-10-03T18:33:52" u="1"/>
        <d v="2025-09-25T22:46:21" u="1"/>
        <d v="2025-09-25T22:46:24" u="1"/>
        <d v="2025-09-25T22:46:29" u="1"/>
        <d v="2025-09-25T22:46:37" u="1"/>
        <d v="2025-09-25T22:46:41" u="1"/>
        <d v="2025-09-25T22:46:44" u="1"/>
        <d v="2025-09-25T22:46:32" u="1"/>
        <d v="2025-09-29T23:10:39" u="1"/>
        <d v="2025-09-29T23:10:55" u="1"/>
        <d v="2025-09-29T23:10:58" u="1"/>
        <d v="2025-09-29T23:11:03" u="1"/>
        <d v="2025-09-29T23:11:06" u="1"/>
        <d v="2025-09-29T23:11:11" u="1"/>
        <d v="2025-09-29T23:11:14" u="1"/>
        <d v="2025-09-29T23:11:23" u="1"/>
        <d v="2025-09-29T17:26:00" u="1"/>
        <d v="2025-09-29T17:26:04" u="1"/>
        <d v="2025-09-29T17:26:08" u="1"/>
        <d v="2025-09-29T17:26:12" u="1"/>
        <d v="2025-10-07T12:49:31" u="1"/>
        <d v="2025-10-07T12:49:42" u="1"/>
        <d v="2025-10-07T12:49:55" u="1"/>
        <d v="2025-10-07T12:49:58" u="1"/>
        <d v="2025-10-07T12:50:05" u="1"/>
        <d v="2025-10-07T12:49:12" u="1"/>
        <d v="2025-10-07T12:49:15" u="1"/>
        <d v="2025-10-07T12:49:18" u="1"/>
        <d v="2025-10-07T12:49:20" u="1"/>
        <d v="2025-10-07T12:50:09" u="1"/>
        <d v="2025-10-07T12:50:12" u="1"/>
        <d v="2025-10-07T12:50:15" u="1"/>
        <d v="2025-10-07T12:50:21" u="1"/>
        <d v="2025-10-07T12:50:23" u="1"/>
        <d v="2025-10-07T12:50:26" u="1"/>
        <d v="2025-10-07T12:50:28" u="1"/>
        <d v="2025-10-08T19:21:37" u="1"/>
        <d v="2025-10-08T19:21:44" u="1"/>
        <d v="2025-10-09T01:17:35" u="1"/>
        <d v="2025-10-09T01:17:56" u="1"/>
        <d v="2025-10-07T18:59:35" u="1"/>
        <d v="2025-10-07T18:50:45" u="1"/>
        <d v="2025-10-07T17:12:15" u="1"/>
        <d v="2025-10-07T10:17:10" u="1"/>
        <d v="2025-10-07T21:18:10" u="1"/>
        <d v="2025-10-07T23:48:09" u="1"/>
        <d v="2025-10-07T18:20:06" u="1"/>
        <d v="2025-10-07T16:35:06" u="1"/>
        <d v="2025-10-06T16:57:25" u="1"/>
        <d v="2025-10-06T14:11:14" u="1"/>
        <d v="2025-10-07T20:48:48" u="1"/>
        <d v="2025-10-07T20:49:01" u="1"/>
        <d v="2025-09-18T10:16:45" u="1"/>
        <d v="2025-09-16T14:46:30" u="1"/>
        <d v="2025-10-07T20:50:40" u="1"/>
        <d v="2025-10-07T20:50:55" u="1"/>
        <d v="2025-10-07T20:48:43" u="1"/>
        <d v="2025-10-07T20:49:49" u="1"/>
        <d v="2025-10-01T18:41:21" u="1"/>
        <d v="2025-10-07T17:40:05" u="1"/>
        <d v="2025-10-07T18:05:54" u="1"/>
        <d v="2025-10-07T17:30:26" u="1"/>
        <d v="2025-10-07T17:30:30" u="1"/>
        <d v="2025-10-07T16:14:16" u="1"/>
        <d v="2025-10-07T19:59:45" u="1"/>
        <d v="2025-10-07T20:03:46" u="1"/>
        <d v="2025-10-07T16:53:51" u="1"/>
        <d v="2025-10-07T19:55:41" u="1"/>
        <d v="2025-10-07T19:08:17" u="1"/>
        <d v="2025-09-10T00:20:17" u="1"/>
        <d v="2025-10-06T15:56:19" u="1"/>
        <d v="2025-10-07T20:49:07" u="1"/>
        <d v="2025-10-07T17:16:37" u="1"/>
        <d v="2025-10-04T11:48:14" u="1"/>
        <d v="2025-10-07T19:42:40" u="1"/>
        <d v="2025-10-07T19:42:58" u="1"/>
        <d v="2025-10-07T18:52:08" u="1"/>
        <d v="2025-10-06T18:33:28" u="1"/>
        <d v="2025-10-06T17:31:47" u="1"/>
        <d v="2025-10-06T19:02:03" u="1"/>
        <d v="2025-10-06T18:32:14" u="1"/>
        <d v="2025-09-17T12:47:23" u="1"/>
        <d v="2025-10-06T16:07:12" u="1"/>
        <d v="2025-10-07T18:27:17" u="1"/>
        <d v="2025-10-06T16:45:53" u="1"/>
        <d v="2025-10-06T16:46:05" u="1"/>
        <d v="2025-10-03T11:15:52" u="1"/>
        <d v="2025-10-03T14:25:59" u="1"/>
        <d v="2025-10-01T18:17:10" u="1"/>
        <d v="2025-10-01T18:25:42" u="1"/>
        <d v="2025-10-01T18:25:58" u="1"/>
        <d v="2025-10-01T18:26:08" u="1"/>
        <d v="2025-10-01T18:26:18" u="1"/>
        <d v="2025-10-01T18:36:27" u="1"/>
        <d v="2025-09-20T09:57:51" u="1"/>
        <d v="2025-09-20T09:57:54" u="1"/>
        <d v="2025-09-19T13:38:57" u="1"/>
        <d v="2025-09-19T13:39:05" u="1"/>
        <d v="2025-09-19T10:22:25" u="1"/>
        <d v="2025-09-16T12:38:19" u="1"/>
        <d v="2025-10-07T14:56:07" u="1"/>
        <d v="2025-10-07T10:07:24" u="1"/>
        <d v="2025-10-07T08:56:03" u="1"/>
        <d v="2025-09-29T16:36:56" u="1"/>
        <d v="2025-09-29T16:37:00" u="1"/>
        <d v="2025-09-09T18:05:26" u="1"/>
        <d v="2025-09-17T16:30:01" u="1"/>
        <d v="2025-10-02T09:35:46" u="1"/>
        <d v="2025-09-23T12:34:50" u="1"/>
        <d v="2025-09-08T10:50:16" u="1"/>
        <d v="2025-10-01T16:38:16" u="1"/>
        <d v="2025-10-01T16:38:14" u="1"/>
        <d v="2025-09-19T18:14:35" u="1"/>
        <d v="2025-10-07T15:56:14" u="1"/>
        <d v="2025-10-07T16:26:09" u="1"/>
        <d v="2025-10-07T19:18:50" u="1"/>
        <d v="2025-10-07T14:37:04" u="1"/>
        <d v="2025-10-07T14:37:54" u="1"/>
        <d v="2025-10-08T01:05:29" u="1"/>
        <d v="2025-10-07T15:58:19" u="1"/>
        <d v="2025-10-07T20:50:46" u="1"/>
        <d v="2025-10-07T20:50:23" u="1"/>
        <d v="2025-10-07T20:51:09" u="1"/>
        <d v="2025-10-07T20:51:14" u="1"/>
        <d v="2025-10-07T20:51:20" u="1"/>
        <d v="2025-10-07T20:51:25" u="1"/>
        <d v="2025-10-07T20:51:29" u="1"/>
        <d v="2025-10-07T20:51:34" u="1"/>
        <d v="2025-10-06T12:55:20" u="1"/>
        <d v="2025-10-04T00:01:21" u="1"/>
        <d v="2025-09-05T15:35:49" u="1"/>
        <d v="2025-09-05T15:26:50" u="1"/>
        <d v="2025-09-29T16:26:48" u="1"/>
        <d v="2025-09-16T17:15:47" u="1"/>
        <d v="2025-10-07T19:26:54" u="1"/>
        <d v="2025-10-07T00:56:42" u="1"/>
        <d v="2025-10-07T00:56:46" u="1"/>
        <d v="2025-10-07T19:54:08" u="1"/>
        <d v="2025-10-07T11:54:52" u="1"/>
        <d v="2025-10-07T11:54:53" u="1"/>
        <d v="2025-10-07T11:54:54" u="1"/>
        <d v="2025-10-07T20:48:56" u="1"/>
        <d v="2025-10-07T19:37:26" u="1"/>
        <d v="2025-09-30T18:01:07" u="1"/>
        <d v="2025-09-30T17:12:45" u="1"/>
        <d v="2025-09-29T22:57:18" u="1"/>
        <d v="2025-09-30T17:12:56" u="1"/>
        <d v="2025-09-26T22:01:23" u="1"/>
        <d v="2025-10-06T12:53:39" u="1"/>
        <d v="2025-10-07T11:25:50" u="1"/>
        <d v="2025-09-24T14:49:43" u="1"/>
        <d v="2025-09-11T18:47:11" u="1"/>
        <d v="2025-09-08T09:56:05" u="1"/>
        <d v="2025-09-24T14:49:40" u="1"/>
        <d v="2025-10-02T11:17:38" u="1"/>
        <d v="2025-10-02T10:32:20" u="1"/>
        <d v="2025-10-01T15:42:39" u="1"/>
        <d v="2025-10-02T23:27:34" u="1"/>
        <d v="2025-10-03T16:38:45" u="1"/>
        <d v="2025-10-02T15:23:33" u="1"/>
        <d v="2025-10-02T09:11:14" u="1"/>
        <d v="2025-10-02T17:02:16" u="1"/>
        <d v="2025-10-02T17:11:57" u="1"/>
        <d v="2025-10-04T20:01:18" u="1"/>
        <d v="2025-10-03T16:48:10" u="1"/>
        <d v="2025-10-03T17:14:10" u="1"/>
        <d v="2025-10-03T14:06:12" u="1"/>
        <d v="2025-10-03T18:07:14" u="1"/>
        <d v="2025-10-03T17:58:09" u="1"/>
        <d v="2025-10-03T18:16:18" u="1"/>
        <d v="2025-10-05T09:54:11" u="1"/>
        <d v="2025-10-05T17:48:08" u="1"/>
        <d v="2025-10-04T21:24:10" u="1"/>
        <d v="2025-10-04T21:31:12" u="1"/>
        <d v="2025-10-04T13:22:08" u="1"/>
        <d v="2025-10-05T19:49:10" u="1"/>
        <d v="2025-10-05T20:07:12" u="1"/>
        <d v="2025-10-03T15:51:06" u="1"/>
        <d v="2025-09-22T16:27:12" u="1"/>
        <d v="2025-09-05T18:02:46" u="1"/>
        <d v="2025-10-05T17:44:00" u="1"/>
        <d v="2025-10-05T15:24:47" u="1"/>
        <d v="2025-10-05T17:54:57" u="1"/>
        <d v="2025-09-30T15:08:25" u="1"/>
        <d v="2025-10-02T10:45:46" u="1"/>
        <d v="2025-10-02T11:54:54" u="1"/>
        <d v="2025-10-05T17:55:41" u="1"/>
        <d v="2025-09-17T09:16:57" u="1"/>
        <d v="2025-10-01T16:02:06" u="1"/>
        <d v="2025-10-02T13:41:45" u="1"/>
        <d v="2025-10-01T13:21:42" u="1"/>
        <d v="2025-09-29T15:33:54" u="1"/>
        <d v="2025-10-02T10:41:37" u="1"/>
        <d v="2025-10-02T10:31:30" u="1"/>
        <d v="2025-10-03T10:16:27" u="1"/>
        <d v="2025-09-30T15:09:26" u="1"/>
        <d v="2025-10-04T22:21:11" u="1"/>
        <d v="2025-10-05T17:55:46" u="1"/>
        <d v="2025-10-04T10:01:29" u="1"/>
        <d v="2025-10-03T17:54:02" u="1"/>
        <d v="2025-10-03T19:07:56" u="1"/>
        <d v="2025-10-05T11:00:13" u="1"/>
        <d v="2025-10-03T18:24:08" u="1"/>
        <d v="2025-10-04T10:15:49" u="1"/>
        <d v="2025-10-03T19:02:50" u="1"/>
        <d v="2025-10-03T19:06:01" u="1"/>
        <d v="2025-10-03T19:12:10" u="1"/>
        <d v="2025-10-03T19:43:54" u="1"/>
        <d v="2025-10-03T20:02:01" u="1"/>
        <d v="2025-10-03T20:31:42" u="1"/>
        <d v="2025-10-03T20:53:48" u="1"/>
        <d v="2025-10-03T20:55:48" u="1"/>
        <d v="2025-10-04T17:58:00" u="1"/>
        <d v="2025-10-04T18:01:58" u="1"/>
        <d v="2025-10-03T18:58:40" u="1"/>
        <d v="2025-10-03T19:02:11" u="1"/>
        <d v="2025-10-04T20:39:54" u="1"/>
        <d v="2025-10-04T14:25:48" u="1"/>
        <d v="2025-10-04T17:18:18" u="1"/>
        <d v="2025-10-05T14:55:43" u="1"/>
        <d v="2025-10-03T17:28:27" u="1"/>
        <d v="2025-10-03T15:36:02" u="1"/>
        <d v="2025-10-03T15:40:22" u="1"/>
        <d v="2025-10-03T16:50:25" u="1"/>
        <d v="2025-10-03T17:00:10" u="1"/>
        <d v="2025-10-03T17:02:07" u="1"/>
        <d v="2025-10-03T10:35:51" u="1"/>
        <d v="2025-10-03T10:47:48" u="1"/>
        <d v="2025-10-02T18:42:25" u="1"/>
        <d v="2025-10-02T18:46:18" u="1"/>
        <d v="2025-10-02T18:51:57" u="1"/>
        <d v="2025-10-02T18:52:13" u="1"/>
        <d v="2025-10-02T19:00:27" u="1"/>
        <d v="2025-10-02T19:03:54" u="1"/>
        <d v="2025-10-02T19:08:14" u="1"/>
        <d v="2025-10-03T16:38:24" u="1"/>
        <d v="2025-10-03T16:56:12" u="1"/>
        <d v="2025-10-03T16:28:05" u="1"/>
        <d v="2025-09-30T15:06:15" u="1"/>
        <d v="2025-10-05T17:44:46" u="1"/>
        <d v="2025-09-17T14:31:45" u="1"/>
        <d v="2025-09-18T17:37:07" u="1"/>
        <d v="2025-09-18T17:46:51" u="1"/>
        <d v="2025-10-03T17:57:13" u="1"/>
        <d v="2025-10-03T17:57:27" u="1"/>
        <d v="2025-09-22T16:25:07" u="1"/>
        <d v="2025-09-26T14:03:22" u="1"/>
        <d v="2025-09-24T11:02:39" u="1"/>
        <d v="2025-09-24T11:02:34" u="1"/>
        <d v="2025-09-29T17:01:24" u="1"/>
        <d v="2025-10-03T09:03:20" u="1"/>
        <d v="2025-10-01T18:03:55" u="1"/>
        <d v="2025-09-29T14:01:39" u="1"/>
        <d v="2025-10-03T15:03:44" u="1"/>
        <d v="2025-10-03T15:03:43" u="1"/>
        <d v="2025-10-03T17:57:04" u="1"/>
        <d v="2025-10-02T17:49:48" u="1"/>
        <d v="2025-09-26T22:11:59" u="1"/>
        <d v="2025-10-04T00:08:58" u="1"/>
        <d v="2025-10-03T17:54:36" u="1"/>
        <d v="2025-10-03T17:52:35" u="1"/>
        <d v="2025-10-03T17:52:27" u="1"/>
        <d v="2025-10-04T17:51:31" u="1"/>
        <d v="2025-09-16T18:36:18" u="1"/>
        <d v="2025-10-03T17:51:03" u="1"/>
        <d v="2025-10-03T17:55:06" u="1"/>
        <d v="2025-09-17T18:30:34" u="1"/>
        <d v="2025-09-26T15:13:54" u="1"/>
        <d v="2025-09-24T15:25:33" u="1"/>
        <d v="2025-10-01T10:54:28" u="1"/>
        <d v="2025-10-03T18:37:22" u="1"/>
        <d v="2025-10-06T00:15:37" u="1"/>
        <d v="2025-09-17T18:30:56" u="1"/>
        <d v="2025-09-25T16:18:58" u="1"/>
        <d v="2025-09-25T13:25:42" u="1"/>
        <d v="2025-09-26T16:25:12" u="1"/>
        <d v="2025-10-05T17:44:55" u="1"/>
        <d v="2025-10-05T17:45:24" u="1"/>
        <d v="2025-10-05T17:55:30" u="1"/>
        <d v="2025-10-05T17:45:05" u="1"/>
        <d v="2025-09-30T14:57:47" u="1"/>
        <d v="2025-10-01T17:36:01" u="1"/>
        <d v="2025-09-29T15:37:34" u="1"/>
        <d v="2025-10-03T18:16:30" u="1"/>
        <d v="2025-10-03T18:16:40" u="1"/>
        <d v="2025-10-05T17:45:10" u="1"/>
        <d v="2025-10-01T15:26:10" u="1"/>
        <d v="2025-10-02T18:45:45" u="1"/>
        <d v="2025-09-02T12:46:38" u="1"/>
        <d v="2025-09-17T13:56:06" u="1"/>
        <d v="2025-09-17T14:10:02" u="1"/>
        <d v="2025-09-17T14:10:04" u="1"/>
        <d v="2025-10-03T09:34:56" u="1"/>
        <d v="2025-10-03T13:55:27" u="1"/>
        <d v="2025-10-03T14:24:37" u="1"/>
        <d v="2025-10-03T16:05:55" u="1"/>
        <d v="2025-10-03T17:41:38" u="1"/>
        <d v="2025-09-22T14:12:03" u="1"/>
        <d v="2025-09-29T22:26:15" u="1"/>
        <d v="2025-02-20T21:54:40" u="1"/>
        <d v="2025-09-23T13:40:51" u="1"/>
        <d v="2025-10-02T18:05:45" u="1"/>
        <d v="2025-10-02T18:09:25" u="1"/>
        <d v="2025-09-15T09:45:52" u="1"/>
        <d v="2025-09-26T14:57:11" u="1"/>
        <d v="2025-09-26T14:57:13" u="1"/>
        <d v="2025-09-26T14:57:15" u="1"/>
        <d v="2025-09-26T15:08:39" u="1"/>
        <d v="2025-09-26T15:08:44" u="1"/>
        <d v="2025-09-26T15:08:47" u="1"/>
        <d v="2025-09-26T14:47:34" u="1"/>
        <d v="2025-10-03T16:12:29" u="1"/>
        <d v="2025-09-22T17:52:18" u="1"/>
        <d v="2025-09-22T12:55:56" u="1"/>
        <d v="2025-10-02T08:55:57" u="1"/>
        <d v="2025-10-01T10:58:34" u="1"/>
        <d v="2025-10-03T14:55:08" u="1"/>
        <d v="2025-10-03T11:36:01" u="1"/>
        <d v="2025-10-05T15:24:52" u="1"/>
        <d v="2025-10-05T17:45:00" u="1"/>
        <d v="2025-10-03T17:05:53" u="1"/>
        <d v="2025-10-03T17:51:34" u="1"/>
        <d v="2025-10-03T17:51:40" u="1"/>
        <d v="2025-10-03T13:02:30" u="1"/>
        <d v="2025-10-01T23:10:58" u="1"/>
        <d v="2025-10-03T18:10:29" u="1"/>
        <d v="2025-10-03T23:55:28" u="1"/>
        <d v="2025-10-03T23:55:29" u="1"/>
        <d v="2025-10-03T23:55:30" u="1"/>
        <d v="2025-10-03T23:56:38" u="1"/>
        <d v="2025-10-03T23:56:49" u="1"/>
        <d v="2025-09-30T15:09:55" u="1"/>
        <d v="2025-10-05T15:14:56" u="1"/>
        <d v="2025-10-02T15:11:21" u="1"/>
        <d v="2025-10-03T18:10:33" u="1"/>
        <d v="2025-10-02T16:46:35" u="1"/>
        <d v="2025-10-05T17:34:36" u="1"/>
        <d v="2025-10-02T15:27:49" u="1"/>
        <d v="2025-09-05T19:38:58" u="1"/>
        <d v="2025-10-03T18:14:04" u="1"/>
        <d v="2025-10-03T18:14:07" u="1"/>
        <d v="2025-10-03T23:58:44" u="1"/>
        <d v="2025-09-25T15:44:21" u="1"/>
        <d v="2025-09-30T10:37:35" u="1"/>
        <d v="2025-09-30T10:37:36" u="1"/>
        <d v="2025-10-03T11:27:46" u="1"/>
        <d v="2025-09-10T00:37:37" u="1"/>
        <d v="2025-10-03T11:43:00" u="1"/>
        <d v="2025-10-03T11:45:37" u="1"/>
        <d v="2025-10-03T11:51:44" u="1"/>
        <d v="2025-10-03T23:51:36" u="1"/>
        <d v="2025-09-26T15:43:45" u="1"/>
        <d v="2025-10-03T17:58:59" u="1"/>
        <d v="2025-10-03T17:59:03" u="1"/>
        <d v="2025-10-03T17:59:19" u="1"/>
        <d v="2025-10-04T17:51:38" u="1"/>
        <d v="2025-10-02T18:00:32" u="1"/>
        <d v="2025-10-03T18:34:23" u="1"/>
        <d v="2025-10-04T17:52:41" u="1"/>
        <d v="2025-10-01T12:45:51" u="1"/>
        <d v="2025-10-01T16:28:34" u="1"/>
        <d v="2025-09-29T12:39:14" u="1"/>
        <d v="2025-09-24T19:44:07" u="1"/>
        <d v="2025-09-29T11:49:25" u="1"/>
        <d v="2025-09-29T11:31:19" u="1"/>
        <d v="2025-09-25T10:54:43" u="1"/>
        <d v="2025-09-22T17:32:46" u="1"/>
        <d v="2025-09-23T09:04:56" u="1"/>
        <d v="2025-10-03T16:34:34" u="1"/>
        <d v="2025-10-03T13:44:41" u="1"/>
        <d v="2025-10-02T08:46:32" u="1"/>
        <d v="2025-10-02T18:24:40" u="1"/>
        <d v="2025-10-02T12:06:38" u="1"/>
        <d v="2025-10-02T12:06:39" u="1"/>
        <d v="2025-10-02T14:05:17" u="1"/>
        <d v="2025-10-02T10:05:38" u="1"/>
        <d v="2025-10-03T16:25:10" u="1"/>
        <d v="2025-10-02T11:07:29" u="1"/>
        <d v="2025-09-29T16:55:35" u="1"/>
        <d v="2025-10-01T17:08:01" u="1"/>
        <d v="2025-09-30T14:37:02" u="1"/>
        <d v="2025-09-30T18:24:49" u="1"/>
        <d v="2025-09-30T17:35:41" u="1"/>
        <d v="2025-10-03T15:20:53" u="1"/>
        <d v="2025-10-03T15:52:08" u="1"/>
        <d v="2025-10-01T18:22:03" u="1"/>
        <d v="2025-10-05T15:24:42" u="1"/>
        <d v="2025-10-05T15:54:44" u="1"/>
        <d v="2025-10-03T17:38:16" u="1"/>
        <d v="2025-10-03T23:40:01" u="1"/>
        <d v="2025-10-03T23:40:03" u="1"/>
        <d v="2025-10-03T23:40:12" u="1"/>
        <d v="2025-10-03T23:39:34" u="1"/>
        <d v="2025-10-01T18:11:29" u="1"/>
        <d v="2025-10-01T10:02:05" u="1"/>
        <d v="2025-09-30T11:35:39" u="1"/>
        <d v="2025-09-30T16:11:30" u="1"/>
        <d v="2025-09-29T15:34:05" u="1"/>
        <d v="2025-10-01T22:39:09" u="1"/>
        <d v="2025-10-01T07:10:07" u="1"/>
        <d v="2025-10-01T07:11:07" u="1"/>
        <d v="2025-09-30T14:52:21" u="1"/>
        <d v="2025-09-18T16:47:20" u="1"/>
        <d v="2025-10-01T17:51:03" u="1"/>
        <d v="2025-10-01T17:51:14" u="1"/>
        <d v="2025-09-25T11:52:20" u="1"/>
        <d v="2025-10-01T15:27:00" u="1"/>
        <d v="2025-09-22T08:51:41" u="1"/>
        <d v="2025-10-01T11:41:49" u="1"/>
        <d v="2025-10-01T17:36:08" u="1"/>
        <d v="2025-09-17T15:47:09" u="1"/>
        <d v="2025-09-30T14:53:47" u="1"/>
        <d v="2025-10-01T17:36:32" u="1"/>
        <d v="2025-10-01T18:11:35" u="1"/>
        <d v="2025-10-01T17:37:42" u="1"/>
        <d v="2025-10-01T20:49:49" u="1"/>
        <d v="2025-10-01T17:34:04" u="1"/>
        <d v="2025-10-01T17:34:05" u="1"/>
        <d v="2025-10-01T17:56:01" u="1"/>
        <d v="2025-10-01T18:20:30" u="1"/>
        <d v="2025-10-01T14:09:55" u="1"/>
        <d v="2025-10-01T14:37:56" u="1"/>
        <d v="2025-10-01T16:22:30" u="1"/>
        <d v="2025-10-01T09:23:48" u="1"/>
        <d v="2025-09-26T14:48:27" u="1"/>
        <d v="2025-09-26T14:48:30" u="1"/>
        <d v="2025-10-01T17:56:17" u="1"/>
        <d v="2025-10-01T17:49:36" u="1"/>
        <d v="2025-09-22T09:56:10" u="1"/>
        <d v="2025-09-18T11:21:12" u="1"/>
        <d v="2025-09-15T18:34:29" u="1"/>
        <d v="2025-09-25T19:43:54" u="1"/>
        <d v="2025-10-01T17:07:12" u="1"/>
        <d v="2025-10-01T17:07:21" u="1"/>
        <d v="2025-10-01T13:21:52" u="1"/>
        <d v="2025-09-25T11:14:46" u="1"/>
        <d v="2025-09-26T11:09:52" u="1"/>
        <d v="2025-10-01T13:26:02" u="1"/>
        <d v="2025-09-30T20:25:02" u="1"/>
        <d v="2025-09-26T13:46:22" u="1"/>
        <d v="2025-09-26T13:35:20" u="1"/>
        <d v="2025-10-01T10:26:58" u="1"/>
        <d v="2025-09-17T12:35:33" u="1"/>
        <d v="2025-10-01T11:05:35" u="1"/>
        <d v="2025-10-01T23:13:14" u="1"/>
        <d v="2025-09-14T11:05:17" u="1"/>
        <d v="2025-09-04T18:06:19" u="1"/>
        <d v="2025-09-17T14:04:30" u="1"/>
        <d v="2025-09-17T14:04:53" u="1"/>
        <d v="2025-09-15T16:01:42" u="1"/>
        <d v="2025-09-04T08:32:52" u="1"/>
        <d v="2025-09-18T09:04:26" u="1"/>
        <d v="2025-10-02T05:03:08" u="1"/>
        <d v="2025-09-25T16:04:04" u="1"/>
        <d v="2025-09-22T16:21:58" u="1"/>
        <d v="2025-09-30T19:02:21" u="1"/>
        <d v="2025-10-01T23:21:48" u="1"/>
        <d v="2025-10-01T17:48:17" u="1"/>
        <d v="2025-09-10T00:42:59" u="1"/>
        <d v="2025-09-22T20:39:40" u="1"/>
        <d v="2025-10-01T17:16:37" u="1"/>
        <d v="2025-09-18T00:16:08" u="1"/>
        <d v="2025-09-18T00:16:07" u="1"/>
        <d v="2025-09-23T20:35:18" u="1"/>
        <d v="2025-09-18T18:54:02" u="1"/>
        <d v="2025-09-17T18:30:39" u="1"/>
        <d v="2025-09-17T18:30:55" u="1"/>
        <d v="2025-09-17T18:30:33" u="1"/>
        <d v="2025-09-26T15:26:27" u="1"/>
        <d v="2025-10-01T17:38:07" u="1"/>
        <d v="2025-10-01T18:55:56" u="1"/>
        <d v="2025-10-01T19:05:30" u="1"/>
        <d v="2025-10-01T17:36:55" u="1"/>
        <d v="2025-10-01T18:16:59" u="1"/>
        <d v="2025-09-11T16:17:41" u="1"/>
        <d v="2025-09-11T16:17:55" u="1"/>
        <d v="2025-09-11T16:18:13" u="1"/>
        <d v="2025-09-11T16:18:47" u="1"/>
        <d v="2025-09-30T18:25:48" u="1"/>
        <d v="2025-10-01T18:16:49" u="1"/>
        <d v="2025-09-17T20:14:42" u="1"/>
        <d v="2025-09-16T19:30:37" u="1"/>
        <d v="2025-09-12T13:46:04" u="1"/>
        <d v="2025-09-30T11:37:29" u="1"/>
        <d v="2025-09-11T17:15:49" u="1"/>
        <d v="2025-10-01T17:39:15" u="1"/>
        <d v="2025-09-30T22:42:57" u="1"/>
        <d v="2025-09-13T00:24:32" u="1"/>
        <d v="2025-09-30T22:41:07" u="1"/>
        <d v="2025-10-01T11:20:34" u="1"/>
        <d v="2025-10-01T18:25:12" u="1"/>
        <d v="2025-10-01T18:25:47" u="1"/>
        <d v="2025-10-01T23:30:38" u="1"/>
        <d v="2025-10-01T23:30:53" u="1"/>
        <d v="2025-10-01T11:20:17" u="1"/>
        <d v="2025-10-01T11:20:29" u="1"/>
        <d v="2025-09-30T10:43:29" u="1"/>
        <d v="2025-09-30T17:39:06" u="1"/>
        <d v="2025-09-29T17:41:53" u="1"/>
        <d v="2025-09-18T20:03:25" u="1"/>
        <d v="2025-09-15T19:20:14" u="1"/>
        <d v="2025-09-29T18:35:08" u="1"/>
        <d v="2025-09-29T18:35:09" u="1"/>
        <d v="2025-09-29T18:35:10" u="1"/>
        <d v="2025-09-30T14:47:03" u="1"/>
        <d v="2025-09-30T14:47:04" u="1"/>
        <d v="2025-09-26T13:05:57" u="1"/>
        <d v="2025-09-26T13:05:58" u="1"/>
        <d v="2025-09-26T13:06:00" u="1"/>
        <d v="2025-09-26T13:05:55" u="1"/>
        <d v="2025-09-29T14:50:55" u="1"/>
        <d v="2025-09-29T14:50:59" u="1"/>
        <d v="2025-09-29T14:51:03" u="1"/>
        <d v="2025-09-29T14:51:06" u="1"/>
        <d v="2025-09-29T14:51:09" u="1"/>
        <d v="2025-09-29T14:51:12" u="1"/>
        <d v="2025-09-29T14:51:20" u="1"/>
        <d v="2025-09-29T14:51:31" u="1"/>
        <d v="2025-09-29T14:51:43" u="1"/>
        <d v="2025-09-29T14:51:49" u="1"/>
        <d v="2025-09-29T16:37:27" u="1"/>
        <d v="2025-09-29T14:50:48" u="1"/>
        <d v="2025-09-29T14:50:52" u="1"/>
        <d v="2025-09-30T16:17:01" u="1"/>
        <d v="2025-09-30T16:17:03" u="1"/>
        <d v="2025-10-01T17:21:25" u="1"/>
        <d v="2025-10-01T16:15:05" u="1"/>
        <d v="2025-10-01T16:15:10" u="1"/>
        <d v="2025-10-01T16:35:18" u="1"/>
        <d v="2025-10-01T11:01:17" u="1"/>
        <d v="2025-09-09T16:01:12" u="1"/>
        <d v="2025-09-12T08:41:56" u="1"/>
        <d v="2025-09-18T11:04:10" u="1"/>
        <d v="2025-09-22T16:07:19" u="1"/>
        <d v="2025-09-04T15:03:55" u="1"/>
        <d v="2025-09-10T14:00:57" u="1"/>
        <d v="2025-09-10T14:01:03" u="1"/>
        <d v="2025-09-10T14:01:06" u="1"/>
        <d v="2025-09-08T16:01:39" u="1"/>
        <d v="2025-09-16T15:02:33" u="1"/>
        <d v="2025-09-18T17:04:29" u="1"/>
        <d v="2025-09-19T14:06:18" u="1"/>
        <d v="2025-09-18T12:04:15" u="1"/>
        <d v="2025-09-18T12:04:23" u="1"/>
        <d v="2025-09-18T12:04:25" u="1"/>
        <d v="2025-09-18T20:03:44" u="1"/>
        <d v="2025-09-16T10:02:14" u="1"/>
        <d v="2025-09-16T10:02:19" u="1"/>
        <d v="2025-09-16T11:01:22" u="1"/>
        <d v="2025-09-15T17:02:19" u="1"/>
        <d v="2025-09-15T17:02:38" u="1"/>
        <d v="2025-09-15T17:02:41" u="1"/>
        <d v="2025-09-16T18:04:37" u="1"/>
        <d v="2025-09-15T17:02:27" u="1"/>
        <d v="2025-09-15T17:02:30" u="1"/>
        <d v="2025-09-15T17:02:34" u="1"/>
        <d v="2025-09-15T17:02:44" u="1"/>
        <d v="2025-09-14T11:05:32" u="1"/>
        <d v="2025-09-14T11:07:05" u="1"/>
        <d v="2025-09-14T11:07:16" u="1"/>
        <d v="2025-09-14T15:01:20" u="1"/>
        <d v="2025-09-15T09:02:36" u="1"/>
        <d v="2025-09-15T14:01:30" u="1"/>
        <d v="2025-09-15T10:03:03" u="1"/>
        <d v="2025-09-29T18:00:45" u="1"/>
        <d v="2025-10-01T18:00:50" u="1"/>
        <d v="2025-09-29T14:01:42" u="1"/>
        <d v="2025-09-27T06:02:26" u="1"/>
        <d v="2025-09-22T16:24:02" u="1"/>
        <d v="2025-09-30T10:01:59" u="1"/>
        <d v="2025-09-30T10:02:00" u="1"/>
        <d v="2025-10-01T11:04:02" u="1"/>
        <d v="2025-09-24T09:04:21" u="1"/>
        <d v="2025-09-22T19:02:46" u="1"/>
        <d v="2025-09-24T19:04:19" u="1"/>
        <d v="2025-10-01T14:02:21" u="1"/>
        <d v="2025-10-01T17:36:23" u="1"/>
        <d v="2025-10-01T09:20:30" u="1"/>
        <d v="2025-10-01T09:20:47" u="1"/>
        <d v="2025-10-01T15:21:09" u="1"/>
        <d v="2025-10-01T15:51:29" u="1"/>
        <d v="2025-10-01T15:21:14" u="1"/>
        <d v="2025-10-01T16:40:48" u="1"/>
        <d v="2025-09-25T11:51:48" u="1"/>
        <d v="2025-09-19T16:09:35" u="1"/>
        <d v="2025-09-12T19:17:46" u="1"/>
        <d v="2025-09-12T06:46:56" u="1"/>
        <d v="2025-09-15T11:04:02" u="1"/>
        <d v="2025-09-04T12:49:34" u="1"/>
        <d v="2025-09-12T06:53:54" u="1"/>
        <d v="2025-09-12T06:53:41" u="1"/>
        <d v="2025-09-04T12:53:15" u="1"/>
        <d v="2025-09-04T12:53:21" u="1"/>
        <d v="2025-09-12T16:02:06" u="1"/>
        <d v="2025-09-12T16:03:18" u="1"/>
        <d v="2025-09-11T21:33:19" u="1"/>
        <d v="2025-09-12T06:49:27" u="1"/>
        <d v="2025-09-12T06:52:49" u="1"/>
        <d v="2025-09-11T15:03:01" u="1"/>
        <d v="2025-09-12T09:32:18" u="1"/>
        <d v="2025-09-22T16:41:48" u="1"/>
        <d v="2025-09-19T12:36:00" u="1"/>
        <d v="2025-09-19T16:31:09" u="1"/>
        <d v="2025-09-19T16:07:20" u="1"/>
        <d v="2025-09-19T16:07:39" u="1"/>
        <d v="2025-09-19T16:08:42" u="1"/>
        <d v="2025-09-19T16:09:43" u="1"/>
        <d v="2025-09-19T16:10:12" u="1"/>
        <d v="2025-09-15T17:33:07" u="1"/>
        <d v="2025-09-16T18:15:51" u="1"/>
        <d v="2025-09-16T18:19:13" u="1"/>
        <d v="2025-09-16T18:21:00" u="1"/>
        <d v="2025-09-29T15:32:23" u="1"/>
        <d v="2025-09-30T11:32:32" u="1"/>
        <d v="2025-09-29T19:02:26" u="1"/>
        <d v="2025-09-29T19:03:36" u="1"/>
        <d v="2025-09-29T19:03:49" u="1"/>
        <d v="2025-10-01T17:31:11" u="1"/>
        <d v="2025-09-30T18:02:13" u="1"/>
        <d v="2025-09-30T18:01:47" u="1"/>
        <d v="2025-10-01T11:11:02" u="1"/>
        <d v="2025-09-25T21:50:59" u="1"/>
        <d v="2025-09-23T11:41:17" u="1"/>
        <d v="2025-09-29T15:32:27" u="1"/>
        <d v="2025-09-26T20:11:14" u="1"/>
        <d v="2025-09-26T18:03:56" u="1"/>
        <d v="2025-09-12T11:26:37" u="1"/>
        <d v="2025-09-30T11:37:26" u="1"/>
        <d v="2025-09-30T11:15:23" u="1"/>
        <d v="2025-09-30T11:15:24" u="1"/>
        <d v="2025-09-30T11:28:08" u="1"/>
        <d v="2025-09-30T11:05:24" u="1"/>
        <d v="2024-12-23T14:07:56" u="1"/>
        <d v="2025-09-22T20:00:07" u="1"/>
        <d v="2025-09-30T10:39:14" u="1"/>
        <d v="2025-10-01T16:52:26" u="1"/>
        <d v="2025-10-01T11:06:37" u="1"/>
        <d v="2025-10-01T17:26:45" u="1"/>
        <d v="2025-09-22T20:46:25" u="1"/>
        <d v="2025-10-01T17:24:11" u="1"/>
        <d v="2025-10-01T23:15:43" u="1"/>
        <d v="2025-09-22T20:49:20" u="1"/>
        <d v="2025-10-01T17:26:05" u="1"/>
        <d v="2025-09-24T14:51:17" u="1"/>
        <d v="2025-09-29T23:13:20" u="1"/>
        <d v="2025-09-29T23:13:23" u="1"/>
        <d v="2025-10-01T18:13:06" u="1"/>
        <d v="2025-10-01T18:15:05" u="1"/>
        <d v="2025-10-01T23:27:08" u="1"/>
        <d v="2025-10-01T23:27:36" u="1"/>
        <d v="2025-10-01T23:27:48" u="1"/>
        <d v="2025-10-01T23:28:14" u="1"/>
        <d v="2025-10-01T11:18:36" u="1"/>
        <d v="2025-09-30T15:00:32" u="1"/>
        <d v="2025-09-24T19:14:28" u="1"/>
        <d v="2025-09-30T12:18:59" u="1"/>
        <d v="2025-09-30T10:13:07" u="1"/>
        <d v="2025-10-01T17:07:39" u="1"/>
        <d v="2025-09-10T22:46:00" u="1"/>
        <d v="2025-10-01T17:21:11" u="1"/>
        <d v="2025-10-01T14:56:51" u="1"/>
        <d v="2025-10-01T17:36:24" u="1"/>
        <d v="2025-09-30T17:12:36" u="1"/>
        <d v="2025-09-17T18:10:20" u="1"/>
        <d v="2025-09-29T16:19:29" u="1"/>
        <d v="2025-09-29T16:19:28" u="1"/>
        <d v="2025-09-30T15:51:54" u="1"/>
        <d v="2025-09-30T16:01:21" u="1"/>
        <d v="2025-09-30T22:13:05" u="1"/>
        <d v="2025-09-30T15:36:12" u="1"/>
        <d v="2025-09-30T15:45:14" u="1"/>
        <d v="2025-09-30T17:00:12" u="1"/>
        <d v="2025-09-30T22:39:11" u="1"/>
        <d v="2025-09-30T18:04:31" u="1"/>
        <d v="2025-09-30T21:24:11" u="1"/>
        <d v="2025-09-30T15:13:49" u="1"/>
        <d v="2025-09-30T18:04:15" u="1"/>
        <d v="2025-09-29T19:04:38" u="1"/>
        <d v="2025-09-30T17:05:26" u="1"/>
        <d v="2025-09-30T17:05:21" u="1"/>
        <d v="2025-09-11T19:29:07" u="1"/>
        <d v="2025-09-30T16:02:20" u="1"/>
        <d v="2025-09-30T11:19:51" u="1"/>
        <d v="2025-09-30T11:34:04" u="1"/>
        <d v="2025-09-30T11:34:08" u="1"/>
        <d v="2025-09-30T12:20:09" u="1"/>
        <d v="2025-09-30T15:44:02" u="1"/>
        <d v="2025-09-30T14:24:26" u="1"/>
        <d v="2025-09-30T14:43:49" u="1"/>
        <d v="2025-09-30T14:17:44" u="1"/>
        <d v="2025-09-30T14:21:45" u="1"/>
        <d v="2025-09-30T14:43:51" u="1"/>
        <d v="2025-09-30T14:43:52" u="1"/>
        <d v="2025-09-30T19:49:49" u="1"/>
        <d v="2025-09-30T20:27:49" u="1"/>
        <d v="2025-09-30T20:33:46" u="1"/>
        <d v="2025-09-30T16:19:53" u="1"/>
        <d v="2025-09-30T17:46:22" u="1"/>
        <d v="2025-09-30T17:49:54" u="1"/>
        <d v="2025-09-30T17:50:28" u="1"/>
        <d v="2025-09-30T17:51:52" u="1"/>
        <d v="2025-09-30T17:52:19" u="1"/>
        <d v="2025-09-30T17:39:50" u="1"/>
        <d v="2025-09-30T17:39:52" u="1"/>
        <d v="2025-09-30T18:31:51" u="1"/>
        <d v="2025-09-30T18:35:56" u="1"/>
        <d v="2025-09-30T18:44:19" u="1"/>
        <d v="2025-09-30T18:50:02" u="1"/>
        <d v="2025-09-30T11:13:48" u="1"/>
        <d v="2025-09-30T11:16:07" u="1"/>
        <d v="2025-09-22T12:15:53" u="1"/>
        <d v="2025-09-19T15:15:12" u="1"/>
        <d v="2025-09-30T11:17:50" u="1"/>
        <d v="2025-09-30T11:23:46" u="1"/>
        <d v="2025-09-26T20:15:31" u="1"/>
        <d v="2025-09-29T08:11:42" u="1"/>
        <d v="2025-09-29T08:11:53" u="1"/>
        <d v="2025-09-30T15:12:15" u="1"/>
        <d v="2025-09-30T22:57:56" u="1"/>
        <d v="2025-09-29T19:02:18" u="1"/>
        <d v="2025-09-30T19:02:47" u="1"/>
        <d v="2025-09-30T19:02:48" u="1"/>
        <d v="2025-09-30T19:02:49" u="1"/>
        <d v="2025-09-30T19:02:50" u="1"/>
        <d v="2025-09-30T18:02:22" u="1"/>
        <d v="2025-09-26T17:03:38" u="1"/>
        <d v="2025-09-30T09:01:46" u="1"/>
        <d v="2025-09-30T15:00:59" u="1"/>
        <d v="2025-09-30T10:33:38" u="1"/>
        <d v="2025-09-30T10:33:51" u="1"/>
        <d v="2025-09-30T22:56:35" u="1"/>
        <d v="2025-09-30T16:54:17" u="1"/>
        <d v="2025-09-30T16:55:06" u="1"/>
        <d v="2025-09-30T16:54:14" u="1"/>
        <d v="2025-09-30T17:31:35" u="1"/>
        <d v="2025-09-30T10:39:27" u="1"/>
        <d v="2025-09-30T10:39:39" u="1"/>
        <d v="2025-09-26T16:08:25" u="1"/>
        <d v="2025-09-26T16:08:26" u="1"/>
        <d v="2025-09-26T16:09:02" u="1"/>
        <d v="2025-09-19T12:20:36" u="1"/>
        <d v="2025-09-17T12:20:18" u="1"/>
        <d v="2025-09-30T16:51:40" u="1"/>
        <d v="2025-09-29T17:34:54" u="1"/>
        <d v="2025-09-30T12:42:55" u="1"/>
        <d v="2025-09-26T18:10:47" u="1"/>
        <d v="2025-09-30T16:44:55" u="1"/>
        <d v="2025-09-30T16:44:50" u="1"/>
        <d v="2025-09-30T16:44:58" u="1"/>
        <d v="2025-09-30T18:08:29" u="1"/>
        <d v="2025-09-30T18:08:40" u="1"/>
        <d v="2025-09-30T10:55:21" u="1"/>
        <d v="2025-09-30T15:15:09" u="1"/>
        <d v="2025-09-30T16:55:33" u="1"/>
        <d v="2025-09-30T21:55:09" u="1"/>
        <d v="2025-09-30T17:05:53" u="1"/>
        <d v="2025-09-30T17:05:58" u="1"/>
        <d v="2025-09-05T11:17:19" u="1"/>
        <d v="2025-09-16T18:13:57" u="1"/>
        <d v="2025-09-30T16:39:34" u="1"/>
        <d v="2025-09-30T17:40:03" u="1"/>
        <d v="2025-09-30T17:37:49" u="1"/>
        <d v="2025-09-30T10:42:57" u="1"/>
        <d v="2025-09-29T17:38:13" u="1"/>
        <d v="2025-09-30T17:39:21" u="1"/>
        <d v="2025-09-24T22:36:00" u="1"/>
        <d v="2025-09-20T10:59:45" u="1"/>
        <d v="2025-09-30T18:08:02" u="1"/>
        <d v="2025-09-30T16:52:46" u="1"/>
        <d v="2025-09-30T23:08:18" u="1"/>
        <d v="2025-09-30T17:05:55" u="1"/>
        <d v="2025-09-30T23:08:30" u="1"/>
        <d v="2025-09-30T18:02:23" u="1"/>
        <d v="2025-09-29T11:42:18" u="1"/>
        <d v="2025-09-26T17:01:12" u="1"/>
        <d v="2025-09-26T17:01:56" u="1"/>
        <d v="2025-09-12T06:49:05" u="1"/>
        <d v="2025-09-29T19:02:30" u="1"/>
        <d v="2025-09-30T15:51:11" u="1"/>
        <d v="2025-09-30T14:51:19" u="1"/>
        <d v="2025-09-30T15:41:15" u="1"/>
        <d v="2025-09-24T17:51:49" u="1"/>
        <d v="2025-09-29T11:42:52" u="1"/>
        <d v="2025-09-29T11:42:57" u="1"/>
        <d v="2025-09-30T10:38:57" u="1"/>
        <d v="2025-09-30T16:35:51" u="1"/>
        <d v="2025-09-30T22:37:48" u="1"/>
        <d v="2025-09-30T17:00:20" u="1"/>
        <d v="2025-09-30T17:02:14" u="1"/>
        <d v="2025-09-30T22:59:38" u="1"/>
        <d v="2025-09-24T22:30:06" u="1"/>
        <d v="2025-09-30T10:41:41" u="1"/>
        <d v="2025-09-30T10:40:54" u="1"/>
        <d v="2025-09-30T10:40:58" u="1"/>
        <d v="2025-09-29T23:10:51" u="1"/>
        <d v="2025-09-29T23:11:00" u="1"/>
        <d v="2025-09-29T17:28:41" u="1"/>
        <d v="2025-09-29T17:28:44" u="1"/>
        <d v="2025-09-29T17:28:47" u="1"/>
        <d v="2025-09-29T17:28:50" u="1"/>
        <d v="2025-09-29T17:28:52" u="1"/>
        <d v="2025-09-29T17:34:31" u="1"/>
        <d v="2025-09-30T23:31:44" u="1"/>
        <d v="2025-09-30T23:31:47" u="1"/>
        <d v="2025-09-30T23:31:49" u="1"/>
        <d v="2025-09-30T23:32:28" u="1"/>
        <d v="2025-09-30T23:32:30" u="1"/>
        <d v="2025-09-30T23:33:01" u="1"/>
        <d v="2025-09-30T23:33:03" u="1"/>
        <d v="2025-09-30T23:33:21" u="1"/>
        <d v="2025-09-30T23:33:34" u="1"/>
        <d v="2025-09-30T16:56:02" u="1"/>
        <d v="2025-09-30T16:56:06" u="1"/>
        <d v="2025-09-05T11:35:04" u="1"/>
        <d v="2025-09-05T11:35:08" u="1"/>
        <d v="2025-09-05T16:33:39" u="1"/>
        <d v="2025-09-05T10:22:13" u="1"/>
        <d v="2025-09-05T10:22:17" u="1"/>
        <d v="2025-09-05T10:22:31" u="1"/>
        <d v="2025-09-05T10:22:39" u="1"/>
        <d v="2025-09-05T10:22:47" u="1"/>
        <d v="2025-09-30T17:07:39" u="1"/>
        <d v="2025-09-30T15:08:02" u="1"/>
        <d v="2025-09-30T21:27:02" u="1"/>
        <d v="2025-09-30T16:56:21" u="1"/>
        <d v="2025-09-29T13:09:42" u="1"/>
        <d v="2025-09-30T16:37:41" u="1"/>
        <d v="2025-09-30T16:37:29" u="1"/>
        <d v="2025-09-30T10:26:47" u="1"/>
        <d v="2025-09-30T22:38:07" u="1"/>
        <d v="2025-09-30T22:38:11" u="1"/>
        <d v="2025-09-30T22:38:21" u="1"/>
        <d v="2025-09-30T22:38:25" u="1"/>
        <d v="2025-09-11T18:14:38" u="1"/>
        <d v="2025-09-29T23:03:26" u="1"/>
        <d v="2025-09-29T15:34:00" u="1"/>
        <d v="2025-09-29T10:50:14" u="1"/>
        <d v="2025-09-29T11:57:11" u="1"/>
        <d v="2025-09-29T13:38:09" u="1"/>
        <d v="2025-09-30T00:56:13" u="1"/>
        <d v="2025-09-30T02:56:18" u="1"/>
        <d v="2025-09-30T02:56:21" u="1"/>
        <d v="2025-09-29T12:29:52" u="1"/>
        <d v="2025-09-29T11:08:01" u="1"/>
        <d v="2025-09-29T11:14:03" u="1"/>
        <d v="2025-09-29T11:34:00" u="1"/>
        <d v="2025-09-29T17:27:49" u="1"/>
        <d v="2025-09-29T17:38:18" u="1"/>
        <d v="2025-09-29T17:27:50" u="1"/>
        <d v="2025-09-29T12:37:53" u="1"/>
        <d v="2025-09-29T16:41:47" u="1"/>
        <d v="2025-09-29T15:07:47" u="1"/>
        <d v="2025-09-29T10:47:54" u="1"/>
        <d v="2025-09-29T14:01:57" u="1"/>
        <d v="2025-09-29T16:46:05" u="1"/>
        <d v="2025-09-29T16:41:44" u="1"/>
        <d v="2025-09-29T16:42:17" u="1"/>
        <d v="2025-09-29T16:41:55" u="1"/>
        <d v="2025-09-24T22:21:56" u="1"/>
        <d v="2025-09-12T19:03:40" u="1"/>
        <d v="2025-09-25T16:49:11" u="1"/>
        <d v="2025-09-24T22:18:57" u="1"/>
        <d v="2025-09-06T18:04:57" u="1"/>
        <d v="2025-09-29T17:04:29" u="1"/>
        <d v="2025-09-29T17:05:15" u="1"/>
        <d v="2025-09-29T17:20:41" u="1"/>
        <d v="2025-09-29T17:22:41" u="1"/>
        <d v="2025-09-29T23:03:12" u="1"/>
        <d v="2025-09-26T15:59:17" u="1"/>
        <d v="2025-09-26T15:59:20" u="1"/>
        <d v="2025-09-26T15:59:24" u="1"/>
        <d v="2025-09-29T16:38:42" u="1"/>
        <d v="2025-09-29T16:38:46" u="1"/>
        <d v="2025-09-29T16:39:03" u="1"/>
        <d v="2025-09-19T12:19:36" u="1"/>
        <d v="2025-09-22T20:34:19" u="1"/>
        <d v="2025-09-16T18:30:53" u="1"/>
        <d v="2025-09-16T18:30:58" u="1"/>
        <d v="2025-09-16T18:31:02" u="1"/>
        <d v="2025-09-16T18:31:15" u="1"/>
        <d v="2025-09-16T18:30:48" u="1"/>
        <d v="2025-09-17T12:20:14" u="1"/>
        <d v="2025-09-17T00:17:36" u="1"/>
        <d v="2025-09-29T16:47:25" u="1"/>
        <d v="2025-09-29T16:44:14" u="1"/>
        <d v="2025-09-29T16:44:19" u="1"/>
        <d v="2025-09-29T16:44:23" u="1"/>
        <d v="2025-09-29T16:44:33" u="1"/>
        <d v="2025-09-29T16:44:37" u="1"/>
        <d v="2025-09-29T16:44:41" u="1"/>
        <d v="2025-09-29T16:44:44" u="1"/>
        <d v="2025-09-29T16:44:48" u="1"/>
        <d v="2025-09-29T20:05:42" u="1"/>
        <d v="2025-09-29T16:44:56" u="1"/>
        <d v="2025-09-22T18:04:57" u="1"/>
        <d v="2025-09-29T22:31:09" u="1"/>
        <d v="2025-09-24T15:25:45" u="1"/>
        <d v="2025-09-26T13:28:46" u="1"/>
        <d v="2025-09-29T14:18:27" u="1"/>
        <d v="2025-09-29T12:56:23" u="1"/>
        <d v="2025-09-29T16:42:35" u="1"/>
        <d v="2025-09-30T06:58:43" u="1"/>
        <d v="2025-09-27T09:26:14" u="1"/>
        <d v="2025-09-29T16:36:02" u="1"/>
        <d v="2025-09-20T13:12:07" u="1"/>
        <d v="2025-09-29T16:37:29" u="1"/>
        <d v="2025-09-29T22:42:15" u="1"/>
        <d v="2025-09-14T11:02:21" u="1"/>
        <d v="2025-09-26T12:04:01" u="1"/>
        <d v="2025-09-24T10:04:34" u="1"/>
        <d v="2025-09-15T18:50:18" u="1"/>
        <d v="2025-09-02T12:31:17" u="1"/>
        <d v="2025-09-09T12:48:17" u="1"/>
        <d v="2025-09-16T00:20:35" u="1"/>
        <d v="2025-09-15T12:32:41" u="1"/>
        <d v="2025-09-18T19:10:19" u="1"/>
        <d v="2025-09-23T20:53:17" u="1"/>
        <d v="2025-09-24T14:56:23" u="1"/>
        <d v="2025-09-24T14:56:32" u="1"/>
        <d v="2025-09-24T14:56:35" u="1"/>
        <d v="2025-09-29T22:52:14" u="1"/>
        <d v="2025-09-29T22:51:35" u="1"/>
        <d v="2025-09-23T14:55:59" u="1"/>
        <d v="2025-09-23T14:56:05" u="1"/>
        <d v="2025-09-26T21:57:04" u="1"/>
        <d v="2025-09-05T12:35:11" u="1"/>
        <d v="2025-09-04T12:46:19" u="1"/>
        <d v="2025-09-29T22:52:53" u="1"/>
        <d v="2025-09-29T22:52:05" u="1"/>
        <d v="2025-09-29T19:02:46" u="1"/>
        <d v="2025-09-24T14:58:54" u="1"/>
        <d v="2025-09-29T10:08:42" u="1"/>
        <d v="2025-09-29T10:08:38" u="1"/>
        <d v="2025-09-29T16:18:05" u="1"/>
        <d v="2025-09-29T16:16:18" u="1"/>
        <d v="2025-09-29T22:18:24" u="1"/>
        <d v="2025-09-20T13:16:32" u="1"/>
        <d v="2025-09-29T17:00:47" u="1"/>
        <d v="2025-09-18T19:16:28" u="1"/>
        <d v="2025-09-18T18:57:49" u="1"/>
        <d v="2025-09-29T16:43:53" u="1"/>
        <d v="2025-09-29T10:17:33" u="1"/>
        <d v="2025-09-25T15:32:47" u="1"/>
        <d v="2025-09-22T14:33:25" u="1"/>
        <d v="2025-09-22T14:33:55" u="1"/>
        <d v="2025-09-15T18:43:41" u="1"/>
        <d v="2025-09-25T15:34:16" u="1"/>
        <d v="2025-09-29T16:46:26" u="1"/>
        <d v="2025-09-29T16:45:38" u="1"/>
        <d v="2025-09-17T00:19:39" u="1"/>
        <d v="2025-09-16T00:19:11" u="1"/>
        <d v="2025-09-16T18:44:16" u="1"/>
        <d v="2025-09-16T18:44:35" u="1"/>
        <d v="2025-09-03T18:37:26" u="1"/>
        <d v="2025-09-12T19:20:29" u="1"/>
        <d v="2025-09-27T03:24:47" u="1"/>
        <d v="2025-09-29T22:18:35" u="1"/>
        <d v="2025-09-29T22:18:54" u="1"/>
        <d v="2025-09-24T14:34:41" u="1"/>
        <d v="2025-09-29T16:19:49" u="1"/>
        <d v="2025-09-24T00:41:07" u="1"/>
        <d v="2025-09-25T17:26:06" u="1"/>
        <d v="2025-09-25T20:06:13" u="1"/>
        <d v="2025-09-26T00:33:16" u="1"/>
        <d v="2025-09-17T15:16:24" u="1"/>
        <d v="2025-09-22T12:25:30" u="1"/>
        <d v="2025-09-24T17:54:03" u="1"/>
        <d v="2025-09-24T14:43:04" u="1"/>
        <d v="2025-09-18T20:18:53" u="1"/>
        <d v="2025-09-22T20:33:48" u="1"/>
        <d v="2025-09-24T11:32:49" u="1"/>
        <d v="2025-09-25T18:41:55" u="1"/>
        <d v="2025-09-25T18:41:25" u="1"/>
        <d v="2025-09-25T21:56:02" u="1"/>
        <d v="2025-09-16T12:35:26" u="1"/>
        <d v="2025-09-25T21:56:33" u="1"/>
        <d v="2025-09-25T16:22:00" u="1"/>
        <d v="2025-09-23T12:01:56" u="1"/>
        <d v="2025-09-23T12:01:58" u="1"/>
        <d v="2025-09-24T18:00:18" u="1"/>
        <d v="2025-09-25T15:38:06" u="1"/>
        <d v="2025-09-25T14:50:53" u="1"/>
        <d v="2025-09-25T14:50:55" u="1"/>
        <d v="2025-09-25T13:42:03" u="1"/>
        <d v="2025-09-25T11:32:00" u="1"/>
        <d v="2025-09-25T12:45:56" u="1"/>
        <d v="2025-09-25T10:24:20" u="1"/>
        <d v="2025-09-25T11:04:00" u="1"/>
        <d v="2025-09-25T10:26:26" u="1"/>
        <d v="2025-09-25T10:49:59" u="1"/>
        <d v="2025-09-25T10:52:03" u="1"/>
        <d v="2025-09-25T10:53:58" u="1"/>
        <d v="2025-09-25T10:54:18" u="1"/>
        <d v="2025-09-25T20:16:07" u="1"/>
        <d v="2025-09-25T20:30:45" u="1"/>
        <d v="2025-09-25T20:31:54" u="1"/>
        <d v="2025-09-25T19:21:52" u="1"/>
        <d v="2025-09-25T16:38:05" u="1"/>
        <d v="2025-09-25T17:29:59" u="1"/>
        <d v="2025-09-25T17:32:02" u="1"/>
        <d v="2025-09-25T17:46:11" u="1"/>
        <d v="2025-09-25T16:40:27" u="1"/>
        <d v="2025-09-25T17:14:05" u="1"/>
        <d v="2025-09-25T18:14:03" u="1"/>
        <d v="2025-09-25T18:03:57" u="1"/>
        <d v="2025-09-25T21:57:08" u="1"/>
        <d v="2025-09-22T13:50:43" u="1"/>
        <d v="2025-09-18T14:35:41" u="1"/>
        <d v="2025-09-18T16:50:25" u="1"/>
        <d v="2025-09-18T16:50:30" u="1"/>
        <d v="2025-09-10T21:14:38" u="1"/>
        <d v="2025-09-10T21:14:42" u="1"/>
        <d v="2025-09-25T11:53:29" u="1"/>
        <d v="2025-09-25T11:53:43" u="1"/>
        <d v="2025-09-19T16:18:12" u="1"/>
        <d v="2025-09-19T16:18:17" u="1"/>
        <d v="2025-09-25T21:56:17" u="1"/>
        <d v="2025-09-25T21:42:08" u="1"/>
        <d v="2025-09-23T14:42:36" u="1"/>
        <d v="2025-09-23T14:42:43" u="1"/>
        <d v="2025-09-23T14:43:01" u="1"/>
        <d v="2025-09-23T14:43:04" u="1"/>
        <d v="2025-09-24T21:39:59" u="1"/>
        <d v="2025-09-23T20:41:57" u="1"/>
        <d v="2025-09-23T02:03:44" u="1"/>
        <d v="2025-09-22T20:40:47" u="1"/>
        <d v="2025-09-25T16:01:08" u="1"/>
        <d v="2025-09-22T16:04:36" u="1"/>
        <d v="2025-09-23T14:00:43" u="1"/>
        <d v="2025-09-23T14:00:44" u="1"/>
        <d v="2025-09-23T14:00:45" u="1"/>
        <d v="2025-09-23T14:00:46" u="1"/>
        <d v="2025-09-23T14:00:48" u="1"/>
        <d v="2025-09-23T16:01:02" u="1"/>
        <d v="2025-09-23T16:01:04" u="1"/>
        <d v="2025-09-23T16:01:07" u="1"/>
        <d v="2025-09-25T21:41:14" u="1"/>
        <d v="2025-09-23T20:40:43" u="1"/>
        <d v="2025-09-24T21:38:45" u="1"/>
        <d v="2025-09-22T14:25:33" u="1"/>
        <d v="2025-09-24T21:35:16" u="1"/>
        <d v="2025-09-25T15:24:14" u="1"/>
        <d v="2025-09-22T14:27:36" u="1"/>
        <d v="2025-09-22T15:08:08" u="1"/>
        <d v="2025-09-24T22:06:35" u="1"/>
        <d v="2025-09-23T15:05:00" u="1"/>
        <d v="2025-09-23T15:05:51" u="1"/>
        <d v="2025-09-23T15:12:30" u="1"/>
        <d v="2025-09-25T16:00:16" u="1"/>
        <d v="2025-09-25T22:36:20" u="1"/>
        <d v="2025-09-25T16:04:42" u="1"/>
        <d v="2025-09-24T21:32:48" u="1"/>
        <d v="2025-09-22T19:55:53" u="1"/>
        <d v="2025-09-24T21:11:42" u="1"/>
        <d v="2025-09-24T21:05:04" u="1"/>
        <d v="2025-09-25T21:20:24" u="1"/>
        <d v="2025-09-25T21:20:27" u="1"/>
        <d v="2025-09-25T21:29:03" u="1"/>
        <d v="2025-09-23T15:18:44" u="1"/>
        <d v="2025-09-22T13:52:32" u="1"/>
        <d v="2025-09-23T14:11:48" u="1"/>
        <d v="2025-09-24T14:32:59" u="1"/>
        <d v="2025-09-24T14:33:02" u="1"/>
        <d v="2025-09-24T20:37:05" u="1"/>
        <d v="2025-09-25T20:58:42" u="1"/>
        <d v="2025-09-25T14:50:38" u="1"/>
        <d v="2025-09-25T14:50:44" u="1"/>
        <d v="2025-09-25T20:58:33" u="1"/>
        <d v="2025-09-25T18:36:14" u="1"/>
        <d v="2025-09-25T21:56:07" u="1"/>
        <d v="2025-09-19T15:47:13" u="1"/>
        <d v="2025-09-18T11:46:41" u="1"/>
        <d v="2025-09-24T12:36:09" u="1"/>
        <d v="2025-09-25T15:16:41" u="1"/>
        <d v="2025-09-25T13:01:48" u="1"/>
        <d v="2025-09-25T19:44:45" u="1"/>
        <d v="2025-09-25T16:25:16" u="1"/>
        <d v="2025-09-25T16:25:21" u="1"/>
        <d v="2025-09-25T21:57:37" u="1"/>
        <d v="2025-09-25T21:58:01" u="1"/>
        <d v="2025-09-11T19:44:32" u="1"/>
        <d v="2025-09-18T19:54:40" u="1"/>
        <d v="2025-09-25T12:59:52" u="1"/>
        <d v="2025-09-25T17:45:38" u="1"/>
        <d v="2025-09-08T17:26:18" u="1"/>
        <d v="2025-09-25T18:06:39" u="1"/>
        <d v="2025-09-25T17:55:03" u="1"/>
        <d v="2025-09-25T18:45:11" u="1"/>
        <d v="2025-09-25T18:55:33" u="1"/>
        <d v="2025-09-25T19:05:29" u="1"/>
        <d v="2025-09-25T12:35:45" u="1"/>
        <d v="2025-09-25T12:44:37" u="1"/>
        <d v="2025-09-25T11:05:36" u="1"/>
        <d v="2025-09-25T11:14:40" u="1"/>
        <d v="2025-09-25T11:26:13" u="1"/>
        <d v="2025-09-22T22:40:14" u="1"/>
        <d v="2025-09-24T02:47:02" u="1"/>
        <d v="2025-09-24T15:33:02" u="1"/>
        <d v="2025-09-24T15:33:05" u="1"/>
        <d v="2025-09-24T15:33:08" u="1"/>
        <d v="2025-09-24T15:33:11" u="1"/>
        <d v="2025-09-24T15:33:13" u="1"/>
        <d v="2025-09-25T16:13:23" u="1"/>
        <d v="2025-09-25T16:14:01" u="1"/>
        <d v="2025-09-25T16:15:45" u="1"/>
        <d v="2025-09-25T16:16:21" u="1"/>
        <d v="2025-09-24T22:35:45" u="1"/>
        <d v="2025-09-24T15:30:28" u="1"/>
        <d v="2025-09-24T15:31:38" u="1"/>
        <d v="2025-09-24T15:31:59" u="1"/>
        <d v="2025-09-23T15:20:54" u="1"/>
        <d v="2025-09-23T15:21:46" u="1"/>
        <d v="2025-09-23T15:23:14" u="1"/>
        <d v="2025-09-23T08:10:11" u="1"/>
        <d v="2025-09-22T22:42:49" u="1"/>
        <d v="2025-09-22T15:34:20" u="1"/>
        <d v="2025-09-22T15:38:49" u="1"/>
        <d v="2025-09-22T22:42:55" u="1"/>
        <d v="2025-09-24T22:35:58" u="1"/>
        <d v="2025-09-24T15:28:48" u="1"/>
        <d v="2025-09-25T16:17:56" u="1"/>
        <d v="2025-09-25T15:26:40" u="1"/>
        <d v="2025-09-25T15:26:46" u="1"/>
        <d v="2025-09-16T14:55:31" u="1"/>
        <d v="2025-09-16T14:55:32" u="1"/>
        <d v="2025-09-23T19:54:09" u="1"/>
        <d v="2025-09-23T12:26:37" u="1"/>
        <d v="2025-09-22T18:09:23" u="1"/>
        <d v="2025-09-15T18:05:35" u="1"/>
        <d v="2025-09-15T18:05:36" u="1"/>
        <d v="2025-09-22T15:00:15" u="1"/>
        <d v="2025-09-24T15:46:07" u="1"/>
        <d v="2025-09-22T18:04:17" u="1"/>
        <d v="2025-09-22T18:04:25" u="1"/>
        <d v="2025-09-20T09:49:58" u="1"/>
        <d v="2025-09-20T09:50:11" u="1"/>
        <d v="2025-09-20T09:50:16" u="1"/>
        <d v="2025-09-20T09:50:21" u="1"/>
        <d v="2025-09-20T09:47:20" u="1"/>
        <d v="2025-09-23T16:23:28" u="1"/>
        <d v="2025-09-23T16:23:57" u="1"/>
        <d v="2025-09-25T19:42:10" u="1"/>
        <d v="2025-09-20T09:49:54" u="1"/>
        <d v="2025-09-22T09:52:35" u="1"/>
        <d v="2025-09-22T09:52:41" u="1"/>
        <d v="2025-09-22T13:40:59" u="1"/>
        <d v="2025-09-20T09:43:47" u="1"/>
        <d v="2025-09-20T09:43:50" u="1"/>
        <d v="2025-09-20T09:50:50" u="1"/>
        <d v="2025-09-20T09:53:01" u="1"/>
        <d v="2025-09-20T09:48:03" u="1"/>
        <d v="2025-09-20T09:48:21" u="1"/>
        <d v="2025-09-20T09:48:24" u="1"/>
        <d v="2025-09-20T09:48:28" u="1"/>
        <d v="2025-09-20T09:48:36" u="1"/>
        <d v="2025-09-24T18:56:52" u="1"/>
        <d v="2025-09-24T12:34:11" u="1"/>
        <d v="2025-09-18T00:15:24" u="1"/>
        <d v="2025-09-25T21:37:41" u="1"/>
        <d v="2025-09-23T20:38:22" u="1"/>
        <d v="2025-09-23T20:38:36" u="1"/>
        <d v="2025-09-22T14:22:39" u="1"/>
        <d v="2025-09-22T14:24:28" u="1"/>
        <d v="2025-09-16T19:00:54" u="1"/>
        <d v="2025-09-23T15:02:57" u="1"/>
        <d v="2025-09-22T17:01:58" u="1"/>
        <d v="2025-09-25T16:03:56" u="1"/>
        <d v="2025-09-25T22:05:40" u="1"/>
        <d v="2025-09-25T15:37:00" u="1"/>
        <d v="2025-09-25T15:37:04" u="1"/>
        <d v="2025-09-25T15:37:07" u="1"/>
        <d v="2025-09-25T15:37:14" u="1"/>
        <d v="2025-09-25T15:37:24" u="1"/>
        <d v="2025-09-23T14:48:31" u="1"/>
        <d v="2025-09-25T15:42:25" u="1"/>
        <d v="2025-09-24T14:41:30" u="1"/>
        <d v="2025-09-25T18:31:10" u="1"/>
        <d v="2025-09-25T18:33:22" u="1"/>
        <d v="2025-09-19T16:05:55" u="1"/>
        <d v="2025-09-23T15:01:57" u="1"/>
        <d v="2025-09-24T11:31:51" u="1"/>
        <d v="2025-09-12T06:50:47" u="1"/>
        <d v="2025-09-12T09:32:04" u="1"/>
        <d v="2025-09-12T09:32:25" u="1"/>
        <d v="2025-09-04T12:41:47" u="1"/>
        <d v="2025-09-16T18:17:33" u="1"/>
        <d v="2025-09-15T11:01:21" u="1"/>
        <d v="2025-09-15T14:16:06" u="1"/>
        <d v="2025-09-15T17:31:56" u="1"/>
        <d v="2025-09-25T18:33:27" u="1"/>
        <d v="2025-09-24T14:41:44" u="1"/>
        <d v="2025-09-10T22:24:47" u="1"/>
        <d v="2025-09-24T09:24:35" u="1"/>
        <d v="2025-09-24T09:24:42" u="1"/>
        <d v="2025-09-24T09:24:48" u="1"/>
        <d v="2025-09-10T22:25:53" u="1"/>
        <d v="2025-09-12T10:39:34" u="1"/>
        <d v="2025-09-24T18:58:17" u="1"/>
        <d v="2025-09-23T20:58:44" u="1"/>
        <d v="2025-09-23T15:00:45" u="1"/>
        <d v="2025-09-22T20:59:55" u="1"/>
        <d v="2025-09-23T02:05:20" u="1"/>
        <d v="2025-09-25T11:05:45" u="1"/>
        <d v="2025-09-25T10:54:45" u="1"/>
        <d v="2025-09-24T20:39:41" u="1"/>
        <d v="2025-09-24T20:39:50" u="1"/>
        <d v="2025-09-24T20:39:57" u="1"/>
        <d v="2025-09-22T20:02:08" u="1"/>
        <d v="2025-09-23T14:16:06" u="1"/>
        <d v="2025-09-23T14:16:09" u="1"/>
        <d v="2025-09-26T03:07:09" u="1"/>
        <d v="2025-09-24T22:03:00" u="1"/>
        <d v="2025-09-24T14:31:11" u="1"/>
        <d v="2025-09-22T13:51:56" u="1"/>
        <d v="2025-09-25T15:33:06" u="1"/>
        <d v="2025-09-25T15:34:05" u="1"/>
        <d v="2025-09-25T15:34:29" u="1"/>
        <d v="2025-09-25T21:46:19" u="1"/>
        <d v="2025-09-24T14:50:59" u="1"/>
        <d v="2025-09-23T14:44:49" u="1"/>
        <d v="2025-09-23T14:45:46" u="1"/>
        <d v="2025-09-24T14:52:28" u="1"/>
        <d v="2025-09-22T20:43:49" u="1"/>
        <d v="2025-09-22T20:45:14" u="1"/>
        <d v="2025-09-23T20:45:44" u="1"/>
        <d v="2025-09-23T20:46:40" u="1"/>
        <d v="2025-09-22T14:35:22" u="1"/>
        <d v="2025-09-22T14:36:20" u="1"/>
        <d v="2025-09-22T14:36:42" u="1"/>
        <d v="2025-09-22T14:37:25" u="1"/>
        <d v="2025-09-25T16:07:18" u="1"/>
        <d v="2025-09-25T22:41:49" u="1"/>
        <d v="2025-09-25T22:41:51" u="1"/>
        <d v="2025-09-24T22:31:17" u="1"/>
        <d v="2025-09-24T22:31:19" u="1"/>
        <d v="2025-09-24T22:31:25" u="1"/>
        <d v="2025-09-24T22:31:28" u="1"/>
        <d v="2025-09-24T22:31:43" u="1"/>
        <d v="2025-09-24T22:31:49" u="1"/>
        <d v="2025-09-23T15:17:26" u="1"/>
        <d v="2025-09-24T02:43:13" u="1"/>
        <d v="2025-09-24T02:43:26" u="1"/>
        <d v="2025-09-22T15:22:31" u="1"/>
        <d v="2025-09-22T15:25:54" u="1"/>
        <d v="2025-09-22T22:36:18" u="1"/>
        <d v="2025-09-24T15:25:15" u="1"/>
        <d v="2025-09-12T19:20:19" u="1"/>
        <d v="2025-09-12T19:20:22" u="1"/>
        <d v="2025-09-12T19:20:25" u="1"/>
        <d v="2025-09-25T15:57:54" u="1"/>
        <d v="2025-09-25T16:40:06" u="1"/>
        <d v="2025-09-25T16:55:36" u="1"/>
        <d v="2025-09-24T11:58:28" u="1"/>
        <d v="2025-09-24T22:06:21" u="1"/>
        <d v="2025-09-24T21:39:39" u="1"/>
        <d v="2025-09-25T13:02:30" u="1"/>
        <d v="2025-09-15T18:54:01" u="1"/>
        <d v="2025-09-17T18:46:36" u="1"/>
        <d v="2025-09-16T18:54:33" u="1"/>
        <d v="2025-09-25T15:46:17" u="1"/>
        <d v="2025-09-24T21:55:03" u="1"/>
        <d v="2025-09-22T14:52:13" u="1"/>
        <d v="2025-09-24T15:00:57" u="1"/>
        <d v="2025-09-22T20:59:43" u="1"/>
        <d v="2025-09-24T02:22:01" u="1"/>
        <d v="2025-09-24T02:22:04" u="1"/>
        <d v="2025-09-24T14:35:55" u="1"/>
        <d v="2025-09-22T20:03:54" u="1"/>
        <d v="2025-09-22T20:03:58" u="1"/>
        <d v="2025-09-22T20:04:47" u="1"/>
        <d v="2025-09-22T20:04:50" u="1"/>
        <d v="2025-09-22T20:05:04" u="1"/>
        <d v="2025-09-22T20:05:08" u="1"/>
        <d v="2025-09-22T20:06:23" u="1"/>
        <d v="2025-09-24T20:41:03" u="1"/>
        <d v="2025-09-24T20:41:06" u="1"/>
        <d v="2025-09-24T20:41:09" u="1"/>
        <d v="2025-09-24T14:34:47" u="1"/>
        <d v="2025-09-24T14:34:49" u="1"/>
        <d v="2025-09-24T02:21:45" u="1"/>
        <d v="2025-09-24T02:21:57" u="1"/>
        <d v="2025-09-23T20:22:22" u="1"/>
        <d v="2025-09-23T20:22:26" u="1"/>
        <d v="2025-09-23T20:22:33" u="1"/>
        <d v="2025-09-23T20:22:38" u="1"/>
        <d v="2025-09-23T20:22:50" u="1"/>
        <d v="2025-09-23T20:23:07" u="1"/>
        <d v="2025-09-23T20:23:10" u="1"/>
        <d v="2025-09-25T14:59:34" u="1"/>
        <d v="2025-09-25T14:59:48" u="1"/>
        <d v="2025-09-25T14:59:57" u="1"/>
        <d v="2025-09-25T15:00:14" u="1"/>
        <d v="2025-09-25T21:01:07" u="1"/>
        <d v="2025-09-25T21:01:11" u="1"/>
        <d v="2025-09-25T21:01:38" u="1"/>
        <d v="2025-09-24T10:38:15" u="1"/>
        <d v="2025-09-24T20:01:17" u="1"/>
        <d v="2025-09-23T20:24:41" u="1"/>
        <d v="2025-09-24T17:56:49" u="1"/>
        <d v="2025-09-15T16:55:55" u="1"/>
        <d v="2025-09-24T15:24:47" u="1"/>
        <d v="2025-09-24T15:30:44" u="1"/>
        <d v="2025-09-24T15:40:22" u="1"/>
        <d v="2025-09-24T15:43:29" u="1"/>
        <d v="2025-09-24T15:40:50" u="1"/>
        <d v="2025-09-24T16:10:09" u="1"/>
        <d v="2025-09-24T16:14:07" u="1"/>
        <d v="2025-09-24T16:16:05" u="1"/>
        <d v="2025-09-24T16:18:06" u="1"/>
        <d v="2025-09-24T16:30:19" u="1"/>
        <d v="2025-09-24T15:57:20" u="1"/>
        <d v="2025-09-24T17:34:05" u="1"/>
        <d v="2025-09-24T18:22:39" u="1"/>
        <d v="2025-09-24T18:48:01" u="1"/>
        <d v="2025-09-24T19:22:02" u="1"/>
        <d v="2025-09-24T19:28:00" u="1"/>
        <d v="2025-09-24T19:28:01" u="1"/>
        <d v="2025-09-22T16:38:21" u="1"/>
        <d v="2025-09-22T16:21:55" u="1"/>
        <d v="2025-09-23T10:35:44" u="1"/>
        <d v="2025-09-23T10:53:45" u="1"/>
        <d v="2025-09-23T20:01:57" u="1"/>
        <d v="2025-09-23T16:42:10" u="1"/>
        <d v="2025-09-23T16:42:25" u="1"/>
        <d v="2025-09-23T16:44:18" u="1"/>
        <d v="2025-09-23T17:04:09" u="1"/>
        <d v="2025-09-23T17:05:53" u="1"/>
        <d v="2025-09-23T17:14:16" u="1"/>
        <d v="2025-09-23T17:14:40" u="1"/>
        <d v="2025-09-23T17:25:29" u="1"/>
        <d v="2025-09-23T17:25:46" u="1"/>
        <d v="2025-09-23T17:32:10" u="1"/>
        <d v="2025-09-23T17:50:00" u="1"/>
        <d v="2025-09-23T18:00:39" u="1"/>
        <d v="2025-09-23T18:15:55" u="1"/>
        <d v="2025-09-23T18:18:08" u="1"/>
        <d v="2025-09-23T18:30:38" u="1"/>
        <d v="2025-09-23T18:39:57" u="1"/>
        <d v="2025-09-23T18:49:56" u="1"/>
        <d v="2025-09-23T21:59:56" u="1"/>
        <d v="2025-09-24T13:03:57" u="1"/>
        <d v="2025-09-24T13:05:59" u="1"/>
        <d v="2025-09-24T13:28:42" u="1"/>
        <d v="2025-09-24T13:28:43" u="1"/>
        <d v="2025-09-24T13:29:59" u="1"/>
        <d v="2025-09-24T13:30:01" u="1"/>
        <d v="2025-09-24T11:16:13" u="1"/>
        <d v="2025-09-24T12:13:57" u="1"/>
        <d v="2025-09-12T18:43:54" u="1"/>
        <d v="2025-09-16T00:12:27" u="1"/>
        <d v="2025-09-24T14:49:53" u="1"/>
        <d v="2025-09-24T14:50:00" u="1"/>
        <d v="2025-09-23T20:42:30" u="1"/>
        <d v="2025-09-18T18:55:41" u="1"/>
        <d v="2025-09-22T14:30:20" u="1"/>
        <d v="2025-09-20T08:43:29" u="1"/>
        <d v="2025-09-24T21:40:33" u="1"/>
        <d v="2025-09-22T14:29:27" u="1"/>
        <d v="2025-09-22T14:29:53" u="1"/>
        <d v="2025-09-22T14:29:56" u="1"/>
        <d v="2025-09-22T14:30:00" u="1"/>
        <d v="2025-09-22T14:30:03" u="1"/>
        <d v="2025-09-19T12:26:52" u="1"/>
        <d v="2025-09-24T16:07:36" u="1"/>
        <d v="2025-09-24T18:01:19" u="1"/>
        <d v="2025-09-24T18:01:20" u="1"/>
        <d v="2025-09-24T17:04:40" u="1"/>
        <d v="2025-09-13T00:25:40" u="1"/>
        <d v="2025-09-24T18:58:22" u="1"/>
        <d v="2025-09-23T16:26:50" u="1"/>
        <d v="2025-09-24T18:59:47" u="1"/>
        <d v="2025-09-24T18:59:51" u="1"/>
        <d v="2025-09-24T18:59:55" u="1"/>
        <d v="2025-09-24T18:59:58" u="1"/>
        <d v="2025-09-24T19:00:02" u="1"/>
        <d v="2025-09-24T19:00:21" u="1"/>
        <d v="2025-09-24T19:00:27" u="1"/>
        <d v="2025-09-24T19:00:31" u="1"/>
        <d v="2025-09-24T19:00:36" u="1"/>
        <d v="2025-09-24T19:00:40" u="1"/>
        <d v="2025-09-24T19:00:44" u="1"/>
        <d v="2025-09-24T19:00:48" u="1"/>
        <d v="2025-09-24T19:00:52" u="1"/>
        <d v="2025-09-24T19:00:56" u="1"/>
        <d v="2025-09-24T19:01:01" u="1"/>
        <d v="2025-09-24T19:01:05" u="1"/>
        <d v="2025-09-24T17:58:09" u="1"/>
        <d v="2025-09-24T17:58:50" u="1"/>
        <d v="2025-09-24T17:59:09" u="1"/>
        <d v="2025-09-24T17:59:19" u="1"/>
        <d v="2025-09-24T17:59:28" u="1"/>
        <d v="2025-09-15T18:23:32" u="1"/>
        <d v="2025-09-24T19:59:27" u="1"/>
        <d v="2025-09-24T22:00:07" u="1"/>
        <d v="2025-09-24T22:00:11" u="1"/>
        <d v="2025-09-24T20:55:11" u="1"/>
        <d v="2025-09-24T20:55:14" u="1"/>
        <d v="2025-09-24T22:58:41" u="1"/>
        <d v="2025-09-24T22:58:44" u="1"/>
        <d v="2025-09-24T23:54:37" u="1"/>
        <d v="2025-09-24T23:54:41" u="1"/>
        <d v="2025-09-25T00:58:33" u="1"/>
        <d v="2025-09-25T00:58:36" u="1"/>
        <d v="2025-09-25T01:53:57" u="1"/>
        <d v="2025-09-25T01:54:00" u="1"/>
        <d v="2025-09-25T02:48:22" u="1"/>
        <d v="2025-09-25T02:48:25" u="1"/>
        <d v="2025-09-25T03:47:49" u="1"/>
        <d v="2025-09-25T03:47:52" u="1"/>
        <d v="2025-09-25T04:45:52" u="1"/>
        <d v="2025-09-25T04:45:56" u="1"/>
        <d v="2025-09-25T05:42:25" u="1"/>
        <d v="2025-09-25T05:42:29" u="1"/>
        <d v="2025-09-25T06:46:33" u="1"/>
        <d v="2025-09-25T06:46:35" u="1"/>
        <d v="2025-09-24T21:52:32" u="1"/>
        <d v="2025-09-24T14:58:07" u="1"/>
        <d v="2025-09-23T20:53:03" u="1"/>
        <d v="2025-09-24T17:52:36" u="1"/>
        <d v="2025-09-24T09:24:26" u="1"/>
        <d v="2025-09-24T18:58:14" u="1"/>
        <d v="2025-09-12T18:47:00" u="1"/>
        <d v="2025-09-23T02:04:41" u="1"/>
        <d v="2025-09-12T08:42:10" u="1"/>
        <d v="2025-09-14T20:00:18" u="1"/>
        <d v="2025-09-15T15:38:14" u="1"/>
        <d v="2025-09-16T22:22:14" u="1"/>
        <d v="2025-09-22T06:12:22" u="1"/>
        <d v="2025-09-22T14:26:11" u="1"/>
        <d v="2025-09-24T00:06:10" u="1"/>
        <d v="2025-09-24T00:07:10" u="1"/>
        <d v="2025-09-23T22:20:15" u="1"/>
        <d v="2025-09-23T22:21:06" u="1"/>
        <d v="2025-09-23T18:43:12" u="1"/>
        <d v="2025-09-23T18:55:09" u="1"/>
        <d v="2025-09-23T19:17:10" u="1"/>
        <d v="2025-09-23T19:22:13" u="1"/>
        <d v="2025-09-22T23:29:14" u="1"/>
        <d v="2025-09-23T13:24:09" u="1"/>
        <d v="2025-09-22T21:08:12" u="1"/>
        <d v="2025-09-22T21:08:58" u="1"/>
        <d v="2025-09-23T23:22:59" u="1"/>
        <d v="2025-09-22T16:49:03" u="1"/>
        <d v="2025-09-23T15:06:21" u="1"/>
        <d v="2025-09-23T20:25:06" u="1"/>
        <d v="2025-09-23T12:39:53" u="1"/>
        <d v="2025-09-23T12:46:07" u="1"/>
        <d v="2025-09-23T12:28:57" u="1"/>
        <d v="2025-09-23T12:18:04" u="1"/>
        <d v="2025-09-23T12:24:26" u="1"/>
        <d v="2025-09-23T11:57:53" u="1"/>
        <d v="2025-09-23T11:59:53" u="1"/>
        <d v="2025-09-22T18:18:13" u="1"/>
        <d v="2025-09-22T18:34:18" u="1"/>
        <d v="2025-09-22T17:16:09" u="1"/>
        <d v="2025-09-22T17:16:16" u="1"/>
        <d v="2025-09-22T13:29:50" u="1"/>
        <d v="2025-09-22T10:37:49" u="1"/>
        <d v="2025-09-22T10:41:47" u="1"/>
        <d v="2025-09-22T15:09:59" u="1"/>
        <d v="2025-09-22T15:10:10" u="1"/>
        <d v="2025-09-19T11:54:00" u="1"/>
        <d v="2025-09-19T09:31:54" u="1"/>
        <d v="2025-09-19T12:50:02" u="1"/>
        <d v="2025-09-19T12:54:35" u="1"/>
        <d v="2025-09-19T12:58:19" u="1"/>
        <d v="2025-09-19T13:42:00" u="1"/>
        <d v="2025-09-19T15:20:15" u="1"/>
        <d v="2025-09-22T08:19:54" u="1"/>
        <d v="2025-09-22T08:21:51" u="1"/>
        <d v="2025-09-22T08:23:51" u="1"/>
        <d v="2025-09-22T09:19:27" u="1"/>
        <d v="2025-09-22T09:19:28" u="1"/>
        <d v="2025-09-22T09:19:33" u="1"/>
        <d v="2025-09-19T17:40:06" u="1"/>
        <d v="2025-09-23T21:07:54" u="1"/>
        <d v="2025-09-23T20:05:55" u="1"/>
        <d v="2025-09-23T17:14:14" u="1"/>
        <d v="2025-09-23T17:28:41" u="1"/>
        <d v="2025-09-23T17:44:09" u="1"/>
        <d v="2025-09-23T17:58:31" u="1"/>
        <d v="2025-09-23T18:07:58" u="1"/>
        <d v="2025-09-23T18:18:00" u="1"/>
        <d v="2025-09-23T10:43:52" u="1"/>
        <d v="2025-09-23T10:53:51" u="1"/>
        <d v="2025-09-23T11:50:01" u="1"/>
        <d v="2025-09-23T18:54:39" u="1"/>
        <d v="2025-09-22T16:03:03" u="1"/>
        <d v="2025-09-23T11:01:29" u="1"/>
        <d v="2025-09-23T11:01:32" u="1"/>
        <d v="2025-09-23T11:01:39" u="1"/>
        <d v="2025-09-23T11:01:40" u="1"/>
        <d v="2025-09-23T11:01:41" u="1"/>
        <d v="2025-09-16T12:01:46" u="1"/>
        <d v="2025-09-19T14:02:35" u="1"/>
        <d v="2025-09-19T14:03:14" u="1"/>
        <d v="2025-09-04T08:36:14" u="1"/>
        <d v="2025-09-04T08:36:15" u="1"/>
        <d v="2025-09-04T07:33:31" u="1"/>
        <d v="2025-09-04T07:34:11" u="1"/>
        <d v="2025-09-05T08:03:03" u="1"/>
        <d v="2025-09-09T18:00:38" u="1"/>
        <d v="2025-09-08T10:00:43" u="1"/>
        <d v="2025-09-14T11:03:52" u="1"/>
        <d v="2025-09-16T09:01:50" u="1"/>
        <d v="2025-09-16T17:01:49" u="1"/>
        <d v="2025-09-16T17:02:11" u="1"/>
        <d v="2025-09-16T18:03:12" u="1"/>
        <d v="2025-09-16T18:03:16" u="1"/>
        <d v="2025-09-14T11:07:46" u="1"/>
        <d v="2025-09-16T12:01:44" u="1"/>
        <d v="2025-09-22T15:16:18" u="1"/>
        <d v="2025-09-23T21:04:55" u="1"/>
        <d v="2025-09-12T19:12:40" u="1"/>
        <d v="2025-09-23T15:04:14" u="1"/>
        <d v="2025-09-22T21:13:59" u="1"/>
        <d v="2025-09-20T09:56:26" u="1"/>
        <d v="2025-09-20T13:12:39" u="1"/>
        <d v="2025-09-20T13:12:57" u="1"/>
        <d v="2025-09-23T20:41:05" u="1"/>
        <d v="2025-09-20T13:13:33" u="1"/>
        <d v="2025-09-20T13:14:11" u="1"/>
        <d v="2025-09-23T16:26:54" u="1"/>
        <d v="2025-09-23T16:26:43" u="1"/>
        <d v="2025-09-22T13:44:02" u="1"/>
        <d v="2025-09-22T13:44:13" u="1"/>
        <d v="2025-09-22T13:45:20" u="1"/>
        <d v="2025-09-23T12:48:59" u="1"/>
        <d v="2025-09-23T12:49:07" u="1"/>
        <d v="2025-09-22T18:07:21" u="1"/>
        <d v="2025-09-23T12:48:25" u="1"/>
        <d v="2025-09-23T16:25:08" u="1"/>
        <d v="2025-09-23T16:25:18" u="1"/>
        <d v="2025-09-22T13:42:51" u="1"/>
        <d v="2025-09-23T20:24:20" u="1"/>
        <d v="2025-09-23T20:24:36" u="1"/>
        <d v="2025-09-22T15:34:15" u="1"/>
        <d v="2025-09-22T15:34:35" u="1"/>
        <d v="2025-09-24T02:31:52" u="1"/>
        <d v="2025-09-20T09:53:35" u="1"/>
        <d v="2025-09-19T12:21:22" u="1"/>
        <d v="2025-09-23T18:37:01" u="1"/>
        <d v="2025-09-20T10:16:52" u="1"/>
        <d v="2025-09-20T10:16:58" u="1"/>
        <d v="2025-09-05T00:35:23" u="1"/>
        <d v="2025-09-15T18:46:22" u="1"/>
        <d v="2025-09-22T20:51:44" u="1"/>
        <d v="2025-09-23T17:20:48" u="1"/>
        <d v="2025-09-23T11:41:26" u="1"/>
        <d v="2025-09-23T11:42:53" u="1"/>
        <d v="2025-09-22T16:42:39" u="1"/>
        <d v="2025-09-20T08:41:04" u="1"/>
        <d v="2025-09-19T16:10:59" u="1"/>
        <d v="2025-09-19T16:11:07" u="1"/>
        <d v="2025-09-19T16:01:45" u="1"/>
        <d v="2025-09-19T16:03:09" u="1"/>
        <d v="2025-09-19T16:05:06" u="1"/>
        <d v="2025-09-23T20:20:51" u="1"/>
        <d v="2025-09-17T18:45:28" u="1"/>
        <d v="2025-09-22T17:33:09" u="1"/>
        <d v="2025-09-23T09:55:31" u="1"/>
        <d v="2025-09-23T12:55:36" u="1"/>
        <d v="2025-09-22T13:59:25" u="1"/>
        <d v="2025-09-16T12:04:11" u="1"/>
        <d v="2025-09-24T02:21:38" u="1"/>
        <d v="2025-09-19T12:41:54" u="1"/>
        <d v="2025-09-20T13:16:36" u="1"/>
        <d v="2025-09-23T20:59:51" u="1"/>
        <d v="2025-09-22T21:03:31" u="1"/>
        <d v="2025-09-18T12:33:07" u="1"/>
        <d v="2025-09-20T10:08:42" u="1"/>
        <d v="2025-09-16T00:30:26" u="1"/>
        <d v="2025-09-23T12:51:21" u="1"/>
        <d v="2025-09-17T18:45:45" u="1"/>
        <d v="2025-09-17T18:45:46" u="1"/>
        <d v="2025-09-17T18:45:58" u="1"/>
        <d v="2025-09-23T14:59:14" u="1"/>
        <d v="2025-09-23T14:16:30" u="1"/>
        <d v="2025-09-23T02:02:10" u="1"/>
        <d v="2025-09-23T02:02:11" u="1"/>
        <d v="2025-09-22T20:36:40" u="1"/>
        <d v="2025-09-08T13:08:40" u="1"/>
        <d v="2025-09-23T01:07:22" u="1"/>
        <d v="2025-09-22T12:28:12" u="1"/>
        <d v="2025-09-18T20:20:03" u="1"/>
        <d v="2025-07-28T12:31:47" u="1"/>
        <d v="2025-07-28T12:47:13" u="1"/>
        <d v="2025-07-28T12:47:22" u="1"/>
        <d v="2025-08-05T17:32:46" u="1"/>
        <d v="2025-08-05T17:32:59" u="1"/>
        <d v="2025-09-22T15:44:25" u="1"/>
        <d v="2025-09-22T15:44:27" u="1"/>
        <d v="2025-09-22T15:44:29" u="1"/>
        <d v="2025-09-22T15:44:31" u="1"/>
        <d v="2025-09-22T15:44:35" u="1"/>
        <d v="2025-09-22T15:44:37" u="1"/>
        <d v="2025-09-22T15:44:41" u="1"/>
        <d v="2025-09-22T15:44:45" u="1"/>
        <d v="2025-09-22T15:44:48" u="1"/>
        <d v="2025-09-22T15:44:50" u="1"/>
        <d v="2025-09-22T15:44:52" u="1"/>
        <d v="2025-09-22T15:44:55" u="1"/>
        <d v="2025-09-22T15:44:57" u="1"/>
        <d v="2025-09-22T15:44:59" u="1"/>
        <d v="2025-09-22T15:45:01" u="1"/>
        <d v="2025-09-22T15:45:03" u="1"/>
        <d v="2025-09-22T15:45:05" u="1"/>
        <d v="2025-09-22T15:45:08" u="1"/>
        <d v="2025-09-22T12:24:27" u="1"/>
        <d v="2025-09-22T20:35:09" u="1"/>
        <d v="2025-09-22T20:35:24" u="1"/>
        <d v="2025-09-22T20:39:23" u="1"/>
        <d v="2025-09-22T16:49:21" u="1"/>
        <d v="2025-09-22T16:49:32" u="1"/>
        <d v="2025-09-22T16:52:01" u="1"/>
        <d v="2025-09-19T09:17:23" u="1"/>
        <d v="2025-09-22T20:35:01" u="1"/>
        <d v="2025-09-22T16:48:33" u="1"/>
        <d v="2025-09-17T22:16:26" u="1"/>
        <d v="2025-09-17T22:16:39" u="1"/>
        <d v="2025-09-19T13:35:41" u="1"/>
        <d v="2025-09-18T17:50:55" u="1"/>
        <d v="2025-09-22T18:05:47" u="1"/>
        <d v="2025-09-19T10:19:37" u="1"/>
        <d v="2025-09-22T20:39:33" u="1"/>
        <d v="2025-09-22T12:25:39" u="1"/>
        <d v="2025-09-19T10:18:54" u="1"/>
        <d v="2025-09-22T17:51:02" u="1"/>
        <d v="2025-09-19T15:34:04" u="1"/>
        <d v="2025-09-22T12:20:27" u="1"/>
        <d v="2025-09-22T18:56:01" u="1"/>
        <d v="2025-09-22T19:35:46" u="1"/>
        <d v="2025-09-22T14:51:51" u="1"/>
        <d v="2025-09-22T22:33:40" u="1"/>
        <d v="2025-09-22T16:01:56" u="1"/>
        <d v="2025-09-22T12:53:52" u="1"/>
        <d v="2025-09-22T12:55:49" u="1"/>
        <d v="2025-09-19T11:14:01" u="1"/>
        <d v="2025-09-19T19:34:21" u="1"/>
        <d v="2025-09-19T17:25:35" u="1"/>
        <d v="2025-09-19T17:38:06" u="1"/>
        <d v="2025-09-19T17:46:02" u="1"/>
        <d v="2025-09-19T17:48:04" u="1"/>
        <d v="2025-09-19T15:50:18" u="1"/>
        <d v="2025-09-19T16:27:14" u="1"/>
        <d v="2025-09-19T16:28:05" u="1"/>
        <d v="2025-09-20T11:57:46" u="1"/>
        <d v="2025-09-22T09:19:46" u="1"/>
        <d v="2025-09-22T09:19:48" u="1"/>
        <d v="2025-09-19T13:00:32" u="1"/>
        <d v="2025-09-19T13:54:28" u="1"/>
        <d v="2025-09-19T14:04:09" u="1"/>
        <d v="2025-09-19T12:40:11" u="1"/>
        <d v="2025-09-19T15:24:26" u="1"/>
        <d v="2025-09-19T10:31:49" u="1"/>
        <d v="2025-09-20T10:11:51" u="1"/>
        <d v="2025-09-19T12:35:04" u="1"/>
        <d v="2025-09-22T09:56:26" u="1"/>
        <d v="2025-09-22T20:37:33" u="1"/>
        <d v="2025-09-11T21:40:43" u="1"/>
        <d v="2025-09-10T22:37:27" u="1"/>
        <d v="2025-09-22T20:39:43" u="1"/>
        <d v="2025-09-19T12:35:48" u="1"/>
        <d v="2025-09-19T17:04:24" u="1"/>
        <d v="2025-09-22T20:39:18" u="1"/>
        <d v="2025-09-12T10:21:00" u="1"/>
        <d v="2025-09-22T20:38:37" u="1"/>
        <d v="2025-09-22T16:11:37" u="1"/>
        <d v="2025-09-22T16:11:40" u="1"/>
        <d v="2025-09-22T16:10:09" u="1"/>
        <d v="2025-09-22T16:10:13" u="1"/>
        <d v="2025-09-22T16:01:01" u="1"/>
        <d v="2025-09-22T16:01:31" u="1"/>
        <d v="2025-09-16T15:00:48" u="1"/>
        <d v="2025-09-22T16:04:08" u="1"/>
        <d v="2025-09-22T16:04:13" u="1"/>
        <d v="2025-09-22T16:04:17" u="1"/>
        <d v="2025-09-22T16:04:22" u="1"/>
        <d v="2025-09-20T09:55:05" u="1"/>
        <d v="2025-09-20T09:55:22" u="1"/>
        <d v="2025-09-13T00:25:47" u="1"/>
        <d v="2025-09-13T00:25:48" u="1"/>
        <d v="2025-09-18T18:46:58" u="1"/>
        <d v="2025-09-15T14:18:44" u="1"/>
        <d v="2025-09-22T20:37:00" u="1"/>
        <d v="2025-09-22T20:38:08" u="1"/>
        <d v="2025-09-18T14:37:04" u="1"/>
        <d v="2025-09-19T16:19:57" u="1"/>
        <d v="2025-09-16T11:29:32" u="1"/>
        <d v="2025-09-18T17:58:05" u="1"/>
        <d v="2025-09-18T17:58:12" u="1"/>
        <d v="2025-09-18T11:21:20" u="1"/>
        <d v="2025-09-11T16:16:30" u="1"/>
        <d v="2025-09-11T16:16:35" u="1"/>
        <d v="2025-09-11T16:16:40" u="1"/>
        <d v="2025-09-22T20:37:45" u="1"/>
        <d v="2025-09-19T10:20:45" u="1"/>
        <d v="2025-09-19T10:20:50" u="1"/>
        <d v="2025-09-19T13:36:42" u="1"/>
        <d v="2025-09-19T13:36:52" u="1"/>
        <d v="2025-09-22T13:44:21" u="1"/>
        <d v="2025-09-22T09:54:13" u="1"/>
        <d v="2025-09-22T09:54:19" u="1"/>
        <d v="2025-09-22T18:07:00" u="1"/>
        <d v="2025-09-22T18:07:38" u="1"/>
        <d v="2025-09-22T18:07:45" u="1"/>
        <d v="2025-09-18T14:34:29" u="1"/>
        <d v="2025-09-19T10:20:39" u="1"/>
        <d v="2025-09-19T12:12:30" u="1"/>
        <d v="2025-09-19T12:12:40" u="1"/>
        <d v="2025-09-22T15:38:31" u="1"/>
        <d v="2025-09-15T23:34:46" u="1"/>
        <d v="2025-09-20T09:41:24" u="1"/>
        <d v="2025-09-20T09:45:56" u="1"/>
        <d v="2025-09-20T09:47:24" u="1"/>
        <d v="2025-09-20T09:47:39" u="1"/>
        <d v="2025-09-20T09:46:40" u="1"/>
        <d v="2025-09-20T09:44:18" u="1"/>
        <d v="2025-09-23T00:26:16" u="1"/>
        <d v="2025-09-23T00:26:21" u="1"/>
        <d v="2025-09-22T23:26:48" u="1"/>
        <d v="2025-09-22T23:26:53" u="1"/>
        <d v="2025-09-22T22:32:56" u="1"/>
        <d v="2025-09-22T22:33:01" u="1"/>
        <d v="2025-09-22T21:34:55" u="1"/>
        <d v="2025-09-22T23:22:30" u="1"/>
        <d v="2025-09-23T00:21:49" u="1"/>
        <d v="2025-09-22T21:30:24" u="1"/>
        <d v="2025-09-22T22:28:06" u="1"/>
        <d v="2025-09-22T20:15:01" u="1"/>
        <d v="2025-09-22T19:10:59" u="1"/>
        <d v="2025-09-22T17:54:07" u="1"/>
        <d v="2025-09-19T15:40:10" u="1"/>
        <d v="2025-09-19T14:44:16" u="1"/>
        <d v="2025-09-22T16:17:23" u="1"/>
        <d v="2025-09-22T13:27:39" u="1"/>
        <d v="2025-09-22T14:56:37" u="1"/>
        <d v="2025-09-22T09:45:20" u="1"/>
        <d v="2025-09-22T10:56:12" u="1"/>
        <d v="2025-09-22T12:04:00" u="1"/>
        <d v="2025-09-23T06:31:28" u="1"/>
        <d v="2025-09-23T06:31:35" u="1"/>
        <d v="2025-09-23T05:28:48" u="1"/>
        <d v="2025-09-23T05:28:56" u="1"/>
        <d v="2025-09-23T04:28:49" u="1"/>
        <d v="2025-09-23T04:28:57" u="1"/>
        <d v="2025-09-23T03:29:14" u="1"/>
        <d v="2025-09-23T03:29:20" u="1"/>
        <d v="2025-09-23T01:23:57" u="1"/>
        <d v="2025-09-23T01:24:02" u="1"/>
        <d v="2025-09-23T02:20:10" u="1"/>
        <d v="2025-09-23T02:20:16" u="1"/>
        <d v="2025-09-19T16:19:13" u="1"/>
        <d v="2025-09-20T09:44:51" u="1"/>
        <d v="2025-09-20T09:48:47" u="1"/>
        <d v="2025-09-20T09:46:32" u="1"/>
        <d v="2025-09-20T09:47:50" u="1"/>
        <d v="2025-09-22T20:20:42" u="1"/>
        <d v="2025-09-20T12:53:21" u="1"/>
        <d v="2025-09-20T10:50:40" u="1"/>
        <d v="2025-09-20T11:47:17" u="1"/>
        <d v="2025-09-21T22:10:33" u="1"/>
        <d v="2025-09-21T23:05:31" u="1"/>
        <d v="2025-09-21T23:59:40" u="1"/>
        <d v="2025-09-22T01:01:47" u="1"/>
        <d v="2025-09-22T01:58:16" u="1"/>
        <d v="2025-09-22T02:53:46" u="1"/>
        <d v="2025-09-22T03:50:56" u="1"/>
        <d v="2025-09-22T04:47:12" u="1"/>
        <d v="2025-09-22T05:43:47" u="1"/>
        <d v="2025-09-22T06:52:52" u="1"/>
        <d v="2025-09-22T07:48:55" u="1"/>
        <d v="2025-09-22T08:44:29" u="1"/>
        <d v="2025-09-21T19:55:17" u="1"/>
        <d v="2025-09-21T20:13:50" u="1"/>
        <d v="2025-09-21T21:07:57" u="1"/>
        <d v="2025-09-23T02:14:43" u="1"/>
        <d v="2025-09-23T01:18:41" u="1"/>
        <d v="2025-09-23T03:23:46" u="1"/>
        <d v="2025-09-23T04:23:32" u="1"/>
        <d v="2025-09-23T05:22:26" u="1"/>
        <d v="2025-09-23T06:25:42" u="1"/>
        <d v="2025-09-20T09:34:36" u="1"/>
        <d v="2025-09-20T13:50:20" u="1"/>
        <d v="2025-09-20T14:46:26" u="1"/>
        <d v="2025-09-20T16:13:42" u="1"/>
        <d v="2025-09-20T17:09:45" u="1"/>
        <d v="2025-09-20T18:06:27" u="1"/>
        <d v="2025-09-20T19:12:33" u="1"/>
        <d v="2025-09-20T20:08:40" u="1"/>
        <d v="2025-09-20T21:04:05" u="1"/>
        <d v="2025-09-20T22:00:26" u="1"/>
        <d v="2025-09-20T22:56:01" u="1"/>
        <d v="2025-09-20T23:50:36" u="1"/>
        <d v="2025-09-21T00:51:34" u="1"/>
        <d v="2025-09-21T01:46:20" u="1"/>
        <d v="2025-09-21T02:39:18" u="1"/>
        <d v="2025-09-21T03:40:17" u="1"/>
        <d v="2025-09-21T04:34:26" u="1"/>
        <d v="2025-09-21T05:30:11" u="1"/>
        <d v="2025-09-21T06:32:43" u="1"/>
        <d v="2025-09-21T07:29:33" u="1"/>
        <d v="2025-09-21T08:27:42" u="1"/>
        <d v="2025-09-21T09:31:02" u="1"/>
        <d v="2025-09-21T10:26:02" u="1"/>
        <d v="2025-09-21T11:20:49" u="1"/>
        <d v="2025-09-21T12:21:57" u="1"/>
        <d v="2025-09-21T13:17:30" u="1"/>
        <d v="2025-09-21T14:12:28" u="1"/>
        <d v="2025-09-21T15:10:50" u="1"/>
        <d v="2025-09-21T16:06:53" u="1"/>
        <d v="2025-09-21T17:00:46" u="1"/>
        <d v="2025-09-21T18:02:52" u="1"/>
        <d v="2025-09-21T18:59:31" u="1"/>
        <d v="2025-09-21T19:19:39" u="1"/>
        <d v="2025-09-20T09:49:09" u="1"/>
        <d v="2025-09-20T09:49:03" u="1"/>
        <d v="2025-09-20T09:45:27" u="1"/>
        <d v="2025-09-19T16:19:33" u="1"/>
        <d v="2025-09-20T09:50:59" u="1"/>
        <d v="2025-09-20T09:51:03" u="1"/>
        <d v="2025-09-20T09:48:56" u="1"/>
        <d v="2025-09-15T23:33:54" u="1"/>
        <d v="2025-09-20T09:44:37" u="1"/>
        <d v="2025-09-20T09:44:40" u="1"/>
        <d v="2025-09-20T09:44:44" u="1"/>
        <d v="2025-09-20T09:44:46" u="1"/>
        <d v="2025-09-20T09:42:34" u="1"/>
        <d v="2025-09-20T09:42:38" u="1"/>
        <d v="2025-09-20T09:42:51" u="1"/>
        <d v="2025-09-22T12:29:58" u="1"/>
        <d v="2025-09-20T09:48:08" u="1"/>
        <d v="2025-09-20T09:51:18" u="1"/>
        <d v="2025-09-19T16:19:26" u="1"/>
        <d v="2025-09-20T09:45:42" u="1"/>
        <d v="2025-09-20T09:45:51" u="1"/>
        <d v="2025-09-20T09:47:58" u="1"/>
        <d v="2025-09-20T09:48:41" u="1"/>
        <d v="2025-09-19T16:19:20" u="1"/>
        <d v="2025-09-19T12:20:48" u="1"/>
        <d v="2025-09-18T12:44:28" u="1"/>
        <d v="2025-09-22T20:52:52" u="1"/>
        <d v="2025-09-22T20:52:58" u="1"/>
        <d v="2025-09-22T14:47:06" u="1"/>
        <d v="2025-09-19T16:31:22" u="1"/>
        <d v="2025-09-19T16:31:27" u="1"/>
        <d v="2025-09-19T16:10:18" u="1"/>
        <d v="2025-09-22T16:42:21" u="1"/>
        <d v="2025-09-22T20:32:16" u="1"/>
        <d v="2025-09-22T20:32:21" u="1"/>
        <d v="2025-09-19T16:08:29" u="1"/>
        <d v="2025-09-19T12:31:16" u="1"/>
        <d v="2025-09-19T16:02:58" u="1"/>
        <d v="2025-09-19T16:07:13" u="1"/>
        <d v="2025-09-15T23:32:20" u="1"/>
        <d v="2025-09-22T20:32:34" u="1"/>
        <d v="2025-09-19T16:07:46" u="1"/>
        <d v="2025-09-19T16:08:04" u="1"/>
        <d v="2025-09-19T16:05:10" u="1"/>
        <d v="2025-09-19T12:31:24" u="1"/>
        <d v="2025-09-19T12:31:02" u="1"/>
        <d v="2025-09-19T16:09:04" u="1"/>
        <d v="2025-09-19T16:12:06" u="1"/>
        <d v="2025-09-19T16:13:13" u="1"/>
        <d v="2025-09-22T20:31:46" u="1"/>
        <d v="2025-09-22T20:31:50" u="1"/>
        <d v="2025-09-22T16:43:30" u="1"/>
        <d v="2025-09-22T16:43:35" u="1"/>
        <d v="2025-09-22T12:23:07" u="1"/>
        <d v="2025-09-19T16:03:48" u="1"/>
        <d v="2025-09-19T16:05:50" u="1"/>
        <d v="2025-09-20T08:41:12" u="1"/>
        <d v="2025-09-20T08:40:54" u="1"/>
        <d v="2025-09-21T21:20:48" u="1"/>
        <d v="2025-09-19T16:11:54" u="1"/>
        <d v="2025-09-22T20:38:50" u="1"/>
        <d v="2025-09-22T20:38:14" u="1"/>
        <d v="2025-09-22T16:53:28" u="1"/>
        <d v="2025-09-22T20:36:15" u="1"/>
        <d v="2025-09-22T20:39:12" u="1"/>
        <d v="2025-09-22T20:39:49" u="1"/>
        <d v="2025-09-22T09:53:26" u="1"/>
        <d v="2025-09-22T12:25:14" u="1"/>
        <d v="2025-09-22T12:29:04" u="1"/>
        <d v="2025-09-22T12:25:21" u="1"/>
        <d v="2025-09-22T10:49:48" u="1"/>
        <d v="2025-09-22T10:49:49" u="1"/>
        <d v="2025-09-19T16:26:11" u="1"/>
        <d v="2025-09-19T12:28:35" u="1"/>
        <d v="2025-09-19T12:28:47" u="1"/>
        <d v="2025-09-22T14:16:04" u="1"/>
        <d v="2025-09-22T18:10:27" u="1"/>
        <d v="2025-09-22T20:39:27" u="1"/>
        <d v="2025-09-19T10:51:34" u="1"/>
        <d v="2025-09-20T09:59:16" u="1"/>
        <d v="2025-09-19T06:10:38" u="1"/>
        <d v="2025-09-20T18:29:04" u="1"/>
        <d v="2025-09-21T03:50:23" u="1"/>
        <d v="2025-09-20T10:03:33" u="1"/>
        <d v="2025-09-20T10:03:40" u="1"/>
        <d v="2025-09-20T10:03:45" u="1"/>
        <d v="2025-09-20T10:06:50" u="1"/>
        <d v="2025-09-19T14:17:05" u="1"/>
        <d v="2025-09-20T10:07:07" u="1"/>
        <d v="2025-09-20T09:54:01" u="1"/>
        <d v="2025-09-19T13:35:29" u="1"/>
        <d v="2025-09-19T16:47:07" u="1"/>
        <d v="2025-09-19T12:32:14" u="1"/>
        <d v="2025-09-20T21:11:10" u="1"/>
        <d v="2025-09-20T08:43:46" u="1"/>
        <d v="2025-09-20T08:44:25" u="1"/>
        <d v="2025-09-20T08:44:34" u="1"/>
        <d v="2025-09-19T16:17:12" u="1"/>
        <d v="2025-09-19T16:17:19" u="1"/>
        <d v="2025-09-18T16:01:35" u="1"/>
        <d v="2025-09-20T09:56:05" u="1"/>
        <d v="2025-09-06T00:05:22" u="1"/>
        <d v="2025-09-06T00:05:23" u="1"/>
        <d v="2025-09-06T00:05:24" u="1"/>
        <d v="2025-09-05T00:04:43" u="1"/>
        <d v="2025-09-05T00:04:44" u="1"/>
        <d v="2025-09-19T12:26:56" u="1"/>
        <d v="2025-09-12T12:40:56" u="1"/>
        <d v="2025-09-18T18:54:20" u="1"/>
        <d v="2025-09-18T18:05:58" u="1"/>
        <d v="2025-09-18T11:04:00" u="1"/>
        <d v="2025-09-17T17:01:29" u="1"/>
        <d v="2025-09-19T15:03:57" u="1"/>
        <d v="2025-09-19T15:03:58" u="1"/>
        <d v="2025-09-16T12:41:35" u="1"/>
        <d v="2025-09-14T00:05:50" u="1"/>
        <d v="2025-09-12T19:01:20" u="1"/>
        <d v="2025-09-12T19:02:58" u="1"/>
        <d v="2025-09-15T12:42:21" u="1"/>
        <d v="2025-09-15T12:42:41" u="1"/>
        <d v="2025-09-20T10:38:32" u="1"/>
        <d v="2025-09-20T10:49:09" u="1"/>
        <d v="2025-09-20T13:16:40" u="1"/>
        <d v="2025-09-19T12:25:18" u="1"/>
        <d v="2025-09-20T09:55:06" u="1"/>
        <d v="2025-09-19T12:24:46" u="1"/>
        <d v="2025-09-12T19:12:32" u="1"/>
        <d v="2025-09-20T10:34:24" u="1"/>
        <d v="2025-09-20T07:11:49" u="1"/>
        <d v="2025-09-20T07:19:20" u="1"/>
        <d v="2025-09-20T07:09:58" u="1"/>
        <d v="2025-09-15T08:14:40" u="1"/>
        <d v="2025-09-15T08:14:41" u="1"/>
        <d v="2025-09-16T14:35:26" u="1"/>
        <d v="2025-09-12T16:56:24" u="1"/>
        <d v="2025-09-12T16:56:25" u="1"/>
        <d v="2025-09-16T13:18:47" u="1"/>
        <d v="2025-09-15T09:56:21" u="1"/>
        <d v="2025-09-20T08:44:38" u="1"/>
        <d v="2025-09-20T08:43:37" u="1"/>
        <d v="2025-09-20T09:57:20" u="1"/>
        <d v="2025-09-19T13:38:25" u="1"/>
        <d v="2025-09-19T19:37:34" u="1"/>
        <d v="2025-09-19T12:08:41" u="1"/>
        <d v="2025-09-18T19:17:10" u="1"/>
        <d v="2025-09-18T19:17:11" u="1"/>
        <d v="2025-09-19T17:34:32" u="1"/>
        <d v="2025-09-18T14:17:03" u="1"/>
        <d v="2025-09-18T14:17:05" u="1"/>
        <d v="2025-09-19T13:15:58" u="1"/>
        <d v="2025-09-19T13:15:59" u="1"/>
        <d v="2025-09-19T13:16:01" u="1"/>
        <d v="2025-09-19T13:16:02" u="1"/>
        <d v="2025-09-19T13:16:03" u="1"/>
        <d v="2025-09-17T22:24:46" u="1"/>
        <d v="2025-09-20T09:25:00" u="1"/>
        <d v="2025-09-19T13:04:59" u="1"/>
        <d v="2025-09-11T19:34:27" u="1"/>
        <d v="2025-09-20T10:59:31" u="1"/>
        <d v="2025-09-16T12:48:36" u="1"/>
        <d v="2025-09-19T13:05:03" u="1"/>
        <d v="2025-09-18T00:34:09" u="1"/>
        <d v="2025-09-03T15:34:58" u="1"/>
        <d v="2025-09-18T11:37:31" u="1"/>
        <d v="2025-09-18T11:37:32" u="1"/>
        <d v="2025-09-18T11:37:33" u="1"/>
        <d v="2025-09-18T11:37:34" u="1"/>
        <d v="2025-09-18T11:37:35" u="1"/>
        <d v="2025-09-18T11:37:37" u="1"/>
        <d v="2025-09-18T11:37:38" u="1"/>
        <d v="2025-09-18T11:37:39" u="1"/>
        <d v="2025-09-18T11:37:41" u="1"/>
        <d v="2025-09-18T11:37:42" u="1"/>
        <d v="2025-09-08T14:07:08" u="1"/>
        <d v="2025-09-09T17:07:02" u="1"/>
        <d v="2025-09-15T16:45:47" u="1"/>
        <d v="2025-09-15T17:06:19" u="1"/>
        <d v="2025-09-19T10:57:36" u="1"/>
        <d v="2025-09-10T12:25:54" u="1"/>
        <d v="2025-09-09T16:36:52" u="1"/>
        <d v="2025-09-15T09:56:30" u="1"/>
        <d v="2025-09-19T12:46:10" u="1"/>
        <d v="2025-09-19T12:46:33" u="1"/>
        <d v="2025-09-20T09:51:59" u="1"/>
        <d v="2025-09-20T09:53:29" u="1"/>
        <d v="2025-09-16T12:27:09" u="1"/>
        <d v="2025-09-20T09:50:31" u="1"/>
        <d v="2025-09-20T09:50:07" u="1"/>
        <d v="2025-09-19T12:21:01" u="1"/>
        <d v="2025-09-21T13:32:00" u="1"/>
        <d v="2025-09-17T14:34:48" u="1"/>
        <d v="2025-09-17T14:41:54" u="1"/>
        <d v="2025-09-19T16:07:51" u="1"/>
        <d v="2025-09-19T16:09:38" u="1"/>
        <d v="2025-09-19T16:03:58" u="1"/>
        <d v="2025-09-19T16:04:02" u="1"/>
        <d v="2025-09-19T16:11:36" u="1"/>
        <d v="2025-09-20T08:40:41" u="1"/>
        <d v="2025-09-20T08:41:55" u="1"/>
        <d v="2025-09-19T16:12:44" u="1"/>
        <d v="2025-09-19T17:01:36" u="1"/>
        <d v="2025-09-19T16:14:07" u="1"/>
        <d v="2025-09-19T16:14:15" u="1"/>
        <d v="2025-09-19T13:36:05" u="1"/>
        <d v="2025-09-20T15:22:11" u="1"/>
        <d v="2025-09-19T15:47:16" u="1"/>
        <d v="2025-09-19T16:06:21" u="1"/>
        <d v="2025-09-18T12:06:15" u="1"/>
        <d v="2025-09-15T12:06:49" u="1"/>
        <d v="2025-09-18T12:06:11" u="1"/>
        <d v="2025-09-18T12:08:21" u="1"/>
        <d v="2025-09-18T12:05:17" u="1"/>
        <d v="2025-09-16T18:05:51" u="1"/>
        <d v="2025-09-18T12:09:13" u="1"/>
        <d v="2025-09-22T01:42:39" u="1"/>
        <d v="2025-09-15T12:26:53" u="1"/>
        <d v="2025-09-19T12:33:59" u="1"/>
        <d v="2025-09-21T19:37:46" u="1"/>
        <d v="2025-09-20T09:59:28" u="1"/>
        <d v="2025-09-20T10:02:31" u="1"/>
        <d v="2025-09-20T10:08:49" u="1"/>
        <d v="2025-09-20T10:09:58" u="1"/>
        <d v="2025-09-20T10:11:21" u="1"/>
        <d v="2025-09-13T00:27:59" u="1"/>
        <d v="2025-09-18T19:53:26" u="1"/>
        <d v="2025-09-20T10:54:22" u="1"/>
        <d v="2025-09-20T10:54:36" u="1"/>
        <d v="2025-09-20T10:55:00" u="1"/>
        <d v="2025-09-19T07:44:30" u="1"/>
        <d v="2025-09-18T12:07:43" u="1"/>
        <d v="2025-09-10T17:13:15" u="1"/>
        <d v="2025-09-10T17:13:18" u="1"/>
        <d v="2025-09-15T16:35:57" u="1"/>
        <d v="2025-09-10T11:26:48" u="1"/>
        <d v="2025-09-09T16:55:42" u="1"/>
        <d v="2025-09-16T10:45:18" u="1"/>
        <d v="2025-09-17T17:07:21" u="1"/>
        <d v="2025-09-10T18:05:53" u="1"/>
        <d v="2025-09-10T16:26:31" u="1"/>
        <d v="2025-09-20T09:58:07" u="1"/>
        <d v="2025-09-20T09:58:11" u="1"/>
        <d v="2025-09-20T09:58:14" u="1"/>
        <d v="2025-09-20T09:58:46" u="1"/>
        <d v="2025-09-20T09:59:01" u="1"/>
        <d v="2025-09-19T13:39:39" u="1"/>
        <d v="2025-09-18T17:59:28" u="1"/>
        <d v="2025-09-15T18:35:38" u="1"/>
        <d v="2025-09-16T12:39:18" u="1"/>
        <d v="2025-09-20T15:21:59" u="1"/>
        <d v="2025-09-16T12:11:15" u="1"/>
        <d v="2025-09-15T12:10:46" u="1"/>
        <d v="2025-09-17T18:09:24" u="1"/>
        <d v="2025-09-20T09:02:56" u="1"/>
        <d v="2025-09-20T09:02:59" u="1"/>
        <d v="2025-09-20T09:03:28" u="1"/>
        <d v="2025-09-20T09:04:20" u="1"/>
        <d v="2025-09-20T09:04:26" u="1"/>
        <d v="2025-09-11T18:13:32" u="1"/>
        <d v="2025-09-11T18:13:40" u="1"/>
        <d v="2025-09-11T18:13:47" u="1"/>
        <d v="2025-09-03T00:22:52" u="1"/>
        <d v="2025-09-19T12:09:25" u="1"/>
        <d v="2025-02-14T20:53:38" u="1"/>
        <d v="2025-07-20T19:34:32" u="1"/>
        <d v="2025-08-21T15:16:29" u="1"/>
        <d v="2025-08-20T18:04:45" u="1"/>
        <d v="2025-08-14T18:04:17" u="1"/>
        <d v="2025-08-22T16:07:19" u="1"/>
        <d v="2025-08-26T15:25:24" u="1"/>
        <d v="2025-08-21T18:04:40" u="1"/>
        <d v="2025-08-26T08:01:21" u="1"/>
        <d v="2025-08-22T14:06:35" u="1"/>
        <d v="2025-08-26T00:14:22" u="1"/>
        <d v="2025-08-25T18:05:51" u="1"/>
        <d v="2025-08-22T16:31:43" u="1"/>
        <d v="2025-08-28T16:59:09" u="1"/>
        <d v="2025-08-28T09:01:29" u="1"/>
        <d v="2025-08-27T09:33:28" u="1"/>
        <d v="2025-08-27T15:47:38" u="1"/>
        <d v="2025-08-28T19:07:58" u="1"/>
        <d v="2025-08-28T13:16:09" u="1"/>
        <d v="2025-08-28T13:31:32" u="1"/>
        <d v="2025-08-28T10:18:09" u="1"/>
        <d v="2025-08-28T10:24:58" u="1"/>
        <d v="2025-08-27T00:13:37" u="1"/>
        <d v="2025-08-28T18:36:16" u="1"/>
        <d v="2025-08-28T11:28:34" u="1"/>
        <d v="2025-08-28T10:35:45" u="1"/>
        <d v="2025-08-26T18:41:14" u="1"/>
        <d v="2025-08-28T16:59:24" u="1"/>
        <d v="2025-08-28T18:55:16" u="1"/>
        <d v="2025-09-01T16:02:35" u="1"/>
        <d v="2025-09-01T09:31:01" u="1"/>
        <d v="2025-09-01T11:47:46" u="1"/>
        <d v="2025-08-29T11:06:16" u="1"/>
        <d v="2025-08-29T17:31:08" u="1"/>
        <d v="2025-09-01T18:00:41" u="1"/>
        <d v="2025-09-01T14:01:50" u="1"/>
        <d v="2025-09-01T15:00:44" u="1"/>
        <d v="2025-08-29T08:13:32" u="1"/>
        <d v="2025-09-01T12:01:19" u="1"/>
        <d v="2025-08-30T00:22:03" u="1"/>
        <d v="2025-08-30T00:09:51" u="1"/>
        <d v="2025-09-01T13:17:40" u="1"/>
        <d v="2025-09-01T14:48:13" u="1"/>
        <d v="2025-09-01T12:47:52" u="1"/>
        <d v="2025-09-01T12:47:55" u="1"/>
        <d v="2025-09-01T11:09:06" u="1"/>
        <d v="2025-09-01T08:34:48" u="1"/>
        <d v="2025-09-01T18:34:52" u="1"/>
        <d v="2025-08-28T19:08:06" u="1"/>
        <d v="2025-08-29T18:58:21" u="1"/>
        <d v="2025-09-01T16:01:54" u="1"/>
        <d v="2025-09-01T16:01:59" u="1"/>
        <d v="2025-09-01T12:19:48" u="1"/>
        <d v="2025-09-01T20:56:24" u="1"/>
        <d v="2025-09-01T03:23:17" u="1"/>
        <d v="2025-09-01T12:58:32" u="1"/>
        <d v="2025-09-04T10:52:47" u="1"/>
        <d v="2025-09-04T14:17:16" u="1"/>
        <d v="2025-09-12T12:34:01" u="1"/>
        <d v="2025-09-11T15:05:41" u="1"/>
        <d v="2025-09-12T06:50:43" u="1"/>
        <d v="2025-09-12T06:51:00" u="1"/>
        <d v="2025-09-10T21:15:18" u="1"/>
        <d v="2025-09-08T19:46:48" u="1"/>
        <d v="2025-09-08T19:46:53" u="1"/>
        <d v="2025-09-08T19:46:57" u="1"/>
        <d v="2025-09-12T06:56:04" u="1"/>
        <d v="2025-09-10T21:14:58" u="1"/>
        <d v="2025-09-10T22:41:44" u="1"/>
        <d v="2025-09-16T12:47:09" u="1"/>
        <d v="2025-09-16T12:45:44" u="1"/>
        <d v="2025-09-16T12:41:18" u="1"/>
        <d v="2025-09-16T12:26:41" u="1"/>
        <d v="2025-09-16T12:27:22" u="1"/>
        <d v="2025-09-16T12:44:31" u="1"/>
        <d v="2025-09-16T12:44:46" u="1"/>
        <d v="2025-09-16T12:12:26" u="1"/>
        <d v="2025-09-16T12:12:40" u="1"/>
        <d v="2025-09-16T12:12:43" u="1"/>
        <d v="2025-09-16T12:12:31" u="1"/>
        <d v="2025-09-16T12:09:15" u="1"/>
        <d v="2025-09-16T12:09:51" u="1"/>
        <d v="2025-09-16T12:09:57" u="1"/>
        <d v="2025-09-16T12:10:45" u="1"/>
        <d v="2025-09-16T12:10:49" u="1"/>
        <d v="2025-09-16T12:10:53" u="1"/>
        <d v="2025-09-16T12:11:06" u="1"/>
        <d v="2025-09-16T12:11:33" u="1"/>
        <d v="2025-09-16T12:11:51" u="1"/>
        <d v="2025-09-16T12:11:56" u="1"/>
        <d v="2025-09-16T12:11:59" u="1"/>
        <d v="2025-09-16T12:12:01" u="1"/>
        <d v="2025-09-16T12:12:22" u="1"/>
        <d v="2025-09-15T23:32:14" u="1"/>
        <d v="2025-09-15T23:33:07" u="1"/>
        <d v="2025-09-15T23:33:17" u="1"/>
        <d v="2025-09-15T23:33:02" u="1"/>
        <d v="2025-09-15T23:32:57" u="1"/>
        <d v="2025-09-15T23:30:46" u="1"/>
        <d v="2025-09-15T23:35:08" u="1"/>
        <d v="2025-09-15T16:54:43" u="1"/>
        <d v="2025-09-15T23:34:22" u="1"/>
        <d v="2025-09-15T23:31:32" u="1"/>
        <d v="2025-09-16T09:33:22" u="1"/>
        <d v="2025-09-14T20:14:34" u="1"/>
        <d v="2025-09-16T12:35:05" u="1"/>
        <d v="2025-09-15T23:35:23" u="1"/>
        <d v="2025-09-15T15:20:34" u="1"/>
        <d v="2025-09-16T09:31:10" u="1"/>
        <d v="2025-09-15T23:32:07" u="1"/>
        <d v="2025-09-15T23:34:14" u="1"/>
        <d v="2025-09-16T09:26:01" u="1"/>
        <d v="2025-09-16T01:21:27" u="1"/>
        <d v="2025-09-16T02:18:03" u="1"/>
        <d v="2025-09-16T03:23:14" u="1"/>
        <d v="2025-09-16T04:21:57" u="1"/>
        <d v="2025-09-16T05:18:38" u="1"/>
        <d v="2025-09-16T06:22:26" u="1"/>
        <d v="2025-09-16T07:16:48" u="1"/>
        <d v="2025-09-16T08:11:27" u="1"/>
        <d v="2025-09-16T13:33:19" u="1"/>
        <d v="2025-09-16T14:29:59" u="1"/>
        <d v="2025-09-16T10:27:12" u="1"/>
        <d v="2025-09-16T00:25:11" u="1"/>
        <d v="2025-09-16T11:23:01" u="1"/>
        <d v="2025-09-16T12:27:51" u="1"/>
        <d v="2025-09-15T17:11:58" u="1"/>
        <d v="2025-09-15T18:25:45" u="1"/>
        <d v="2025-09-15T19:25:27" u="1"/>
        <d v="2025-09-15T20:18:46" u="1"/>
        <d v="2025-09-15T21:24:25" u="1"/>
        <d v="2025-09-15T22:23:28" u="1"/>
        <d v="2025-09-15T23:19:36" u="1"/>
        <d v="2025-09-15T16:12:19" u="1"/>
        <d v="2025-09-15T14:04:10" u="1"/>
        <d v="2025-09-15T15:11:45" u="1"/>
        <d v="2025-09-15T17:32:01" u="1"/>
        <d v="2025-09-15T12:08:45" u="1"/>
        <d v="2025-09-16T19:16:53" u="1"/>
        <d v="2025-09-16T19:19:13" u="1"/>
        <d v="2025-09-16T19:19:28" u="1"/>
        <d v="2025-09-17T19:16:42" u="1"/>
        <d v="2025-09-17T19:18:43" u="1"/>
        <d v="2025-09-17T19:18:55" u="1"/>
        <d v="2025-09-16T17:15:50" u="1"/>
        <d v="2025-09-16T17:15:52" u="1"/>
        <d v="2025-09-16T17:29:38" u="1"/>
        <d v="2025-09-17T12:32:54" u="1"/>
        <d v="2025-09-17T18:19:28" u="1"/>
        <d v="2025-09-17T12:11:13" u="1"/>
        <d v="2025-09-17T00:01:21" u="1"/>
        <d v="2025-09-17T18:18:05" u="1"/>
        <d v="2025-09-17T18:32:15" u="1"/>
        <d v="2025-09-16T18:38:54" u="1"/>
        <d v="2025-09-17T12:22:54" u="1"/>
        <d v="2025-09-16T18:39:21" u="1"/>
        <d v="2025-09-16T18:16:20" u="1"/>
        <d v="2025-09-17T14:36:49" u="1"/>
        <d v="2025-09-16T19:05:16" u="1"/>
        <d v="2025-09-17T00:23:56" u="1"/>
        <d v="2025-09-17T19:04:47" u="1"/>
        <d v="2025-09-17T19:04:58" u="1"/>
        <d v="2025-09-16T19:09:11" u="1"/>
        <d v="2025-09-17T12:36:11" u="1"/>
        <d v="2025-09-16T18:22:25" u="1"/>
        <d v="2025-09-17T12:21:41" u="1"/>
        <d v="2025-09-17T16:04:32" u="1"/>
        <d v="2025-09-16T18:52:29" u="1"/>
        <d v="2025-09-17T15:46:27" u="1"/>
        <d v="2025-09-17T11:35:17" u="1"/>
        <d v="2025-09-17T00:02:24" u="1"/>
        <d v="2025-09-17T12:21:59" u="1"/>
        <d v="2025-09-16T18:33:28" u="1"/>
        <d v="2025-09-17T18:29:07" u="1"/>
        <d v="2025-09-17T19:13:39" u="1"/>
        <d v="2025-09-16T18:34:51" u="1"/>
        <d v="2025-09-17T18:11:02" u="1"/>
        <d v="2025-09-17T00:08:33" u="1"/>
        <d v="2025-09-17T00:08:36" u="1"/>
        <d v="2025-09-17T18:34:45" u="1"/>
        <d v="2025-09-16T18:41:04" u="1"/>
        <d v="2025-09-17T00:19:32" u="1"/>
        <d v="2025-09-17T18:32:54" u="1"/>
        <d v="2025-09-17T12:25:30" u="1"/>
        <d v="2025-09-16T15:37:11" u="1"/>
        <d v="2025-09-17T12:32:31" u="1"/>
        <d v="2025-09-16T15:46:13" u="1"/>
        <d v="2025-09-16T21:34:11" u="1"/>
        <d v="2025-09-16T14:52:04" u="1"/>
        <d v="2025-09-16T14:51:25" u="1"/>
        <d v="2025-09-16T14:50:53" u="1"/>
        <d v="2025-09-16T14:51:08" u="1"/>
        <d v="2025-09-17T13:31:07" u="1"/>
        <d v="2025-09-17T16:44:57" u="1"/>
        <d v="2025-09-16T18:44:14" u="1"/>
        <d v="2025-09-16T18:44:15" u="1"/>
        <d v="2025-09-16T18:44:33" u="1"/>
        <d v="2025-09-16T18:44:34" u="1"/>
        <d v="2025-09-17T23:16:18" u="1"/>
        <d v="2025-09-18T00:20:00" u="1"/>
        <d v="2025-09-16T18:44:32" u="1"/>
        <d v="2025-09-16T18:44:13" u="1"/>
        <d v="2025-09-17T15:27:35" u="1"/>
        <d v="2025-09-17T16:46:47" u="1"/>
        <d v="2025-09-17T14:29:55" u="1"/>
        <d v="2025-09-17T13:25:36" u="1"/>
        <d v="2025-09-17T10:11:06" u="1"/>
        <d v="2025-09-17T11:14:44" u="1"/>
        <d v="2025-09-17T00:17:54" u="1"/>
        <d v="2025-09-17T12:16:27" u="1"/>
        <d v="2025-09-16T22:25:06" u="1"/>
        <d v="2025-09-16T23:22:17" u="1"/>
        <d v="2025-09-16T20:22:25" u="1"/>
        <d v="2025-09-16T21:16:47" u="1"/>
        <d v="2025-09-17T01:22:17" u="1"/>
        <d v="2025-09-17T02:17:40" u="1"/>
        <d v="2025-09-17T03:14:59" u="1"/>
        <d v="2025-09-17T04:23:24" u="1"/>
        <d v="2025-09-17T05:21:39" u="1"/>
        <d v="2025-09-17T06:17:12" u="1"/>
        <d v="2025-09-17T07:20:06" u="1"/>
        <d v="2025-09-17T08:13:42" u="1"/>
        <d v="2025-09-17T09:09:21" u="1"/>
        <d v="2025-09-16T19:19:30" u="1"/>
        <d v="2025-09-16T17:57:31" u="1"/>
        <d v="2025-09-16T16:53:12" u="1"/>
        <d v="2025-09-16T15:47:48" u="1"/>
        <d v="2025-09-17T17:58:16" u="1"/>
        <d v="2025-09-17T21:05:40" u="1"/>
        <d v="2025-09-17T22:00:16" u="1"/>
        <d v="2025-09-17T20:07:13" u="1"/>
        <d v="2025-09-17T18:57:25" u="1"/>
        <d v="2025-09-17T23:10:20" u="1"/>
        <d v="2025-09-18T00:08:36" u="1"/>
        <d v="2025-09-18T01:02:41" u="1"/>
        <d v="2025-09-18T02:08:41" u="1"/>
        <d v="2025-09-18T03:03:50" u="1"/>
        <d v="2025-09-18T04:00:48" u="1"/>
        <d v="2025-09-18T05:08:02" u="1"/>
        <d v="2025-09-16T16:50:28" u="1"/>
        <d v="2025-09-17T12:05:43" u="1"/>
        <d v="2025-09-17T16:57:27" u="1"/>
        <d v="2025-09-17T09:17:11" u="1"/>
        <d v="2025-09-16T18:24:59" u="1"/>
        <d v="2025-09-16T18:25:16" u="1"/>
        <d v="2025-09-16T14:51:42" u="1"/>
        <d v="2025-09-18T19:57:51" u="1"/>
        <d v="2025-09-18T20:00:35" u="1"/>
        <d v="2025-09-18T13:00:02" u="1"/>
        <d v="2025-09-18T12:47:17" u="1"/>
        <d v="2025-09-18T10:07:05" u="1"/>
        <d v="2025-09-18T10:15:29" u="1"/>
        <d v="2025-09-18T18:39:37" u="1"/>
        <d v="2025-09-18T19:14:40" u="1"/>
        <d v="2025-09-18T18:52:29" u="1"/>
        <d v="2025-09-18T12:28:52" u="1"/>
        <d v="2025-09-18T18:54:48" u="1"/>
        <d v="2025-09-19T06:10:14" u="1"/>
        <d v="2025-09-18T19:37:28" u="1"/>
        <d v="2025-09-18T12:52:40" u="1"/>
        <d v="2025-09-18T16:04:21" u="1"/>
        <d v="2025-09-18T16:04:22" u="1"/>
        <d v="2025-09-18T19:04:07" u="1"/>
        <d v="2025-09-18T12:29:28" u="1"/>
        <d v="2025-09-18T12:29:38" u="1"/>
        <d v="2025-09-18T12:30:11" u="1"/>
        <d v="2025-09-18T12:30:27" u="1"/>
        <d v="2025-09-18T18:45:40" u="1"/>
        <d v="2025-09-18T17:04:03" u="1"/>
        <d v="2025-09-18T14:35:13" u="1"/>
        <d v="2025-09-18T14:35:18" u="1"/>
        <d v="2025-09-18T12:07:40" u="1"/>
        <d v="2025-09-19T06:11:44" u="1"/>
        <d v="2025-09-18T18:48:41" u="1"/>
        <d v="2025-09-18T12:55:35" u="1"/>
        <d v="2025-09-18T12:55:38" u="1"/>
        <d v="2025-09-18T12:56:17" u="1"/>
        <d v="2025-09-18T12:56:45" u="1"/>
        <d v="2025-09-18T12:56:48" u="1"/>
        <d v="2025-09-18T12:56:57" u="1"/>
        <d v="2025-09-18T12:57:00" u="1"/>
        <d v="2025-09-18T12:57:03" u="1"/>
        <d v="2025-09-19T06:13:41" u="1"/>
        <d v="2025-09-19T06:13:44" u="1"/>
        <d v="2025-09-19T06:14:24" u="1"/>
        <d v="2025-09-18T12:57:19" u="1"/>
        <d v="2025-09-18T12:57:35" u="1"/>
        <d v="2025-09-18T18:56:33" u="1"/>
        <d v="2025-09-18T18:58:22" u="1"/>
        <d v="2025-09-18T12:34:35" u="1"/>
        <d v="2025-09-18T17:53:45" u="1"/>
        <d v="2025-09-18T17:52:29" u="1"/>
        <d v="2025-09-18T13:23:58" u="1"/>
        <d v="2025-09-18T16:36:06" u="1"/>
        <d v="2025-09-18T11:40:03" u="1"/>
        <d v="2025-09-18T16:28:05" u="1"/>
        <d v="2025-09-18T13:08:02" u="1"/>
        <d v="2025-09-18T16:24:04" u="1"/>
        <d v="2025-09-18T17:52:43" u="1"/>
        <d v="2025-09-18T18:51:08" u="1"/>
        <d v="2025-09-18T23:16:54" u="1"/>
        <d v="2025-09-18T19:14:13" u="1"/>
        <d v="2025-09-18T12:58:16" u="1"/>
        <d v="2025-09-18T17:51:45" u="1"/>
        <d v="2025-09-18T13:25:58" u="1"/>
        <d v="2025-09-18T23:17:06" u="1"/>
        <d v="2025-09-18T17:53:56" u="1"/>
        <d v="2025-09-18T21:19:51" u="1"/>
        <d v="2025-09-18T19:57:57" u="1"/>
        <d v="2025-09-18T08:59:58" u="1"/>
        <d v="2025-09-18T11:40:05" u="1"/>
        <d v="2025-09-18T14:34:49" u="1"/>
        <d v="2025-09-19T00:14:58" u="1"/>
        <d v="2025-09-18T20:19:38" u="1"/>
        <d v="2025-09-18T20:19:48" u="1"/>
        <d v="2025-09-18T15:33:36" u="1"/>
        <d v="2025-09-18T16:36:10" u="1"/>
        <d v="2025-09-18T17:44:47" u="1"/>
        <d v="2025-09-18T18:55:55" u="1"/>
        <d v="2025-09-18T09:59:15" u="1"/>
        <d v="2025-09-18T11:12:30" u="1"/>
        <d v="2025-09-18T09:01:33" u="1"/>
        <d v="2025-09-18T06:05:22" u="1"/>
        <d v="2025-09-18T07:00:24" u="1"/>
        <d v="2025-09-18T08:05:43" u="1"/>
        <d v="2025-09-18T12:15:21" u="1"/>
        <d v="2025-09-18T14:26:53" u="1"/>
        <d v="2025-09-18T13:18:52" u="1"/>
        <d v="2025-09-19T06:10:42" u="1"/>
        <d v="2025-09-19T01:22:07" u="1"/>
        <d v="2025-09-19T02:18:01" u="1"/>
        <d v="2025-09-19T03:14:37" u="1"/>
        <d v="2025-09-19T04:21:26" u="1"/>
        <d v="2025-09-18T22:11:32" u="1"/>
        <d v="2025-09-18T23:08:48" u="1"/>
        <d v="2025-09-18T19:54:45" u="1"/>
        <d v="2025-09-18T21:10:26" u="1"/>
        <d v="2025-09-19T05:16:19" u="1"/>
        <d v="2025-09-18T13:24:54" u="1"/>
        <d v="2025-09-18T20:19:19" u="1"/>
        <d v="2025-09-18T17:52:10" u="1"/>
        <d v="2025-09-18T17:52:04" u="1"/>
        <d v="2025-09-18T17:52:20" u="1"/>
        <d v="2025-09-18T17:55:15" u="1"/>
        <d v="2025-09-18T16:42:00" u="1"/>
        <d v="2025-09-18T14:16:14" u="1"/>
        <d v="2025-09-18T17:10:01" u="1"/>
        <d v="2025-09-18T15:52:02" u="1"/>
        <d v="2025-09-18T15:48:01" u="1"/>
        <d v="2025-09-18T15:54:33" u="1"/>
        <d v="2025-09-18T15:46:03" u="1"/>
        <d v="2025-09-18T10:58:12" u="1"/>
        <d v="2025-09-18T15:56:01" u="1"/>
        <d v="2025-09-18T13:08:03" u="1"/>
        <d v="2025-09-18T10:13:54" u="1"/>
        <d v="2025-09-18T21:18:19" u="1"/>
        <d v="2025-09-18T10:42:02" u="1"/>
        <d v="2025-09-19T04:56:16" u="1"/>
        <d v="2025-09-19T06:24:21" u="1"/>
        <d v="2025-09-19T06:24:38" u="1"/>
        <d v="2025-09-18T17:53:50" u="1"/>
        <d v="2025-09-18T16:49:15" u="1"/>
        <d v="2025-09-18T14:42:01" u="1"/>
        <d v="2025-09-01T21:26:28" u="1"/>
        <d v="2025-09-06T00:21:53" u="1"/>
        <d v="2025-09-10T22:50:58" u="1"/>
        <d v="2025-09-10T22:51:10" u="1"/>
        <d v="2025-09-10T22:51:19" u="1"/>
        <d v="2025-09-10T22:51:39" u="1"/>
        <d v="2025-09-10T22:51:43" u="1"/>
        <d v="2025-09-10T22:51:48" u="1"/>
        <d v="2025-09-08T10:32:39" u="1"/>
        <d v="2025-09-15T17:34:10" u="1"/>
        <d v="2025-09-15T17:32:25" u="1"/>
        <d v="2025-09-16T00:30:33" u="1"/>
        <d v="2025-09-16T00:30:41" u="1"/>
        <d v="2025-09-16T12:14:21" u="1"/>
        <d v="2025-09-15T12:12:19" u="1"/>
        <d v="2025-09-16T00:07:13" u="1"/>
        <d v="2025-09-15T23:33:34" u="1"/>
        <d v="2025-09-17T16:56:11" u="1"/>
        <d v="2025-09-17T16:56:15" u="1"/>
        <d v="2025-09-17T16:56:19" u="1"/>
        <d v="2025-09-17T16:56:23" u="1"/>
        <d v="2025-09-17T16:56:28" u="1"/>
        <d v="2025-09-16T12:35:54" u="1"/>
        <d v="2025-09-16T12:35:58" u="1"/>
        <d v="2025-09-16T12:36:03" u="1"/>
        <d v="2025-09-17T16:05:08" u="1"/>
        <d v="2025-09-17T16:05:10" u="1"/>
        <d v="2025-09-17T17:04:45" u="1"/>
        <d v="2025-09-17T17:04:50" u="1"/>
        <d v="2025-09-16T18:27:09" u="1"/>
        <d v="2025-09-16T19:32:08" u="1"/>
        <d v="2025-09-16T19:31:57" u="1"/>
        <d v="2025-09-17T10:20:04" u="1"/>
        <d v="2025-09-16T18:23:07" u="1"/>
        <d v="2025-09-16T18:23:25" u="1"/>
        <d v="2025-09-17T14:13:57" u="1"/>
        <d v="2025-09-17T16:57:21" u="1"/>
        <d v="2025-09-17T16:56:18" u="1"/>
        <d v="2025-09-17T15:31:59" u="1"/>
        <d v="2025-09-17T16:42:44" u="1"/>
        <d v="2025-09-17T16:44:13" u="1"/>
        <d v="2025-09-17T17:03:01" u="1"/>
        <d v="2025-09-17T16:42:09" u="1"/>
        <d v="2025-09-16T18:26:05" u="1"/>
        <d v="2025-09-16T14:52:28" u="1"/>
        <d v="2025-09-17T16:28:07" u="1"/>
        <d v="2025-09-17T12:02:19" u="1"/>
        <d v="2025-09-17T12:10:00" u="1"/>
        <d v="2025-09-17T14:34:03" u="1"/>
        <d v="2025-09-17T17:02:22" u="1"/>
        <d v="2025-09-17T16:57:15" u="1"/>
        <d v="2025-09-17T18:05:00" u="1"/>
        <d v="2025-09-17T18:05:01" u="1"/>
        <d v="2025-09-17T17:04:53" u="1"/>
        <d v="2025-09-17T17:04:54" u="1"/>
        <d v="2025-09-17T17:04:56" u="1"/>
        <d v="2025-09-17T17:04:57" u="1"/>
        <d v="2025-09-17T19:04:23" u="1"/>
        <d v="2025-09-17T19:04:24" u="1"/>
        <d v="2025-09-17T18:28:44" u="1"/>
        <d v="2025-09-17T18:43:28" u="1"/>
        <d v="2025-09-17T17:49:58" u="1"/>
        <d v="2025-09-17T18:25:55" u="1"/>
        <d v="2025-09-17T18:40:26" u="1"/>
        <d v="2025-09-17T17:48:30" u="1"/>
        <d v="2025-09-18T01:32:15" u="1"/>
        <d v="2025-09-17T19:21:54" u="1"/>
        <d v="2025-09-17T23:15:52" u="1"/>
        <d v="2025-09-17T20:12:14" u="1"/>
        <d v="2025-09-17T22:16:52" u="1"/>
        <d v="2025-09-17T22:18:11" u="1"/>
        <d v="2025-09-17T23:18:04" u="1"/>
        <d v="2025-09-17T23:16:13" u="1"/>
        <d v="2025-09-17T23:15:42" u="1"/>
        <d v="2025-09-17T22:19:00" u="1"/>
        <d v="2025-09-17T22:19:11" u="1"/>
        <d v="2025-09-17T17:13:51" u="1"/>
        <d v="2025-09-17T20:21:59" u="1"/>
        <d v="2025-09-18T03:03:25" u="1"/>
        <d v="2025-09-17T18:44:46" u="1"/>
        <d v="2025-09-04T18:18:38" u="1"/>
        <d v="2025-09-04T18:18:44" u="1"/>
        <d v="2025-09-04T18:18:50" u="1"/>
        <d v="2025-09-04T18:18:56" u="1"/>
        <d v="2025-09-10T21:15:40" u="1"/>
        <d v="2025-09-11T21:38:18" u="1"/>
        <d v="2025-09-16T12:01:04" u="1"/>
        <d v="2025-09-15T23:32:42" u="1"/>
        <d v="2025-09-15T23:34:03" u="1"/>
        <d v="2025-09-15T20:55:43" u="1"/>
        <d v="2025-09-16T10:02:24" u="1"/>
        <d v="2025-09-15T21:29:14" u="1"/>
        <d v="2025-09-15T21:29:19" u="1"/>
        <d v="2025-09-15T21:29:25" u="1"/>
        <d v="2025-09-15T21:29:30" u="1"/>
        <d v="2025-09-15T23:35:00" u="1"/>
        <d v="2025-09-16T11:34:08" u="1"/>
        <d v="2025-09-16T11:02:00" u="1"/>
        <d v="2025-09-16T09:36:27" u="1"/>
        <d v="2025-09-12T12:28:15" u="1"/>
        <d v="2025-09-13T00:22:13" u="1"/>
        <d v="2025-09-16T12:36:38" u="1"/>
        <d v="2025-09-16T12:36:42" u="1"/>
        <d v="2025-09-16T12:36:47" u="1"/>
        <d v="2025-09-16T12:36:53" u="1"/>
        <d v="2025-09-16T15:56:51" u="1"/>
        <d v="2025-09-16T15:57:02" u="1"/>
        <d v="2025-09-16T15:57:12" u="1"/>
        <d v="2025-09-16T14:50:27" u="1"/>
        <d v="2025-09-16T18:18:44" u="1"/>
        <d v="2025-09-16T18:03:55" u="1"/>
        <d v="2025-09-16T18:03:56" u="1"/>
        <d v="2025-09-16T12:36:45" u="1"/>
        <d v="2025-09-16T14:50:22" u="1"/>
        <d v="2025-09-16T16:59:59" u="1"/>
        <d v="2025-09-16T16:48:28" u="1"/>
        <d v="2025-09-16T18:46:00" u="1"/>
        <d v="2025-09-16T13:11:58" u="1"/>
        <d v="2025-09-16T17:26:02" u="1"/>
        <d v="2025-09-16T17:32:03" u="1"/>
        <d v="2025-09-16T15:04:00" u="1"/>
        <d v="2025-09-16T17:40:31" u="1"/>
        <d v="2025-09-16T18:53:54" u="1"/>
        <d v="2025-09-16T13:12:00" u="1"/>
        <d v="2025-09-16T12:32:38" u="1"/>
        <d v="2025-09-16T18:19:56" u="1"/>
        <d v="2025-09-16T13:46:12" u="1"/>
        <d v="2025-09-16T14:38:10" u="1"/>
        <d v="2025-09-17T05:14:12" u="1"/>
        <d v="2025-09-16T14:53:14" u="1"/>
        <d v="2025-09-16T18:16:45" u="1"/>
        <d v="2025-09-16T14:52:43" u="1"/>
        <d v="2025-09-16T18:29:37" u="1"/>
        <d v="2025-09-16T18:29:41" u="1"/>
        <d v="2025-09-16T18:24:13" u="1"/>
        <d v="2025-09-16T18:24:25" u="1"/>
        <d v="2025-09-16T18:24:41" u="1"/>
        <d v="2025-09-16T18:29:42" u="1"/>
        <d v="2025-09-16T18:29:25" u="1"/>
        <d v="2025-09-16T18:25:26" u="1"/>
        <d v="2025-09-16T18:46:12" u="1"/>
        <d v="2025-09-16T18:49:56" u="1"/>
        <d v="2025-09-16T18:50:03" u="1"/>
        <d v="2025-09-16T15:20:08" u="1"/>
        <d v="2025-09-16T15:22:00" u="1"/>
        <d v="2025-09-16T14:10:02" u="1"/>
        <d v="2025-09-16T19:25:52" u="1"/>
        <d v="2025-09-16T18:26:38" u="1"/>
        <d v="2025-09-16T18:23:45" u="1"/>
        <d v="2025-09-16T18:23:59" u="1"/>
        <d v="2025-09-16T13:39:48" u="1"/>
        <d v="2025-08-28T10:27:45" u="1"/>
        <d v="2025-08-28T15:18:48" u="1"/>
        <d v="2025-08-28T17:10:40" u="1"/>
        <d v="2025-09-02T10:46:56" u="1"/>
        <d v="2025-09-02T10:32:22" u="1"/>
        <d v="2025-09-02T10:33:02" u="1"/>
        <d v="2025-09-04T07:36:48" u="1"/>
        <d v="2025-09-03T13:35:11" u="1"/>
        <d v="2025-09-03T14:48:22" u="1"/>
        <d v="2025-09-10T09:57:01" u="1"/>
        <d v="2025-09-06T08:24:26" u="1"/>
        <d v="2025-09-11T16:16:15" u="1"/>
        <d v="2025-09-11T16:17:56" u="1"/>
        <d v="2025-09-08T17:32:29" u="1"/>
        <d v="2025-09-08T17:33:33" u="1"/>
        <d v="2025-09-10T21:13:04" u="1"/>
        <d v="2025-09-11T15:09:01" u="1"/>
        <d v="2025-09-11T18:41:20" u="1"/>
        <d v="2025-09-11T18:41:28" u="1"/>
        <d v="2025-09-09T17:00:52" u="1"/>
        <d v="2025-09-09T17:01:09" u="1"/>
        <d v="2025-09-08T09:01:04" u="1"/>
        <d v="2025-09-10T14:03:02" u="1"/>
        <d v="2025-09-10T16:01:33" u="1"/>
        <d v="2025-09-11T16:13:50" u="1"/>
        <d v="2025-09-11T16:13:46" u="1"/>
        <d v="2025-09-09T19:54:23" u="1"/>
        <d v="2025-09-08T15:18:26" u="1"/>
        <d v="2025-09-11T18:14:41" u="1"/>
        <d v="2025-09-11T18:14:05" u="1"/>
        <d v="2025-09-11T18:14:13" u="1"/>
        <d v="2025-09-11T18:14:28" u="1"/>
        <d v="2025-09-11T18:14:31" u="1"/>
        <d v="2025-09-11T18:14:55" u="1"/>
        <d v="2025-09-15T12:53:46" u="1"/>
        <d v="2025-09-15T12:54:50" u="1"/>
        <d v="2025-09-15T12:55:03" u="1"/>
        <d v="2025-09-12T19:25:46" u="1"/>
        <d v="2025-09-12T13:09:56" u="1"/>
        <d v="2025-09-12T00:40:14" u="1"/>
        <d v="2025-09-11T19:01:36" u="1"/>
        <d v="2025-09-12T18:55:39" u="1"/>
        <d v="2025-09-12T18:56:16" u="1"/>
        <d v="2025-09-14T12:02:44" u="1"/>
        <d v="2025-09-11T19:26:45" u="1"/>
        <d v="2025-09-15T12:51:01" u="1"/>
        <d v="2025-09-12T13:04:37" u="1"/>
        <d v="2025-09-15T11:30:36" u="1"/>
        <d v="2025-09-15T12:51:04" u="1"/>
        <d v="2025-09-12T19:20:38" u="1"/>
        <d v="2025-09-15T15:18:03" u="1"/>
        <d v="2025-09-12T12:59:40" u="1"/>
        <d v="2025-09-12T13:02:06" u="1"/>
        <d v="2025-09-12T19:11:19" u="1"/>
        <d v="2025-09-12T19:02:35" u="1"/>
        <d v="2025-09-12T19:17:20" u="1"/>
        <d v="2025-09-12T16:03:30" u="1"/>
        <d v="2025-09-12T18:37:15" u="1"/>
        <d v="2025-09-12T12:34:35" u="1"/>
        <d v="2025-09-12T12:35:04" u="1"/>
        <d v="2025-09-12T18:43:12" u="1"/>
        <d v="2025-09-12T18:43:26" u="1"/>
        <d v="2025-09-15T12:26:34" u="1"/>
        <d v="2025-09-15T12:26:41" u="1"/>
        <d v="2025-09-15T12:26:44" u="1"/>
        <d v="2025-09-11T18:47:22" u="1"/>
        <d v="2025-09-15T17:01:48" u="1"/>
        <d v="2025-09-15T17:01:52" u="1"/>
        <d v="2025-09-14T11:02:22" u="1"/>
        <d v="2025-09-14T11:02:40" u="1"/>
        <d v="2025-09-15T12:32:22" u="1"/>
        <d v="2025-09-12T12:47:36" u="1"/>
        <d v="2025-09-13T00:30:00" u="1"/>
        <d v="2025-09-15T12:31:42" u="1"/>
        <d v="2025-09-12T12:39:28" u="1"/>
        <d v="2025-09-12T12:35:33" u="1"/>
        <d v="2025-09-11T18:41:35" u="1"/>
        <d v="2025-09-11T18:41:50" u="1"/>
        <d v="2025-09-15T00:02:31" u="1"/>
        <d v="2025-09-12T18:39:14" u="1"/>
        <d v="2025-09-12T18:40:15" u="1"/>
        <d v="2025-09-15T12:25:17" u="1"/>
        <d v="2025-09-15T12:25:39" u="1"/>
        <d v="2025-09-12T18:41:25" u="1"/>
        <d v="2025-09-12T12:36:45" u="1"/>
        <d v="2025-09-11T18:42:42" u="1"/>
        <d v="2025-09-12T13:03:18" u="1"/>
        <d v="2025-09-12T13:03:23" u="1"/>
        <d v="2025-09-12T19:18:12" u="1"/>
        <d v="2025-09-13T00:39:26" u="1"/>
        <d v="2025-09-15T12:09:42" u="1"/>
        <d v="2025-09-15T12:09:35" u="1"/>
        <d v="2025-09-11T18:50:43" u="1"/>
        <d v="2025-09-11T18:51:28" u="1"/>
        <d v="2025-09-12T12:44:20" u="1"/>
        <d v="2025-09-11T18:53:38" u="1"/>
        <d v="2025-09-15T12:28:09" u="1"/>
        <d v="2025-09-15T12:28:35" u="1"/>
        <d v="2025-09-15T12:28:38" u="1"/>
        <d v="2025-09-11T18:51:50" u="1"/>
        <d v="2025-09-15T12:05:20" u="1"/>
        <d v="2025-09-15T16:23:59" u="1"/>
        <d v="2025-09-15T16:26:11" u="1"/>
        <d v="2025-09-15T16:29:57" u="1"/>
        <d v="2025-09-15T15:13:56" u="1"/>
        <d v="2025-09-15T15:30:02" u="1"/>
        <d v="2025-09-15T15:18:16" u="1"/>
        <d v="2025-09-15T12:09:36" u="1"/>
        <d v="2025-09-15T13:05:51" u="1"/>
        <d v="2025-09-15T13:06:01" u="1"/>
        <d v="2025-09-15T13:20:06" u="1"/>
        <d v="2025-09-15T15:18:51" u="1"/>
        <d v="2025-09-12T18:46:19" u="1"/>
        <d v="2025-09-12T18:45:43" u="1"/>
        <d v="2025-09-15T12:12:36" u="1"/>
        <d v="2025-09-15T19:17:57" u="1"/>
        <d v="2025-09-15T19:18:01" u="1"/>
        <d v="2025-09-15T19:18:23" u="1"/>
        <d v="2025-09-15T19:19:56" u="1"/>
        <d v="2025-09-15T19:19:59" u="1"/>
        <d v="2025-09-15T19:20:48" u="1"/>
        <d v="2025-09-15T19:16:05" u="1"/>
        <d v="2025-09-15T17:37:00" u="1"/>
        <d v="2025-09-15T23:41:07" u="1"/>
        <d v="2025-09-15T18:31:10" u="1"/>
        <d v="2025-09-15T18:31:17" u="1"/>
        <d v="2025-09-15T18:31:29" u="1"/>
        <d v="2025-09-15T18:31:36" u="1"/>
        <d v="2025-09-15T17:06:01" u="1"/>
        <d v="2025-09-15T17:06:03" u="1"/>
        <d v="2025-09-15T18:38:47" u="1"/>
        <d v="2025-09-15T18:38:58" u="1"/>
        <d v="2025-09-15T18:36:07" u="1"/>
        <d v="2025-09-15T19:02:07" u="1"/>
        <d v="2025-09-15T19:02:25" u="1"/>
        <d v="2025-09-15T19:02:27" u="1"/>
        <d v="2025-09-15T18:33:19" u="1"/>
        <d v="2025-09-15T18:33:38" u="1"/>
        <d v="2025-09-15T18:34:22" u="1"/>
        <d v="2025-09-15T18:37:04" u="1"/>
        <d v="2025-09-15T18:37:18" u="1"/>
        <d v="2025-09-15T17:36:30" u="1"/>
        <d v="2025-09-15T18:55:06" u="1"/>
        <d v="2025-09-15T18:05:20" u="1"/>
        <d v="2025-09-15T18:35:17" u="1"/>
        <d v="2025-09-15T18:33:29" u="1"/>
        <d v="2025-09-15T19:14:24" u="1"/>
        <d v="2025-09-15T19:14:51" u="1"/>
        <d v="2025-09-15T18:11:06" u="1"/>
        <d v="2025-09-15T18:42:24" u="1"/>
        <d v="2025-09-16T00:13:35" u="1"/>
        <d v="2025-09-16T06:03:33" u="1"/>
        <d v="2025-09-15T20:26:18" u="1"/>
        <d v="2025-09-15T19:04:08" u="1"/>
        <d v="2025-09-15T18:51:10" u="1"/>
        <d v="2025-09-15T17:02:57" u="1"/>
        <d v="2025-09-15T20:19:49" u="1"/>
        <d v="2025-09-15T21:13:47" u="1"/>
        <d v="2025-09-15T21:13:56" u="1"/>
        <d v="2025-09-15T21:35:50" u="1"/>
        <d v="2025-09-15T19:23:31" u="1"/>
        <d v="2025-09-15T18:56:45" u="1"/>
        <d v="2025-09-15T21:29:36" u="1"/>
        <d v="2025-09-15T23:31:56" u="1"/>
        <d v="2025-09-15T21:39:47" u="1"/>
        <d v="2025-09-15T21:41:48" u="1"/>
        <d v="2025-09-16T04:05:27" u="1"/>
        <d v="2025-09-16T05:58:17" u="1"/>
        <d v="2025-09-15T21:09:46" u="1"/>
        <d v="2025-09-15T21:11:46" u="1"/>
        <d v="2025-09-15T17:48:03" u="1"/>
        <d v="2025-08-23T12:01:42" u="1"/>
        <d v="2025-08-25T19:24:00" u="1"/>
        <d v="2025-08-26T12:02:26" u="1"/>
        <d v="2025-08-26T12:03:15" u="1"/>
        <d v="2025-08-26T19:36:29" u="1"/>
        <d v="2025-08-28T12:47:55" u="1"/>
        <d v="2025-08-28T12:49:33" u="1"/>
        <d v="2025-08-28T10:24:28" u="1"/>
        <d v="2025-08-28T10:26:08" u="1"/>
        <d v="2025-08-28T11:32:24" u="1"/>
        <d v="2025-08-28T13:27:47" u="1"/>
        <d v="2025-08-29T18:37:07" u="1"/>
        <d v="2025-08-30T00:07:47" u="1"/>
        <d v="2025-08-29T18:02:18" u="1"/>
        <d v="2025-08-29T18:50:46" u="1"/>
        <d v="2025-09-04T08:35:24" u="1"/>
        <d v="2025-09-04T07:34:50" u="1"/>
        <d v="2025-09-04T07:37:27" u="1"/>
        <d v="2025-09-04T07:33:45" u="1"/>
        <d v="2025-09-03T16:00:51" u="1"/>
        <d v="2025-09-04T15:04:47" u="1"/>
        <d v="2025-09-02T18:08:38" u="1"/>
        <d v="2025-09-01T18:39:44" u="1"/>
        <d v="2025-09-01T18:10:37" u="1"/>
        <d v="2025-09-03T00:22:49" u="1"/>
        <d v="2025-09-01T21:11:28" u="1"/>
        <d v="2025-09-01T21:11:39" u="1"/>
        <d v="2025-09-02T12:51:44" u="1"/>
        <d v="2025-09-02T19:20:51" u="1"/>
        <d v="2025-09-02T00:24:30" u="1"/>
        <d v="2025-09-02T00:24:38" u="1"/>
        <d v="2025-09-10T12:03:55" u="1"/>
        <d v="2025-09-08T15:03:16" u="1"/>
        <d v="2025-09-08T15:03:19" u="1"/>
        <d v="2025-09-08T14:02:19" u="1"/>
        <d v="2025-09-08T13:02:00" u="1"/>
        <d v="2025-09-08T13:02:02" u="1"/>
        <d v="2025-09-08T13:02:13" u="1"/>
        <d v="2025-09-09T19:01:23" u="1"/>
        <d v="2025-09-10T12:03:35" u="1"/>
        <d v="2025-09-09T14:02:48" u="1"/>
        <d v="2025-09-08T20:01:50" u="1"/>
        <d v="2025-09-09T10:02:54" u="1"/>
        <d v="2025-09-08T12:01:08" u="1"/>
        <d v="2025-09-09T14:02:21" u="1"/>
        <d v="2025-09-10T10:03:55" u="1"/>
        <d v="2025-09-10T11:03:02" u="1"/>
        <d v="2025-09-10T11:04:15" u="1"/>
        <d v="2025-09-10T11:04:16" u="1"/>
        <d v="2025-09-09T19:03:14" u="1"/>
        <d v="2025-09-10T17:10:18" u="1"/>
        <d v="2025-09-10T16:07:20" u="1"/>
        <d v="2025-09-04T15:17:33" u="1"/>
        <d v="2025-09-05T12:05:12" u="1"/>
        <d v="2025-09-05T11:06:08" u="1"/>
        <d v="2025-09-05T14:07:39" u="1"/>
        <d v="2025-09-08T15:03:36" u="1"/>
        <d v="2025-09-08T16:02:24" u="1"/>
        <d v="2025-09-08T17:01:34" u="1"/>
        <d v="2025-09-08T10:00:45" u="1"/>
        <d v="2025-09-08T10:02:18" u="1"/>
        <d v="2025-09-08T11:01:39" u="1"/>
        <d v="2025-09-10T00:35:11" u="1"/>
        <d v="2025-09-08T18:05:04" u="1"/>
        <d v="2025-09-08T18:06:08" u="1"/>
        <d v="2025-09-10T00:02:27" u="1"/>
        <d v="2025-09-06T00:13:29" u="1"/>
        <d v="2025-09-06T00:13:33" u="1"/>
        <d v="2025-09-09T18:58:52" u="1"/>
        <d v="2025-09-09T00:05:55" u="1"/>
        <d v="2025-09-09T12:39:54" u="1"/>
        <d v="2025-09-05T18:53:02" u="1"/>
        <d v="2025-09-05T18:53:31" u="1"/>
        <d v="2025-09-05T18:55:13" u="1"/>
        <d v="2025-09-11T19:35:50" u="1"/>
        <d v="2025-09-12T15:30:36" u="1"/>
        <d v="2025-09-11T10:45:33" u="1"/>
        <d v="2025-09-11T00:18:15" u="1"/>
        <d v="2025-09-11T00:27:40" u="1"/>
        <d v="2025-09-10T21:18:09" u="1"/>
        <d v="2025-09-12T08:40:33" u="1"/>
        <d v="2025-09-12T08:40:38" u="1"/>
        <d v="2025-09-12T08:42:22" u="1"/>
        <d v="2025-09-10T19:03:29" u="1"/>
        <d v="2025-09-10T19:04:31" u="1"/>
        <d v="2025-09-10T20:02:57" u="1"/>
        <d v="2025-09-11T18:24:34" u="1"/>
        <d v="2025-09-12T00:04:36" u="1"/>
        <d v="2025-09-11T18:10:21" u="1"/>
        <d v="2025-09-11T12:28:26" u="1"/>
        <d v="2025-09-12T06:59:34" u="1"/>
        <d v="2025-09-11T12:26:55" u="1"/>
        <d v="2025-09-11T18:52:09" u="1"/>
        <d v="2025-09-11T18:52:14" u="1"/>
        <d v="2025-09-12T12:44:07" u="1"/>
        <d v="2025-09-11T16:16:26" u="1"/>
        <d v="2025-09-12T15:45:03" u="1"/>
        <d v="2025-09-12T15:45:04" u="1"/>
        <d v="2025-09-12T15:44:37" u="1"/>
        <d v="2025-09-10T22:39:50" u="1"/>
        <d v="2025-09-10T22:39:57" u="1"/>
        <d v="2025-09-10T22:40:04" u="1"/>
        <d v="2025-09-10T22:41:29" u="1"/>
        <d v="2025-09-10T22:43:40" u="1"/>
        <d v="2025-09-10T22:43:33" u="1"/>
        <d v="2025-09-12T10:34:31" u="1"/>
        <d v="2025-09-12T15:14:01" u="1"/>
        <d v="2025-09-12T13:02:28" u="1"/>
        <d v="2025-09-12T13:45:59" u="1"/>
        <d v="2025-09-12T13:13:59" u="1"/>
        <d v="2025-09-12T13:17:57" u="1"/>
        <d v="2025-09-12T16:01:24" u="1"/>
        <d v="2025-09-10T22:43:25" u="1"/>
        <d v="2025-09-10T22:40:09" u="1"/>
        <d v="2025-09-10T22:43:09" u="1"/>
        <d v="2025-09-12T16:03:47" u="1"/>
        <d v="2025-09-12T06:55:30" u="1"/>
        <d v="2025-09-12T16:02:28" u="1"/>
        <d v="2025-09-12T12:48:48" u="1"/>
        <d v="2025-09-12T06:47:31" u="1"/>
        <d v="2025-09-10T22:40:35" u="1"/>
        <d v="2025-09-10T22:41:15" u="1"/>
        <d v="2025-09-12T11:42:22" u="1"/>
        <d v="2025-09-12T14:43:19" u="1"/>
        <d v="2025-09-12T15:43:52" u="1"/>
        <d v="2025-09-12T13:38:16" u="1"/>
        <d v="2025-09-10T22:41:22" u="1"/>
        <d v="2025-09-12T12:32:27" u="1"/>
        <d v="2025-09-12T10:38:56" u="1"/>
        <d v="2025-09-12T06:45:59" u="1"/>
        <d v="2025-09-12T15:44:06" u="1"/>
        <d v="2025-09-12T15:44:36" u="1"/>
        <d v="2025-09-12T13:48:00" u="1"/>
        <d v="2025-09-12T15:36:36" u="1"/>
        <d v="2025-09-12T15:44:56" u="1"/>
        <d v="2025-09-12T10:27:16" u="1"/>
        <d v="2025-09-12T11:48:49" u="1"/>
        <d v="2025-09-12T10:36:05" u="1"/>
        <d v="2025-09-12T19:17:17" u="1"/>
        <d v="2025-09-13T00:31:02" u="1"/>
        <d v="2025-09-12T18:43:00" u="1"/>
        <d v="2025-09-12T16:36:54" u="1"/>
        <d v="2025-09-12T19:17:36" u="1"/>
        <d v="2025-09-14T11:06:11" u="1"/>
        <d v="2025-09-14T11:02:31" u="1"/>
        <d v="2025-09-14T11:04:39" u="1"/>
        <d v="2025-09-14T11:04:59" u="1"/>
        <d v="2025-09-14T11:05:12" u="1"/>
        <d v="2025-09-14T11:01:57" u="1"/>
        <d v="2025-09-14T11:01:58" u="1"/>
        <d v="2025-09-14T11:00:54" u="1"/>
        <d v="2025-09-14T11:01:05" u="1"/>
        <d v="2025-09-14T11:01:06" u="1"/>
        <d v="2025-09-14T11:01:48" u="1"/>
        <d v="2025-09-14T11:01:49" u="1"/>
        <d v="2025-09-14T11:01:50" u="1"/>
        <d v="2025-09-14T11:01:51" u="1"/>
        <d v="2025-09-14T11:02:45" u="1"/>
        <d v="2025-09-14T11:02:48" u="1"/>
        <d v="2025-09-12T19:17:24" u="1"/>
        <d v="2025-09-14T11:03:20" u="1"/>
        <d v="2025-09-14T11:07:02" u="1"/>
        <d v="2025-09-12T18:52:58" u="1"/>
        <d v="2025-09-12T19:17:13" u="1"/>
        <d v="2025-09-12T18:11:23" u="1"/>
        <d v="2025-09-12T16:04:53" u="1"/>
        <d v="2025-09-12T20:19:35" u="1"/>
        <d v="2025-09-12T20:19:39" u="1"/>
        <d v="2025-09-12T20:19:53" u="1"/>
        <d v="2025-09-12T20:20:00" u="1"/>
        <d v="2025-09-12T18:39:19" u="1"/>
        <d v="2025-09-12T17:21:17" u="1"/>
        <d v="2025-09-12T17:24:18" u="1"/>
        <d v="2025-09-12T20:14:02" u="1"/>
        <d v="2025-09-12T21:31:51" u="1"/>
        <d v="2025-09-12T18:53:17" u="1"/>
        <d v="2025-09-14T13:10:43" u="1"/>
        <d v="2025-09-12T17:34:29" u="1"/>
        <d v="2025-09-15T03:52:20" u="1"/>
        <d v="2025-09-13T04:25:32" u="1"/>
        <d v="2025-09-13T15:46:57" u="1"/>
        <d v="2025-09-12T20:53:54" u="1"/>
        <d v="2025-09-13T10:17:55" u="1"/>
        <d v="2025-09-12T17:24:02" u="1"/>
        <d v="2025-09-12T17:55:41" u="1"/>
        <d v="2025-09-12T18:05:59" u="1"/>
        <d v="2025-09-13T15:55:53" u="1"/>
        <d v="2025-09-14T12:33:48" u="1"/>
        <d v="2025-09-12T17:21:19" u="1"/>
        <d v="2025-09-13T15:47:33" u="1"/>
        <d v="2025-09-12T18:40:38" u="1"/>
        <d v="2025-09-12T17:21:15" u="1"/>
        <d v="2025-09-12T19:19:49" u="1"/>
        <d v="2025-09-13T15:47:07" u="1"/>
        <d v="2025-09-13T06:03:11" u="1"/>
        <d v="2025-09-12T19:17:29" u="1"/>
        <d v="2025-09-12T19:17:00" u="1"/>
        <d v="2025-09-12T18:48:42" u="1"/>
        <d v="2025-09-12T16:59:40" u="1"/>
        <d v="2025-09-12T18:06:09" u="1"/>
        <d v="2025-09-12T19:02:43" u="1"/>
        <d v="2025-09-12T20:11:25" u="1"/>
        <d v="2025-09-13T05:08:35" u="1"/>
        <d v="2025-09-13T13:37:14" u="1"/>
        <d v="2025-09-13T14:32:10" u="1"/>
        <d v="2025-09-13T15:26:33" u="1"/>
        <d v="2025-09-13T16:35:32" u="1"/>
        <d v="2025-09-13T17:29:00" u="1"/>
        <d v="2025-09-13T20:14:45" u="1"/>
        <d v="2025-09-13T21:06:57" u="1"/>
        <d v="2025-09-13T22:05:39" u="1"/>
        <d v="2025-09-13T23:00:06" u="1"/>
        <d v="2025-09-13T23:53:21" u="1"/>
        <d v="2025-09-14T00:52:52" u="1"/>
        <d v="2025-09-14T01:48:09" u="1"/>
        <d v="2025-09-14T02:41:58" u="1"/>
        <d v="2025-09-14T03:49:40" u="1"/>
        <d v="2025-09-14T04:43:20" u="1"/>
        <d v="2025-09-14T05:39:53" u="1"/>
        <d v="2025-09-14T06:51:43" u="1"/>
        <d v="2025-09-14T07:45:44" u="1"/>
        <d v="2025-09-14T08:41:09" u="1"/>
        <d v="2025-09-14T09:51:18" u="1"/>
        <d v="2025-09-14T10:45:56" u="1"/>
        <d v="2025-09-12T21:10:50" u="1"/>
        <d v="2025-09-12T22:05:59" u="1"/>
        <d v="2025-09-12T23:08:04" u="1"/>
        <d v="2025-09-13T00:05:52" u="1"/>
        <d v="2025-09-13T01:04:52" u="1"/>
        <d v="2025-09-13T02:08:32" u="1"/>
        <d v="2025-09-13T03:07:23" u="1"/>
        <d v="2025-09-13T04:06:53" u="1"/>
        <d v="2025-09-13T10:51:03" u="1"/>
        <d v="2025-09-13T11:45:06" u="1"/>
        <d v="2025-09-13T12:38:10" u="1"/>
        <d v="2025-09-13T06:07:37" u="1"/>
        <d v="2025-09-13T07:02:58" u="1"/>
        <d v="2025-09-13T08:06:01" u="1"/>
        <d v="2025-09-13T08:59:27" u="1"/>
        <d v="2025-09-13T09:52:33" u="1"/>
        <d v="2025-09-14T21:06:54" u="1"/>
        <d v="2025-09-14T22:01:05" u="1"/>
        <d v="2025-09-14T22:55:06" u="1"/>
        <d v="2025-09-14T23:52:21" u="1"/>
        <d v="2025-09-15T00:48:18" u="1"/>
        <d v="2025-09-15T01:43:20" u="1"/>
        <d v="2025-09-15T02:53:44" u="1"/>
        <d v="2025-09-15T03:48:49" u="1"/>
        <d v="2025-09-14T12:35:13" u="1"/>
        <d v="2025-09-15T04:44:15" u="1"/>
        <d v="2025-09-15T05:53:38" u="1"/>
        <d v="2025-09-15T06:48:54" u="1"/>
        <d v="2025-09-14T11:39:30" u="1"/>
        <d v="2025-09-13T18:21:43" u="1"/>
        <d v="2025-09-13T19:20:47" u="1"/>
        <d v="2025-09-14T13:28:32" u="1"/>
        <d v="2025-09-14T14:20:30" u="1"/>
        <d v="2025-09-14T15:20:51" u="1"/>
        <d v="2025-09-14T16:14:50" u="1"/>
        <d v="2025-09-14T17:08:37" u="1"/>
        <d v="2025-09-14T18:07:47" u="1"/>
        <d v="2025-09-14T19:05:30" u="1"/>
        <d v="2025-09-14T19:59:20" u="1"/>
        <d v="2025-09-14T10:12:01" u="1"/>
        <d v="2025-09-14T10:13:48" u="1"/>
        <d v="2025-09-13T15:55:52" u="1"/>
        <d v="2025-09-12T18:08:02" u="1"/>
        <d v="2025-09-12T17:28:28" u="1"/>
        <d v="2025-09-14T10:21:49" u="1"/>
        <d v="2025-09-13T17:51:49" u="1"/>
        <d v="2025-09-12T17:26:03" u="1"/>
        <d v="2025-09-13T19:50:11" u="1"/>
        <d v="2025-09-13T13:29:51" u="1"/>
        <d v="2025-09-12T20:19:00" u="1"/>
        <d v="2025-09-04T18:25:54" u="1"/>
        <d v="2025-09-02T16:48:57" u="1"/>
        <d v="2025-09-11T17:05:29" u="1"/>
        <d v="2025-09-11T19:29:46" u="1"/>
        <d v="2025-09-11T19:29:58" u="1"/>
        <d v="2025-08-22T09:31:19" u="1"/>
        <d v="2025-09-10T21:12:49" u="1"/>
        <d v="2025-09-11T16:13:22" u="1"/>
        <d v="2025-09-02T10:31:59" u="1"/>
        <d v="2025-09-01T16:04:08" u="1"/>
        <d v="2025-09-10T21:02:40" u="1"/>
        <d v="2025-09-11T15:07:09" u="1"/>
        <d v="2025-09-11T15:08:45" u="1"/>
        <d v="2025-09-12T06:48:39" u="1"/>
        <d v="2025-09-11T15:04:00" u="1"/>
        <d v="2025-09-04T12:37:49" u="1"/>
        <d v="2025-09-01T16:01:24" u="1"/>
        <d v="2025-09-12T06:47:16" u="1"/>
        <d v="2025-09-12T06:47:34" u="1"/>
        <d v="2025-09-10T21:01:32" u="1"/>
        <d v="2025-09-10T21:03:09" u="1"/>
        <d v="2025-09-10T21:03:15" u="1"/>
        <d v="2025-09-09T18:57:01" u="1"/>
        <d v="2025-09-05T18:16:23" u="1"/>
        <d v="2025-09-11T19:33:45" u="1"/>
        <d v="2025-08-26T16:32:47" u="1"/>
        <d v="2025-09-11T19:34:05" u="1"/>
        <d v="2025-09-08T18:44:01" u="1"/>
        <d v="2025-08-29T12:49:47" u="1"/>
        <d v="2025-09-11T16:37:02" u="1"/>
        <d v="2025-09-11T16:37:04" u="1"/>
        <d v="2025-09-05T18:49:36" u="1"/>
        <d v="2025-09-11T18:24:37" u="1"/>
        <d v="2025-09-05T20:21:03" u="1"/>
        <d v="2025-09-11T15:15:57" u="1"/>
        <d v="2025-09-11T15:12:04" u="1"/>
        <d v="2025-09-11T22:50:27" u="1"/>
        <d v="2025-09-11T16:59:59" u="1"/>
        <d v="2025-09-11T17:10:30" u="1"/>
        <d v="2025-09-11T15:30:00" u="1"/>
        <d v="2025-09-11T20:05:21" u="1"/>
        <d v="2025-09-11T18:32:32" u="1"/>
        <d v="2025-09-02T19:38:17" u="1"/>
        <d v="2025-09-05T19:05:15" u="1"/>
        <d v="2025-09-03T14:38:46" u="1"/>
        <d v="2025-09-03T14:40:43" u="1"/>
        <d v="2025-09-03T17:26:57" u="1"/>
        <d v="2025-09-09T11:31:25" u="1"/>
        <d v="2025-09-05T19:05:23" u="1"/>
        <d v="2025-09-11T21:36:08" u="1"/>
        <d v="2025-08-26T09:01:56" u="1"/>
        <d v="2025-09-11T18:42:02" u="1"/>
        <d v="2025-08-28T15:49:49" u="1"/>
        <d v="2025-09-11T21:31:59" u="1"/>
        <d v="2025-09-11T21:37:27" u="1"/>
        <d v="2025-09-11T21:37:36" u="1"/>
        <d v="2025-09-11T21:37:41" u="1"/>
        <d v="2025-09-11T17:25:08" u="1"/>
        <d v="2025-09-08T13:06:43" u="1"/>
        <d v="2025-09-11T21:32:24" u="1"/>
        <d v="2025-09-10T22:29:07" u="1"/>
        <d v="2025-09-11T21:37:57" u="1"/>
        <d v="2025-09-11T21:37:22" u="1"/>
        <d v="2025-09-11T21:41:57" u="1"/>
        <d v="2025-09-11T21:04:16" u="1"/>
        <d v="2025-09-11T16:36:56" u="1"/>
        <d v="2025-09-11T16:36:59" u="1"/>
        <d v="2025-09-11T21:38:08" u="1"/>
        <d v="2025-09-10T22:29:16" u="1"/>
        <d v="2025-09-08T18:42:53" u="1"/>
        <d v="2025-09-08T18:42:56" u="1"/>
        <d v="2025-09-11T19:00:02" u="1"/>
        <d v="2025-09-10T12:12:04" u="1"/>
        <d v="2025-09-05T10:46:58" u="1"/>
        <d v="2025-09-11T18:44:52" u="1"/>
        <d v="2025-09-11T16:56:19" u="1"/>
        <d v="2025-09-11T20:24:47" u="1"/>
        <d v="2025-09-11T21:41:02" u="1"/>
        <d v="2025-09-11T19:50:30" u="1"/>
        <d v="2025-09-11T13:42:05" u="1"/>
        <d v="2025-09-11T14:49:54" u="1"/>
        <d v="2025-09-11T21:37:06" u="1"/>
        <d v="2025-09-11T21:38:46" u="1"/>
        <d v="2025-09-10T22:30:02" u="1"/>
        <d v="2025-09-11T17:50:23" u="1"/>
        <d v="2025-09-09T15:19:03" u="1"/>
        <d v="2025-09-08T13:07:49" u="1"/>
        <d v="2025-09-11T16:33:55" u="1"/>
        <d v="2025-09-11T17:36:07" u="1"/>
        <d v="2025-09-11T17:45:42" u="1"/>
        <d v="2025-09-10T21:16:09" u="1"/>
        <d v="2025-09-10T19:35:34" u="1"/>
        <d v="2025-09-12T06:45:40" u="1"/>
        <d v="2025-09-11T21:42:10" u="1"/>
        <d v="2025-09-11T21:38:14" u="1"/>
        <d v="2025-09-10T22:23:02" u="1"/>
        <d v="2025-09-11T21:42:20" u="1"/>
        <d v="2025-09-11T15:05:10" u="1"/>
        <d v="2025-09-11T21:38:28" u="1"/>
        <d v="2025-08-27T13:17:37" u="1"/>
        <d v="2025-09-11T21:38:50" u="1"/>
        <d v="2025-09-11T15:12:56" u="1"/>
        <d v="2025-08-27T19:36:37" u="1"/>
        <d v="2025-09-12T06:46:30" u="1"/>
        <d v="2025-09-12T06:48:46" u="1"/>
        <d v="2025-09-11T21:34:53" u="1"/>
        <d v="2025-09-11T15:01:21" u="1"/>
        <d v="2025-09-02T15:33:47" u="1"/>
        <d v="2025-09-11T15:05:51" u="1"/>
        <d v="2025-09-10T21:02:34" u="1"/>
        <d v="2025-09-11T21:36:36" u="1"/>
        <d v="2025-09-11T16:07:30" u="1"/>
        <d v="2025-09-10T16:26:07" u="1"/>
        <d v="2025-09-11T12:48:47" u="1"/>
        <d v="2025-08-25T11:48:05" u="1"/>
        <d v="2025-09-10T22:22:09" u="1"/>
        <d v="2025-09-09T18:43:54" u="1"/>
        <d v="2025-09-10T22:23:58" u="1"/>
        <d v="2025-09-04T18:53:39" u="1"/>
        <d v="2025-09-09T12:02:15" u="1"/>
        <d v="2025-09-08T13:08:25" u="1"/>
        <d v="2025-09-08T13:08:33" u="1"/>
        <d v="2025-09-08T13:08:17" u="1"/>
        <d v="2025-09-11T21:35:18" u="1"/>
        <d v="2025-09-11T17:41:51" u="1"/>
        <d v="2025-09-04T18:53:21" u="1"/>
        <d v="2025-09-11T21:35:13" u="1"/>
        <d v="2025-09-10T22:29:21" u="1"/>
        <d v="2025-09-11T15:05:27" u="1"/>
        <d v="2025-09-11T21:33:04" u="1"/>
        <d v="2025-09-11T21:35:31" u="1"/>
        <d v="2025-09-11T21:35:24" u="1"/>
        <d v="2025-09-10T22:23:23" u="1"/>
        <d v="2025-09-11T22:33:37" u="1"/>
        <d v="2025-09-11T16:07:03" u="1"/>
        <d v="2025-09-11T13:54:04" u="1"/>
        <d v="2025-09-11T14:51:09" u="1"/>
        <d v="2025-09-11T17:12:39" u="1"/>
        <d v="2025-09-11T18:11:32" u="1"/>
        <d v="2025-09-11T19:24:12" u="1"/>
        <d v="2025-09-11T20:24:45" u="1"/>
        <d v="2025-09-11T21:19:21" u="1"/>
        <d v="2025-09-12T00:25:38" u="1"/>
        <d v="2025-09-11T23:30:24" u="1"/>
        <d v="2025-09-12T01:38:13" u="1"/>
        <d v="2025-09-12T02:37:07" u="1"/>
        <d v="2025-09-12T03:36:23" u="1"/>
        <d v="2025-09-12T04:39:18" u="1"/>
        <d v="2025-09-12T05:39:36" u="1"/>
        <d v="2025-09-01T12:43:04" u="1"/>
        <d v="2025-08-21T19:15:41" u="1"/>
        <d v="2025-09-05T12:16:50" u="1"/>
        <d v="2025-09-10T22:23:06" u="1"/>
        <d v="2025-09-10T22:30:31" u="1"/>
        <d v="2025-09-08T12:40:00" u="1"/>
        <d v="2025-09-11T18:15:58" u="1"/>
        <d v="2025-09-11T14:47:57" u="1"/>
        <d v="2025-09-08T14:09:13" u="1"/>
        <d v="2025-09-03T09:49:08" u="1"/>
        <d v="2025-09-10T22:39:29" u="1"/>
        <d v="2025-09-11T16:13:04" u="1"/>
        <d v="2025-09-10T22:30:17" u="1"/>
        <d v="2025-09-08T13:03:31" u="1"/>
        <d v="2025-09-10T22:35:24" u="1"/>
        <d v="2025-08-29T14:58:02" u="1"/>
        <d v="2025-08-28T10:15:48" u="1"/>
        <d v="2025-09-11T21:38:22" u="1"/>
        <d v="2025-09-10T14:56:12" u="1"/>
        <d v="2025-08-29T11:57:23" u="1"/>
        <d v="2025-09-12T06:49:42" u="1"/>
        <d v="2025-09-03T10:16:36" u="1"/>
        <d v="2025-08-29T15:02:47" u="1"/>
        <d v="2025-08-29T17:43:52" u="1"/>
        <d v="2025-09-11T17:41:40" u="1"/>
        <d v="2025-08-29T11:57:24" u="1"/>
        <d v="2025-09-09T09:58:53" u="1"/>
        <d v="2025-09-10T21:07:14" u="1"/>
        <d v="2025-09-10T21:08:36" u="1"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19:20:23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3-31T11:32:44" u="1"/>
        <d v="2025-03-27T16:58:59" u="1"/>
        <d v="2025-03-21T16:34:18" u="1"/>
        <d v="2025-04-16T09:31:54" u="1"/>
        <d v="2025-04-07T10:01:54" u="1"/>
        <d v="2025-04-29T12:02:36" u="1"/>
        <d v="2025-04-29T12:16:47" u="1"/>
        <d v="2025-07-07T19:03:52" u="1"/>
        <d v="2025-06-30T15:34:39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</sharedItems>
      <fieldGroup par="44"/>
    </cacheField>
    <cacheField name="Data Alteração" uniqueList="1" numFmtId="0" sqlType="0" hierarchy="0" level="0" databaseField="1">
      <sharedItems count="0" containsBlank="1" containsDate="1" containsNonDate="0" containsString="0" minDate="2025-10-08T20:55:33" maxDate="2025-11-24T06:55:10"/>
    </cacheField>
    <cacheField name="Aging Alteração" uniqueList="1" numFmtId="0" sqlType="0" hierarchy="0" level="0" databaseField="1">
      <sharedItems count="8" containsBlank="1">
        <s v="06 a 08 dias"/>
        <s v="16 a 23 dias"/>
        <s v="09 a 15 dias"/>
        <s v="03 a 05 dias"/>
        <s v="0 a 02 dias"/>
        <s v="24 a 31 dias"/>
        <s v="31 dias ou +"/>
        <m/>
      </sharedItems>
    </cacheField>
    <cacheField name="Aging Inclusão" uniqueList="1" numFmtId="0" sqlType="0" hierarchy="0" level="0" databaseField="1">
      <sharedItems count="8" containsBlank="1">
        <s v="06 a 08 dias"/>
        <s v="16 a 23 dias"/>
        <s v="09 a 15 dias"/>
        <s v="03 a 05 dias"/>
        <s v="0 a 02 dias"/>
        <s v="31 dias ou +"/>
        <s v="24 a 31 dias"/>
        <m/>
      </sharedItems>
    </cacheField>
    <cacheField name="Localizadora" uniqueList="1" numFmtId="0" sqlType="0" hierarchy="0" level="0" databaseField="1">
      <sharedItems count="0" containsBlank="1" containsInteger="1" containsMixedTypes="1" containsNumber="1" minValue="3582" maxValue="218134842"/>
    </cacheField>
    <cacheField name="OBT" uniqueList="1" numFmtId="0" sqlType="0" hierarchy="0" level="0" databaseField="1">
      <sharedItems count="0" containsBlank="1"/>
    </cacheField>
    <cacheField name="Pax" uniqueList="1" numFmtId="0" sqlType="0" hierarchy="0" level="0" databaseField="1">
      <sharedItems count="0" containsBlank="1"/>
    </cacheField>
    <cacheField name="Agente Emissão" uniqueList="1" numFmtId="0" sqlType="0" hierarchy="0" level="0" databaseField="1">
      <sharedItems count="0" containsBlank="1"/>
    </cacheField>
    <cacheField name="Agente Criação" uniqueList="1" numFmtId="0" sqlType="0" hierarchy="0" level="0" databaseField="1">
      <sharedItems count="0" containsBlank="1"/>
    </cacheField>
    <cacheField name="Data Emissão" uniqueList="1" numFmtId="0" sqlType="0" hierarchy="0" level="0" databaseField="1">
      <sharedItems count="0" containsBlank="1" containsDate="1" containsNonDate="0" containsString="0" minDate="2025-02-26T10:35:00" maxDate="2025-12-05T20:40:00"/>
    </cacheField>
    <cacheField name="Requisição" uniqueList="1" numFmtId="0" sqlType="0" hierarchy="0" level="0" databaseField="1">
      <sharedItems count="0" containsBlank="1" containsInteger="1" containsMixedTypes="1" containsNumber="1" minValue="17" maxValue="18078973"/>
    </cacheField>
    <cacheField name="Local Retirada" uniqueList="1" numFmtId="0" sqlType="0" hierarchy="0" level="0" databaseField="1">
      <sharedItems count="0" containsBlank="1"/>
    </cacheField>
    <cacheField name="Status Requisicao" uniqueList="1" numFmtId="0" sqlType="0" hierarchy="0" level="0" databaseField="1">
      <sharedItems count="0" containsBlank="1"/>
    </cacheField>
    <cacheField name="Forma Pagamento" uniqueList="1" numFmtId="0" sqlType="0" hierarchy="0" level="0" databaseField="1">
      <sharedItems count="0" containsBlank="1"/>
    </cacheField>
    <cacheField name="Forma Recebimento" uniqueList="1" numFmtId="0" sqlType="0" hierarchy="0" level="0" databaseField="1">
      <sharedItems count="0" containsBlank="1"/>
    </cacheField>
    <cacheField name="Serviço" uniqueList="1" numFmtId="0" sqlType="0" hierarchy="0" level="0" databaseField="1">
      <sharedItems count="5" containsBlank="1">
        <s v="Aéreo"/>
        <s v="Hotel"/>
        <s v="Carro"/>
        <s v="Serviço"/>
        <m/>
      </sharedItems>
    </cacheField>
    <cacheField name="Cancelado" uniqueList="1" numFmtId="0" sqlType="0" hierarchy="0" level="0" databaseField="1">
      <sharedItems count="0" containsBlank="1"/>
    </cacheField>
    <cacheField name="Grupo Empresarial" uniqueList="1" numFmtId="0" sqlType="0" hierarchy="0" level="0" databaseField="1">
      <sharedItems count="172" containsBlank="1">
        <s v="Grupo Banco Bbm"/>
        <s v="Grupo Martins"/>
        <s v="Grupo Biomerieux"/>
        <s v="Grupo Pessoa Fisica"/>
        <s v="Grupo Lazer Kontik"/>
        <s v="Grupo Zupper"/>
        <s v="Grupo Mercurio York"/>
        <s v="Grupo Hypera"/>
        <s v="Grupo Bosch"/>
        <s v="Grupo Intercement"/>
        <s v="Grupo Braskem"/>
        <s v="Grupo Parexel"/>
        <s v="Grupo Wallenius"/>
        <s v="Grupo Vertex"/>
        <s v="Grupo Iron Mountain"/>
        <s v="Grupo Benner"/>
        <s v="Grupo Merb"/>
        <s v="Grupo Petroreconcavo"/>
        <s v="Grupo Fm Global"/>
        <s v="Grupo Unica"/>
        <s v="Grupo Falcon Active"/>
        <s v="Grupo Htb"/>
        <s v="Grupo Claro Sa"/>
        <s v="Grupo Santista"/>
        <s v="Grupo Kontrip"/>
        <s v="Grupo Elanco"/>
        <s v="Grupo Kpmg"/>
        <s v="Grupo Diageo"/>
        <s v="Grupo Orizon"/>
        <s v="Grupo Deloitte"/>
        <s v="Grupo Ses"/>
        <s v="Grupo Firmenich"/>
        <s v="Grupo Aeroleo"/>
        <s v="Grupo Stanley Black e Decker"/>
        <s v="Grupo Atos"/>
        <s v="Grupo Honeywell"/>
        <s v="Grupo Mars"/>
        <s v="Grupo Energisa"/>
        <s v="Grupo Axa"/>
        <s v="Grupo Ultra"/>
        <s v="Grupo Icon"/>
        <s v="Grupo Jti"/>
        <s v="Grupo Samsung"/>
        <s v="Grupo Basf"/>
        <s v="Grupo Odontoprev"/>
        <s v="Grupo Shell"/>
        <s v="Grupo Adidas"/>
        <s v="Grupo Patria"/>
        <s v="Grupo Enaex"/>
        <s v="Grupo Ferreira Costa"/>
        <s v="Grupo Biolab"/>
        <s v="Grupo Tec Toy"/>
        <s v="Grupo Weir Group"/>
        <s v="Grupo Ocean Pact"/>
        <s v="Grupo Sep"/>
        <s v="Grupo Hpe"/>
        <s v="Grupo Arcadis"/>
        <s v="Grupo Ache"/>
        <s v="Grupo Taesa"/>
        <s v="Grupo Mattos Filho"/>
        <s v="Grupo Epson"/>
        <s v="Grupo Baker Mckenzie"/>
        <s v="Grupo Livanova"/>
        <s v="Grupo Uol"/>
        <s v="Grupo Marisa"/>
        <s v="Grupo British American Tobacco"/>
        <s v="Grupo Renner"/>
        <s v="Grupo Innomotics"/>
        <s v="Grupo Constellation"/>
        <s v="Grupo Isdin"/>
        <s v="Grupo Airbus/helibras"/>
        <s v="Grupo Casas Bahia"/>
        <s v="Grupo Banco Genial Investimentos"/>
        <s v="Grupo Atento"/>
        <s v="Grupo Pepsico"/>
        <s v="Grupo Bernoulli Educacao"/>
        <s v="Grupo Motiva"/>
        <s v="Grupo Syngenta"/>
        <m/>
        <s v="Independente" u="1"/>
        <s v="Grupo Zf" u="1"/>
        <s v="Grupo Tupperware" u="1"/>
        <s v="Grupo Lyondell Basell" u="1"/>
        <s v="Grupo Atlas Copco" u="1"/>
        <s v="Grupo Nielseniq" u="1"/>
        <s v="Grupo Track e Field" u="1"/>
        <s v="Grupo Kontik Businees Travel" u="1"/>
        <s v="Grupo Avenida" u="1"/>
        <s v="Grupo Light" u="1"/>
        <s v="Grupo Cbo" u="1"/>
        <s v="Grupo Ihs" u="1"/>
        <s v="Grupo Chanel" u="1"/>
        <s v="Grupo Aspen Pharma" u="1"/>
        <s v="Grupo Acelen" u="1"/>
        <s v="South 32" u="1"/>
        <s v="Grupo Nzte" u="1"/>
        <s v="Grupo Gtm" u="1"/>
        <s v="Grupo Jealsa" u="1"/>
        <s v="-" u="1"/>
        <s v="Grupo Cmoc" u="1"/>
        <s v="Grupo Lojas Renner" u="1"/>
        <s v="Grupo Neon" u="1"/>
        <s v="Grupo Sibelco" u="1"/>
        <s v="Grupo Spotify" u="1"/>
        <s v="Grupo Sacs" u="1"/>
        <s v="Grupo Consulado Britanico" u="1"/>
        <s v="Grupo System Service" u="1"/>
        <s v="Grupo Bosch Consierge" u="1"/>
        <s v="Grupo Verizon" u="1"/>
        <s v="Grupo Rio Galeao" u="1"/>
        <s v="Grupo Rhenus" u="1"/>
        <s v="Grupo Syntegon" u="1"/>
        <s v="Grupo Nyasa Empreendimentos" u="1"/>
        <s v="Grupo Softbox" u="1"/>
        <s v="Grupo Inframerica" u="1"/>
        <s v="Grupo Cold Control" u="1"/>
        <s v="Grupo Sompo Seguros" u="1"/>
        <s v="Grupo Amway" u="1"/>
        <s v="Kontik" u="1"/>
        <s v="Grupo Bradesco" u="1"/>
        <s v="Grupo Avaya" u="1"/>
        <s v="Grupo Glory" u="1"/>
        <s v="Grupo Sony Pictures" u="1"/>
        <s v="Grupo Arxada" u="1"/>
        <s v="Grupo Valentino" u="1"/>
        <s v="Grupo Itausa" u="1"/>
        <s v="Grupo Sumedical" u="1"/>
        <s v="Grupo Winity" u="1"/>
        <s v="Grupo Amadeus" u="1"/>
        <s v="Grupo Occ" u="1"/>
        <s v="Grupo Dalazen &amp; Pessoa Sociedade de Advogados" u="1"/>
        <s v="Grupo Estre" u="1"/>
        <s v="Grupo Consolidacao" u="1"/>
        <s v="Grupo Santo Antonio Energia" u="1"/>
        <s v="Grupo Ourolux" u="1"/>
        <s v="Grupo Pharmacopeia" u="1"/>
        <s v="Grupo Abegas" u="1"/>
        <s v="Grupo Fs Bioenergia" u="1"/>
        <s v="Seco Ambiental Licitacoes" u="1"/>
        <s v="Grupo Inovents" u="1"/>
        <s v="Grupo Furnas Eletrobras" u="1"/>
        <s v="Grupo Kelloggs Co" u="1"/>
        <s v="Grupo Rede Gazeta" u="1"/>
        <s v="Grupo Invepar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Pousadas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</sharedItems>
    </cacheField>
    <cacheField name="Cliente" uniqueList="1" numFmtId="0" sqlType="0" hierarchy="0" level="0" databaseField="1">
      <sharedItems count="0" containsBlank="1"/>
    </cacheField>
    <cacheField name="Cliente Fee POS" uniqueList="1" numFmtId="0" sqlType="0" hierarchy="0" level="0" databaseField="1">
      <sharedItems count="0" containsBlank="1"/>
    </cacheField>
    <cacheField name="Fornecedor" uniqueList="1" numFmtId="0" sqlType="0" hierarchy="0" level="0" databaseField="1">
      <sharedItems count="0" containsBlank="1"/>
    </cacheField>
    <cacheField name="Bilhete" uniqueList="1" numFmtId="0" sqlType="0" hierarchy="0" level="0" databaseField="1">
      <sharedItems count="0" containsBlank="1" containsInteger="1" containsMixedTypes="1" containsNumber="1" minValue="530562902" maxValue="9905373747"/>
    </cacheField>
    <cacheField name="Canal de Vendas" uniqueList="1" numFmtId="0" sqlType="0" hierarchy="0" level="0" databaseField="1">
      <sharedItems count="106" containsBlank="1">
        <s v="KON-OPE-RIO-PVI-BTC-BANCO BBM"/>
        <s v="KON-OPE-RIO-PVI-BTC"/>
        <s v="KON-OPE-RIO-PVI-BTC-BIOMERIEUX"/>
        <s v="KON-OPE-RIO-PVI-BTC RJ"/>
        <s v="EMERGENCIAL"/>
        <s v="KON-OPE-SAO-SUP-KONTIK DESPESAS"/>
        <s v="ZUPPER"/>
        <s v="KONTRIP"/>
        <s v="KON-OPE-SAO-PVI-HYPERA"/>
        <s v="FCM-OPE-SAO-PVI-BOSCH"/>
        <s v="KON-OPE-SAO-PVI-MOVER"/>
        <s v="-"/>
        <s v="KON-OPE-SAO-PVI-BRASKEM"/>
        <s v="FCM-OPE-SAO-PVI-BTC-CONCUR"/>
        <s v="FCM-OPE-SAO-PVI-BTC"/>
        <s v="FCM-OPE-SAO-PVI-BTC-CONCUR-IRON "/>
        <s v="KON-OPE-RIO-PVI-BTC-PETRORECONCAVO"/>
        <s v="FCM-OPE-SAO-PVI-BTC-FM GLOBAL"/>
        <s v="KON-OPE-RIO-PVI-BTC-FALCON ACTIVE"/>
        <s v="KON-OPE-SAO-PVI-BTC-ARGO-HTB"/>
        <s v="KON-OPE-SAO-POS-CLARO"/>
        <s v="KON-OPE-SAO-PVI-KPMG"/>
        <s v="FCM-OPE-SAO-PVI-DIAGEO"/>
        <s v="KON-OPE-SAO-PVI-BTC-ARGO-CIELO"/>
        <s v="KON-OPE-SAO-PVI-BTC-ARGO-DELOITTE"/>
        <s v="FCM-OPE-SAO-PVI-BTC-FIRMENICH"/>
        <s v="KON-OPE-SAO-PVI-BTC-LEMON"/>
        <s v="FCM-OPE-SAO-PVI-ATOS"/>
        <s v="FCM-OPE-SAO-PVI-BTC-CONCUR-HONEYWELL"/>
        <s v="FCM-OPE-SAO-PVI-MARS"/>
        <s v="KON-OPE-SAO-PVI-ENERGISA"/>
        <s v="FCM-OPE-SAO-PVI-BTC-CONCUR-AXA"/>
        <s v="KON-OPE-SAO-PVI-BTC-ARGO"/>
        <s v="FCM-OPE-SAO-PVI-BTC-PRA/RPS"/>
        <s v="FCM-OPE-SAO-PVI-JTI"/>
        <s v="KON-OPE-SAO-PVI-SAMSUNG"/>
        <s v="FCM-OPE-SAO-PVI-BASF"/>
        <s v="KON-OPE-SAO-PVI-BTC-ARGO-ODONTOPREV"/>
        <s v="FCM-OPE-SAO-PVI-SHELL"/>
        <s v="KON-OPE-RIO-PVI-PATRIA"/>
        <s v="KON-OPE-RIO-PVI-ENAEX"/>
        <s v="KON-OPE-RIO-PVI-FERREIRA COSTA"/>
        <s v="KON-OPE-SAO-PVI-BIOLAB"/>
        <s v="HOT LINE - RIO DE JANEIRO"/>
        <s v="KON-OPE-RIO-POS-OCEANPACT"/>
        <s v="FCM-OPE-SAO-PVI-BTC-CYTRIC-S&amp;P"/>
        <s v="FCM-OPE-SAO-PVI-ARCADIS"/>
        <s v="KON-OPE-SAO-PVI-ACHE"/>
        <s v="KON-OPE-RIO-POS-TAESA"/>
        <s v="KON-OPE-SAO-PVI-MATTOS FILHO"/>
        <s v="KON-OPE-RIO-PVI-UOL"/>
        <s v="FCM-OPE-SAO-PVI-BAT"/>
        <s v="KON-OPE-RIO-PVI-RENNER"/>
        <s v="KON-OPE-RIO-PVI-CONSTELLATION"/>
        <s v="KON-OPE-RIO-PVI-CASAS BAHIA"/>
        <s v="FCM-OPE-POA-PVI-ATENTO"/>
        <s v="KON-OPE-POA-PVI-PEPSICO"/>
        <s v="KON-OPE-SAO-PVI-BERNOULLI"/>
        <s v="KON-OPE-SAO-PVI-CCR"/>
        <s v="FCM-OPE-POA-PVI-SYNGENTA"/>
        <m/>
        <s v="K-CLUB" u="1"/>
        <s v="FCM-OPE-SAO-PVI-BTC-LYONDELL BASELL" u="1"/>
        <s v="FCM-OPE-SAO-PVI-BTC-CONCUR-NIELSENIQ" u="1"/>
        <s v="KON-OPE-SAO-SUP-CENTRAL DE EMISSAO" u="1"/>
        <s v="KON-OPE-RIO-PVI-BTC-LIGHT" u="1"/>
        <s v="KON-OPE-RIO-PVI-BTC-CBO" u="1"/>
        <s v="FCM-OPE-POA-PVI-BTC CONCUR" u="1"/>
        <s v="FCM-OPE-SAO-PVI-BTC-CONCUR-CHANEL" u="1"/>
        <s v="KON-OPE-RIO-PVI-BTC-ASPEN PHARMA" u="1"/>
        <s v="KON-OPE-RIO-PVI-ACELEN" u="1"/>
        <s v="FCM-OPE-SAO-PVI-BTC FCM" u="1"/>
        <s v="KON-OPE-RIO-PVI-BTC-CMOC" u="1"/>
        <s v="FCM-OPE-SAO-PVI-BTC-CONCUR-SIBELCO" u="1"/>
        <s v="POSTO FCM" u="1"/>
        <s v="EMF DIRETORIA" u="1"/>
        <s v="POSTO CBO" u="1"/>
        <s v="FCM-OPE-SAO-PVI-BTC-SYNTEGON" u="1"/>
        <s v="KON-OPE-SAO-PVI-ULTRA" u="1"/>
        <s v="FCM-OPE-SAO-PVI-BTC-CYTRIC-AMWAY" u="1"/>
        <s v="POSTO EVENTOS BRADESCO SEGUROS" u="1"/>
        <s v="FCM-OPE-SAO-PVI-BTC-CONCUR-AVAYA" u="1"/>
        <s v="INOVENTS" u="1"/>
        <s v="FCM-OPE-SAO-PVI-BTC CONCUR" u="1"/>
        <s v="HOT LINE - SAO PAULO" u="1"/>
        <s v="FCM-OPE-SAO-PVI-ADIDAS" u="1"/>
        <s v="POSTO KONCEPT" u="1"/>
        <s v="KON-OPE-RIO-POS-FURNAS ELETROBRAS" u="1"/>
        <s v="FCM-OPE-SAO-PVI-BOSCH CONCIERGE" u="1"/>
        <s v="KON-OPE-SAO-PVI-BTC" u="1"/>
        <s v="KON-OPE-SAO-PVI-BTC ARGO" u="1"/>
        <s v="KON-OPE-SAO-PVI-FS" u="1"/>
        <s v="FCM-OPE-SAO-PVI-BTC-LONZA" u="1"/>
        <s v="KON-OPE-SAO-PVI-BTC-KONTIK DESPESAS " u="1"/>
        <s v="KON-OPE-SAO-PVI-ITAU" u="1"/>
        <s v="KON-OPE-SAO-PVI-BTC-ESTRE" u="1"/>
        <s v="FCM-OPE-SAO-PVI-KELLOGGS" u="1"/>
        <s v="POSTO TRANSPETRO" u="1"/>
        <s v="KON-OPE-RIO-PVI-BTC-TECNOMYL" u="1"/>
        <s v="POSTO PETROBRAS" u="1"/>
        <s v="JINBOO" u="1"/>
        <s v="FAKE-SUPOR-BENNER" u="1"/>
        <s v="KON-OPE-RIO-PVI-SSE" u="1"/>
        <s v="KON-OPE-SAO-PVI-AREZZO" u="1"/>
        <s v="KON-OPE-RIO-PVI-BTC-CONCEBRA" u="1"/>
        <s v="POSTO BRADESCO" u="1"/>
      </sharedItems>
    </cacheField>
    <cacheField name="Codigo Evento" uniqueList="1" numFmtId="0" sqlType="0" hierarchy="0" level="0" databaseField="1">
      <sharedItems count="0" containsBlank="1"/>
    </cacheField>
    <cacheField name="Tarifa" uniqueList="1" numFmtId="0" sqlType="0" hierarchy="0" level="0" databaseField="1">
      <sharedItems count="8000" containsBlank="1" containsNumber="1" containsString="0" minValue="0" maxValue="2075000">
        <n v="0"/>
        <n v="640"/>
        <n v="756"/>
        <n v="920.6799999999999"/>
        <n v="670.58"/>
        <n v="791.14"/>
        <n v="470.34"/>
        <n v="366.21"/>
        <n v="754.2"/>
        <n v="701.99"/>
        <n v="654.3200000000001"/>
        <n v="670.74"/>
        <n v="1052.33"/>
        <n v="750.3200000000001"/>
        <n v="1019.43"/>
        <n v="240.7"/>
        <n v="206.91"/>
        <n v="176.52"/>
        <n v="2504.51"/>
        <n v="1095.92"/>
        <n v="400.49"/>
        <n v="1153.88"/>
        <n v="1599.42"/>
        <n v="487.42"/>
        <n v="601.52"/>
        <n v="577.52"/>
        <n v="1386.67"/>
        <n v="404.38"/>
        <n v="1662.64"/>
        <n v="1682.08"/>
        <n v="1052.72"/>
        <n v="940.3200000000001"/>
        <n v="1075.84"/>
        <n v="1048.5"/>
        <n v="901.52"/>
        <n v="1006.39"/>
        <n v="340.72"/>
        <n v="958.24"/>
        <n v="1225.44"/>
        <n v="700.9400000000001"/>
        <n v="712.5599999999999"/>
        <n v="421.7"/>
        <n v="591.23"/>
        <n v="411.92"/>
        <n v="1075.12"/>
        <n v="833.52"/>
        <n v="2278.57"/>
        <n v="1580.89"/>
        <n v="703.8200000000001"/>
        <n v="383.5"/>
        <n v="267"/>
        <n v="42.5"/>
        <n v="5028.46"/>
        <n v="348.49"/>
        <n v="520"/>
        <n v="4412.7"/>
        <n v="2974.98"/>
        <n v="5079"/>
        <n v="460"/>
        <n v="380"/>
        <n v="1217.52"/>
        <n v="598"/>
        <n v="690"/>
        <n v="149.5"/>
        <n v="240"/>
        <n v="357.5"/>
        <n v="2139.06"/>
        <n v="319"/>
        <n v="953.72"/>
        <n v="534"/>
        <n v="450"/>
        <n v="247.99"/>
        <n v="235.81"/>
        <n v="342.16"/>
        <n v="200.7"/>
        <n v="796.45"/>
        <n v="590.7888"/>
        <n v="170.968"/>
        <n v="958.13"/>
        <n v="2233.85"/>
        <n v="694.9"/>
        <n v="1719.9"/>
        <n v="1119.64"/>
        <n v="2516.2488"/>
        <n v="1295.3126"/>
        <n v="624.9"/>
        <n v="589"/>
        <n v="2503.31"/>
        <n v="12734.475"/>
        <n v="1389"/>
        <n v="10"/>
        <n v="1356.8"/>
        <n v="750"/>
        <n v="290"/>
        <n v="255.17"/>
        <n v="331.2"/>
        <n v="1109.241"/>
        <n v="152"/>
        <n v="237.72"/>
        <n v="205.2"/>
        <n v="19.63"/>
        <n v="475.1"/>
        <n v="350"/>
        <n v="648.9"/>
        <n v="225"/>
        <n v="1342"/>
        <n v="2247.98"/>
        <n v="3567.96"/>
        <n v="1117.17"/>
        <n v="851.92"/>
        <n v="863.84"/>
        <n v="729.24"/>
        <n v="187.42"/>
        <n v="1573.19"/>
        <n v="860"/>
        <n v="1426.2876"/>
        <n v="865.5"/>
        <n v="528.1"/>
        <n v="4927.734"/>
        <n v="1087.568"/>
        <n v="1442.912"/>
        <n v="2116.377"/>
        <n v="993.1989"/>
        <n v="1262.39"/>
        <n v="5666.85"/>
        <n v="5243.97"/>
        <n v="773.61"/>
        <n v="2978.33"/>
        <n v="3540.8"/>
        <n v="1337.7"/>
        <n v="391"/>
        <n v="120"/>
        <n v="100"/>
        <n v="887.74"/>
        <n v="491.4"/>
        <n v="600"/>
        <n v="2565.54"/>
        <n v="20757.4"/>
        <n v="462"/>
        <n v="1185.76"/>
        <n v="360"/>
        <n v="338.2"/>
        <n v="219"/>
        <n v="229.88"/>
        <n v="657.784"/>
        <n v="557.36"/>
        <n v="520.05"/>
        <n v="275.29"/>
        <n v="974.7402"/>
        <n v="439.47"/>
        <n v="590.5359999999999"/>
        <n v="1530.2028"/>
        <n v="738.62"/>
        <n v="412.6899"/>
        <n v="478.392"/>
        <n v="819.4716"/>
        <n v="3680.1"/>
        <n v="3295.95"/>
        <n v="1173"/>
        <n v="330"/>
        <n v="4277.84"/>
        <n v="8299.139999999999"/>
        <n v="618.03"/>
        <n v="396.08"/>
        <n v="456.9"/>
        <n v="3185.52"/>
        <n v="3047.8"/>
        <n v="3134.88"/>
        <n v="406.12"/>
        <n v="1128"/>
        <n v="494.1"/>
        <n v="164.04"/>
        <n v="308.34"/>
        <n v="155"/>
        <n v="389"/>
        <n v="190"/>
        <n v="470"/>
        <n v="420"/>
        <n v="533.04"/>
        <n v="7877.52"/>
        <n v="523"/>
        <n v="2341.5"/>
        <n v="776.96"/>
        <n v="12205.56"/>
        <n v="3399.39"/>
        <n v="700.38"/>
        <n v="613.4"/>
        <n v="4059.35"/>
        <n v="1095"/>
        <n v="270"/>
        <n v="636"/>
        <n v="4950.21"/>
        <n v="222.9"/>
        <n v="2682.91"/>
        <n v="511.26"/>
        <n v="1245.342"/>
        <n v="10081.1088"/>
        <n v="1472.4164"/>
        <n v="4850.811"/>
        <n v="875.5808"/>
        <n v="1119.96"/>
        <n v="279.99"/>
        <n v="385"/>
        <n v="300.3"/>
        <n v="780.6799999999999"/>
        <n v="1131.7"/>
        <n v="839.97"/>
        <n v="2243.73"/>
        <n v="2046.04"/>
        <n v="1052.52"/>
        <n v="331"/>
        <n v="442.24"/>
        <n v="631.4288"/>
        <n v="1650"/>
        <n v="177.61"/>
        <n v="231"/>
        <n v="510"/>
        <n v="163.5648"/>
        <n v="654.2592"/>
        <n v="599.97"/>
        <n v="584.92"/>
        <n v="870"/>
        <n v="1179.171"/>
        <n v="1540"/>
        <n v="369"/>
        <n v="352"/>
        <n v="816"/>
        <n v="498"/>
        <n v="299"/>
        <n v="1332"/>
        <n v="548"/>
        <n v="278"/>
        <n v="8985.950000000001"/>
        <n v="22795.83"/>
        <n v="20802.4"/>
        <n v="2814.65"/>
        <n v="572.481"/>
        <n v="1162.6335"/>
        <n v="1055"/>
        <n v="2479.95"/>
        <n v="3197.8398"/>
        <n v="2023.2928"/>
        <n v="741.89"/>
        <n v="730"/>
        <n v="2318"/>
        <n v="2292.8"/>
        <n v="709.92"/>
        <n v="2359"/>
        <n v="1314.38"/>
        <n v="1170"/>
        <n v="4880.4"/>
        <n v="286"/>
        <n v="451"/>
        <n v="2590"/>
        <n v="309"/>
        <n v="339"/>
        <n v="200"/>
        <n v="2152.1721"/>
        <n v="1235.72"/>
        <n v="950.54"/>
        <n v="302.42"/>
        <n v="560"/>
        <n v="1450"/>
        <n v="609.1799999999999"/>
        <n v="429"/>
        <n v="282.5"/>
        <n v="1403"/>
        <n v="564"/>
        <n v="4802.4"/>
        <n v="977.4"/>
        <n v="7490.835"/>
        <n v="945"/>
        <n v="3289.06"/>
        <n v="15646.38"/>
        <n v="3730.08"/>
        <n v="1400.41"/>
        <n v="1479"/>
        <n v="2340"/>
        <n v="161.87"/>
        <n v="203.15"/>
        <n v="170"/>
        <n v="389.99"/>
        <n v="1053.1584"/>
        <n v="290.4048"/>
        <n v="233"/>
        <n v="40.5"/>
        <n v="327"/>
        <n v="990"/>
        <n v="700"/>
        <n v="891.54"/>
        <n v="1585"/>
        <n v="198.26"/>
        <n v="645.2"/>
        <n v="216.41"/>
        <n v="29038.89"/>
        <n v="20319.25"/>
        <n v="5182.8"/>
        <n v="237"/>
        <n v="214.35"/>
        <n v="428.7"/>
        <n v="1600"/>
        <n v="660"/>
        <n v="131.53"/>
        <n v="89.75"/>
        <n v="183.03"/>
        <n v="97.54000000000001"/>
        <n v="409.92"/>
        <n v="78.67"/>
        <n v="43.65"/>
        <n v="42.3"/>
        <n v="2244.8272"/>
        <n v="151.99"/>
        <n v="121.93"/>
        <n v="68.02"/>
        <n v="57.2"/>
        <n v="100.7"/>
        <n v="115.2"/>
        <n v="111.05"/>
        <n v="103.95"/>
        <n v="59.4"/>
        <n v="44.49"/>
        <n v="79.23999999999999"/>
        <n v="81.12"/>
        <n v="67.23"/>
        <n v="72.11"/>
        <n v="53.77"/>
        <n v="76.33"/>
        <n v="105.82"/>
        <n v="800.8896"/>
        <n v="1210.2608"/>
        <n v="120.07"/>
        <n v="42.95"/>
        <n v="22.1"/>
        <n v="118.09"/>
        <n v="58.9"/>
        <n v="99.5"/>
        <n v="101.92"/>
        <n v="94.95999999999999"/>
        <n v="1470.21"/>
        <n v="274.98"/>
        <n v="15810.2184"/>
        <n v="5128.812"/>
        <n v="5678.848"/>
        <n v="571.032"/>
        <n v="463"/>
        <n v="1885"/>
        <n v="1002.45"/>
        <n v="7588.21"/>
        <n v="957"/>
        <n v="525"/>
        <n v="3104"/>
        <n v="245"/>
        <n v="4290"/>
        <n v="571"/>
        <n v="531"/>
        <n v="1059.9456"/>
        <n v="393.19"/>
        <n v="244.6192"/>
        <n v="15850.35"/>
        <n v="1629.02"/>
        <n v="290000"/>
        <n v="3332.784"/>
        <n v="412.272"/>
        <n v="851.8915"/>
        <n v="414.315"/>
        <n v="446.4432"/>
        <n v="732.5472"/>
        <n v="952.4928"/>
        <n v="663.15"/>
        <n v="725.2672"/>
        <n v="683.92"/>
        <n v="1196"/>
        <n v="3740"/>
        <n v="4800"/>
        <n v="3460"/>
        <n v="160"/>
        <n v="220"/>
        <n v="201.88"/>
        <n v="825"/>
        <n v="2230.52"/>
        <n v="1224.29"/>
        <n v="1325"/>
        <n v="1150"/>
        <n v="140"/>
        <n v="2155.51"/>
        <n v="383.86"/>
        <n v="3408"/>
        <n v="8954.639999999999"/>
        <n v="122"/>
        <n v="35.7"/>
        <n v="33.35"/>
        <n v="8858.816999999999"/>
        <n v="259"/>
        <n v="329"/>
        <n v="306"/>
        <n v="348"/>
        <n v="2193.99"/>
        <n v="310"/>
        <n v="492"/>
        <n v="85"/>
        <n v="24811.22"/>
        <n v="7341.6"/>
        <n v="876"/>
        <n v="80"/>
        <n v="201.4"/>
        <n v="206.96"/>
        <n v="888.03"/>
        <n v="6250"/>
        <n v="408"/>
        <n v="744.24"/>
        <n v="3644.94"/>
        <n v="567"/>
        <n v="215.25"/>
        <n v="599.4"/>
        <n v="1500"/>
        <n v="912.78"/>
        <n v="737.22"/>
        <n v="258.3"/>
        <n v="210"/>
        <n v="291.02"/>
        <n v="1249.52"/>
        <n v="415.8"/>
        <n v="919.58"/>
        <n v="581.95"/>
        <n v="530.45"/>
        <n v="401.915"/>
        <n v="368.555"/>
        <n v="1428"/>
        <n v="1268"/>
        <n v="1274"/>
        <n v="908.95"/>
        <n v="149.2"/>
        <n v="151.5"/>
        <n v="448.4"/>
        <n v="193.19"/>
        <n v="166"/>
        <n v="333.5136"/>
        <n v="188.2832"/>
        <n v="612.1024"/>
        <n v="749.672"/>
        <n v="187.19"/>
        <n v="4606.5591"/>
        <n v="149.17"/>
        <n v="519"/>
        <n v="2305.81"/>
        <n v="571.33"/>
        <m/>
        <n v="2104.72" u="1"/>
        <n v="1721.41" u="1"/>
        <n v="353" u="1"/>
        <n v="276.72" u="1"/>
        <n v="759.51" u="1"/>
        <n v="1237.81" u="1"/>
        <n v="864.67" u="1"/>
        <n v="667.12" u="1"/>
        <n v="766.71" u="1"/>
        <n v="339.67" u="1"/>
        <n v="847.58" u="1"/>
        <n v="700.2" u="1"/>
        <n v="653.3200000000001" u="1"/>
        <n v="677.42" u="1"/>
        <n v="272.22" u="1"/>
        <n v="1155" u="1"/>
        <n v="491.6" u="1"/>
        <n v="218" u="1"/>
        <n v="355.02" u="1"/>
        <n v="602.65" u="1"/>
        <n v="2385" u="1"/>
        <n v="9285.312" u="1"/>
        <n v="8124.648" u="1"/>
        <n v="1333.446" u="1"/>
        <n v="1022.392" u="1"/>
        <n v="532.2688000000001" u="1"/>
        <n v="707.448" u="1"/>
        <n v="204" u="1"/>
        <n v="1949.01" u="1"/>
        <n v="288" u="1"/>
        <n v="150" u="1"/>
        <n v="2430.32" u="1"/>
        <n v="2973.39" u="1"/>
        <n v="3699.04" u="1"/>
        <n v="10369.35" u="1"/>
        <n v="1376.2" u="1"/>
        <n v="424" u="1"/>
        <n v="300" u="1"/>
        <n v="250" u="1"/>
        <n v="130" u="1"/>
        <n v="180" u="1"/>
        <n v="800" u="1"/>
        <n v="1507.83" u="1"/>
        <n v="582.62" u="1"/>
        <n v="193.62" u="1"/>
        <n v="287.0666" u="1"/>
        <n v="241.9334" u="1"/>
        <n v="181.67" u="1"/>
        <n v="180.31" u="1"/>
        <n v="1127.82" u="1"/>
        <n v="812.24" u="1"/>
        <n v="912" u="1"/>
        <n v="1035" u="1"/>
        <n v="324" u="1"/>
        <n v="193" u="1"/>
        <n v="303.85" u="1"/>
        <n v="340" u="1"/>
        <n v="276" u="1"/>
        <n v="174.9" u="1"/>
        <n v="4868.68" u="1"/>
        <n v="1226.01" u="1"/>
        <n v="566.22" u="1"/>
        <n v="673.77" u="1"/>
        <n v="7567.44" u="1"/>
        <n v="3822.45" u="1"/>
        <n v="1210.87" u="1"/>
        <n v="4308.24" u="1"/>
        <n v="2796.92" u="1"/>
        <n v="2208" u="1"/>
        <n v="5096.56" u="1"/>
        <n v="11733.72" u="1"/>
        <n v="930" u="1"/>
        <n v="539" u="1"/>
        <n v="618" u="1"/>
        <n v="571.38" u="1"/>
        <n v="1406.85" u="1"/>
        <n v="316.68" u="1"/>
        <n v="734.45" u="1"/>
        <n v="302.2" u="1"/>
        <n v="258.39" u="1"/>
        <n v="518" u="1"/>
        <n v="321" u="1"/>
        <n v="145" u="1"/>
        <n v="2449.56" u="1"/>
        <n v="1560" u="1"/>
        <n v="260" u="1"/>
        <n v="657" u="1"/>
        <n v="182.0112" u="1"/>
        <n v="446" u="1"/>
        <n v="332" u="1"/>
        <n v="568.62" u="1"/>
        <n v="1037.34" u="1"/>
        <n v="572" u="1"/>
        <n v="709.1" u="1"/>
        <n v="158" u="1"/>
        <n v="186" u="1"/>
        <n v="206" u="1"/>
        <n v="512" u="1"/>
        <n v="181.35" u="1"/>
        <n v="189.75" u="1"/>
        <n v="858.0599999999999" u="1"/>
        <n v="814" u="1"/>
        <n v="198.6" u="1"/>
        <n v="438.74" u="1"/>
        <n v="1111.32" u="1"/>
        <n v="357" u="1"/>
        <n v="189.28" u="1"/>
        <n v="1296.39" u="1"/>
        <n v="528.48" u="1"/>
        <n v="281.75" u="1"/>
        <n v="151.05" u="1"/>
        <n v="184.74" u="1"/>
        <n v="427.68" u="1"/>
        <n v="76.11" u="1"/>
        <n v="339.696" u="1"/>
        <n v="898.3" u="1"/>
        <n v="9921.719999999999" u="1"/>
        <n v="146.97" u="1"/>
        <n v="4720.59" u="1"/>
        <n v="1180.2" u="1"/>
        <n v="2062.16" u="1"/>
        <n v="306.24" u="1"/>
        <n v="900.15" u="1"/>
        <n v="1907.81" u="1"/>
        <n v="620.95" u="1"/>
        <n v="351" u="1"/>
        <n v="1664.1099" u="1"/>
        <n v="599.45" u="1"/>
        <n v="3324.24" u="1"/>
        <n v="430" u="1"/>
        <n v="3906" u="1"/>
        <n v="662.47" u="1"/>
        <n v="669" u="1"/>
        <n v="500" u="1"/>
        <n v="33.5" u="1"/>
        <n v="234" u="1"/>
        <n v="334" u="1"/>
        <n v="965.1264" u="1"/>
        <n v="1011.9" u="1"/>
        <n v="1688" u="1"/>
        <n v="807.5599999999999" u="1"/>
        <n v="524.16" u="1"/>
        <n v="620.85" u="1"/>
        <n v="6604.8" u="1"/>
        <n v="1539.9552" u="1"/>
        <n v="289" u="1"/>
        <n v="484" u="1"/>
        <n v="886" u="1"/>
        <n v="302" u="1"/>
        <n v="960" u="1"/>
        <n v="478" u="1"/>
        <n v="1083.04" u="1"/>
        <n v="495.06" u="1"/>
        <n v="1950" u="1"/>
        <n v="416" u="1"/>
        <n v="672.34" u="1"/>
        <n v="516.8" u="1"/>
        <n v="291.59" u="1"/>
        <n v="530" u="1"/>
        <n v="361" u="1"/>
        <n v="110" u="1"/>
        <n v="167.2" u="1"/>
        <n v="158.4" u="1"/>
        <n v="232.456" u="1"/>
        <n v="332.1304" u="1"/>
        <n v="318" u="1"/>
        <n v="177.77" u="1"/>
        <n v="900" u="1"/>
        <n v="539.5152" u="1"/>
        <n v="757.3440000000001" u="1"/>
        <n v="279.76" u="1"/>
        <n v="789" u="1"/>
        <n v="399" u="1"/>
        <n v="526" u="1"/>
        <n v="7536.6" u="1"/>
        <n v="1487.72" u="1"/>
        <n v="664" u="1"/>
        <n v="2420.92" u="1"/>
        <n v="1741.74" u="1"/>
        <n v="1080" u="1"/>
        <n v="2821" u="1"/>
        <n v="1175.63" u="1"/>
        <n v="5509.15" u="1"/>
        <n v="2056.44" u="1"/>
        <n v="18465.68" u="1"/>
        <n v="3507" u="1"/>
        <n v="355" u="1"/>
        <n v="950" u="1"/>
        <n v="3436.73" u="1"/>
        <n v="370" u="1"/>
        <n v="995.79" u="1"/>
        <n v="650" u="1"/>
        <n v="3590.07" u="1"/>
        <n v="59.57" u="1"/>
        <n v="60.92" u="1"/>
        <n v="5000" u="1"/>
        <n v="7500" u="1"/>
        <n v="174.755" u="1"/>
        <n v="494" u="1"/>
        <n v="907.87" u="1"/>
        <n v="5956.8" u="1"/>
        <n v="867" u="1"/>
        <n v="209" u="1"/>
        <n v="1341" u="1"/>
        <n v="745" u="1"/>
        <n v="698" u="1"/>
        <n v="3630" u="1"/>
        <n v="283.5" u="1"/>
        <n v="784.13" u="1"/>
        <n v="1345" u="1"/>
        <n v="346.54" u="1"/>
        <n v="1795.35" u="1"/>
        <n v="352.3744" u="1"/>
        <n v="295.624" u="1"/>
        <n v="180.4432" u="1"/>
        <n v="227.192" u="1"/>
        <n v="1051.0752" u="1"/>
        <n v="429.1168" u="1"/>
        <n v="754.5700000000001" u="1"/>
        <n v="271.08" u="1"/>
        <n v="362.9025" u="1"/>
        <n v="14596.53" u="1"/>
        <n v="3638.37" u="1"/>
        <n v="214.5" u="1"/>
        <n v="1340.64" u="1"/>
        <n v="1411.04" u="1"/>
        <n v="1339.78" u="1"/>
        <n v="575.5700000000001" u="1"/>
        <n v="1716" u="1"/>
        <n v="1588.31" u="1"/>
        <n v="2550.2" u="1"/>
        <n v="481.13" u="1"/>
        <n v="563.28" u="1"/>
        <n v="477.44" u="1"/>
        <n v="526.3200000000001" u="1"/>
        <n v="907.34" u="1"/>
        <n v="2009.17" u="1"/>
        <n v="491.92" u="1"/>
        <n v="389.54" u="1"/>
        <n v="1310.31" u="1"/>
        <n v="273.88" u="1"/>
        <n v="390.51" u="1"/>
        <n v="485.92" u="1"/>
        <n v="1364.84" u="1"/>
        <n v="376.14" u="1"/>
        <n v="994.28" u="1"/>
        <n v="740.76" u="1"/>
        <n v="433.34" u="1"/>
        <n v="1474.32" u="1"/>
        <n v="927.4299999999999" u="1"/>
        <n v="659.92" u="1"/>
        <n v="253.07" u="1"/>
        <n v="743.12" u="1"/>
        <n v="743.84" u="1"/>
        <n v="559.84" u="1"/>
        <n v="81" u="1"/>
        <n v="743.92" u="1"/>
        <n v="332.72" u="1"/>
        <n v="665.1900000000001" u="1"/>
        <n v="947.92" u="1"/>
        <n v="542.15" u="1"/>
        <n v="1045.43" u="1"/>
        <n v="623.92" u="1"/>
        <n v="742.5" u="1"/>
        <n v="286.26" u="1"/>
        <n v="378" u="1"/>
        <n v="315.92" u="1"/>
        <n v="538.5599999999999" u="1"/>
        <n v="202.5" u="1"/>
        <n v="14863.5" u="1"/>
        <n v="2065.5" u="1"/>
        <n v="1147.84" u="1"/>
        <n v="135" u="1"/>
        <n v="1187.09" u="1"/>
        <n v="988.72" u="1"/>
        <n v="398.38" u="1"/>
        <n v="1203.92" u="1"/>
        <n v="761.92" u="1"/>
        <n v="658.3200000000001" u="1"/>
        <n v="958.72" u="1"/>
        <n v="1318.95" u="1"/>
        <n v="292.42" u="1"/>
        <n v="1134" u="1"/>
        <n v="607.5" u="1"/>
        <n v="303.92" u="1"/>
        <n v="688.6900000000001" u="1"/>
        <n v="585.52" u="1"/>
        <n v="514.34" u="1"/>
        <n v="438.15" u="1"/>
        <n v="283.92" u="1"/>
        <n v="238.96" u="1"/>
        <n v="5496.41" u="1"/>
        <n v="902.84" u="1"/>
        <n v="599.12" u="1"/>
        <n v="471.51" u="1"/>
        <n v="101.26" u="1"/>
        <n v="731.3200000000001" u="1"/>
        <n v="521.8" u="1"/>
        <n v="395.12" u="1"/>
        <n v="357.21" u="1"/>
        <n v="710.84" u="1"/>
        <n v="501.13" u="1"/>
        <n v="441.07" u="1"/>
        <n v="697.52" u="1"/>
        <n v="384.67" u="1"/>
        <n v="6.75" u="1"/>
        <n v="387.67" u="1"/>
        <n v="507.92" u="1"/>
        <n v="1215" u="1"/>
        <n v="320.17" u="1"/>
        <n v="1030.74" u="1"/>
        <n v="13.5" u="1"/>
        <n v="162" u="1"/>
        <n v="749.17" u="1"/>
        <n v="490.9" u="1"/>
        <n v="549.59" u="1"/>
        <n v="719.38" u="1"/>
        <n v="454.19" u="1"/>
        <n v="876.59" u="1"/>
        <n v="1067.75" u="1"/>
        <n v="259.96" u="1"/>
        <n v="1156.72" u="1"/>
        <n v="383.37" u="1"/>
        <n v="395.49" u="1"/>
        <n v="263.92" u="1"/>
        <n v="194.32" u="1"/>
        <n v="417.52" u="1"/>
        <n v="1521.67" u="1"/>
        <n v="445.34" u="1"/>
        <n v="371.7" u="1"/>
        <n v="1849.52" u="1"/>
        <n v="1087.39" u="1"/>
        <n v="463.12" u="1"/>
        <n v="748.62" u="1"/>
        <n v="1601.09" u="1"/>
        <n v="360.67" u="1"/>
        <n v="624.8" u="1"/>
        <n v="630" u="1"/>
        <n v="362.17" u="1"/>
        <n v="1809.64" u="1"/>
        <n v="27" u="1"/>
        <n v="691.92" u="1"/>
        <n v="489.05" u="1"/>
        <n v="599.92" u="1"/>
        <n v="450.84" u="1"/>
        <n v="351.62" u="1"/>
        <n v="256.41" u="1"/>
        <n v="554.09" u="1"/>
        <n v="805.42" u="1"/>
        <n v="679.4299999999999" u="1"/>
        <n v="327.62" u="1"/>
        <n v="522.98" u="1"/>
        <n v="50" u="1"/>
        <n v="616.4" u="1"/>
        <n v="707.12" u="1"/>
        <n v="871.92" u="1"/>
        <n v="507.51" u="1"/>
        <n v="2508.72" u="1"/>
        <n v="2216.9" u="1"/>
        <n v="692.87" u="1"/>
        <n v="534.3200000000001" u="1"/>
        <n v="2737.44" u="1"/>
        <n v="395.01" u="1"/>
        <n v="908.72" u="1"/>
        <n v="1270.79" u="1"/>
        <n v="571.34" u="1"/>
        <n v="1550.32" u="1"/>
        <n v="459.67" u="1"/>
        <n v="2249.92" u="1"/>
        <n v="452.92" u="1"/>
        <n v="485.84" u="1"/>
        <n v="663.05" u="1"/>
        <n v="458.32" u="1"/>
        <n v="405" u="1"/>
        <n v="280.63" u="1"/>
        <n v="965.87" u="1"/>
        <n v="839.61" u="1"/>
        <n v="490.32" u="1"/>
        <n v="352.42" u="1"/>
        <n v="1191.51" u="1"/>
        <n v="476.92" u="1"/>
        <n v="1305.32" u="1"/>
        <n v="869.52" u="1"/>
        <n v="847.75" u="1"/>
        <n v="694.87" u="1"/>
        <n v="1107.92" u="1"/>
        <n v="527.12" u="1"/>
        <n v="486" u="1"/>
        <n v="782.92" u="1"/>
        <n v="1144.32" u="1"/>
        <n v="931.12" u="1"/>
        <n v="850.5" u="1"/>
        <n v="1485.55" u="1"/>
        <n v="267.92" u="1"/>
        <n v="472.52" u="1"/>
        <n v="135.81" u="1"/>
        <n v="421.23" u="1"/>
        <n v="889.74" u="1"/>
        <n v="591.12" u="1"/>
        <n v="801.3200000000001" u="1"/>
        <n v="959.92" u="1"/>
        <n v="4914" u="1"/>
        <n v="702.3200000000001" u="1"/>
        <n v="411.67" u="1"/>
        <n v="479.25" u="1"/>
        <n v="601.42" u="1"/>
        <n v="2024.91" u="1"/>
        <n v="873.8" u="1"/>
        <n v="1413.81" u="1"/>
        <n v="1217.44" u="1"/>
        <n v="326.17" u="1"/>
        <n v="435.92" u="1"/>
        <n v="965.84" u="1"/>
        <n v="1842.75" u="1"/>
        <n v="3427.34" u="1"/>
        <n v="427.43" u="1"/>
        <n v="1192.9" u="1"/>
        <n v="1392.67" u="1"/>
        <n v="638.9400000000001" u="1"/>
        <n v="1251.92" u="1"/>
        <n v="361.63" u="1"/>
        <n v="969.16" u="1"/>
        <n v="315.67" u="1"/>
        <n v="220.34" u="1"/>
        <n v="939.59" u="1"/>
        <n v="1109.09" u="1"/>
        <n v="881.09" u="1"/>
        <n v="503.08" u="1"/>
        <n v="650.3200000000001" u="1"/>
        <n v="577.73" u="1"/>
        <n v="438.92" u="1"/>
        <n v="315" u="1"/>
        <n v="475.12" u="1"/>
        <n v="1171.21" u="1"/>
        <n v="679.6799999999999" u="1"/>
        <n v="2418.81" u="1"/>
        <n v="509.17" u="1"/>
        <n v="410.9" u="1"/>
        <n v="663.4" u="1"/>
        <n v="507.85" u="1"/>
        <n v="612" u="1"/>
        <n v="340.9" u="1"/>
        <n v="1026.32" u="1"/>
        <n v="1860.59" u="1"/>
        <n v="258.21" u="1"/>
        <n v="352.72" u="1"/>
        <n v="539.92" u="1"/>
        <n v="763.33" u="1"/>
        <n v="285.67" u="1"/>
        <n v="317.84" u="1"/>
        <n v="605.92" u="1"/>
        <n v="938.3099999999999" u="1"/>
        <n v="443.12" u="1"/>
        <n v="240.67" u="1"/>
        <n v="1493.44" u="1"/>
        <n v="1424.34" u="1"/>
        <n v="121.5" u="1"/>
        <n v="1836" u="1"/>
        <n v="891" u="1"/>
        <n v="1485" u="1"/>
        <n v="631.36" u="1"/>
        <n v="615.87" u="1"/>
        <n v="202.9" u="1"/>
        <n v="1364.39" u="1"/>
        <n v="457.52" u="1"/>
        <n v="346.64" u="1"/>
        <n v="252" u="1"/>
        <n v="365.32" u="1"/>
        <n v="604.1799999999999" u="1"/>
        <n v="1318.5" u="1"/>
        <n v="1215.31" u="1"/>
        <n v="498.88" u="1"/>
        <n v="1347.92" u="1"/>
        <n v="1034.01" u="1"/>
        <n v="624.72" u="1"/>
        <n v="217.52" u="1"/>
        <n v="652.42" u="1"/>
        <n v="958.45" u="1"/>
        <n v="591.67" u="1"/>
        <n v="280.42" u="1"/>
        <n v="393.62" u="1"/>
        <n v="162.9" u="1"/>
        <n v="1100.72" u="1"/>
        <n v="805.77" u="1"/>
        <n v="935.84" u="1"/>
        <n v="2430" u="1"/>
        <n v="481.34" u="1"/>
        <n v="1225.52" u="1"/>
        <n v="718.53" u="1"/>
        <n v="454.34" u="1"/>
        <n v="521.38" u="1"/>
        <n v="370.14" u="1"/>
        <n v="661.42" u="1"/>
        <n v="491.17" u="1"/>
        <n v="830.86" u="1"/>
        <n v="1079.87" u="1"/>
        <n v="398.17" u="1"/>
        <n v="729.52" u="1"/>
        <n v="1178.84" u="1"/>
        <n v="717.52" u="1"/>
        <n v="1296.72" u="1"/>
        <n v="875.92" u="1"/>
        <n v="455.29" u="1"/>
        <n v="297.67" u="1"/>
        <n v="822.3200000000001" u="1"/>
        <n v="1083.67" u="1"/>
        <n v="255.67" u="1"/>
        <n v="915.84" u="1"/>
        <n v="428.72" u="1"/>
        <n v="250.26" u="1"/>
        <n v="381.52" u="1"/>
        <n v="257.52" u="1"/>
        <n v="250.9" u="1"/>
        <n v="1033.39" u="1"/>
        <n v="755.26" u="1"/>
        <n v="232.2" u="1"/>
        <n v="2216.02" u="1"/>
        <n v="379.12" u="1"/>
        <n v="1157.6" u="1"/>
        <n v="236.87" u="1"/>
        <n v="549.52" u="1"/>
        <n v="690.7" u="1"/>
        <n v="352.3" u="1"/>
        <n v="795.13" u="1"/>
        <n v="949.52" u="1"/>
        <n v="153.07" u="1"/>
        <n v="1191.12" u="1"/>
        <n v="1133.38" u="1"/>
        <n v="591.91" u="1"/>
        <n v="1651.04" u="1"/>
        <n v="178.32" u="1"/>
        <n v="953.64" u="1"/>
        <n v="626.3200000000001" u="1"/>
        <n v="954.46" u="1"/>
        <n v="510.61" u="1"/>
        <n v="322.42" u="1"/>
        <n v="167.42" u="1"/>
        <n v="291.92" u="1"/>
        <n v="930.67" u="1"/>
        <n v="459.92" u="1"/>
        <n v="507.01" u="1"/>
        <n v="1159.04" u="1"/>
        <n v="240.13" u="1"/>
        <n v="1034.09" u="1"/>
        <n v="999.51" u="1"/>
        <n v="1411.92" u="1"/>
        <n v="1216.3" u="1"/>
        <n v="683.97" u="1"/>
        <n v="476.72" u="1"/>
        <n v="376.97" u="1"/>
        <n v="1612.56" u="1"/>
        <n v="391.41" u="1"/>
        <n v="318.32" u="1"/>
        <n v="1041.59" u="1"/>
        <n v="2356.45" u="1"/>
        <n v="528.72" u="1"/>
        <n v="573.3" u="1"/>
        <n v="462.88" u="1"/>
        <n v="423.92" u="1"/>
        <n v="709.75" u="1"/>
        <n v="330.56" u="1"/>
        <n v="1373.92" u="1"/>
        <n v="364.45" u="1"/>
        <n v="855.47" u="1"/>
        <n v="655.92" u="1"/>
        <n v="811.3099999999999" u="1"/>
        <n v="191.92" u="1"/>
        <n v="438.67" u="1"/>
        <n v="648.59" u="1"/>
        <n v="1022.09" u="1"/>
        <n v="469.36" u="1"/>
        <n v="1213.71" u="1"/>
        <n v="252.64" u="1"/>
        <n v="275.92" u="1"/>
        <n v="355.95" u="1"/>
        <n v="1597.24" u="1"/>
        <n v="574.3200000000001" u="1"/>
        <n v="1101.67" u="1"/>
        <n v="290.34" u="1"/>
        <n v="560.11" u="1"/>
        <n v="897.21" u="1"/>
        <n v="345.67" u="1"/>
        <n v="440.72" u="1"/>
        <n v="1043.19" u="1"/>
        <n v="425.52" u="1"/>
        <n v="318.5" u="1"/>
        <n v="168.72" u="1"/>
        <n v="966.3200000000001" u="1"/>
        <n v="1339.46" u="1"/>
        <n v="2282.29" u="1"/>
        <n v="261.17" u="1"/>
        <n v="1115.84" u="1"/>
        <n v="810.96" u="1"/>
        <n v="323.92" u="1"/>
        <n v="452.82" u="1"/>
        <n v="752.92" u="1"/>
        <n v="752.17" u="1"/>
        <n v="1238.82" u="1"/>
        <n v="394.42" u="1"/>
        <n v="519.12" u="1"/>
        <n v="1922.3" u="1"/>
        <n v="2046.26" u="1"/>
        <n v="370.43" u="1"/>
        <n v="718.3200000000001" u="1"/>
        <n v="1012.72" u="1"/>
        <n v="392.06" u="1"/>
        <n v="550.96" u="1"/>
        <n v="540.45" u="1"/>
        <n v="390.32" u="1"/>
        <n v="399.53" u="1"/>
        <n v="1294.22" u="1"/>
        <n v="341.47" u="1"/>
        <n v="1106.61" u="1"/>
        <n v="410.17" u="1"/>
        <n v="554.38" u="1"/>
        <n v="563.65" u="1"/>
        <n v="1277.85" u="1"/>
        <n v="683.55" u="1"/>
        <n v="384.68" u="1"/>
        <n v="406.96" u="1"/>
        <n v="384.72" u="1"/>
        <n v="780.88" u="1"/>
        <n v="456.91" u="1"/>
        <n v="346.5" u="1"/>
        <n v="935.12" u="1"/>
        <n v="315.16" u="1"/>
        <n v="484.14" u="1"/>
        <n v="477.9" u="1"/>
        <n v="907.04" u="1"/>
        <n v="1161.82" u="1"/>
        <n v="906.15" u="1"/>
        <n v="650.8099999999999" u="1"/>
        <n v="285.52" u="1"/>
        <n v="824.17" u="1"/>
        <n v="731.92" u="1"/>
        <n v="627.67" u="1"/>
        <n v="553.5700000000001" u="1"/>
        <n v="996.97" u="1"/>
        <n v="516.72" u="1"/>
        <n v="1463.99" u="1"/>
        <n v="392.17" u="1"/>
        <n v="893.52" u="1"/>
        <n v="1943.04" u="1"/>
        <n v="488.34" u="1"/>
        <n v="389.92" u="1"/>
        <n v="545.16" u="1"/>
        <n v="464.17" u="1"/>
        <n v="1027.93" u="1"/>
        <n v="677.25" u="1"/>
        <n v="909.37" u="1"/>
        <n v="425.92" u="1"/>
        <n v="1606.34" u="1"/>
        <n v="1332.72" u="1"/>
        <n v="448.81" u="1"/>
        <n v="313.52" u="1"/>
        <n v="542.17" u="1"/>
        <n v="2334.6" u="1"/>
        <n v="651.12" u="1"/>
        <n v="893.4400000000001" u="1"/>
        <n v="667.34" u="1"/>
        <n v="923.92" u="1"/>
        <n v="1112.87" u="1"/>
        <n v="587.55" u="1"/>
        <n v="756.67" u="1"/>
        <n v="543.12" u="1"/>
        <n v="624.42" u="1"/>
        <n v="1232.45" u="1"/>
        <n v="1004.86" u="1"/>
        <n v="536.55" u="1"/>
        <n v="954.3200000000001" u="1"/>
        <n v="138.32" u="1"/>
        <n v="524.92" u="1"/>
        <n v="299.12" u="1"/>
        <n v="1820.09" u="1"/>
        <n v="459.91" u="1"/>
        <n v="556.42" u="1"/>
        <n v="570.67" u="1"/>
        <n v="412.72" u="1"/>
        <n v="945.52" u="1"/>
        <n v="2045.92" u="1"/>
        <n v="533.5599999999999" u="1"/>
        <n v="778.9" u="1"/>
        <n v="743.3099999999999" u="1"/>
        <n v="1083.12" u="1"/>
        <n v="418.32" u="1"/>
        <n v="245.17" u="1"/>
        <n v="861.52" u="1"/>
        <n v="1696.9" u="1"/>
        <n v="1536.64" u="1"/>
        <n v="1974.72" u="1"/>
        <n v="160.42" u="1"/>
        <n v="1370.32" u="1"/>
        <n v="437.17" u="1"/>
        <n v="593.92" u="1"/>
        <n v="856.83" u="1"/>
        <n v="391.9" u="1"/>
        <n v="793.52" u="1"/>
        <n v="446.59" u="1"/>
        <n v="1940.64" u="1"/>
        <n v="1583.84" u="1"/>
        <n v="779.84" u="1"/>
        <n v="1500.67" u="1"/>
        <n v="590.74" u="1"/>
        <n v="388.14" u="1"/>
        <n v="1084.42" u="1"/>
        <n v="1053.72" u="1"/>
        <n v="1223.54" u="1"/>
        <n v="1532.43" u="1"/>
        <n v="820.42" u="1"/>
        <n v="1609.52" u="1"/>
        <n v="235.42" u="1"/>
        <n v="5283.79" u="1"/>
        <n v="935.35" u="1"/>
        <n v="442.42" u="1"/>
        <n v="800.72" u="1"/>
        <n v="285.21" u="1"/>
        <n v="440.54" u="1"/>
        <n v="941.17" u="1"/>
        <n v="980.26" u="1"/>
        <n v="379.42" u="1"/>
        <n v="560.92" u="1"/>
        <n v="631.97" u="1"/>
        <n v="595.92" u="1"/>
        <n v="253.12" u="1"/>
        <n v="444.85" u="1"/>
        <n v="1202.11" u="1"/>
        <n v="1179.08" u="1"/>
        <n v="809.52" u="1"/>
        <n v="218.32" u="1"/>
        <n v="3190.65" u="1"/>
        <n v="386.32" u="1"/>
        <n v="443.92" u="1"/>
        <n v="288.09" u="1"/>
        <n v="670.42" u="1"/>
        <n v="432.75" u="1"/>
        <n v="741.52" u="1"/>
        <n v="377.01" u="1"/>
        <n v="746.3200000000001" u="1"/>
        <n v="858.1" u="1"/>
        <n v="272.72" u="1"/>
        <n v="365.11" u="1"/>
        <n v="509.06" u="1"/>
        <n v="330.32" u="1"/>
        <n v="461.52" u="1"/>
        <n v="912.04" u="1"/>
        <n v="393.67" u="1"/>
        <n v="503.81" u="1"/>
        <n v="877.24" u="1"/>
        <n v="677.52" u="1"/>
        <n v="1088.02" u="1"/>
        <n v="753.67" u="1"/>
        <n v="686.67" u="1"/>
        <n v="1371.34" u="1"/>
        <n v="454.41" u="1"/>
        <n v="569.3200000000001" u="1"/>
        <n v="460.11" u="1"/>
        <n v="715.92" u="1"/>
        <n v="678.89" u="1"/>
        <n v="845.92" u="1"/>
        <n v="475.92" u="1"/>
        <n v="486.66" u="1"/>
        <n v="786.67" u="1"/>
        <n v="1149.91" u="1"/>
        <n v="191.33" u="1"/>
        <n v="368.55" u="1"/>
        <n v="369.32" u="1"/>
        <n v="960.22" u="1"/>
        <n v="133.9" u="1"/>
        <n v="2174.09" u="1"/>
        <n v="803.42" u="1"/>
        <n v="362.11" u="1"/>
        <n v="537.52" u="1"/>
        <n v="1198.93" u="1"/>
        <n v="324.72" u="1"/>
        <n v="1028.69" u="1"/>
        <n v="1528.3" u="1"/>
        <n v="106.38" u="1"/>
        <n v="360.9" u="1"/>
        <n v="251.92" u="1"/>
        <n v="2306.32" u="1"/>
        <n v="484.72" u="1"/>
        <n v="1242.78" u="1"/>
        <n v="1188.67" u="1"/>
        <n v="1362.59" u="1"/>
        <n v="692.92" u="1"/>
        <n v="438.13" u="1"/>
        <n v="860.17" u="1"/>
        <n v="286.82" u="1"/>
        <n v="892.72" u="1"/>
        <n v="496.42" u="1"/>
        <n v="1055.12" u="1"/>
        <n v="1876.35" u="1"/>
        <n v="916.77" u="1"/>
        <n v="335.28" u="1"/>
        <n v="989.6900000000001" u="1"/>
        <n v="236.17" u="1"/>
        <n v="1410.21" u="1"/>
        <n v="929.61" u="1"/>
        <n v="1150.41" u="1"/>
        <n v="256.45" u="1"/>
        <n v="1025.17" u="1"/>
        <n v="1386.81" u="1"/>
        <n v="538.98" u="1"/>
        <n v="429.52" u="1"/>
        <n v="704.84" u="1"/>
        <n v="346.2" u="1"/>
        <n v="694.89" u="1"/>
        <n v="266.94" u="1"/>
        <n v="413.9" u="1"/>
        <n v="675.92" u="1"/>
        <n v="463.6" u="1"/>
        <n v="385.52" u="1"/>
        <n v="569.17" u="1"/>
        <n v="872.91" u="1"/>
        <n v="1210.07" u="1"/>
        <n v="614.3200000000001" u="1"/>
        <n v="825.67" u="1"/>
        <n v="1081.42" u="1"/>
        <n v="166.17" u="1"/>
        <n v="787.97" u="1"/>
        <n v="1367.92" u="1"/>
        <n v="345.52" u="1"/>
        <n v="159" u="1"/>
        <n v="432.72" u="1"/>
        <n v="535.92" u="1"/>
        <n v="1044.72" u="1"/>
        <n v="1181.61" u="1"/>
        <n v="778.3200000000001" u="1"/>
        <n v="443.37" u="1"/>
        <n v="607.74" u="1"/>
        <n v="406.92" u="1"/>
        <n v="1424.8" u="1"/>
        <n v="1080.67" u="1"/>
        <n v="772.42" u="1"/>
        <n v="395.83" u="1"/>
        <n v="1215.4" u="1"/>
        <n v="1392.72" u="1"/>
        <n v="1654.11" u="1"/>
        <n v="699.1" u="1"/>
        <n v="504.67" u="1"/>
        <n v="171.9" u="1"/>
        <n v="144.4" u="1"/>
        <n v="493.69" u="1"/>
        <n v="1298.84" u="1"/>
        <n v="506.92" u="1"/>
        <n v="399.92" u="1"/>
        <n v="383.17" u="1"/>
        <n v="220.41" u="1"/>
        <n v="256.24" u="1"/>
        <n v="491.31" u="1"/>
        <n v="1113.67" u="1"/>
        <n v="657.52" u="1"/>
        <n v="451.94" u="1"/>
        <n v="1603.06" u="1"/>
        <n v="1420.72" u="1"/>
        <n v="1637.97" u="1"/>
        <n v="324.56" u="1"/>
        <n v="299.76" u="1"/>
        <n v="479.92" u="1"/>
        <n v="1270" u="1"/>
        <n v="802.4400000000001" u="1"/>
        <n v="1433.63" u="1"/>
        <n v="1073.52" u="1"/>
        <n v="2091.67" u="1"/>
        <n v="1346.92" u="1"/>
        <n v="1019.17" u="1"/>
        <n v="367.12" u="1"/>
        <n v="442.32" u="1"/>
        <n v="203.12" u="1"/>
        <n v="1244.95" u="1"/>
        <n v="628.72" u="1"/>
        <n v="2255.12" u="1"/>
        <n v="921.52" u="1"/>
        <n v="1401.21" u="1"/>
        <n v="588.51" u="1"/>
        <n v="760.7" u="1"/>
        <n v="613.42" u="1"/>
        <n v="957.59" u="1"/>
        <n v="696.67" u="1"/>
        <n v="2616.68" u="1"/>
        <n v="664.72" u="1"/>
        <n v="218.61" u="1"/>
        <n v="353.52" u="1"/>
        <n v="1061.52" u="1"/>
        <n v="1555.34" u="1"/>
        <n v="495.92" u="1"/>
        <n v="527.92" u="1"/>
        <n v="651.67" u="1"/>
        <n v="1022.42" u="1"/>
        <n v="816.67" u="1"/>
        <n v="1343.36" u="1"/>
        <n v="488.84" u="1"/>
        <n v="528.35" u="1"/>
        <n v="597.51" u="1"/>
        <n v="905.8" u="1"/>
        <n v="531.51" u="1"/>
        <n v="1108.35" u="1"/>
        <n v="275.84" u="1"/>
        <n v="1363.42" u="1"/>
        <n v="422.94" u="1"/>
        <n v="817.52" u="1"/>
        <n v="461.63" u="1"/>
        <n v="395.17" u="1"/>
        <n v="461.17" u="1"/>
        <n v="433.44" u="1"/>
        <n v="2826.24" u="1"/>
        <n v="636.01" u="1"/>
        <n v="723.92" u="1"/>
        <n v="574.6" u="1"/>
        <n v="658.29" u="1"/>
        <n v="155.43" u="1"/>
        <n v="1251.04" u="1"/>
        <n v="1835.78" u="1"/>
        <n v="417.64" u="1"/>
        <n v="8452.23" u="1"/>
        <n v="1376.94" u="1"/>
        <n v="1023.3" u="1"/>
        <n v="1364.4" u="1"/>
        <n v="845.12" u="1"/>
        <n v="17786.57" u="1"/>
        <n v="356.06" u="1"/>
        <n v="1579.63" u="1"/>
        <n v="4231.16" u="1"/>
        <n v="381" u="1"/>
        <n v="3420.39" u="1"/>
        <n v="249.0768" u="1"/>
        <n v="196.07" u="1"/>
        <n v="856" u="1"/>
        <n v="174.95" u="1"/>
        <n v="372" u="1"/>
        <n v="248" u="1"/>
        <n v="531.2" u="1"/>
        <n v="1347" u="1"/>
        <n v="1086.282" u="1"/>
        <n v="670.4" u="1"/>
        <n v="1088.544" u="1"/>
        <n v="1963" u="1"/>
        <n v="617.95" u="1"/>
        <n v="2884.49" u="1"/>
        <n v="1902.24" u="1"/>
        <n v="958" u="1"/>
        <n v="627.5700000000001" u="1"/>
        <n v="655.27" u="1"/>
        <n v="3765.39" u="1"/>
        <n v="903.12" u="1"/>
        <n v="906.08" u="1"/>
        <n v="2599.92" u="1"/>
        <n v="2871.2" u="1"/>
        <n v="2850.24" u="1"/>
        <n v="2125.62" u="1"/>
        <n v="814.24" u="1"/>
        <n v="1104.25" u="1"/>
        <n v="609.39" u="1"/>
        <n v="1716.82" u="1"/>
        <n v="2855.2" u="1"/>
        <n v="1429.46" u="1"/>
        <n v="1383.82" u="1"/>
        <n v="1163.92" u="1"/>
        <n v="2655.88" u="1"/>
        <n v="1828.64" u="1"/>
        <n v="1596.64" u="1"/>
        <n v="114.56" u="1"/>
        <n v="2356.584" u="1"/>
        <n v="295.74" u="1"/>
        <n v="275" u="1"/>
        <n v="842.8" u="1"/>
        <n v="580" u="1"/>
        <n v="384" u="1"/>
        <n v="880" u="1"/>
        <n v="2011.32" u="1"/>
        <n v="1634.5719" u="1"/>
        <n v="1404.24" u="1"/>
        <n v="1354.24" u="1"/>
        <n v="1918.32" u="1"/>
        <n v="920" u="1"/>
        <n v="291.34" u="1"/>
        <n v="1236.72" u="1"/>
        <n v="1770.55" u="1"/>
        <n v="1674.52" u="1"/>
        <n v="1350" u="1"/>
        <n v="1376.64" u="1"/>
        <n v="3494.86" u="1"/>
        <n v="1120.97" u="1"/>
        <n v="2715.65" u="1"/>
        <n v="2781.66" u="1"/>
        <n v="1017.576" u="1"/>
        <n v="3150.848" u="1"/>
        <n v="938.4160000000001" u="1"/>
        <n v="775.7451" u="1"/>
        <n v="10003.52" u="1"/>
        <n v="5366.9997" u="1"/>
        <n v="236.72" u="1"/>
        <n v="2127.12" u="1"/>
        <n v="1195.92" u="1"/>
        <n v="2030.32" u="1"/>
        <n v="1251.57" u="1"/>
        <n v="666.66" u="1"/>
        <n v="814.96" u="1"/>
        <n v="22795.836" u="1"/>
        <n v="1877.44" u="1"/>
        <n v="5206.13" u="1"/>
        <n v="1219.51" u="1"/>
        <n v="1010" u="1"/>
        <n v="505" u="1"/>
        <n v="430.5" u="1"/>
        <n v="1131.96" u="1"/>
        <n v="522.9" u="1"/>
        <n v="1530" u="1"/>
        <n v="5621.33" u="1"/>
        <n v="184.76" u="1"/>
        <n v="350.2" u="1"/>
        <n v="191.49" u="1"/>
        <n v="276.46" u="1"/>
        <n v="232.02" u="1"/>
        <n v="360.15" u="1"/>
        <n v="687.96" u="1"/>
        <n v="223.44" u="1"/>
        <n v="696.0599999999999" u="1"/>
        <n v="312.3" u="1"/>
        <n v="506.42" u="1"/>
        <n v="579.6" u="1"/>
        <n v="3687.376" u="1"/>
        <n v="2718" u="1"/>
        <n v="3714.9928" u="1"/>
        <n v="218.58" u="1"/>
        <n v="1265.3864" u="1"/>
        <n v="265.74" u="1"/>
        <n v="796" u="1"/>
        <n v="1022.6" u="1"/>
        <n v="199" u="1"/>
        <n v="2124.513" u="1"/>
        <n v="555.975" u="1"/>
        <n v="1059.04" u="1"/>
        <n v="2474.12" u="1"/>
        <n v="1441.6" u="1"/>
        <n v="1680" u="1"/>
        <n v="420.01" u="1"/>
        <n v="828" u="1"/>
        <n v="695.742" u="1"/>
        <n v="33545.09" u="1"/>
        <n v="1187.2" u="1"/>
        <n v="732" u="1"/>
        <n v="212.38" u="1"/>
        <n v="212.37" u="1"/>
        <n v="525.98" u="1"/>
        <n v="348.65" u="1"/>
        <n v="843.51" u="1"/>
        <n v="245.45" u="1"/>
        <n v="184" u="1"/>
        <n v="747" u="1"/>
        <n v="489.52" u="1"/>
        <n v="278.96" u="1"/>
        <n v="284.01" u="1"/>
        <n v="3626.75" u="1"/>
        <n v="2780.24" u="1"/>
        <n v="3705.84" u="1"/>
        <n v="881.4" u="1"/>
        <n v="17500" u="1"/>
        <n v="1258.5" u="1"/>
        <n v="2100" u="1"/>
        <n v="91.89" u="1"/>
        <n v="96" u="1"/>
        <n v="88" u="1"/>
        <n v="1550" u="1"/>
        <n v="550.6799999999999" u="1"/>
        <n v="645" u="1"/>
        <n v="93.33" u="1"/>
        <n v="105.8" u="1"/>
        <n v="63.33" u="1"/>
        <n v="39.26" u="1"/>
        <n v="45.05" u="1"/>
        <n v="128.79" u="1"/>
        <n v="622.776" u="1"/>
        <n v="118.98" u="1"/>
        <n v="41.41" u="1"/>
        <n v="82.18000000000001" u="1"/>
        <n v="4310.29" u="1"/>
        <n v="24717.99" u="1"/>
        <n v="5940" u="1"/>
        <n v="198.7" u="1"/>
        <n v="469.79" u="1"/>
        <n v="1175.91" u="1"/>
        <n v="1570.25" u="1"/>
        <n v="1808.72" u="1"/>
        <n v="1267.52" u="1"/>
        <n v="704.24" u="1"/>
        <n v="1058.17" u="1"/>
        <n v="557.66" u="1"/>
        <n v="518.6900000000001" u="1"/>
        <n v="381.63" u="1"/>
        <n v="1284" u="1"/>
        <n v="290.9" u="1"/>
        <n v="690.45" u="1"/>
        <n v="9554.49" u="1"/>
        <n v="17548.21" u="1"/>
        <n v="99.58" u="1"/>
        <n v="288.15" u="1"/>
        <n v="2060" u="1"/>
        <n v="4275.98" u="1"/>
        <n v="576" u="1"/>
        <n v="6949.35" u="1"/>
        <n v="480" u="1"/>
        <n v="984.0700000000001" u="1"/>
        <n v="1050" u="1"/>
        <n v="2168.1" u="1"/>
        <n v="12363.96" u="1"/>
        <n v="680" u="1"/>
        <n v="921.4299999999999" u="1"/>
        <n v="755" u="1"/>
        <n v="522" u="1"/>
        <n v="265.53" u="1"/>
        <n v="8938.290000000001" u="1"/>
        <n v="358" u="1"/>
        <n v="844.59" u="1"/>
        <n v="537.5" u="1"/>
        <n v="438" u="1"/>
        <n v="633.6799999999999" u="1"/>
        <n v="736.8200000000001" u="1"/>
        <n v="528.28" u="1"/>
        <n v="1788" u="1"/>
        <n v="1764" u="1"/>
        <n v="222.6" u="1"/>
        <n v="195.13" u="1"/>
        <n v="738.99" u="1"/>
        <n v="294.27" u="1"/>
        <n v="1246" u="1"/>
        <n v="899.85" u="1"/>
        <n v="324.45" u="1"/>
        <n v="762.99" u="1"/>
        <n v="647.0599999999999" u="1"/>
        <n v="584" u="1"/>
        <n v="694.71" u="1"/>
        <n v="537" u="1"/>
        <n v="419.64" u="1"/>
        <n v="257.5" u="1"/>
        <n v="452" u="1"/>
        <n v="273" u="1"/>
        <n v="381.6" u="1"/>
        <n v="179" u="1"/>
        <n v="734" u="1"/>
        <n v="366.45" u="1"/>
        <n v="896.46" u="1"/>
        <n v="1084.86" u="1"/>
        <n v="2756" u="1"/>
        <n v="1474.16" u="1"/>
        <n v="1973.4" u="1"/>
        <n v="300.56" u="1"/>
        <n v="338.1" u="1"/>
        <n v="1158" u="1"/>
        <n v="1544" u="1"/>
        <n v="328.9" u="1"/>
        <n v="303.24" u="1"/>
        <n v="419.3" u="1"/>
        <n v="145.99" u="1"/>
        <n v="1185.65" u="1"/>
        <n v="2875.29" u="1"/>
        <n v="17708.83" u="1"/>
        <n v="722.99" u="1"/>
        <n v="238" u="1"/>
        <n v="1862.41" u="1"/>
        <n v="3048" u="1"/>
        <n v="230" u="1"/>
        <n v="789.8" u="1"/>
        <n v="197" u="1"/>
        <n v="452.4" u="1"/>
        <n v="1273.28" u="1"/>
        <n v="1529" u="1"/>
        <n v="256.7" u="1"/>
        <n v="489.99" u="1"/>
        <n v="1288" u="1"/>
        <n v="114.74" u="1"/>
        <n v="247" u="1"/>
        <n v="604" u="1"/>
        <n v="265" u="1"/>
        <n v="400" u="1"/>
        <n v="585.9" u="1"/>
        <n v="1020" u="1"/>
        <n v="495.04" u="1"/>
        <n v="205.19" u="1"/>
        <n v="264.91" u="1"/>
        <n v="794.73" u="1"/>
        <n v="795" u="1"/>
        <n v="215" u="1"/>
        <n v="320" u="1"/>
        <n v="199.5" u="1"/>
        <n v="578" u="1"/>
        <n v="310.21" u="1"/>
        <n v="297" u="1"/>
        <n v="570" u="1"/>
        <n v="304.5" u="1"/>
        <n v="733.3200000000001" u="1"/>
        <n v="2340.8001" u="1"/>
        <n v="2946.16" u="1"/>
        <n v="269.7" u="1"/>
        <n v="1604.4" u="1"/>
        <n v="295" u="1"/>
        <n v="1622.4" u="1"/>
        <n v="530.4400000000001" u="1"/>
        <n v="162.06" u="1"/>
        <n v="234.85" u="1"/>
        <n v="373.05" u="1"/>
        <n v="1400" u="1"/>
        <n v="1887.6" u="1"/>
        <n v="2781.55" u="1"/>
        <n v="658.22" u="1"/>
        <n v="375" u="1"/>
        <n v="241" u="1"/>
        <n v="349" u="1"/>
        <n v="200.6" u="1"/>
        <n v="432" u="1"/>
        <n v="194" u="1"/>
        <n v="233.1" u="1"/>
        <n v="235" u="1"/>
        <n v="215.49" u="1"/>
        <n v="466.2" u="1"/>
        <n v="2499" u="1"/>
        <n v="550" u="1"/>
        <n v="542.78" u="1"/>
        <n v="686.4" u="1"/>
        <n v="396" u="1"/>
        <n v="15676.08" u="1"/>
        <n v="249" u="1"/>
        <n v="125" u="1"/>
        <n v="187" u="1"/>
        <n v="5580.05" u="1"/>
        <n v="2312" u="1"/>
        <n v="205" u="1"/>
        <n v="975" u="1"/>
        <n v="575" u="1"/>
        <n v="255" u="1"/>
        <n v="356.5" u="1"/>
        <n v="165" u="1"/>
        <n v="1584" u="1"/>
        <n v="4711" u="1"/>
        <n v="3377.1" u="1"/>
        <n v="936.51" u="1"/>
        <n v="544.41" u="1"/>
        <n v="223.1" u="1"/>
        <n v="261" u="1"/>
        <n v="710" u="1"/>
        <n v="168.91" u="1"/>
        <n v="195.33" u="1"/>
        <n v="3511.05" u="1"/>
        <n v="540.5599999999999" u="1"/>
        <n v="1625" u="1"/>
        <n v="12037" u="1"/>
        <n v="324.26" u="1"/>
        <n v="1061.29" u="1"/>
        <n v="946.46" u="1"/>
        <n v="90" u="1"/>
        <n v="1396" u="1"/>
        <n v="363" u="1"/>
        <n v="864" u="1"/>
        <n v="7034" u="1"/>
        <n v="8792.5" u="1"/>
        <n v="6265.53" u="1"/>
        <n v="2034.4" u="1"/>
        <n v="242" u="1"/>
        <n v="150.6" u="1"/>
        <n v="726" u="1"/>
        <n v="4152" u="1"/>
        <n v="714" u="1"/>
        <n v="561" u="1"/>
        <n v="927" u="1"/>
        <n v="178" u="1"/>
        <n v="380.45" u="1"/>
        <n v="529.42" u="1"/>
        <n v="2552.6" u="1"/>
        <n v="8143.03" u="1"/>
        <n v="5472" u="1"/>
        <n v="232" u="1"/>
        <n v="163.85" u="1"/>
        <n v="684.52" u="1"/>
        <n v="217" u="1"/>
        <n v="4536" u="1"/>
        <n v="345" u="1"/>
        <n v="721.5599999999999" u="1"/>
        <n v="913.2" u="1"/>
        <n v="546" u="1"/>
        <n v="518.7" u="1"/>
        <n v="807.96" u="1"/>
        <n v="646.8" u="1"/>
        <n v="995.4" u="1"/>
        <n v="1040" u="1"/>
        <n v="385.35" u="1"/>
        <n v="4312" u="1"/>
        <n v="307.97" u="1"/>
        <n v="529.66" u="1"/>
        <n v="1057.32" u="1"/>
        <n v="2250" u="1"/>
        <n v="4550" u="1"/>
        <n v="469.82" u="1"/>
        <n v="758.1" u="1"/>
        <n v="4389" u="1"/>
        <n v="3388" u="1"/>
        <n v="1205.8" u="1"/>
        <n v="660.75" u="1"/>
        <n v="540" u="1"/>
        <n v="846.84" u="1"/>
        <n v="749.88" u="1"/>
        <n v="7548.95" u="1"/>
        <n v="1819.8" u="1"/>
        <n v="483.9" u="1"/>
        <n v="622.5599999999999" u="1"/>
        <n v="284.58" u="1"/>
        <n v="254" u="1"/>
        <n v="643.08" u="1"/>
        <n v="440" u="1"/>
        <n v="495.44" u="1"/>
        <n v="1302" u="1"/>
        <n v="572.7" u="1"/>
        <n v="517.2" u="1"/>
        <n v="189.9" u="1"/>
        <n v="739.8" u="1"/>
        <n v="656.13" u="1"/>
        <n v="259.52" u="1"/>
        <n v="2320" u="1"/>
        <n v="1798.82" u="1"/>
        <n v="768.16" u="1"/>
        <n v="1560.22" u="1"/>
        <n v="644" u="1"/>
        <n v="1412" u="1"/>
        <n v="550.72" u="1"/>
        <n v="1000" u="1"/>
        <n v="631.24" u="1"/>
        <n v="1262.48" u="1"/>
        <n v="2154" u="1"/>
        <n v="1089" u="1"/>
        <n v="983.01" u="1"/>
        <n v="1452" u="1"/>
        <n v="207" u="1"/>
        <n v="10647.756" u="1"/>
        <n v="6409.752" u="1"/>
        <n v="578.13" u="1"/>
        <n v="359" u="1"/>
        <n v="1110" u="1"/>
        <n v="622" u="1"/>
        <n v="106.18" u="1"/>
        <n v="70.78" u="1"/>
        <n v="1276" u="1"/>
        <n v="1262" u="1"/>
        <n v="2323.54" u="1"/>
        <n v="1620.93" u="1"/>
        <n v="1590.7" u="1"/>
        <n v="3195.14" u="1"/>
        <n v="846.7" u="1"/>
        <n v="2280" u="1"/>
        <n v="1525.58" u="1"/>
        <n v="411.04" u="1"/>
        <n v="622.4" u="1"/>
        <n v="1390.29" u="1"/>
        <n v="93.5" u="1"/>
        <n v="295.5" u="1"/>
        <n v="4819" u="1"/>
        <n v="410" u="1"/>
        <n v="777.75" u="1"/>
        <n v="1376" u="1"/>
        <n v="5772.12" u="1"/>
        <n v="582" u="1"/>
        <n v="780.16" u="1"/>
        <n v="524.9400000000001" u="1"/>
        <n v="692.26" u="1"/>
        <n v="287" u="1"/>
        <n v="298" u="1"/>
        <n v="254.1" u="1"/>
        <n v="925.5599999999999" u="1"/>
        <n v="1178.05" u="1"/>
        <n v="243.39" u="1"/>
        <n v="801.99" u="1"/>
        <n v="330.75" u="1"/>
        <n v="451.48" u="1"/>
        <n v="1520.4" u="1"/>
        <n v="824.42" u="1"/>
        <n v="474.24" u="1"/>
        <n v="596" u="1"/>
        <n v="472.5" u="1"/>
        <n v="1873.35" u="1"/>
        <n v="501.6" u="1"/>
        <n v="459.38" u="1"/>
        <n v="3078" u="1"/>
        <n v="9790" u="1"/>
        <n v="543.9" u="1"/>
        <n v="1244.85" u="1"/>
        <n v="1116.2" u="1"/>
        <n v="1110.46" u="1"/>
        <n v="376.34" u="1"/>
        <n v="18602.56" u="1"/>
        <n v="5016.79" u="1"/>
        <n v="443" u="1"/>
        <n v="178.2" u="1"/>
        <n v="156" u="1"/>
        <n v="324.22" u="1"/>
        <n v="979.04" u="1"/>
        <n v="611.58" u="1"/>
        <n v="12664" u="1"/>
        <n v="910" u="1"/>
        <n v="2375.0001" u="1"/>
        <n v="418" u="1"/>
        <n v="277.2" u="1"/>
        <n v="547.1088" u="1"/>
        <n v="294.15" u="1"/>
        <n v="1746.5" u="1"/>
        <n v="1156" u="1"/>
        <n v="99.31999999999999" u="1"/>
        <n v="761.28" u="1"/>
        <n v="12879.54" u="1"/>
        <n v="1304" u="1"/>
        <n v="783.9216" u="1"/>
        <n v="498.1536" u="1"/>
        <n v="396.045" u="1"/>
        <n v="1844.976" u="1"/>
        <n v="1076.36" u="1"/>
        <n v="903.8200000000001" u="1"/>
        <n v="422.04" u="1"/>
        <n v="8031.48" u="1"/>
        <n v="1891.296" u="1"/>
        <n v="719.5839999999999" u="1"/>
        <n v="1584.2946" u="1"/>
        <n v="1719.36" u="1"/>
        <n v="497.38" u="1"/>
        <n v="237.93" u="1"/>
        <n v="771.54" u="1"/>
        <n v="113150" u="1"/>
        <n v="378.81" u="1"/>
        <n v="2130" u="1"/>
        <n v="830" u="1"/>
        <n v="352.6" u="1"/>
        <n v="369.24" u="1"/>
        <n v="562.5" u="1"/>
        <n v="1090" u="1"/>
        <n v="323" u="1"/>
        <n v="1345.56" u="1"/>
        <n v="304.98" u="1"/>
        <n v="20398" u="1"/>
        <n v="1754.6256" u="1"/>
        <n v="528.7101" u="1"/>
        <n v="943.04" u="1"/>
        <n v="438.4352" u="1"/>
        <n v="1007.496" u="1"/>
        <n v="2029.35" u="1"/>
        <n v="234.75" u="1"/>
        <n v="240.74" u="1"/>
        <n v="558" u="1"/>
        <n v="12870.72" u="1"/>
        <n v="248.07" u="1"/>
        <n v="812.2" u="1"/>
        <n v="562.7189" u="1"/>
        <n v="4074.0284" u="1"/>
        <n v="476.0925" u="1"/>
        <n v="6931" u="1"/>
        <n v="2915.3" u="1"/>
        <n v="689.84" u="1"/>
        <n v="638" u="1"/>
        <n v="1239.7392" u="1"/>
        <n v="92.1032" u="1"/>
        <n v="535.5" u="1"/>
        <n v="2640" u="1"/>
        <n v="1101.2" u="1"/>
        <n v="898" u="1"/>
        <n v="1176" u="1"/>
        <n v="1324.02" u="1"/>
        <n v="436.5" u="1"/>
        <n v="223" u="1"/>
        <n v="494.4688" u="1"/>
        <n v="693.9296000000001" u="1"/>
        <n v="383.18" u="1"/>
        <n v="153.52" u="1"/>
        <n v="157.45" u="1"/>
        <n v="607.05" u="1"/>
        <n v="4268.86" u="1"/>
        <n v="1001.22" u="1"/>
        <n v="439.9" u="1"/>
        <n v="2860.61" u="1"/>
        <n v="554.41" u="1"/>
        <n v="690.29" u="1"/>
        <n v="5582.15" u="1"/>
        <n v="371" u="1"/>
        <n v="2197.44" u="1"/>
        <n v="3023.84" u="1"/>
        <n v="3497.01" u="1"/>
        <n v="1016.56" u="1"/>
        <n v="695.12" u="1"/>
        <n v="820.72" u="1"/>
        <n v="2638.32" u="1"/>
        <n v="1337.4" u="1"/>
        <n v="353.9" u="1"/>
        <n v="1656.14" u="1"/>
        <n v="1561.41" u="1"/>
        <n v="912.4" u="1"/>
        <n v="954.7143" u="1"/>
        <n v="494.24" u="1"/>
        <n v="8452.040000000001" u="1"/>
        <n v="7881.11" u="1"/>
        <n v="537.71" u="1"/>
        <n v="1940.43" u="1"/>
        <n v="2119.8" u="1"/>
        <n v="4720" u="1"/>
        <n v="3378" u="1"/>
        <n v="366" u="1"/>
        <n v="1454.24" u="1"/>
        <n v="627.64" u="1"/>
        <n v="756.86" u="1"/>
        <n v="265.68" u="1"/>
        <n v="1257.78" u="1"/>
        <n v="998.51" u="1"/>
        <n v="846.5599999999999" u="1"/>
        <n v="623.37" u="1"/>
        <n v="580.48" u="1"/>
        <n v="550.34" u="1"/>
        <n v="914.76" u="1"/>
        <n v="657.5599999999999" u="1"/>
        <n v="1287.72" u="1"/>
        <n v="533.28" u="1"/>
        <n v="494.34" u="1"/>
        <n v="1342.81" u="1"/>
        <n v="620.22" u="1"/>
        <n v="8180.25" u="1"/>
        <n v="487.6" u="1"/>
        <n v="2058.74" u="1"/>
        <n v="1096" u="1"/>
        <n v="514.28" u="1"/>
        <n v="467.29" u="1"/>
        <n v="203.056" u="1"/>
        <n v="1112.7424" u="1"/>
        <n v="758.38" u="1"/>
        <n v="8372.784" u="1"/>
        <n v="200.1664" u="1"/>
        <n v="183.54" u="1"/>
        <n v="1099.4" u="1"/>
        <n v="241.79" u="1"/>
        <n v="1700" u="1"/>
        <n v="456.3" u="1"/>
        <n v="878.248" u="1"/>
        <n v="297.4466" u="1"/>
        <n v="504.0672" u="1"/>
        <n v="280.8736" u="1"/>
        <n v="796.8576" u="1"/>
        <n v="452.88" u="1"/>
        <n v="738.53" u="1"/>
        <n v="400.9701" u="1"/>
        <n v="767.51" u="1"/>
        <n v="715.64" u="1"/>
        <n v="1665.76" u="1"/>
        <n v="794.3200000000001" u="1"/>
        <n v="648.5599999999999" u="1"/>
        <n v="448.72" u="1"/>
        <n v="69326.95" u="1"/>
        <n v="736.01" u="1"/>
        <n v="810" u="1"/>
        <n v="10478" u="1"/>
        <n v="1677" u="1"/>
        <n v="653.8" u="1"/>
        <n v="6888.96" u="1"/>
        <n v="288.75" u="1"/>
        <n v="254.11" u="1"/>
        <n v="1571.72" u="1"/>
        <n v="436.8" u="1"/>
        <n v="313.5" u="1"/>
        <n v="419" u="1"/>
        <n v="1002.8" u="1"/>
        <n v="245.7" u="1"/>
        <n v="1137" u="1"/>
        <n v="1436.4" u="1"/>
        <n v="203.06" u="1"/>
        <n v="219.35" u="1"/>
        <n v="506.34" u="1"/>
        <n v="2488.46" u="1"/>
        <n v="2550" u="1"/>
        <n v="5460.21" u="1"/>
        <n v="2010.28" u="1"/>
        <n v="82.42" u="1"/>
        <n v="80.23999999999999" u="1"/>
        <n v="4668.0403" u="1"/>
        <n v="588" u="1"/>
        <n v="255.2" u="1"/>
        <n v="318.58" u="1"/>
        <n v="420.78" u="1"/>
        <n v="59.72" u="1"/>
        <n v="598.5" u="1"/>
        <n v="710.98" u="1"/>
        <n v="897" u="1"/>
        <n v="16064.12" u="1"/>
        <n v="165.704" u="1"/>
        <n v="212.84" u="1"/>
        <n v="224.09" u="1"/>
        <n v="212.29" u="1"/>
        <n v="247.69" u="1"/>
        <n v="1017.1" u="1"/>
        <n v="1265.62" u="1"/>
        <n v="1661.57" u="1"/>
        <n v="7907.56" u="1"/>
        <n v="392.87" u="1"/>
        <n v="854" u="1"/>
        <n v="1201" u="1"/>
        <n v="605" u="1"/>
        <n v="1100" u="1"/>
        <n v="367.5" u="1"/>
        <n v="391.6" u="1"/>
        <n v="187.68" u="1"/>
        <n v="497.48" u="1"/>
        <n v="313.04" u="1"/>
        <n v="387.9" u="1"/>
        <n v="408.33" u="1"/>
        <n v="251.94" u="1"/>
        <n v="517.2675" u="1"/>
        <n v="219.5" u="1"/>
        <n v="396.9504" u="1"/>
        <n v="589.9712" u="1"/>
        <n v="353.136" u="1"/>
        <n v="253.1648" u="1"/>
        <n v="499.71" u="1"/>
        <n v="723.9825" u="1"/>
        <n v="219.74" u="1"/>
        <n v="2672.84" u="1"/>
        <n v="797.5744" u="1"/>
        <n v="817.35" u="1"/>
        <n v="173.13" u="1"/>
        <n v="1632.4" u="1"/>
        <n v="1112.76" u="1"/>
        <n v="843.64" u="1"/>
        <n v="404.1" u="1"/>
        <n v="318.35" u="1"/>
        <n v="572.52" u="1"/>
        <n v="2925" u="1"/>
        <n v="2091.3" u="1"/>
        <n v="1065" u="1"/>
        <n v="345.0048" u="1"/>
        <n v="213.15" u="1"/>
        <n v="295.9" u="1"/>
        <n v="134.49" u="1"/>
        <n v="561.0864" u="1"/>
        <n v="1596" u="1"/>
        <n v="1226.4" u="1"/>
        <n v="277.32" u="1"/>
        <n v="3000" u="1"/>
        <n v="157.53" u="1"/>
        <n v="438.9" u="1"/>
        <n v="97.92" u="1"/>
        <n v="427.9072" u="1"/>
        <n v="581.8511999999999" u="1"/>
        <n v="376.72" u="1"/>
        <n v="796.9" u="1"/>
        <n v="610" u="1"/>
        <n v="897.75" u="1"/>
        <n v="4743" u="1"/>
        <n v="587.1399" u="1"/>
        <n v="4994.4" u="1"/>
        <n v="5006.12" u="1"/>
        <n v="1892" u="1"/>
        <n v="396.0432" u="1"/>
        <n v="556.3488" u="1"/>
        <n v="248.43" u="1"/>
        <n v="276.6466" u="1"/>
        <n v="149.945" u="1"/>
        <n v="582.2799" u="1"/>
        <n v="409.0701" u="1"/>
        <n v="229.74" u="1"/>
        <n v="528.62" u="1"/>
        <n v="286.79" u="1"/>
        <n v="3184.09" u="1"/>
        <n v="976.72" u="1"/>
        <n v="639.12" u="1"/>
        <n v="1229.94" u="1"/>
        <n v="448.22" u="1"/>
        <n v="587.16" u="1"/>
        <n v="1082.89" u="1"/>
        <n v="2793.18" u="1"/>
        <n v="2144.26" u="1"/>
        <n v="720" u="1"/>
        <n v="493" u="1"/>
        <n v="840" u="1"/>
        <n v="987" u="1"/>
        <n v="371.8" u="1"/>
        <n v="735" u="1"/>
        <n v="363.36" u="1"/>
        <n v="644.28" u="1"/>
        <n v="469.77" u="1"/>
        <n v="1914.33" u="1"/>
        <n v="844" u="1"/>
        <n v="942.37" u="1"/>
        <n v="728.0448" u="1"/>
        <n v="1072" u="1"/>
        <n v="56.3" u="1"/>
        <n v="602.7504" u="1"/>
        <n v="723.1616" u="1"/>
        <n v="286.2" u="1"/>
        <n v="1371.18" u="1"/>
        <n v="616.55" u="1"/>
        <n v="886.8200000000001" u="1"/>
        <n v="2292.53" u="1"/>
        <n v="925.22" u="1"/>
        <n v="968.14" u="1"/>
        <n v="459.57" u="1"/>
        <n v="602.97" u="1"/>
        <n v="1462.13" u="1"/>
        <n v="608.9" u="1"/>
        <n v="549.38" u="1"/>
        <n v="627.12" u="1"/>
        <n v="1333.2" u="1"/>
        <n v="1046.32" u="1"/>
        <n v="325.16" u="1"/>
        <n v="339.21" u="1"/>
        <n v="3357.67" u="1"/>
        <n v="3516.7" u="1"/>
        <n v="2345.44" u="1"/>
        <n v="1959.72" u="1"/>
        <n v="5663.68" u="1"/>
        <n v="2854.95" u="1"/>
        <n v="2012.11" u="1"/>
        <n v="2820.95" u="1"/>
        <n v="1271.66" u="1"/>
        <n v="5761.52" u="1"/>
        <n v="635.09" u="1"/>
        <n v="238.54" u="1"/>
        <n v="200.12" u="1"/>
        <n v="1053.28" u="1"/>
        <n v="940.78" u="1"/>
        <n v="728.84" u="1"/>
        <n v="817.42" u="1"/>
        <n v="1291.42" u="1"/>
        <n v="618.12" u="1"/>
        <n v="565.34" u="1"/>
        <n v="406.42" u="1"/>
        <n v="1581.79" u="1"/>
        <n v="34389.77" u="1"/>
        <n v="1079.46" u="1"/>
        <n v="590.3099999999999" u="1"/>
        <n v="1105.69" u="1"/>
        <n v="869.9400000000001" u="1"/>
        <n v="1296.81" u="1"/>
        <n v="1226.32" u="1"/>
        <n v="854.29" u="1"/>
        <n v="317.63" u="1"/>
        <n v="1119.42" u="1"/>
        <n v="145.88" u="1"/>
        <n v="142.32" u="1"/>
        <n v="993.51" u="1"/>
        <n v="840.42" u="1"/>
        <n v="663.3" u="1"/>
        <n v="720.5" u="1"/>
        <n v="341.52" u="1"/>
        <n v="1195.48" u="1"/>
        <n v="3759.86" u="1"/>
        <n v="1912.28" u="1"/>
        <n v="512.61" u="1"/>
        <n v="703.42" u="1"/>
        <n v="2756.17" u="1"/>
        <n v="542.96" u="1"/>
        <n v="388.05" u="1"/>
        <n v="578.34" u="1"/>
        <n v="906.5839999999999" u="1"/>
        <n v="972.1152" u="1"/>
        <n v="49180" u="1"/>
        <n v="735.27" u="1"/>
        <n v="4059.84" u="1"/>
        <n v="172.62" u="1"/>
        <n v="4002.24" u="1"/>
        <n v="1479.04" u="1"/>
        <n v="228.13" u="1"/>
        <n v="594.89" u="1"/>
        <n v="259.92" u="1"/>
        <n v="495.12" u="1"/>
        <n v="840.21" u="1"/>
        <n v="383.38" u="1"/>
        <n v="2375.22" u="1"/>
        <n v="557.63" u="1"/>
        <n v="2731.06" u="1"/>
        <n v="2197.52" u="1"/>
        <n v="696.71" u="1"/>
        <n v="822.28" u="1"/>
        <n v="1211.84" u="1"/>
        <n v="773.9299999999999" u="1"/>
        <n v="934.29" u="1"/>
        <n v="1215.25" u="1"/>
        <n v="354.24" u="1"/>
        <n v="3054.24" u="1"/>
        <n v="466.34" u="1"/>
        <n v="876.872" u="1"/>
        <n v="241.8" u="1"/>
        <n v="358.55" u="1"/>
        <n v="2205.95" u="1"/>
        <n v="524.6" u="1"/>
        <n v="1587.3984" u="1"/>
        <n v="523.4072" u="1"/>
        <n v="204.9936" u="1"/>
        <n v="849.24" u="1"/>
        <n v="2048.3227" u="1"/>
        <n v="483.3866" u="1"/>
        <n v="824.3482" u="1"/>
        <n v="376" u="1"/>
        <n v="471.59" u="1"/>
        <n v="473.35" u="1"/>
        <n v="862.3099999999999" u="1"/>
        <n v="1190.96" u="1"/>
        <n v="760.08" u="1"/>
        <n v="703.84" u="1"/>
        <n v="1237.05" u="1"/>
        <n v="3562.704" u="1"/>
        <n v="409" u="1"/>
        <n v="242.33" u="1"/>
        <n v="89.98999999999999" u="1"/>
        <n v="531.758" u="1"/>
        <n v="682.6848" u="1"/>
        <n v="279.119" u="1"/>
        <n v="481.89" u="1"/>
        <n v="226.09" u="1"/>
        <n v="1246.74" u="1"/>
        <n v="1974" u="1"/>
        <n v="7300" u="1"/>
        <n v="5581.9461" u="1"/>
        <n v="3975.054" u="1"/>
        <n v="1807.962" u="1"/>
        <n v="787.8864" u="1"/>
        <n v="440.5408" u="1"/>
        <n v="163.38" u="1"/>
        <n v="313.5734" u="1"/>
        <n v="1650.39" u="1"/>
        <n v="304.9238" u="1"/>
        <n v="436.3884" u="1"/>
        <n v="282.2736" u="1"/>
        <n v="1165.52" u="1"/>
        <n v="1209.1" u="1"/>
        <n v="642.8" u="1"/>
        <n v="2843.4" u="1"/>
        <n v="257.6112" u="1"/>
        <n v="603.0752" u="1"/>
        <n v="664.6976" u="1"/>
        <n v="214.1328" u="1"/>
        <n v="264.0848" u="1"/>
        <n v="177.2848" u="1"/>
        <n v="498.5232" u="1"/>
        <n v="997.2032" u="1"/>
        <n v="1896.53" u="1"/>
        <n v="410.5725" u="1"/>
        <n v="338.17" u="1"/>
        <n v="158.37" u="1"/>
        <n v="401.49" u="1"/>
        <n v="402.84" u="1"/>
        <n v="2464.93" u="1"/>
        <n v="422.24" u="1"/>
        <n v="2265.7" u="1"/>
        <n v="2380.36" u="1"/>
        <n v="839.77" u="1"/>
        <n v="817.85" u="1"/>
        <n v="800.88" u="1"/>
        <n v="2430.39" u="1"/>
        <n v="757.75" u="1"/>
        <n v="801.8" u="1"/>
        <n v="931.14" u="1"/>
        <n v="650.17" u="1"/>
        <n v="442.17" u="1"/>
        <n v="465" u="1"/>
        <n v="566.3200000000001" u="1"/>
        <n v="317.12" u="1"/>
        <n v="3021.15" u="1"/>
        <n v="1124.99" u="1"/>
        <n v="2756.58" u="1"/>
        <n v="1924.85" u="1"/>
        <n v="9122.124" u="1"/>
        <n v="513" u="1"/>
        <n v="349.5" u="1"/>
        <n v="296.38" u="1"/>
        <n v="86.31999999999999" u="1"/>
        <n v="473.1" u="1"/>
        <n v="846.1" u="1"/>
        <n v="1063.29" u="1"/>
        <n v="2043.87" u="1"/>
        <n v="485.1" u="1"/>
        <n v="970.2" u="1"/>
        <n v="362.7" u="1"/>
        <n v="15295.428" u="1"/>
        <n v="2323.9086" u="1"/>
        <n v="395.9" u="1"/>
        <n v="8356.360000000001" u="1"/>
        <n v="1120" u="1"/>
        <n v="885" u="1"/>
        <n v="1527" u="1"/>
        <n v="1391" u="1"/>
        <n v="3853.07" u="1"/>
        <n v="1762.2" u="1"/>
        <n v="6080.48" u="1"/>
        <n v="3096.24" u="1"/>
        <n v="1638" u="1"/>
        <n v="363.732" u="1"/>
        <n v="1813.311" u="1"/>
        <n v="2241.231" u="1"/>
        <n v="760" u="1"/>
        <n v="18644.499" u="1"/>
        <n v="3624" u="1"/>
        <n v="592" u="1"/>
        <n v="559.98" u="1"/>
        <n v="1263.308" u="1"/>
        <n v="6960.8" u="1"/>
        <n v="1679.95" u="1"/>
        <n v="1130.58" u="1"/>
        <n v="310.5" u="1"/>
        <n v="7787.5" u="1"/>
        <n v="432.69" u="1"/>
        <n v="555.35" u="1"/>
        <n v="7739.4028" u="1"/>
        <n v="258.53" u="1"/>
        <n v="260.4" u="1"/>
        <n v="386.4" u="1"/>
        <n v="910.5527" u="1"/>
        <n v="3937.968" u="1"/>
        <n v="4155.6768" u="1"/>
        <n v="3497.1244" u="1"/>
        <n v="1598" u="1"/>
        <n v="1898" u="1"/>
        <n v="3922.74" u="1"/>
        <n v="1503" u="1"/>
        <n v="15559.9" u="1"/>
        <n v="337" u="1"/>
        <n v="407" u="1"/>
        <n v="6207.46" u="1"/>
        <n v="779.8644" u="1"/>
        <n v="1023.0326" u="1"/>
        <n v="463.8333" u="1"/>
        <n v="2739.903" u="1"/>
        <n v="777.2943" u="1"/>
        <n v="1019.6612" u="1"/>
        <n v="463.8334" u="1"/>
        <n v="1283.97" u="1"/>
        <n v="195.93" u="1"/>
        <n v="597" u="1"/>
        <n v="723" u="1"/>
        <n v="1100.92" u="1"/>
        <n v="842.5626" u="1"/>
        <n v="1255.8" u="1"/>
        <n v="3282.99" u="1"/>
        <n v="1749.85" u="1"/>
        <n v="731.76" u="1"/>
        <n v="283" u="1"/>
        <n v="578.54" u="1"/>
        <n v="1193" u="1"/>
        <n v="153" u="1"/>
        <n v="1773" u="1"/>
        <n v="1472.1" u="1"/>
        <n v="1900" u="1"/>
        <n v="5700" u="1"/>
        <n v="87.81999999999999" u="1"/>
        <n v="178.77" u="1"/>
        <n v="205.12" u="1"/>
        <n v="14338.368" u="1"/>
        <n v="255.35" u="1"/>
        <n v="606.25" u="1"/>
        <n v="3500" u="1"/>
        <n v="5000.2588" u="1"/>
        <n v="3060" u="1"/>
        <n v="5426.784" u="1"/>
        <n v="3959.88" u="1"/>
        <n v="3055.9" u="1"/>
        <n v="1349.8" u="1"/>
        <n v="1110.67" u="1"/>
        <n v="741.48" u="1"/>
        <n v="1029.8" u="1"/>
        <n v="675" u="1"/>
        <n v="152.7" u="1"/>
        <n v="762.9400000000001" u="1"/>
        <n v="3648.8" u="1"/>
        <n v="4719.8" u="1"/>
        <n v="925.35" u="1"/>
        <n v="710.58" u="1"/>
        <n v="2615.81" u="1"/>
        <n v="1672.41" u="1"/>
        <n v="740.8" u="1"/>
        <n v="1352.99" u="1"/>
        <n v="2164.8" u="1"/>
        <n v="807.78" u="1"/>
        <n v="1864.8" u="1"/>
        <n v="5621.57" u="1"/>
        <n v="390" u="1"/>
        <n v="291.06" u="1"/>
        <n v="1673.17" u="1"/>
        <n v="680.9" u="1"/>
        <n v="590.96" u="1"/>
        <n v="662.8200000000001" u="1"/>
        <n v="1180" u="1"/>
        <n v="1954.13" u="1"/>
        <n v="1739.98" u="1"/>
        <n v="2512.7088" u="1"/>
        <n v="420.66" u="1"/>
        <n v="1789.84" u="1"/>
        <n v="1999.42" u="1"/>
        <n v="3227.04" u="1"/>
        <n v="2283.49" u="1"/>
        <n v="1295.15" u="1"/>
        <n v="1605.37" u="1"/>
        <n v="2561.36" u="1"/>
        <n v="2239.12" u="1"/>
        <n v="1104.1" u="1"/>
        <n v="1066.34" u="1"/>
        <n v="1782.72" u="1"/>
        <n v="3365.14" u="1"/>
        <n v="934.8" u="1"/>
        <n v="607.62" u="1"/>
        <n v="3284.88" u="1"/>
        <n v="1169.98" u="1"/>
        <n v="1275.04" u="1"/>
        <n v="1146.24" u="1"/>
        <n v="3258.16" u="1"/>
        <n v="485.63" u="1"/>
        <n v="527.63" u="1"/>
        <n v="480.38" u="1"/>
        <n v="210.97" u="1"/>
        <n v="474.2334" u="1"/>
        <n v="477.75" u="1"/>
        <n v="1356" u="1"/>
        <n v="1081.89" u="1"/>
        <n v="7902.2" u="1"/>
        <n v="5188.53" u="1"/>
        <n v="2326.8" u="1"/>
        <n v="91.0056" u="1"/>
        <n v="393.8592" u="1"/>
        <n v="364.0224" u="1"/>
        <n v="2743.82" u="1"/>
        <n v="409.9872" u="1"/>
        <n v="1962.87" u="1"/>
        <n v="1660.87" u="1"/>
        <n v="313.41" u="1"/>
        <n v="1610.1" u="1"/>
        <n v="11241.86" u="1"/>
        <n v="3155.188" u="1"/>
        <n v="2394.93" u="1"/>
        <n v="5341.86" u="1"/>
        <n v="3065.12" u="1"/>
        <n v="620" u="1"/>
        <n v="3356.85" u="1"/>
        <n v="157.54" u="1"/>
        <n v="651.8736" u="1"/>
        <n v="872.984" u="1"/>
        <n v="1784.048" u="1"/>
        <n v="506" u="1"/>
        <n v="332.3488" u="1"/>
        <n v="407.2816" u="1"/>
        <n v="449.39" u="1"/>
        <n v="41370.54" u="1"/>
        <n v="6982.3704" u="1"/>
        <n v="484.7584" u="1"/>
        <n v="280" u="1"/>
        <n v="745.2" u="1"/>
        <n v="164.25" u="1"/>
        <n v="308.2464" u="1"/>
        <n v="1052.128" u="1"/>
        <n v="1159.8399" u="1"/>
        <n v="258" u="1"/>
        <n v="2075000" u="1"/>
        <n v="612.46" u="1"/>
        <n v="840.67" u="1"/>
        <n v="1825.63" u="1"/>
        <n v="393.97" u="1"/>
        <n v="341.94" u="1"/>
        <n v="2689.34" u="1"/>
        <n v="811.61" u="1"/>
        <n v="1350.76" u="1"/>
        <n v="677.88" u="1"/>
        <n v="718.65" u="1"/>
        <n v="346.9" u="1"/>
        <n v="2509.8" u="1"/>
        <n v="556.3712" u="1"/>
        <n v="3781.17" u="1"/>
        <n v="677.5" u="1"/>
        <n v="1686" u="1"/>
        <n v="9696.83" u="1"/>
        <n v="560.3569" u="1"/>
        <n v="858" u="1"/>
        <n v="863.58" u="1"/>
        <n v="1484.02" u="1"/>
        <n v="2891.78" u="1"/>
        <n v="86.16" u="1"/>
        <n v="2931.77" u="1"/>
        <n v="22068.36" u="1"/>
        <n v="1181.38" u="1"/>
        <n v="427.42" u="1"/>
        <n v="2551.84" u="1"/>
        <n v="1346.65" u="1"/>
        <n v="1206.57" u="1"/>
        <n v="3707.04" u="1"/>
        <n v="2701.09" u="1"/>
        <n v="2320.88" u="1"/>
        <n v="2279.92" u="1"/>
        <n v="408.24" u="1"/>
        <n v="1490.19" u="1"/>
        <n v="3517" u="1"/>
        <n v="4314.24" u="1"/>
        <n v="1771.11" u="1"/>
        <n v="983.12" u="1"/>
        <n v="1293.87" u="1"/>
        <n v="3087.84" u="1"/>
        <n v="1919.53" u="1"/>
        <n v="1060.44" u="1"/>
        <n v="534.22" u="1"/>
        <n v="699.08" u="1"/>
        <n v="1084.92" u="1"/>
        <n v="561.66" u="1"/>
        <n v="2129.9055" u="1"/>
        <n v="502.792" u="1"/>
        <n v="291.48" u="1"/>
        <n v="500.53" u="1"/>
        <n v="199.19" u="1"/>
        <n v="206.38" u="1"/>
        <n v="968.72" u="1"/>
        <n v="474.3382" u="1"/>
        <n v="1153.45" u="1"/>
        <n v="2537.59" u="1"/>
        <n v="3952.1" u="1"/>
        <n v="1431.8" u="1"/>
        <n v="2587.44" u="1"/>
        <n v="880.95" u="1"/>
        <n v="836" u="1"/>
        <n v="1034.55" u="1"/>
        <n v="2282.17" u="1"/>
        <n v="2028.67" u="1"/>
        <n v="724.5" u="1"/>
        <n v="1001.92" u="1"/>
        <n v="1678.34" u="1"/>
        <n v="3025.59" u="1"/>
        <n v="299.3" u="1"/>
        <n v="781.15" u="1"/>
        <n v="478.8" u="1"/>
        <n v="3281.84" u="1"/>
        <n v="774" u="1"/>
        <n v="7260" u="1"/>
        <n v="427" u="1"/>
        <n v="428" u="1"/>
        <n v="1995.237" u="1"/>
        <n v="777" u="1"/>
        <n v="1310.04" u="1"/>
        <n v="171.06" u="1"/>
        <n v="744" u="1"/>
        <n v="3279.408" u="1"/>
        <n v="4664" u="1"/>
        <n v="18978.47" u="1"/>
        <n v="1250" u="1"/>
        <n v="1775" u="1"/>
        <n v="185" u="1"/>
        <n v="3356.8528" u="1"/>
        <n v="533.67" u="1"/>
        <n v="558.5328" u="1"/>
        <n v="831.8200000000001" u="1"/>
        <n v="926.42" u="1"/>
        <n v="1604.3898" u="1"/>
        <n v="571.3344" u="1"/>
        <n v="433.02" u="1"/>
        <n v="465.528" u="1"/>
        <n v="534.8784000000001" u="1"/>
        <n v="1060.5504" u="1"/>
        <n v="437.1024" u="1"/>
        <n v="709.1392" u="1"/>
        <n v="2622.4" u="1"/>
        <n v="103117.648" u="1"/>
        <n v="770.7" u="1"/>
        <n v="939.72" u="1"/>
        <n v="659.37" u="1"/>
        <n v="1224" u="1"/>
        <n v="6831.96" u="1"/>
        <n v="2489.65" u="1"/>
        <n v="465.7968" u="1"/>
        <n v="391.3056" u="1"/>
        <n v="190.9712" u="1"/>
        <n v="365.0976" u="1"/>
        <n v="203.6048" u="1"/>
        <n v="48.32" u="1"/>
        <n v="369.7066" u="1"/>
        <n v="316.1" u="1"/>
        <n v="278.8934" u="1"/>
        <n v="147.32" u="1"/>
        <n v="695.04" u="1"/>
        <n v="1230.9" u="1"/>
        <n v="1059.9" u="1"/>
        <n v="702.08" u="1"/>
        <n v="665.09" u="1"/>
        <n v="342.67" u="1"/>
        <n v="1660.65" u="1"/>
        <n v="246.69" u="1"/>
        <n v="173.92" u="1"/>
        <n v="770.9" u="1"/>
        <n v="545.92" u="1"/>
        <n v="1103.96" u="1"/>
        <n v="1113.17" u="1"/>
        <n v="1217.62" u="1"/>
        <n v="724.9" u="1"/>
        <n v="489.9" u="1"/>
        <n v="1378.93" u="1"/>
        <n v="544.4400000000001" u="1"/>
        <n v="353.88" u="1"/>
        <n v="6321.11" u="1"/>
        <n v="385.47" u="1"/>
        <n v="518.76" u="1"/>
        <n v="402.83" u="1"/>
        <n v="3295" u="1"/>
        <n v="506.1334" u="1"/>
        <n v="834.5568" u="1"/>
        <n v="481.3" u="1"/>
        <n v="190.8368" u="1"/>
        <n v="552.88" u="1"/>
        <n v="8179.7905" u="1"/>
        <n v="285" u="1"/>
        <n v="1952" u="1"/>
        <n v="248.68" u="1"/>
        <n v="1901.8384" u="1"/>
        <n v="2027.592" u="1"/>
        <n v="576.76" u="1"/>
        <n v="2402.8" u="1"/>
        <n v="215.14" u="1"/>
        <n v="298.6" u="1"/>
        <n v="1302.93" u="1"/>
        <n v="171.63" u="1"/>
        <n v="5992.93" u="1"/>
        <n v="2532.72" u="1"/>
        <n v="2927.69" u="1"/>
        <n v="545.96" u="1"/>
        <n v="254.02" u="1"/>
        <n v="686.95" u="1"/>
        <n v="1274.52" u="1"/>
        <n v="2352.72" u="1"/>
        <n v="412.8" u="1"/>
        <n v="1153.44" u="1"/>
        <n v="972.16" u="1"/>
        <n v="704.72" u="1"/>
        <n v="884.12" u="1"/>
        <n v="625.0700000000001" u="1"/>
        <n v="930.58" u="1"/>
        <n v="1317.13" u="1"/>
        <n v="2054.43" u="1"/>
        <n v="687.05" u="1"/>
        <n v="0.01" u="1"/>
        <n v="1413.07" u="1"/>
        <n v="2171.12" u="1"/>
        <n v="1119.92" u="1"/>
        <n v="1134.32" u="1"/>
        <n v="2799.2" u="1"/>
        <n v="1440.74" u="1"/>
        <n v="827.85" u="1"/>
        <n v="2036.4" u="1"/>
        <n v="3382.41" u="1"/>
        <n v="834.5700000000001" u="1"/>
        <n v="438.68" u="1"/>
        <n v="1481.02" u="1"/>
        <n v="746.52" u="1"/>
        <n v="157.13" u="1"/>
        <n v="137.9" u="1"/>
        <n v="138.05" u="1"/>
        <n v="1766.75" u="1"/>
        <n v="1457.95" u="1"/>
        <n v="197.31" u="1"/>
        <n v="714.54" u="1"/>
        <n v="1115.66" u="1"/>
        <n v="266.8288" u="1"/>
        <n v="605.5728" u="1"/>
        <n v="490.6944" u="1"/>
        <n v="1178.2736" u="1"/>
        <n v="834.5599999999999" u="1"/>
        <n v="1658.7454" u="1"/>
        <n v="968.8" u="1"/>
        <n v="411" u="1"/>
        <n v="1350.0494" u="1"/>
        <n v="113.74" u="1"/>
        <n v="780.36" u="1"/>
        <n v="3270.75" u="1"/>
        <n v="5717.04" u="1"/>
        <n v="952.4400000000001" u="1"/>
        <n v="229.9" u="1"/>
        <n v="441.88" u="1"/>
        <n v="712.8099999999999" u="1"/>
        <n v="488.54" u="1"/>
        <n v="236.66" u="1"/>
        <n v="400.8928" u="1"/>
        <n v="460.3424" u="1"/>
        <n v="3979.79" u="1"/>
        <n v="5903.9784" u="1"/>
        <n v="214.72" u="1"/>
        <n v="1944" u="1"/>
        <n v="964" u="1"/>
        <n v="428.59" u="1"/>
        <n v="545.8992" u="1"/>
        <n v="1612.81" u="1"/>
        <n v="872.3" u="1"/>
        <n v="311" u="1"/>
        <n v="1346.3001" u="1"/>
        <n v="1328" u="1"/>
        <n v="289.296" u="1"/>
        <n v="654.2144" u="1"/>
        <n v="475.0032" u="1"/>
        <n v="164.6512" u="1"/>
        <n v="814.4192" u="1"/>
        <n v="753.1328" u="1"/>
        <n v="559.7424" u="1"/>
        <n v="196.1904" u="1"/>
        <n v="754.1856" u="1"/>
        <n v="831.35" u="1"/>
        <n v="643.5599999999999" u="1"/>
        <n v="704.792" u="1"/>
        <n v="490.6299" u="1"/>
        <n v="235.72" u="1"/>
        <n v="148.34" u="1"/>
        <n v="608.04" u="1"/>
        <n v="1082" u="1"/>
        <n v="2128.2" u="1"/>
        <n v="826.08" u="1"/>
        <n v="1139.16" u="1"/>
        <n v="245.92" u="1"/>
        <n v="521.98" u="1"/>
        <n v="819.8" u="1"/>
        <n v="222.66" u="1"/>
        <n v="317.94" u="1"/>
        <n v="1275.08" u="1"/>
        <n v="1816.86" u="1"/>
        <n v="1280.28" u="1"/>
        <n v="408.67" u="1"/>
        <n v="1002.75" u="1"/>
        <n v="2653.15" u="1"/>
        <n v="2202.12" u="1"/>
        <n v="72062.33" u="1"/>
        <n v="2026.35" u="1"/>
        <n v="387.18" u="1"/>
        <n v="278.57" u="1"/>
        <n v="27.2" u="1"/>
        <n v="26.75" u="1"/>
        <n v="894.5844" u="1"/>
        <n v="345.0466" u="1"/>
        <n v="857.192" u="1"/>
        <n v="318.76" u="1"/>
        <n v="682.904" u="1"/>
        <n v="444" u="1"/>
        <n v="112.08" u="1"/>
        <n v="971.7456" u="1"/>
        <n v="677.4986" u="1"/>
        <n v="1218.336" u="1"/>
        <n v="278.1856" u="1"/>
        <n v="766" u="1"/>
        <n v="344" u="1"/>
        <n v="951.3200000000001" u="1"/>
        <n v="947.48" u="1"/>
        <n v="8531.160400000001" u="1"/>
        <n v="415" u="1"/>
        <n v="7642.6" u="1"/>
        <n v="2059" u="1"/>
        <n v="1779.7296" u="1"/>
        <n v="814.9344" u="1"/>
        <n v="246" u="1"/>
        <n v="1076" u="1"/>
        <n v="470.41" u="1"/>
        <n v="427.5" u="1"/>
        <n v="424.37" u="1"/>
        <n v="225.29" u="1"/>
        <n v="167.74" u="1"/>
        <n v="106.31" u="1"/>
        <n v="2582.2272" u="1"/>
        <n v="844.312" u="1"/>
        <n v="632.1504" u="1"/>
        <n v="735.72" u="1"/>
        <n v="5100" u="1"/>
        <n v="1766.408" u="1"/>
        <n v="15812.615" u="1"/>
        <n v="301.6734" u="1"/>
        <n v="902.63" u="1"/>
        <n v="177.464" u="1"/>
        <n v="325.0912" u="1"/>
        <n v="1193.7" u="1"/>
        <n v="3484.88" u="1"/>
        <n v="6241.62" u="1"/>
        <n v="1081.88" u="1"/>
        <n v="4965.45" u="1"/>
        <n v="4568.01" u="1"/>
        <n v="942" u="1"/>
        <n v="1004.54" u="1"/>
        <n v="533.5" u="1"/>
        <n v="1517.05" u="1"/>
        <n v="492.9" u="1"/>
        <n v="1375.34" u="1"/>
        <n v="791.84" u="1"/>
        <n v="344.92" u="1"/>
        <n v="386.84" u="1"/>
        <n v="865.84" u="1"/>
        <n v="560.46" u="1"/>
        <n v="398.91" u="1"/>
        <n v="26878.94" u="1"/>
        <n v="1165.03" u="1"/>
        <n v="1682.24" u="1"/>
        <n v="424.64" u="1"/>
        <n v="754.52" u="1"/>
        <n v="1351.9" u="1"/>
        <n v="1234.76" u="1"/>
        <n v="626.7" u="1"/>
        <n v="755.0700000000001" u="1"/>
        <n v="496.65" u="1"/>
        <n v="2493.95" u="1"/>
        <n v="3863.48" u="1"/>
        <n v="677.3200000000001" u="1"/>
        <n v="450.63" u="1"/>
        <n v="1512.64" u="1"/>
        <n v="585.12" u="1"/>
        <n v="1142.17" u="1"/>
        <n v="699.67" u="1"/>
        <n v="1066.24" u="1"/>
        <n v="583.04" u="1"/>
        <n v="3094.24" u="1"/>
        <n v="3052.43" u="1"/>
        <n v="2734.47" u="1"/>
        <n v="932.75" u="1"/>
        <n v="909.8200000000001" u="1"/>
        <n v="1719.81" u="1"/>
        <n v="2932.48" u="1"/>
        <n v="2019.14" u="1"/>
        <n v="922.24" u="1"/>
        <n v="1455.07" u="1"/>
        <n v="2144.92" u="1"/>
        <n v="1266.48" u="1"/>
        <n v="2040.32" u="1"/>
        <n v="1249.41" u="1"/>
        <n v="230.4" u="1"/>
        <n v="680.76" u="1"/>
        <n v="1424.7" u="1"/>
        <n v="269" u="1"/>
        <n v="506.94" u="1"/>
        <n v="910.74" u="1"/>
        <n v="2879.43" u="1"/>
        <n v="1824.81" u="1"/>
        <n v="1419.72" u="1"/>
        <n v="282.45" u="1"/>
        <n v="1181.4096" u="1"/>
        <n v="2525.88" u="1"/>
        <n v="259.99" u="1"/>
        <n v="631.176" u="1"/>
        <n v="580.6416" u="1"/>
        <n v="748.1152" u="1"/>
        <n v="917.2128" u="1"/>
        <n v="506.6544" u="1"/>
        <n v="348.25" u="1"/>
        <n v="645.968" u="1"/>
        <n v="9429.24" u="1"/>
        <n v="782" u="1"/>
        <n v="257.53" u="1"/>
        <n v="1279.8016" u="1"/>
        <n v="800.032" u="1"/>
        <n v="1382.6736" u="1"/>
        <n v="181.725" u="1"/>
        <n v="369.68" u="1"/>
        <n v="1027.656" u="1"/>
        <n v="2054.7" u="1"/>
        <n v="515.424" u="1"/>
        <n v="536.424" u="1"/>
        <n v="1153.088" u="1"/>
        <n v="268.9" u="1"/>
        <n v="432.576" u="1"/>
        <n v="13142.5" u="1"/>
        <n v="627" u="1"/>
        <n v="341.05" u="1"/>
        <n v="1035.2832" u="1"/>
        <n v="460.18" u="1"/>
        <n v="686.5599" u="1"/>
        <n v="654.99" u="1"/>
        <n v="441.7101" u="1"/>
        <n v="823.264" u="1"/>
        <n v="778.36" u="1"/>
        <n v="2878.7299" u="1"/>
        <n v="404.57" u="1"/>
        <n v="298.8134" u="1"/>
        <n v="851.6032" u="1"/>
        <n v="469.3584" u="1"/>
        <n v="1996.6464" u="1"/>
        <n v="557.5359999999999" u="1"/>
        <n v="369.3088" u="1"/>
        <n v="598.1808" u="1"/>
        <n v="402.64" u="1"/>
        <n v="539.5824" u="1"/>
        <n v="822.1248000000001" u="1"/>
        <n v="879.2" u="1"/>
        <n v="351.51" u="1"/>
        <n v="351.5" u="1"/>
        <n v="337.25" u="1"/>
        <n v="256.5" u="1"/>
        <n v="194.75" u="1"/>
        <n v="242.5" u="1"/>
        <n v="242.25" u="1"/>
        <n v="2910.6" u="1"/>
        <n v="1940.4" u="1"/>
        <n v="668.9088" u="1"/>
        <n v="427.6272" u="1"/>
        <n v="438.8832" u="1"/>
        <n v="612.3936" u="1"/>
        <n v="2114.448" u="1"/>
        <n v="468.272" u="1"/>
        <n v="196.2352" u="1"/>
        <n v="258.8208" u="1"/>
        <n v="189.9184" u="1"/>
        <n v="624.9152" u="1"/>
        <n v="348.2528" u="1"/>
        <n v="528.0576" u="1"/>
        <n v="542.7408" u="1"/>
        <n v="249.3456" u="1"/>
        <n v="389.2" u="1"/>
        <n v="150.9648" u="1"/>
        <n v="465.8528" u="1"/>
        <n v="9092" u="1"/>
        <n v="1645.25" u="1"/>
        <n v="17894.38" u="1"/>
        <n v="564.9" u="1"/>
        <n v="732.1799999999999" u="1"/>
        <n v="851.5599999999999" u="1"/>
        <n v="561.45" u="1"/>
        <n v="6697.705" u="1"/>
        <n v="421.44" u="1"/>
        <n v="678.2" u="1"/>
        <n v="252.45" u="1"/>
        <n v="333.51" u="1"/>
        <n v="14104.89" u="1"/>
        <n v="1332.4" u="1"/>
        <n v="835" u="1"/>
        <n v="945.55" u="1"/>
        <n v="319.6" u="1"/>
        <n v="944.8" u="1"/>
        <n v="308.95" u="1"/>
        <n v="1225.74" u="1"/>
        <n v="357.12" u="1"/>
        <n v="643.84" u="1"/>
        <n v="1095.21" u="1"/>
        <n v="252.46" u="1"/>
        <n v="7060.68" u="1"/>
        <n v="200.15" u="1"/>
        <n v="514.5" u="1"/>
        <n v="1061.36" u="1"/>
        <n v="3987.5724" u="1"/>
        <n v="3968.53" u="1"/>
        <n v="1701.303" u="1"/>
        <n v="2952.969" u="1"/>
        <n v="2872.05" u="1"/>
        <n v="789.58" u="1"/>
        <n v="4833" u="1"/>
        <n v="632" u="1"/>
        <n v="383" u="1"/>
        <n v="292.51" u="1"/>
        <n v="1282" u="1"/>
        <n v="554" u="1"/>
        <n v="670" u="1"/>
        <n v="288.96" u="1"/>
        <n v="1482" u="1"/>
        <n v="755.89" u="1"/>
        <n v="11268.16" u="1"/>
        <n v="10717.28" u="1"/>
        <n v="2936.82" u="1"/>
        <n v="1049828.038" u="1"/>
        <n v="438.52" u="1"/>
        <n v="48.3" u="1"/>
        <n v="710.02" u="1"/>
        <n v="21423.46" u="1"/>
        <n v="26346.87" u="1"/>
        <n v="394.13" u="1"/>
        <n v="1651.54" u="1"/>
        <n v="11929.24" u="1"/>
        <n v="811.86" u="1"/>
        <n v="2400" u="1"/>
        <n v="411.52" u="1"/>
        <n v="374" u="1"/>
        <n v="24053.0454" u="1"/>
        <n v="648" u="1"/>
        <n v="3897" u="1"/>
        <n v="5" u="1"/>
        <n v="188" u="1"/>
        <n v="60" u="1"/>
        <n v="429.9" u="1"/>
        <n v="4950" u="1"/>
        <n v="1001" u="1"/>
        <n v="1955.49" u="1"/>
        <n v="761.5700000000001" u="1"/>
        <n v="14958.04" u="1"/>
        <n v="1010.92" u="1"/>
        <n v="1011.6" u="1"/>
        <n v="504.9" u="1"/>
        <n v="469.34" u="1"/>
        <n v="473.9" u="1"/>
        <n v="398.65" u="1"/>
        <n v="630.67" u="1"/>
        <n v="829.9" u="1"/>
        <n v="607.42" u="1"/>
        <n v="209.8" u="1"/>
        <n v="890.79" u="1"/>
        <n v="881.27" u="1"/>
        <n v="647.92" u="1"/>
        <n v="119" u="1"/>
        <n v="1245.1938" u="1"/>
        <n v="778.78" u="1"/>
        <n v="930.4299999999999" u="1"/>
        <n v="610.45" u="1"/>
        <n v="3810.552" u="1"/>
        <n v="2570.526" u="1"/>
        <n v="1617.1398" u="1"/>
        <n v="807" u="1"/>
        <n v="1293.92" u="1"/>
        <n v="745.4400000000001" u="1"/>
        <n v="3201.44" u="1"/>
        <n v="408.87" u="1"/>
        <n v="1138.21" u="1"/>
        <n v="152.95" u="1"/>
        <n v="1810.49" u="1"/>
        <n v="2234.16" u="1"/>
        <n v="4162.83" u="1"/>
        <n v="3045.59" u="1"/>
        <n v="1499.19" u="1"/>
        <n v="900.72" u="1"/>
        <n v="856.98" u="1"/>
        <n v="3530.86" u="1"/>
        <n v="512.74" u="1"/>
        <n v="3479.53" u="1"/>
        <n v="2200.62" u="1"/>
        <n v="2131.25" u="1"/>
        <n v="416.54" u="1"/>
        <n v="3691.36" u="1"/>
        <n v="485.17" u="1"/>
        <n v="2583.19" u="1"/>
        <n v="708.24" u="1"/>
        <n v="4157.84" u="1"/>
        <n v="1046" u="1"/>
        <n v="952.6799999999999" u="1"/>
        <n v="1318.54" u="1"/>
        <n v="2696.32" u="1"/>
        <n v="210.07" u="1"/>
        <n v="1122.68" u="1"/>
        <n v="1240.14" u="1"/>
        <n v="1053.44" u="1"/>
        <n v="2027.22" u="1"/>
        <n v="1300.19" u="1"/>
        <n v="1692.01" u="1"/>
        <n v="1198.31" u="1"/>
        <n v="461.8" u="1"/>
        <n v="919.1799999999999" u="1"/>
        <n v="5900.38" u="1"/>
        <n v="15750" u="1"/>
        <n v="982" u="1"/>
        <n v="890" u="1"/>
        <n v="27.5" u="1"/>
        <n v="1549" u="1"/>
        <n v="247.5" u="1"/>
        <n v="1595.06" u="1"/>
        <n v="235.03" u="1"/>
        <n v="259.79" u="1"/>
        <n v="692.1" u="1"/>
        <n v="451.3376" u="1"/>
        <n v="399.2016" u="1"/>
        <n v="468.6864" u="1"/>
        <n v="230.3952" u="1"/>
        <n v="1395.6" u="1"/>
        <n v="659" u="1"/>
        <n v="837" u="1"/>
        <n v="557.08" u="1"/>
        <n v="166.905" u="1"/>
        <n v="714.3" u="1"/>
        <n v="313" u="1"/>
        <n v="412" u="1"/>
        <n v="4744.6705" u="1"/>
        <n v="7872.44" u="1"/>
        <n v="8562.940000000001" u="1"/>
        <n v="11094" u="1"/>
        <n v="9892.59" u="1"/>
        <n v="10609.67" u="1"/>
        <n v="894.53" u="1"/>
        <n v="321.3" u="1"/>
        <n v="1320" u="1"/>
        <n v="808.08" u="1"/>
        <n v="351.75" u="1"/>
        <n v="284.28" u="1"/>
        <n v="1296" u="1"/>
        <n v="374.29" u="1"/>
        <n v="495" u="1"/>
        <n v="1442.9" u="1"/>
        <n v="1442.89" u="1"/>
        <n v="2939.87" u="1"/>
        <n v="189" u="1"/>
        <n v="786.99" u="1"/>
        <n v="312" u="1"/>
        <n v="2973.348" u="1"/>
        <n v="1268.7136" u="1"/>
        <n v="7962.5" u="1"/>
        <n v="203.0224" u="1"/>
        <n v="3229.4528" u="1"/>
        <n v="258.38" u="1"/>
        <n v="1041.1" u="1"/>
        <n v="18200" u="1"/>
        <n v="784.9856" u="1"/>
        <n v="2384.361" u="1"/>
        <n v="422.83" u="1"/>
        <n v="450.03" u="1"/>
        <n v="2247.34" u="1"/>
        <n v="1445.5392" u="1"/>
        <n v="746.3232" u="1"/>
        <n v="477" u="1"/>
        <n v="156.3" u="1"/>
        <n v="304.71" u="1"/>
        <n v="607.92" u="1"/>
        <n v="356" u="1"/>
        <n v="731.95" u="1"/>
        <n v="404.6" u="1"/>
        <n v="1820.06" u="1"/>
        <n v="374.86" u="1"/>
        <n v="6710.64" u="1"/>
        <n v="565.9584" u="1"/>
        <n v="735.4367999999999" u="1"/>
        <n v="640.3200000000001" u="1"/>
        <n v="1064" u="1"/>
        <n v="1068" u="1"/>
        <n v="8369.459999999999" u="1"/>
        <n v="1411.36" u="1"/>
        <n v="555.5599999999999" u="1"/>
        <n v="682.4" u="1"/>
        <n v="814.4" u="1"/>
        <n v="1782" u="1"/>
        <n v="244.53" u="1"/>
        <n v="991.8" u="1"/>
        <n v="1106" u="1"/>
        <n v="3942.82" u="1"/>
        <n v="1194.3" u="1"/>
        <n v="296" u="1"/>
        <n v="986" u="1"/>
        <n v="173" u="1"/>
        <n v="1553.07" u="1"/>
        <n v="172.0208" u="1"/>
        <n v="321.776" u="1"/>
        <n v="1907.1584" u="1"/>
        <n v="1403.8" u="1"/>
        <n v="984.42" u="1"/>
        <n v="2647.91" u="1"/>
        <n v="704.65" u="1"/>
        <n v="311.94" u="1"/>
        <n v="528.79" u="1"/>
        <n v="628.83" u="1"/>
        <n v="211.22" u="1"/>
        <n v="245.64" u="1"/>
        <n v="1158.71" u="1"/>
        <n v="817.4068" u="1"/>
        <n v="661.9" u="1"/>
        <n v="3375" u="1"/>
        <n v="348.59" u="1"/>
        <n v="1320.47" u="1"/>
        <n v="1014.32" u="1"/>
        <n v="3304.92" u="1"/>
        <n v="1101" u="1"/>
        <n v="193.76" u="1"/>
        <n v="411.8" u="1"/>
        <n v="1278.82" u="1"/>
        <n v="382.28" u="1"/>
        <n v="1660.64" u="1"/>
        <n v="1259.92" u="1"/>
        <n v="1679.94" u="1"/>
        <n v="472.3" u="1"/>
        <n v="1796.64" u="1"/>
        <n v="752" u="1"/>
        <n v="536" u="1"/>
        <n v="459" u="1"/>
        <n v="262" u="1"/>
        <n v="1683" u="1"/>
        <n v="1181.5776" u="1"/>
        <n v="546.0336" u="1"/>
        <n v="409.01" u="1"/>
        <n v="847.83" u="1"/>
        <n v="371.74" u="1"/>
        <n v="1851" u="1"/>
        <n v="3410" u="1"/>
        <n v="1383.56" u="1"/>
        <n v="246.89" u="1"/>
        <n v="216.15" u="1"/>
        <n v="658" u="1"/>
        <n v="586.0736000000001" u="1"/>
        <n v="1000.832" u="1"/>
        <n v="200.01" u="1"/>
        <n v="1923" u="1"/>
        <n v="854.53" u="1"/>
        <n v="418.21" u="1"/>
        <n v="274.12" u="1"/>
        <n v="1316.99" u="1"/>
        <n v="318.15" u="1"/>
        <n v="355.94" u="1"/>
        <n v="1446" u="1"/>
        <n v="1173.32" u="1"/>
        <n v="3384.8" u="1"/>
        <n v="3063.39" u="1"/>
        <n v="585.28" u="1"/>
        <n v="740" u="1"/>
        <n v="328.63" u="1"/>
        <n v="755.87" u="1"/>
        <n v="797.77" u="1"/>
        <n v="826.1799" u="1"/>
        <n v="465.7125" u="1"/>
        <n v="828.64" u="1"/>
        <n v="381.3" u="1"/>
        <n v="572.37" u="1"/>
        <n v="1840" u="1"/>
        <n v="2496.29" u="1"/>
        <n v="3300.36" u="1"/>
        <n v="3458.87" u="1"/>
        <n v="857.34" u="1"/>
        <n v="2137.72" u="1"/>
        <n v="1097.23" u="1"/>
        <n v="3474.87" u="1"/>
        <n v="2739.87" u="1"/>
        <n v="1691.92" u="1"/>
        <n v="9228.52" u="1"/>
        <n v="624.85" u="1"/>
        <n v="4502.88" u="1"/>
        <n v="647.8528" u="1"/>
        <n v="250.2" u="1"/>
        <n v="1018.8" u="1"/>
        <n v="406.06" u="1"/>
        <n v="398" u="1"/>
        <n v="1216" u="1"/>
        <n v="975.6" u="1"/>
        <n v="174" u="1"/>
        <n v="673.26" u="1"/>
        <n v="376.2" u="1"/>
        <n v="534.92" u="1"/>
        <n v="1071.48" u="1"/>
        <n v="223.52" u="1"/>
        <n v="231.82" u="1"/>
        <n v="372.36" u="1"/>
        <n v="297.17" u="1"/>
        <n v="790.5599999999999" u="1"/>
        <n v="256.48" u="1"/>
        <n v="591.24" u="1"/>
        <n v="609.15" u="1"/>
        <n v="555" u="1"/>
        <n v="159.5" u="1"/>
        <n v="333.06" u="1"/>
        <n v="218.9" u="1"/>
        <n v="1154.73" u="1"/>
        <n v="90.37" u="1"/>
        <n v="628.08" u="1"/>
        <n v="608.6" u="1"/>
        <n v="363.18" u="1"/>
        <n v="395.34" u="1"/>
        <n v="622.38" u="1"/>
        <n v="1380" u="1"/>
        <n v="1393.7" u="1"/>
        <n v="1402.06" u="1"/>
        <n v="759.12" u="1"/>
        <n v="869.0246" u="1"/>
        <n v="11987.613" u="1"/>
        <n v="449.8" u="1"/>
        <n v="3571.2392" u="1"/>
        <n v="2396.248" u="1"/>
        <n v="1797.186" u="1"/>
        <n v="5850.414" u="1"/>
        <n v="943.204" u="1"/>
        <n v="1754.4622" u="1"/>
        <n v="2095.5264" u="1"/>
        <n v="793.8" u="1"/>
        <n v="1689.0633" u="1"/>
        <n v="2687.607" u="1"/>
        <n v="3090.907" u="1"/>
        <n v="2914.1" u="1"/>
        <n v="2138.0625" u="1"/>
        <n v="3642.625" u="1"/>
        <n v="1769.55" u="1"/>
        <n v="1270.96" u="1"/>
        <n v="448.2" u="1"/>
        <n v="813.732" u="1"/>
        <n v="2365.9882" u="1"/>
        <n v="5249.139" u="1"/>
        <n v="2594.3544" u="1"/>
        <n v="560.16" u="1"/>
        <n v="8892.8433" u="1"/>
        <n v="1632.592" u="1"/>
        <n v="8506.295700000001" u="1"/>
        <n v="2602.78" u="1"/>
        <n v="153.44" u="1"/>
        <n v="2431.4745" u="1"/>
        <n v="1492.7" u="1"/>
        <n v="279" u="1"/>
        <n v="261.82" u="1"/>
        <n v="176.5" u="1"/>
        <n v="183.45" u="1"/>
        <n v="171.32" u="1"/>
        <n v="177.79" u="1"/>
        <n v="162.35" u="1"/>
        <n v="651" u="1"/>
        <n v="1397.01" u="1"/>
        <n v="498.5" u="1"/>
        <n v="347.1466" u="1"/>
        <n v="226.855" u="1"/>
        <n v="415.87" u="1"/>
        <n v="501.6816" u="1"/>
        <n v="191.28" u="1"/>
        <n v="519.6352000000001" u="1"/>
        <n v="577.472" u="1"/>
        <n v="325.8528" u="1"/>
        <n v="1006.24" u="1"/>
        <n v="2918.47" u="1"/>
        <n v="513.9" u="1"/>
        <n v="238.89" u="1"/>
        <n v="459.15" u="1"/>
        <n v="1963.1808" u="1"/>
        <n v="1797.96" u="1"/>
        <n v="150.39" u="1"/>
        <n v="585.61" u="1"/>
        <n v="1659.86" u="1"/>
        <n v="1501.49" u="1"/>
        <n v="409.4" u="1"/>
        <n v="5189.82" u="1"/>
        <n v="1419.8874" u="1"/>
        <n v="972" u="1"/>
        <n v="2709.408" u="1"/>
        <n v="2212.41" u="1"/>
        <n v="1079.973" u="1"/>
        <n v="2271.84" u="1"/>
        <n v="358.14" u="1"/>
        <n v="231.69" u="1"/>
        <n v="2233.49" u="1"/>
        <n v="3537.22" u="1"/>
        <n v="798.88" u="1"/>
        <n v="694.36" u="1"/>
        <n v="1587.1" u="1"/>
        <n v="902.3200000000001" u="1"/>
        <n v="629.52" u="1"/>
        <n v="1342.24" u="1"/>
        <n v="2581.88" u="1"/>
        <n v="321.36" u="1"/>
        <n v="1048.8" u="1"/>
        <n v="633.63" u="1"/>
        <n v="1083.31" u="1"/>
        <n v="659.04" u="1"/>
        <n v="850.75" u="1"/>
        <n v="1613.76" u="1"/>
        <n v="851.04" u="1"/>
        <n v="238.62" u="1"/>
        <n v="2297.44" u="1"/>
        <n v="1321.52" u="1"/>
        <n v="1366.67" u="1"/>
        <n v="2714.86" u="1"/>
        <n v="1222.85" u="1"/>
        <n v="902.88" u="1"/>
        <n v="1978.8" u="1"/>
        <n v="2439.5" u="1"/>
        <n v="403.7152" u="1"/>
        <n v="6271" u="1"/>
        <n v="58.95" u="1"/>
        <n v="196.34" u="1"/>
        <n v="103.88" u="1"/>
        <n v="177.74" u="1"/>
        <n v="117.82" u="1"/>
        <n v="322.05" u="1"/>
        <n v="363.12" u="1"/>
        <n v="396.3232" u="1"/>
        <n v="604.4864" u="1"/>
        <n v="526.3701" u="1"/>
        <n v="362.0214" u="1"/>
        <n v="2502.9648" u="1"/>
        <n v="935.4912" u="1"/>
        <n v="320.85" u="1"/>
        <n v="3978.51" u="1"/>
        <n v="4855.8" u="1"/>
        <n v="3539.91" u="1"/>
        <n v="199.39" u="1"/>
        <n v="1555.02" u="1"/>
        <n v="4072.128" u="1"/>
        <n v="707" u="1"/>
        <n v="549" u="1"/>
        <n v="1307.56" u="1"/>
        <n v="1097" u="1"/>
        <n v="20703.69" u="1"/>
        <n v="364.98" u="1"/>
        <n v="483" u="1"/>
        <n v="263" u="1"/>
        <n v="273.6" u="1"/>
        <n v="206.98" u="1"/>
        <n v="297.0352" u="1"/>
        <n v="420.31" u="1"/>
        <n v="1015.28" u="1"/>
        <n v="262.525" u="1"/>
        <n v="687.51" u="1"/>
        <n v="12798.88" u="1"/>
        <n v="1131.2784" u="1"/>
        <n v="291.8048" u="1"/>
        <n v="480.5472" u="1"/>
        <n v="3652.73" u="1"/>
        <n v="432.6" u="1"/>
        <n v="488.89" u="1"/>
        <n v="1088.55" u="1"/>
        <n v="1596.87" u="1"/>
        <n v="4566.88" u="1"/>
        <n v="1116.696" u="1"/>
        <n v="1146" u="1"/>
        <n v="487.76" u="1"/>
        <n v="10753.6242" u="1"/>
        <n v="3099.52" u="1"/>
        <n v="5757.0912" u="1"/>
        <n v="799.04" u="1"/>
        <n v="746.088" u="1"/>
        <n v="464" u="1"/>
        <n v="818" u="1"/>
        <n v="750.8099999999999" u="1"/>
        <n v="764.336" u="1"/>
        <n v="702.5984" u="1"/>
        <n v="820.4499" u="1"/>
        <n v="595.4367999999999" u="1"/>
        <n v="564.7712" u="1"/>
        <n v="619.0463999999999" u="1"/>
        <n v="608.0703999999999" u="1"/>
        <n v="582.8031999999999" u="1"/>
        <n v="574.3808" u="1"/>
        <n v="285.0848" u="1"/>
        <n v="629.9400000000001" u="1"/>
        <n v="278.768" u="1"/>
        <n v="474.8688" u="1"/>
        <n v="292.68" u="1"/>
        <n v="654.208" u="1"/>
        <n v="440.2608" u="1"/>
        <n v="306.1408" u="1"/>
        <n v="2489.89" u="1"/>
        <n v="2530" u="1"/>
        <n v="405.6" u="1"/>
        <n v="488" u="1"/>
        <n v="2918.3" u="1"/>
        <n v="834.7327" u="1"/>
        <n v="2113.19" u="1"/>
        <n v="563.49" u="1"/>
        <n v="1820" u="1"/>
        <n v="433.4176" u="1"/>
        <n v="433.944" u="1"/>
        <n v="471.2288" u="1"/>
        <n v="1065.6" u="1"/>
        <n v="1139.6" u="1"/>
        <n v="2920.54" u="1"/>
        <n v="1247.89" u="1"/>
        <n v="809.51" u="1"/>
        <n v="742.95" u="1"/>
        <n v="1465.68" u="1"/>
        <n v="1366.86" u="1"/>
        <n v="868.04" u="1"/>
        <n v="1455.84" u="1"/>
        <n v="1438.61" u="1"/>
        <n v="655.12" u="1"/>
        <n v="2032.67" u="1"/>
        <n v="1620.85" u="1"/>
        <n v="954.67" u="1"/>
        <n v="3387.87" u="1"/>
        <n v="1289.67" u="1"/>
        <n v="834.8200000000001" u="1"/>
        <n v="1358.2" u="1"/>
        <n v="1466" u="1"/>
        <n v="234.08" u="1"/>
        <n v="337.7696" u="1"/>
        <n v="578.2896" u="1"/>
        <n v="306.9" u="1"/>
        <n v="155.176" u="1"/>
        <n v="195.6528" u="1"/>
        <n v="1107.09" u="1"/>
        <n v="619.4400000000001" u="1"/>
        <n v="4896.6" u="1"/>
        <n v="2898.6" u="1"/>
        <n v="4916.05" u="1"/>
        <n v="3192" u="1"/>
        <n v="2874.48" u="1"/>
        <n v="183.25" u="1"/>
        <n v="22008.65" u="1"/>
        <n v="456.75" u="1"/>
        <n v="395" u="1"/>
        <n v="776" u="1"/>
        <n v="637.14" u="1"/>
        <n v="665.89" u="1"/>
        <n v="691" u="1"/>
        <n v="186.36" u="1"/>
        <n v="2150" u="1"/>
        <n v="1688.2765" u="1"/>
        <n v="768.51" u="1"/>
        <n v="369.59" u="1"/>
        <n v="212.61" u="1"/>
        <n v="368.69" u="1"/>
        <n v="709.72" u="1"/>
        <n v="104.51" u="1"/>
        <n v="353.08" u="1"/>
        <n v="548.15" u="1"/>
        <n v="790" u="1"/>
        <n v="2496" u="1"/>
        <n v="4500" u="1"/>
        <n v="2260" u="1"/>
        <n v="2350" u="1"/>
        <n v="454" u="1"/>
        <n v="5580" u="1"/>
        <n v="563.4048" u="1"/>
        <n v="355.35" u="1"/>
        <n v="955.62" u="1"/>
        <n v="178.63" u="1"/>
        <n v="216.75" u="1"/>
        <n v="2790" u="1"/>
        <n v="1207" u="1"/>
        <n v="178.92" u="1"/>
        <n v="2226" u="1"/>
        <n v="222" u="1"/>
        <n v="900.9999" u="1"/>
        <n v="496.8" u="1"/>
        <n v="1071" u="1"/>
        <n v="273.2" u="1"/>
        <n v="222.06" u="1"/>
        <n v="10929.03" u="1"/>
        <n v="1577" u="1"/>
        <n v="39317.04" u="1"/>
        <n v="1860.14" u="1"/>
        <n v="1738.5" u="1"/>
        <n v="1341.2" u="1"/>
        <n v="1239.784" u="1"/>
        <n v="691.6" u="1"/>
        <n v="595.67" u="1"/>
        <n v="537.17" u="1"/>
        <n v="1311.35" u="1"/>
        <n v="16026.8" u="1"/>
        <n v="5526" u="1"/>
        <n v="515" u="1"/>
        <n v="24047.155" u="1"/>
        <n v="2372.69" u="1"/>
        <n v="329.84" u="1"/>
        <n v="772.2" u="1"/>
        <n v="1807.5146" u="1"/>
        <n v="2604.88" u="1"/>
        <n v="1451.0847" u="1"/>
        <n v="1407.23" u="1"/>
        <n v="2234.71" u="1"/>
        <n v="298.93" u="1"/>
        <n v="523.0599999999999" u="1"/>
        <n v="560.3" u="1"/>
        <n v="861.67" u="1"/>
        <n v="1414.18" u="1"/>
        <n v="1590.67" u="1"/>
        <n v="643" u="1"/>
        <n v="751.9" u="1"/>
        <n v="1983.04" u="1"/>
        <n v="662.14" u="1"/>
        <n v="655.1" u="1"/>
        <n v="687" u="1"/>
        <n v="488.57" u="1"/>
        <n v="1494.66" u="1"/>
        <n v="218.38" u="1"/>
        <n v="1264.04" u="1"/>
        <n v="1796.09" u="1"/>
        <n v="1550.17" u="1"/>
        <n v="669.67" u="1"/>
        <n v="745.5" u="1"/>
        <n v="650.09" u="1"/>
        <n v="369.09" u="1"/>
        <n v="305.3" u="1"/>
        <n v="1342.0089" u="1"/>
        <n v="594" u="1"/>
        <n v="1740" u="1"/>
        <n v="4890" u="1"/>
        <n v="1356.1968" u="1"/>
        <n v="261.3072" u="1"/>
        <n v="1033.55" u="1"/>
        <n v="2067.1" u="1"/>
        <n v="517.4736" u="1"/>
        <n v="344.15" u="1"/>
        <n v="153.31" u="1"/>
        <n v="765.6768" u="1"/>
        <n v="175.5936" u="1"/>
        <n v="718.9728" u="1"/>
        <n v="2626.74" u="1"/>
        <n v="187.0288" u="1"/>
        <n v="1196.976" u="1"/>
        <n v="700.72" u="1"/>
        <n v="339.14" u="1"/>
        <n v="3309.84" u="1"/>
        <n v="278.19" u="1"/>
        <n v="1390.95" u="1"/>
        <n v="493.64" u="1"/>
        <n v="809.8165" u="1"/>
        <n v="157.28" u="1"/>
        <n v="243.14" u="1"/>
        <n v="559.76" u="1"/>
        <n v="470.9301" u="1"/>
        <n v="560.3099999999999" u="1"/>
        <n v="147.915" u="1"/>
        <n v="639.744" u="1"/>
        <n v="3509.8" u="1"/>
        <n v="547" u="1"/>
        <n v="129" u="1"/>
        <n v="2074.67" u="1"/>
        <n v="771" u="1"/>
        <n v="2273.54" u="1"/>
        <n v="256.77" u="1"/>
        <n v="1247.28" u="1"/>
        <n v="3056.725" u="1"/>
        <n v="492.26" u="1"/>
        <n v="1279.95" u="1"/>
        <n v="268.36" u="1"/>
        <n v="107.42" u="1"/>
        <n v="301" u="1"/>
        <n v="2975" u="1"/>
        <n v="591.9099" u="1"/>
        <n v="2842" u="1"/>
        <n v="2940" u="1"/>
        <n v="2919" u="1"/>
        <n v="584.9901" u="1"/>
        <n v="633.84" u="1"/>
        <n v="326.845" u="1"/>
        <n v="891.1056" u="1"/>
        <n v="270.66" u="1"/>
        <n v="396.047" u="1"/>
        <n v="438.6816" u="1"/>
        <n v="264.41" u="1"/>
        <n v="167.48" u="1"/>
        <n v="408.0944" u="1"/>
        <n v="287.29" u="1"/>
        <n v="394.23" u="1"/>
        <n v="554.76" u="1"/>
        <n v="404" u="1"/>
        <n v="699.6" u="1"/>
        <n v="859.2" u="1"/>
        <n v="906.3" u="1"/>
        <n v="817.824" u="1"/>
        <n v="1790" u="1"/>
        <n v="697.3043" u="1"/>
        <n v="6999.678" u="1"/>
        <n v="4706.65" u="1"/>
        <n v="10580" u="1"/>
        <n v="15824" u="1"/>
        <n v="25300" u="1"/>
        <n v="4764.0456" u="1"/>
        <n v="1897" u="1"/>
        <n v="15565.2" u="1"/>
        <n v="5339.43" u="1"/>
        <n v="2952.5817" u="1"/>
        <n v="1946.5" u="1"/>
        <n v="63000" u="1"/>
        <n v="36000" u="1"/>
        <n v="12843" u="1"/>
        <n v="717.84" u="1"/>
        <n v="2025.9144" u="1"/>
        <n v="611" u="1"/>
        <n v="1720" u="1"/>
        <n v="678" u="1"/>
        <n v="888.25" u="1"/>
        <n v="306.66" u="1"/>
        <n v="377.43" u="1"/>
        <n v="1643.544" u="1"/>
        <n v="245.5376" u="1"/>
        <n v="1316.336" u="1"/>
        <n v="246.75" u="1"/>
        <n v="812.22" u="1"/>
        <n v="758.12" u="1"/>
        <n v="356.2866" u="1"/>
        <n v="484.98" u="1"/>
        <n v="296.7" u="1"/>
        <n v="322.68" u="1"/>
        <n v="213.08" u="1"/>
        <n v="860.196" u="1"/>
        <n v="250.61" u="1"/>
        <n v="409.58" u="1"/>
        <n v="625.38" u="1"/>
        <n v="3408.636" u="1"/>
        <n v="3239.919" u="1"/>
        <n v="3942" u="1"/>
        <n v="339.09" u="1"/>
        <n v="971.7791999999999" u="1"/>
        <n v="906.3488" u="1"/>
        <n v="816.0544" u="1"/>
        <n v="806.568" u="1"/>
        <n v="232.81" u="1"/>
        <n v="3753" u="1"/>
        <n v="724" u="1"/>
        <n v="508" u="1"/>
        <n v="229" u="1"/>
        <n v="3591" u="1"/>
        <n v="3513" u="1"/>
        <n v="1961.16" u="1"/>
        <n v="1484" u="1"/>
        <n v="357.84" u="1"/>
        <n v="530.2976" u="1"/>
        <n v="729.792" u="1"/>
        <n v="302.4534" u="1"/>
        <n v="240.31" u="1"/>
        <n v="1209.5296" u="1"/>
        <n v="172.72" u="1"/>
        <n v="611.016" u="1"/>
        <n v="455.565" u="1"/>
        <n v="2675.0006" u="1"/>
        <n v="470.392" u="1"/>
        <n v="493.424" u="1"/>
        <n v="764.056" u="1"/>
        <n v="2425.7" u="1"/>
        <n v="667.0272" u="1"/>
        <n v="654.4944" u="1"/>
        <n v="600.8016" u="1"/>
        <n v="329.3024" u="1"/>
        <n v="561.7472" u="1"/>
        <n v="405.8208" u="1"/>
        <n v="711.024" u="1"/>
        <n v="473.424" u="1"/>
        <n v="555.3744" u="1"/>
        <n v="628.13" u="1"/>
        <n v="1240.09" u="1"/>
        <n v="6081.81" u="1"/>
        <n v="155.71" u="1"/>
        <n v="7443.816" u="1"/>
        <n v="346.13" u="1"/>
        <n v="1809.24" u="1"/>
        <n v="3072.5697" u="1"/>
        <n v="7885.41" u="1"/>
        <n v="189.52" u="1"/>
        <n v="513.52" u="1"/>
        <n v="1603.71" u="1"/>
        <n v="3342.62" u="1"/>
        <n v="496.496" u="1"/>
        <n v="195.1376" u="1"/>
        <n v="698.0736000000001" u="1"/>
        <n v="855.4224" u="1"/>
        <n v="297.0324" u="1"/>
        <n v="550.032" u="1"/>
        <n v="274.5568" u="1"/>
        <n v="291.4016" u="1"/>
        <n v="809.816" u="1"/>
        <n v="344.0416" u="1"/>
        <n v="184.6544" u="1"/>
        <n v="770.616" u="1"/>
        <n v="503.4288" u="1"/>
        <n v="264.0288" u="1"/>
        <n v="434.5824" u="1"/>
        <n v="418.6784" u="1"/>
        <n v="591.3264" u="1"/>
        <n v="815.7996000000001" u="1"/>
        <n v="490.7952" u="1"/>
        <n v="497.45" u="1"/>
        <n v="1000.93" u="1"/>
        <n v="41638.53" u="1"/>
        <n v="1364.37" u="1"/>
        <n v="1030.44" u="1"/>
        <n v="879.08" u="1"/>
        <n v="765.76" u="1"/>
        <n v="1002.28" u="1"/>
        <n v="227" u="1"/>
        <n v="648.77" u="1"/>
        <n v="490.4" u="1"/>
        <n v="143.85" u="1"/>
        <n v="1528.49" u="1"/>
        <n v="814.35" u="1"/>
        <n v="1151.3" u="1"/>
        <n v="3872" u="1"/>
        <n v="463.21" u="1"/>
        <n v="1461.09" u="1"/>
        <n v="614.7" u="1"/>
        <n v="744.28" u="1"/>
        <n v="688.3200000000001" u="1"/>
        <n v="397.04" u="1"/>
        <n v="616.04" u="1"/>
        <n v="3134.24" u="1"/>
        <n v="2467.04" u="1"/>
        <n v="1973.15" u="1"/>
        <n v="567.8099999999999" u="1"/>
        <n v="1526.24" u="1"/>
        <n v="2118.24" u="1"/>
        <n v="2259.82" u="1"/>
        <n v="388.72" u="1"/>
        <n v="879.48" u="1"/>
        <n v="1514.24" u="1"/>
        <n v="1099.63" u="1"/>
        <n v="316.65" u="1"/>
        <n v="354.32" u="1"/>
        <n v="442.9" u="1"/>
        <n v="1312.72" u="1"/>
        <n v="1420.64" u="1"/>
        <n v="719.04" u="1"/>
        <n v="1536.72" u="1"/>
        <n v="1010.5" u="1"/>
        <n v="3547.04" u="1"/>
        <n v="1460.72" u="1"/>
        <n v="235.76" u="1"/>
        <n v="482.42" u="1"/>
        <n v="477.52" u="1"/>
        <n v="1137.62" u="1"/>
        <n v="1493.6" u="1"/>
        <n v="981.54" u="1"/>
        <n v="1517" u="1"/>
        <n v="2230.24" u="1"/>
        <n v="342.3" u="1"/>
        <n v="4214.3745" u="1"/>
        <n v="9562.700000000001" u="1"/>
        <n v="712" u="1"/>
        <n v="303.8672" u="1"/>
        <n v="528.0202" u="1"/>
        <n v="163" u="1"/>
        <n v="36.97" u="1"/>
        <n v="37.5" u="1"/>
        <n v="233.79" u="1"/>
        <n v="406.7545" u="1"/>
        <n v="334.11" u="1"/>
        <n v="222.48" u="1"/>
        <n v="677.08" u="1"/>
        <n v="1218" u="1"/>
        <n v="1038" u="1"/>
        <n v="475" u="1"/>
        <n v="1988" u="1"/>
        <n v="4293" u="1"/>
        <n v="1800.18" u="1"/>
        <n v="1478.4" u="1"/>
        <n v="1300" u="1"/>
        <n v="970" u="1"/>
        <n v="342.72" u="1"/>
        <n v="1751.88" u="1"/>
        <n v="44.4" u="1"/>
        <n v="960.9" u="1"/>
        <n v="1010.81" u="1"/>
        <n v="1130.94" u="1"/>
        <n v="764.3" u="1"/>
        <n v="3376.61" u="1"/>
        <n v="438.82" u="1"/>
        <n v="720.14" u="1"/>
        <n v="563.92" u="1"/>
        <n v="928.45" u="1"/>
        <n v="805.88" u="1"/>
        <n v="1019.82" u="1"/>
        <n v="767.03" u="1"/>
        <n v="931.17" u="1"/>
        <n v="905.89" u="1"/>
        <n v="2636.6" u="1"/>
        <n v="2272.16" u="1"/>
        <n v="575.98" u="1"/>
        <n v="3645" u="1"/>
        <n v="1920.64" u="1"/>
        <n v="1346.43" u="1"/>
        <n v="561.67" u="1"/>
        <n v="2132.66" u="1"/>
        <n v="2639.12" u="1"/>
        <n v="1696.72" u="1"/>
        <n v="886.46" u="1"/>
        <n v="2226.94" u="1"/>
        <n v="284.84" u="1"/>
        <n v="373.92" u="1"/>
        <n v="514.14" u="1"/>
        <n v="596.72" u="1"/>
        <n v="931.79" u="1"/>
        <n v="5762.18" u="1"/>
        <n v="1188.91" u="1"/>
        <n v="1188.92" u="1"/>
        <n v="679.12" u="1"/>
        <n v="721.42" u="1"/>
        <n v="1478.5" u="1"/>
        <n v="1818.32" u="1"/>
        <n v="497.52" u="1"/>
        <n v="2175.04" u="1"/>
        <n v="1043.92" u="1"/>
        <n v="945.61" u="1"/>
        <n v="1038.67" u="1"/>
        <n v="474.92" u="1"/>
        <n v="258.63" u="1"/>
        <n v="748.42" u="1"/>
        <n v="396.4" u="1"/>
        <n v="2271.92" u="1"/>
        <n v="738.8200000000001" u="1"/>
        <n v="2619.71" u="1"/>
        <n v="428.84" u="1"/>
        <n v="240.8" u="1"/>
        <n v="908.76" u="1"/>
        <n v="314.15" u="1"/>
        <n v="61.25" u="1"/>
        <n v="61.11" u="1"/>
        <n v="6415" u="1"/>
        <n v="439.97" u="1"/>
        <n v="1982" u="1"/>
        <n v="5298" u="1"/>
        <n v="1283" u="1"/>
        <n v="8020.16" u="1"/>
        <n v="263.9" u="1"/>
        <n v="654.85" u="1"/>
        <n v="1990" u="1"/>
        <n v="909.84" u="1"/>
        <n v="5532" u="1"/>
        <n v="496.43" u="1"/>
        <n v="547.8" u="1"/>
        <n v="467.07" u="1"/>
        <n v="466.79" u="1"/>
        <n v="170.2" u="1"/>
        <n v="2461.44" u="1"/>
        <n v="634.8200000000001" u="1"/>
        <n v="300.13" u="1"/>
        <n v="2030.2" u="1"/>
        <n v="820" u="1"/>
        <n v="624" u="1"/>
        <n v="1368" u="1"/>
        <n v="221.7" u="1"/>
        <n v="848" u="1"/>
        <n v="1878" u="1"/>
        <n v="50864.33" u="1"/>
        <n v="37633.72" u="1"/>
        <n v="335" u="1"/>
        <n v="2740.04" u="1"/>
        <n v="182.72" u="1"/>
        <n v="1027.3338" u="1"/>
        <n v="133.33" u="1"/>
        <n v="273.99" u="1"/>
        <n v="282.99" u="1"/>
        <n v="156.1" u="1"/>
        <n v="616" u="1"/>
        <n v="18993.216" u="1"/>
        <n v="300.99" u="1"/>
        <n v="3359.265" u="1"/>
        <n v="623.7" u="1"/>
        <n v="285.57" u="1"/>
        <n v="5582.5" u="1"/>
        <n v="275.31" u="1"/>
        <n v="166.48" u="1"/>
        <n v="438.21" u="1"/>
        <n v="3702.25" u="1"/>
        <n v="1715.01" u="1"/>
        <n v="249.9" u="1"/>
        <n v="251.71" u="1"/>
        <n v="2573" u="1"/>
        <n v="2427" u="1"/>
        <n v="77" u="1"/>
        <n v="367" u="1"/>
        <n v="1407.73" u="1"/>
        <n v="1264.89" u="1"/>
        <n v="715" u="1"/>
        <n v="1236" u="1"/>
        <n v="601.02" u="1"/>
        <n v="96.48999999999999" u="1"/>
        <n v="96.87" u="1"/>
        <n v="2585.74" u="1"/>
        <n v="724.98" u="1"/>
        <n v="754.24" u="1"/>
        <n v="12096.05" u="1"/>
        <n v="55968.31" u="1"/>
        <n v="970.23" u="1"/>
        <n v="1671.48" u="1"/>
        <n v="1662.04" u="1"/>
        <n v="436.48" u="1"/>
        <n v="918.41" u="1"/>
        <n v="1391.88" u="1"/>
        <n v="2888.7" u="1"/>
        <n v="2159.88" u="1"/>
        <n v="3359.88" u="1"/>
        <n v="3026.16" u="1"/>
        <n v="572.88" u="1"/>
        <n v="1395.48" u="1"/>
        <n v="1043.88" u="1"/>
        <n v="1075.08" u="1"/>
        <n v="10659.89" u="1"/>
        <n v="1596.42" u="1"/>
        <n v="789.849" u="1"/>
        <n v="757.9225" u="1"/>
        <n v="2162.84" u="1"/>
        <n v="2243.4" u="1"/>
        <n v="3360" u="1"/>
        <n v="1940.166" u="1"/>
        <n v="2231.54" u="1"/>
        <n v="924.12" u="1"/>
        <n v="160.65" u="1"/>
        <n v="2162.24" u="1"/>
        <n v="1668.09" u="1"/>
        <n v="774.9" u="1"/>
        <n v="966.25" u="1"/>
        <n v="680.38" u="1"/>
        <n v="1513.17" u="1"/>
        <n v="1766.02" u="1"/>
        <n v="519.85" u="1"/>
        <n v="1171.32" u="1"/>
        <n v="323.01" u="1"/>
        <n v="608.92" u="1"/>
        <n v="467.59" u="1"/>
        <n v="712.4299999999999" u="1"/>
        <n v="881.41" u="1"/>
        <n v="4239.3" u="1"/>
        <n v="644.85" u="1"/>
        <n v="681.52" u="1"/>
        <n v="302.02" u="1"/>
        <n v="819.3099999999999" u="1"/>
        <n v="398.23" u="1"/>
        <n v="20.06" u="1"/>
        <n v="1674.59" u="1"/>
        <n v="246.59" u="1"/>
        <n v="371.84" u="1"/>
        <n v="1891.71" u="1"/>
        <n v="946.5466" u="1"/>
        <n v="1668.92" u="1"/>
        <n v="405.99" u="1"/>
        <n v="1256" u="1"/>
        <n v="3616.89" u="1"/>
        <n v="3524.84" u="1"/>
        <n v="786.23" u="1"/>
        <n v="790.39" u="1"/>
        <n v="8904" u="1"/>
        <n v="169.84" u="1"/>
        <n v="163.46" u="1"/>
        <n v="351.14" u="1"/>
        <n v="346.25" u="1"/>
        <n v="2561.97" u="1"/>
        <n v="28814.03" u="1"/>
        <n v="1322.8" u="1"/>
        <n v="7868.86" u="1"/>
        <n v="5908.3" u="1"/>
        <n v="371.07" u="1"/>
        <n v="2410.03" u="1"/>
        <n v="1639.75" u="1"/>
        <n v="1960.15" u="1"/>
        <n v="1591.78" u="1"/>
        <n v="1016" u="1"/>
        <n v="556.6" u="1"/>
        <n v="3402" u="1"/>
        <n v="1023" u="1"/>
        <n v="704.55" u="1"/>
        <n v="1648" u="1"/>
        <n v="771.825" u="1"/>
        <n v="3088.9" u="1"/>
        <n v="478.9" u="1"/>
        <n v="262.39" u="1"/>
        <n v="1773.5663" u="1"/>
        <n v="29823.08" u="1"/>
        <n v="10117.1" u="1"/>
        <n v="4576.6659" u="1"/>
        <n v="38529.26" u="1"/>
        <n v="506.08" u="1"/>
        <n v="7569.37" u="1"/>
        <n v="489.14" u="1"/>
        <n v="1063.07" u="1"/>
        <n v="27248.86" u="1"/>
        <n v="37802" u="1"/>
        <n v="2109.37" u="1"/>
        <n v="57405.61" u="1"/>
        <n v="1533" u="1"/>
        <n v="36418.54" u="1"/>
        <n v="6497.24" u="1"/>
        <n v="2904.17" u="1"/>
        <n v="1002.24" u="1"/>
        <n v="1960.14" u="1"/>
        <n v="1431" u="1"/>
        <n v="507" u="1"/>
        <n v="2556.22" u="1"/>
        <n v="675.78" u="1"/>
        <n v="1427.17" u="1"/>
        <n v="1330.2" u="1"/>
        <n v="1331.9" u="1"/>
        <n v="3708.99" u="1"/>
        <n v="1566.465" u="1"/>
        <n v="39975.59" u="1"/>
        <n v="4691.25" u="1"/>
        <n v="947.582" u="1"/>
        <n v="3905.1" u="1"/>
        <n v="20038.15" u="1"/>
        <n v="694.2066" u="1"/>
        <n v="4000" u="1"/>
        <n v="2738.08" u="1"/>
        <n v="2872" u="1"/>
        <n v="1372.98" u="1"/>
        <n v="1908.39" u="1"/>
        <n v="2793.67" u="1"/>
        <n v="773.6267" u="1"/>
        <n v="2346.84" u="1"/>
        <n v="10857.77" u="1"/>
        <n v="19692.27" u="1"/>
        <n v="33381.18" u="1"/>
        <n v="496.3499" u="1"/>
        <n v="307.57" u="1"/>
        <n v="4793.2617" u="1"/>
        <n v="1830.2935" u="1"/>
        <n v="1005.1346" u="1"/>
        <n v="3007.72" u="1"/>
        <n v="1447.35" u="1"/>
        <n v="1839.2" u="1"/>
        <n v="1091.9" u="1"/>
        <n v="372.66" u="1"/>
        <n v="786" u="1"/>
        <n v="5570.532" u="1"/>
        <n v="1366.95" u="1"/>
        <n v="1800" u="1"/>
        <n v="2319.9307" u="1"/>
        <n v="1747.9262" u="1"/>
        <n v="1598.28" u="1"/>
        <n v="766.5" u="1"/>
        <n v="623.3200000000001" u="1"/>
        <n v="1325.27" u="1"/>
        <n v="6800.42" u="1"/>
        <n v="1466.46" u="1"/>
        <n v="203.09" u="1"/>
        <n v="514.79" u="1"/>
        <n v="2060.88" u="1"/>
        <n v="1168.56" u="1"/>
        <n v="457.9" u="1"/>
        <n v="900.91" u="1"/>
        <n v="531.28" u="1"/>
        <n v="396.28" u="1"/>
        <n v="1045.11" u="1"/>
        <n v="1069.97" u="1"/>
        <n v="2227.6" u="1"/>
        <n v="831.6" u="1"/>
        <n v="910.8200000000001" u="1"/>
        <n v="1779.94" u="1"/>
        <n v="345.32" u="1"/>
        <n v="517.29" u="1"/>
        <n v="5926.86" u="1"/>
        <n v="5949.78" u="1"/>
        <n v="10290" u="1"/>
        <n v="491.3" u="1"/>
        <n v="55" u="1"/>
        <n v="597.4299999999999" u="1"/>
        <n v="601.59" u="1"/>
        <n v="1556" u="1"/>
        <n v="920.45" u="1"/>
        <n v="291.23" u="1"/>
        <n v="742.08" u="1"/>
        <n v="256" u="1"/>
        <n v="1346.5984" u="1"/>
        <n v="169.848" u="1"/>
        <n v="499.932" u="1"/>
        <n v="6052" u="1"/>
        <n v="2454" u="1"/>
        <n v="359.7" u="1"/>
        <n v="862.2201" u="1"/>
        <n v="308.25" u="1"/>
        <n v="1176.9" u="1"/>
        <n v="1080.4" u="1"/>
        <n v="273.9" u="1"/>
        <n v="7227" u="1"/>
        <n v="534.65" u="1"/>
        <n v="1388.95" u="1"/>
        <n v="3395.7" u="1"/>
        <n v="806" u="1"/>
        <n v="406.32" u="1"/>
        <n v="195.3336" u="1"/>
        <n v="1182" u="1"/>
        <n v="533.6799999999999" u="1"/>
        <n v="1460" u="1"/>
        <n v="365" u="1"/>
        <n v="394.25" u="1"/>
        <n v="266.32" u="1"/>
        <n v="788.5" u="1"/>
        <n v="935.144" u="1"/>
        <n v="693.99" u="1"/>
        <n v="399.95" u="1"/>
        <n v="1203.832" u="1"/>
        <n v="239.5232" u="1"/>
        <n v="65.52" u="1"/>
        <n v="62.46" u="1"/>
        <n v="1122.08" u="1"/>
        <n v="2601.4" u="1"/>
        <n v="800.6799999999999" u="1"/>
        <n v="191.97" u="1"/>
        <n v="1391.78" u="1"/>
        <n v="311.12" u="1"/>
        <n v="160.11" u="1"/>
        <n v="1518.93" u="1"/>
        <n v="490" u="1"/>
        <n v="1006.28" u="1"/>
        <n v="421.56" u="1"/>
        <n v="823.4" u="1"/>
        <n v="3803.275" u="1"/>
        <n v="359.9175" u="1"/>
        <n v="508.6401" u="1"/>
        <n v="1315.9716" u="1"/>
        <n v="182.53" u="1"/>
        <n v="586.92" u="1"/>
        <n v="6754.65" u="1"/>
        <n v="536.224" u="1"/>
        <n v="681.72" u="1"/>
        <n v="450.4" u="1"/>
        <n v="551" u="1"/>
        <n v="566" u="1"/>
        <n v="1830" u="1"/>
        <n v="3912.36" u="1"/>
        <n v="1921.5" u="1"/>
        <n v="2095.83" u="1"/>
        <n v="14448.4" u="1"/>
        <n v="2881.22" u="1"/>
        <n v="372.6" u="1"/>
        <n v="1052" u="1"/>
        <n v="3120" u="1"/>
        <n v="3353.4" u="1"/>
        <n v="159.71" u="1"/>
        <n v="717" u="1"/>
        <n v="675.4496" u="1"/>
        <n v="432.73" u="1"/>
        <n v="636.36" u="1"/>
        <n v="708.1872" u="1"/>
        <n v="354" u="1"/>
        <n v="2263.1" u="1"/>
        <n v="937.1" u="1"/>
        <n v="3372.96" u="1"/>
        <n v="128.74" u="1"/>
        <n v="4764.564" u="1"/>
        <n v="665" u="1"/>
        <n v="217.85" u="1"/>
        <n v="6500.736" u="1"/>
        <n v="1611.99" u="1"/>
        <n v="1309.36" u="1"/>
        <n v="425.7" u="1"/>
        <n v="5453.4" u="1"/>
        <n v="983.22" u="1"/>
        <n v="273.27" u="1"/>
        <n v="2890" u="1"/>
        <n v="47.1" u="1"/>
        <n v="1042" u="1"/>
        <n v="1317.8" u="1"/>
        <n v="5337.49" u="1"/>
        <n v="528.61" u="1"/>
        <n v="895.7834" u="1"/>
        <n v="666.6352000000001" u="1"/>
        <n v="420.7594" u="1"/>
        <n v="709.4903" u="1"/>
        <n v="2707.419" u="1"/>
        <n v="1779.702" u="1"/>
        <n v="498.22" u="1"/>
        <n v="11947" u="1"/>
        <n v="1716.1" u="1"/>
        <n v="958.9" u="1"/>
        <n v="675.3200000000001" u="1"/>
        <n v="44.5" u="1"/>
        <n v="318.6" u="1"/>
        <n v="928" u="1"/>
        <n v="12085.0912" u="1"/>
        <n v="1819.76" u="1"/>
        <n v="834.74" u="1"/>
        <n v="674.5218" u="1"/>
        <n v="2349.63" u="1"/>
        <n v="163.9" u="1"/>
        <n v="321.43" u="1"/>
        <n v="2198.13" u="1"/>
        <n v="345.19" u="1"/>
        <n v="1263.15" u="1"/>
        <n v="1757.349" u="1"/>
        <n v="794.3733999999999" u="1"/>
        <n v="8011.25" u="1"/>
        <n v="1135.87" u="1"/>
        <n v="1284.24" u="1"/>
        <n v="858.26" u="1"/>
        <n v="542.23" u="1"/>
        <n v="404.5552" u="1"/>
        <n v="251.85" u="1"/>
        <n v="509.544" u="1"/>
        <n v="514.0898999999999" u="1"/>
        <n v="267.6464" u="1"/>
        <n v="460.38" u="1"/>
        <n v="198.3408" u="1"/>
        <n v="1066.1952" u="1"/>
        <n v="334.0848" u="1"/>
        <n v="1204.1456" u="1"/>
        <n v="1025.1024" u="1"/>
        <n v="310.352" u="1"/>
        <n v="375.4464" u="1"/>
        <n v="788.4352" u="1"/>
        <n v="422.8" u="1"/>
        <n v="224.0784" u="1"/>
        <n v="19846.67" u="1"/>
        <n v="327.9" u="1"/>
        <n v="457.88" u="1"/>
        <n v="1576.52" u="1"/>
        <n v="4707.18" u="1"/>
        <n v="1768.7244" u="1"/>
        <n v="3302.39" u="1"/>
        <n v="1460.7134" u="1"/>
        <n v="11337.1" u="1"/>
        <n v="1779.55" u="1"/>
        <n v="1356.95" u="1"/>
        <n v="1615.74" u="1"/>
        <n v="391.23" u="1"/>
        <n v="319.9504" u="1"/>
        <n v="2375" u="1"/>
        <n v="168.94" u="1"/>
        <n v="393.92" u="1"/>
        <n v="266.83" u="1"/>
        <n v="1459.4496" u="1"/>
        <n v="427.6299" u="1"/>
        <n v="430.2534" u="1"/>
        <n v="524.72" u="1"/>
        <n v="559.6752" u="1"/>
        <n v="747.2304" u="1"/>
        <n v="374.0576" u="1"/>
        <n v="168.8848" u="1"/>
        <n v="327.1296" u="1"/>
        <n v="1030.4112" u="1"/>
        <n v="1147.92" u="1"/>
        <n v="1510.0624" u="1"/>
        <n v="203.05" u="1"/>
        <n v="223.7" u="1"/>
        <n v="755.4624" u="1"/>
        <n v="594.8768" u="1"/>
        <n v="552.216" u="1"/>
        <n v="341.9024" u="1"/>
        <n v="980.28" u="1"/>
        <n v="805.28" u="1"/>
        <n v="233.5424" u="1"/>
        <n v="202.22" u="1"/>
        <n v="261.69" u="1"/>
        <n v="580.84" u="1"/>
        <n v="748.27" u="1"/>
        <n v="4481.84" u="1"/>
        <n v="1328.41" u="1"/>
        <n v="2483.29" u="1"/>
        <n v="1614.04" u="1"/>
        <n v="1594.3059" u="1"/>
        <n v="1077.488" u="1"/>
        <n v="4086.37" u="1"/>
        <n v="561.9400000000001" u="1"/>
        <n v="2631.19" u="1"/>
        <n v="5553.32" u="1"/>
        <n v="6695.4" u="1"/>
        <n v="10059.06" u="1"/>
        <n v="4722.18" u="1"/>
        <n v="658.72" u="1"/>
        <n v="159.48" u="1"/>
        <n v="762" u="1"/>
        <n v="1760.376" u="1"/>
        <n v="425.37" u="1"/>
        <n v="298.5134" u="1"/>
        <n v="405.4466" u="1"/>
        <n v="1000.5408" u="1"/>
        <n v="557.22" u="1"/>
        <n v="710.04" u="1"/>
        <n v="658.53" u="1"/>
        <n v="1916" u="1"/>
        <n v="178.41" u="1"/>
        <n v="910.056" u="1"/>
        <n v="237.05" u="1"/>
        <n v="259.48" u="1"/>
        <n v="2081.856" u="1"/>
        <n v="188.9" u="1"/>
        <n v="379.37" u="1"/>
        <n v="1233.1698" u="1"/>
        <n v="251.8544" u="1"/>
        <n v="797.74" u="1"/>
        <n v="1083.432" u="1"/>
        <n v="474.2304" u="1"/>
        <n v="456.87" u="1"/>
        <n v="437.33" u="1"/>
        <n v="376.64" u="1"/>
        <n v="282.46" u="1"/>
        <n v="17.35" u="1"/>
        <n v="571.088" u="1"/>
        <n v="378.4425" u="1"/>
        <n v="328.635" u="1"/>
        <n v="409.4496" u="1"/>
        <n v="154.1232" u="1"/>
        <n v="197.288" u="1"/>
        <n v="559.83" u="1"/>
        <n v="287.7534" u="1"/>
        <n v="757.98" u="1"/>
        <n v="205.97" u="1"/>
        <n v="2896.3404" u="1"/>
        <n v="1240.26" u="1"/>
        <n v="526.8" u="1"/>
        <n v="457.63" u="1"/>
        <n v="3080.91" u="1"/>
        <n v="147.91" u="1"/>
        <n v="1909.68" u="1"/>
        <n v="1054.59" u="1"/>
        <n v="535.91" u="1"/>
        <n v="3815.63" u="1"/>
        <n v="4050.04" u="1"/>
        <n v="2420.73" u="1"/>
        <n v="1016.62" u="1"/>
        <n v="1656.59" u="1"/>
        <n v="734.24" u="1"/>
        <n v="2398.7217" u="1"/>
        <n v="1072.04" u="1"/>
        <n v="8369.26" u="1"/>
        <n v="326.5" u="1"/>
        <n v="1573.34" u="1"/>
        <n v="242.32" u="1"/>
        <n v="28201.852" u="1"/>
        <n v="11771.38" u="1"/>
        <n v="25053.29" u="1"/>
        <n v="4108.35" u="1"/>
        <n v="3500.28" u="1"/>
        <n v="1603.95" u="1"/>
        <n v="302.4" u="1"/>
        <n v="2115.1056" u="1"/>
        <n v="846.67" u="1"/>
        <n v="757.42" u="1"/>
        <n v="2414.45" u="1"/>
        <n v="1526.92" u="1"/>
        <n v="639.26" u="1"/>
        <n v="1294.75" u="1"/>
        <n v="3000.9" u="1"/>
        <n v="1025.39" u="1"/>
        <n v="934.78" u="1"/>
        <n v="1121.98" u="1"/>
        <n v="1106.29" u="1"/>
        <n v="1364.08" u="1"/>
        <n v="856.15" u="1"/>
        <n v="562.36" u="1"/>
        <n v="2532.393" u="1"/>
        <n v="16431.355" u="1"/>
        <n v="393.04" u="1"/>
        <n v="5640" u="1"/>
        <n v="440.92" u="1"/>
        <n v="2108" u="1"/>
        <n v="808" u="1"/>
        <n v="932.64" u="1"/>
        <n v="1254" u="1"/>
        <n v="173.15" u="1"/>
        <n v="1115" u="1"/>
        <n v="1587.85" u="1"/>
        <n v="3331" u="1"/>
        <n v="6662" u="1"/>
        <n v="1785" u="1"/>
        <n v="82.05" u="1"/>
        <n v="82.22" u="1"/>
        <n v="922.0392000000001" u="1"/>
        <n v="1524" u="1"/>
        <n v="833.17" u="1"/>
        <n v="654.1900000000001" u="1"/>
        <n v="3521.8" u="1"/>
        <n v="980.8150000000001" u="1"/>
        <n v="905.35" u="1"/>
        <n v="975.04" u="1"/>
        <n v="1259.1" u="1"/>
        <n v="476.59" u="1"/>
        <n v="251.97" u="1"/>
        <n v="984.33" u="1"/>
        <n v="2101.495" u="1"/>
        <n v="294.17" u="1"/>
        <n v="533.84" u="1"/>
        <n v="3276.59" u="1"/>
        <n v="325.34" u="1"/>
        <n v="82.02" u="1"/>
        <n v="1168.02" u="1"/>
        <n v="840.9" u="1"/>
        <n v="841.92" u="1"/>
        <n v="591.92" u="1"/>
        <n v="545.9" u="1"/>
        <n v="992.0599999999999" u="1"/>
        <n v="715.98" u="1"/>
        <n v="20070.28" u="1"/>
        <n v="2994.78" u="1"/>
        <n v="5033.09" u="1"/>
        <n v="9681.33" u="1"/>
        <n v="6260.01" u="1"/>
        <n v="28229.98" u="1"/>
        <n v="3690.88" u="1"/>
        <n v="2024.92" u="1"/>
        <n v="2625.53" u="1"/>
        <n v="1088.19" u="1"/>
        <n v="4208.8288" u="1"/>
        <n v="4207.7352" u="1"/>
        <n v="3156.6216" u="1"/>
        <n v="3155.8014" u="1"/>
        <n v="3757" u="1"/>
        <n v="21850" u="1"/>
        <n v="2226.44" u="1"/>
        <n v="919.6" u="1"/>
        <n v="1292.64" u="1"/>
        <n v="1688.66" u="1"/>
        <n v="8657.34" u="1"/>
        <n v="7062.341" u="1"/>
        <n v="1773.99" u="1"/>
        <n v="280.44" u="1"/>
        <n v="1543.04" u="1"/>
        <n v="664.34" u="1"/>
        <n v="85.88" u="1"/>
        <n v="881.62" u="1"/>
        <n v="862" u="1"/>
        <n v="565" u="1"/>
        <n v="2678" u="1"/>
        <n v="11512.215" u="1"/>
        <n v="1447.05" u="1"/>
        <n v="87.54000000000001" u="1"/>
        <n v="74.19" u="1"/>
        <n v="1408.01" u="1"/>
        <n v="714.87" u="1"/>
        <n v="417.24" u="1"/>
        <n v="1068.9" u="1"/>
        <n v="204.11" u="1"/>
        <n v="389.79" u="1"/>
        <n v="1503.04" u="1"/>
        <n v="315.89" u="1"/>
        <n v="706.96" u="1"/>
        <n v="589.46" u="1"/>
        <n v="3401.44" u="1"/>
        <n v="1952.56" u="1"/>
        <n v="290.56" u="1"/>
        <n v="1307.84" u="1"/>
        <n v="1284.27" u="1"/>
        <n v="784.71" u="1"/>
        <n v="6373.1" u="1"/>
        <n v="3903.13" u="1"/>
        <n v="647" u="1"/>
        <n v="1996.95" u="1"/>
        <n v="1531.18" u="1"/>
        <n v="1399.66" u="1"/>
        <n v="1941.67" u="1"/>
        <n v="1864.34" u="1"/>
        <n v="193.42" u="1"/>
        <n v="142.42" u="1"/>
        <n v="1835.84" u="1"/>
        <n v="603.8" u="1"/>
        <n v="3279" u="1"/>
        <n v="801" u="1"/>
        <n v="449.66" u="1"/>
        <n v="624.39" u="1"/>
        <n v="416.26" u="1"/>
        <n v="285.79" u="1"/>
        <n v="683.6799999999999" u="1"/>
        <n v="341.84" u="1"/>
        <n v="219.34" u="1"/>
        <n v="1196.4" u="1"/>
        <n v="3409.02" u="1"/>
        <n v="314.32" u="1"/>
        <n v="141.3" u="1"/>
        <n v="4457.97" u="1"/>
        <n v="326.22" u="1"/>
        <n v="468.55" u="1"/>
        <n v="3186.99" u="1"/>
        <n v="116.97" u="1"/>
        <n v="394.02" u="1"/>
        <n v="623.55" u="1"/>
        <n v="313.65" u="1"/>
        <n v="5939.85" u="1"/>
        <n v="15446.7616" u="1"/>
        <n v="300.4736" u="1"/>
        <n v="235.74" u="1"/>
        <n v="875.896" u="1"/>
        <n v="570.1695999999999" u="1"/>
        <n v="538.55" u="1"/>
        <n v="422.7" u="1"/>
        <n v="1335" u="1"/>
        <n v="590.8200000000001" u="1"/>
        <n v="1188.1408" u="1"/>
        <n v="304.065" u="1"/>
        <n v="3272.4048" u="1"/>
        <n v="1277.4048" u="1"/>
        <n v="578.592" u="1"/>
        <n v="1335.544" u="1"/>
        <n v="477.94" u="1"/>
        <n v="737.8899" u="1"/>
        <n v="626.568" u="1"/>
        <n v="285.0866" u="1"/>
        <n v="624.73" u="1"/>
        <n v="300.1734" u="1"/>
        <n v="771.0528" u="1"/>
        <n v="666.6576" u="1"/>
        <n v="111.54" u="1"/>
        <n v="2759.76" u="1"/>
        <n v="316.25" u="1"/>
        <n v="341.936" u="1"/>
        <n v="209.02" u="1"/>
        <n v="403.0734" u="1"/>
        <n v="433.7" u="1"/>
        <n v="2664.8704" u="1"/>
        <n v="572.8576" u="1"/>
        <n v="171.71" u="1"/>
        <n v="700.4499" u="1"/>
        <n v="981.59" u="1"/>
        <n v="848.016" u="1"/>
        <n v="1001.448" u="1"/>
        <n v="382.8832" u="1"/>
        <n v="622.8544000000001" u="1"/>
        <n v="331.16" u="1"/>
        <n v="1082.66" u="1"/>
        <n v="281.63" u="1"/>
        <n v="193.0768" u="1"/>
        <n v="2479.857" u="1"/>
        <n v="1471.3899" u="1"/>
        <n v="764.8" u="1"/>
        <n v="1737.5301" u="1"/>
        <n v="314.8066" u="1"/>
        <n v="241.9" u="1"/>
        <n v="186.21" u="1"/>
        <n v="18993.6" u="1"/>
        <n v="508.64" u="1"/>
        <n v="604.64" u="1"/>
        <n v="775.04" u="1"/>
        <n v="946.62" u="1"/>
        <n v="442.4" u="1"/>
        <n v="1369.64" u="1"/>
        <n v="1339.5" u="1"/>
        <n v="872.84" u="1"/>
        <n v="1167.79" u="1"/>
        <n v="1619.17" u="1"/>
        <n v="8793.42" u="1"/>
        <n v="391.8066" u="1"/>
        <n v="717.2901000000001" u="1"/>
        <n v="571.74" u="1"/>
        <n v="192.5" u="1"/>
        <n v="228" u="1"/>
        <n v="444.02" u="1"/>
        <n v="179.69" u="1"/>
        <n v="936.6" u="1"/>
        <n v="116.06" u="1"/>
        <n v="332.58" u="1"/>
        <n v="1666" u="1"/>
        <n v="1440" u="1"/>
        <n v="11086.47" u="1"/>
        <n v="9106.83" u="1"/>
        <n v="468.62" u="1"/>
        <n v="642.3984" u="1"/>
        <n v="478.1616" u="1"/>
        <n v="822.7788" u="1"/>
        <n v="435.8368" u="1"/>
        <n v="1440.99" u="1"/>
        <n v="1330.9" u="1"/>
        <n v="1296.4" u="1"/>
        <n v="359.7216" u="1"/>
        <n v="880.9400000000001" u="1"/>
        <n v="1023.8928" u="1"/>
        <n v="311.7" u="1"/>
        <n v="577.11" u="1"/>
        <n v="542.14" u="1"/>
        <n v="379.29" u="1"/>
        <n v="1261.64" u="1"/>
        <n v="483.98" u="1"/>
        <n v="865.52" u="1"/>
        <n v="1181.52" u="1"/>
        <n v="629.4400000000001" u="1"/>
        <n v="350.9" u="1"/>
        <n v="942.24" u="1"/>
        <n v="571.12" u="1"/>
        <n v="2545.09" u="1"/>
        <n v="1341.48" u="1"/>
        <n v="62249.07" u="1"/>
        <n v="638.25" u="1"/>
        <n v="782.89" u="1"/>
        <n v="266.92" u="1"/>
        <n v="153.64" u="1"/>
        <n v="1579.15" u="1"/>
        <n v="1121.85" u="1"/>
        <n v="435" u="1"/>
        <n v="204.75" u="1"/>
        <n v="266.76" u="1"/>
        <n v="266.67" u="1"/>
        <n v="222.26" u="1"/>
        <n v="7739.95" u="1"/>
        <n v="584.42" u="1"/>
        <n v="344.68" u="1"/>
        <n v="534.8" u="1"/>
        <n v="388.08" u="1"/>
        <n v="324.68" u="1"/>
        <n v="182" u="1"/>
        <n v="287.5" u="1"/>
        <n v="510.4" u="1"/>
        <n v="196.27" u="1"/>
        <n v="212.98" u="1"/>
        <n v="243.51" u="1"/>
        <n v="478.55" u="1"/>
        <n v="2524.4" u="1"/>
        <n v="702" u="1"/>
        <n v="654.9299999999999" u="1"/>
        <n v="436.96" u="1"/>
        <n v="2480" u="1"/>
        <n v="5040" u="1"/>
        <n v="2170" u="1"/>
        <n v="310.98" u="1"/>
        <n v="386" u="1"/>
        <n v="661.5" u="1"/>
        <n v="224.53" u="1"/>
        <n v="561.04" u="1"/>
        <n v="192.21" u="1"/>
        <n v="698.97" u="1"/>
        <n v="384.42" u="1"/>
        <n v="496.16" u="1"/>
        <n v="236.15" u="1"/>
        <n v="958.5" u="1"/>
        <n v="780.1799999999999" u="1"/>
        <n v="208.33" u="1"/>
        <n v="406.22" u="1"/>
        <n v="283.44" u="1"/>
        <n v="283.84" u="1"/>
        <n v="892.5" u="1"/>
        <n v="1362.8" u="1"/>
        <n v="4375.44" u="1"/>
        <n v="883.29" u="1"/>
        <n v="615" u="1"/>
        <n v="1045" u="1"/>
        <n v="2500" u="1"/>
        <n v="4104.75" u="1"/>
        <n v="285.44" u="1"/>
        <n v="1791.96" u="1"/>
        <n v="233.85" u="1"/>
        <n v="281.49" u="1"/>
        <n v="2813.7" u="1"/>
        <n v="706" u="1"/>
        <n v="283.48" u="1"/>
        <n v="4700.64" u="1"/>
        <n v="1197" u="1"/>
        <n v="4292.2396" u="1"/>
        <n v="2108.86" u="1"/>
        <n v="858.9" u="1"/>
        <n v="930.9" u="1"/>
        <n v="311.9" u="1"/>
        <n v="2989.82" u="1"/>
        <n v="1009.2" u="1"/>
        <n v="1014.99" u="1"/>
        <n v="4545.61" u="1"/>
        <n v="5275.04" u="1"/>
        <n v="396.99" u="1"/>
        <n v="784.91" u="1"/>
        <n v="1391.26" u="1"/>
        <n v="5821.13" u="1"/>
        <n v="379.94" u="1"/>
        <n v="2671.41" u="1"/>
        <n v="252.38" u="1"/>
        <n v="561.15" u="1"/>
        <n v="9203.620000000001" u="1"/>
        <n v="26737.34" u="1"/>
        <n v="6983.45" u="1"/>
        <n v="11570.73" u="1"/>
        <n v="3162.52" u="1"/>
        <n v="3430.36" u="1"/>
        <n v="12239.94" u="1"/>
        <n v="1768.66" u="1"/>
        <n v="995.9" u="1"/>
        <n v="3043.18" u="1"/>
        <n v="793.41" u="1"/>
        <n v="484.42" u="1"/>
        <n v="656.84" u="1"/>
        <n v="3442.22" u="1"/>
        <n v="758.84" u="1"/>
        <n v="1593.08" u="1"/>
        <n v="1696.78" u="1"/>
        <n v="391.08" u="1"/>
        <n v="979.36" u="1"/>
        <n v="4196.22" u="1"/>
        <n v="2091" u="1"/>
        <n v="14570" u="1"/>
        <n v="426.01" u="1"/>
        <n v="199.95" u="1"/>
        <n v="199.96" u="1"/>
        <n v="432.58" u="1"/>
        <n v="283.59" u="1"/>
        <n v="365.18" u="1"/>
        <n v="229.45" u="1"/>
        <n v="442" u="1"/>
        <n v="765.6" u="1"/>
        <n v="4317.96" u="1"/>
        <n v="542" u="1"/>
        <n v="3149" u="1"/>
        <n v="1042.02" u="1"/>
        <n v="658.9" u="1"/>
        <n v="1133.3" u="1"/>
        <n v="4079.99" u="1"/>
        <n v="456.11" u="1"/>
        <n v="1292.14" u="1"/>
        <n v="3048.41" u="1"/>
        <n v="2195.63" u="1"/>
        <n v="993.62" u="1"/>
        <n v="1623.92" u="1"/>
        <n v="783.4299999999999" u="1"/>
        <n v="1318.32" u="1"/>
        <n v="2213.56" u="1"/>
        <n v="559.12" u="1"/>
        <n v="2903.2" u="1"/>
        <n v="1104.72" u="1"/>
        <n v="2881.4" u="1"/>
        <n v="362.08" u="1"/>
        <n v="716.3099999999999" u="1"/>
        <n v="685.8" u="1"/>
        <n v="2270.84" u="1"/>
        <n v="742.34" u="1"/>
        <n v="340.42" u="1"/>
        <n v="1218.29" u="1"/>
        <n v="747.84" u="1"/>
        <n v="336.67" u="1"/>
        <n v="751.98" u="1"/>
        <n v="635.17" u="1"/>
        <n v="797.87" u="1"/>
        <n v="925.6" u="1"/>
        <n v="1539.174" u="1"/>
        <n v="11945.44" u="1"/>
        <n v="2468.01" u="1"/>
        <n v="856.5" u="1"/>
        <n v="175.22" u="1"/>
        <n v="868.035" u="1"/>
        <n v="1176.328" u="1"/>
        <n v="367.75" u="1"/>
        <n v="2495.96" u="1"/>
        <n v="85.52" u="1"/>
        <n v="11174.3879" u="1"/>
        <n v="662" u="1"/>
        <n v="91.77" u="1"/>
        <n v="652.96" u="1"/>
        <n v="293" u="1"/>
        <n v="824.913" u="1"/>
        <n v="445.7808" u="1"/>
        <n v="879.543" u="1"/>
        <n v="759.9656" u="1"/>
        <n v="1783.368" u="1"/>
        <n v="1796.34" u="1"/>
        <n v="1110.52" u="1"/>
        <n v="305" u="1"/>
        <n v="1420" u="1"/>
        <n v="292.95" u="1"/>
        <n v="2728" u="1"/>
        <n v="31938.48" u="1"/>
        <n v="2680.551" u="1"/>
        <n v="1860.95" u="1"/>
        <n v="1197.83" u="1"/>
        <n v="2273.89" u="1"/>
        <n v="489.65" u="1"/>
        <n v="2100.73" u="1"/>
        <n v="2966.21" u="1"/>
        <n v="859.52" u="1"/>
        <n v="1483.11" u="1"/>
        <n v="954.8099999999999" u="1"/>
        <n v="539.01" u="1"/>
        <n v="1020.77" u="1"/>
        <n v="3.38" u="1"/>
        <n v="3037.47" u="1"/>
        <n v="6165.98" u="1"/>
        <n v="906.1341" u="1"/>
        <n v="1162.1848" u="1"/>
        <n v="783.71" u="1"/>
        <n v="430.02" u="1"/>
        <n v="4092.56" u="1"/>
        <n v="52996.57" u="1"/>
        <n v="27793.52" u="1"/>
        <n v="576.9299999999999" u="1"/>
        <n v="2523.92" u="1"/>
        <n v="1873.44" u="1"/>
        <n v="2345" u="1"/>
        <n v="487.61" u="1"/>
        <n v="823.84" u="1"/>
        <n v="1894.32" u="1"/>
        <n v="2473.42" u="1"/>
        <n v="22769.62" u="1"/>
        <n v="514.88" u="1"/>
        <n v="1405.44" u="1"/>
        <n v="5145.5544" u="1"/>
        <n v="4748.4566" u="1"/>
        <n v="4026" u="1"/>
        <n v="2316.12" u="1"/>
        <n v="25375.65" u="1"/>
        <n v="1922.9914" u="1"/>
        <n v="971.47" u="1"/>
        <n v="398.71" u="1"/>
        <n v="1581.3548" u="1"/>
        <n v="1118.36" u="1"/>
        <n v="646.22" u="1"/>
        <n v="256.4363" u="1"/>
        <n v="17566.4" u="1"/>
        <n v="2609.37" u="1"/>
        <n v="30206.0463" u="1"/>
        <n v="24128.03" u="1"/>
        <n v="14580.18" u="1"/>
        <n v="1411.67" u="1"/>
        <n v="1364.27" u="1"/>
        <n v="693.9858" u="1"/>
        <n v="634.78" u="1"/>
        <n v="632.49" u="1"/>
        <n v="1628.34" u="1"/>
        <n v="1406.78" u="1"/>
        <n v="9056.809999999999" u="1"/>
        <n v="25126.39" u="1"/>
        <n v="6394.85" u="1"/>
        <n v="22088.34" u="1"/>
        <n v="6483.93" u="1"/>
        <n v="9015.870000000001" u="1"/>
        <n v="2637.91" u="1"/>
        <n v="3582.41" u="1"/>
        <n v="557.1" u="1"/>
        <n v="1177.52" u="1"/>
        <n v="3037.8" u="1"/>
        <n v="3311.46" u="1"/>
        <n v="3340.72" u="1"/>
        <n v="25228.68" u="1"/>
        <n v="6117.24" u="1"/>
        <n v="371.94" u="1"/>
        <n v="2650" u="1"/>
        <n v="423" u="1"/>
        <n v="286.52" u="1"/>
        <n v="24482.26" u="1"/>
        <n v="583" u="1"/>
        <n v="1421.17" u="1"/>
        <n v="1579.8" u="1"/>
        <n v="18883.87" u="1"/>
        <n v="15888.49" u="1"/>
        <n v="1971" u="1"/>
        <n v="564.78" u="1"/>
        <n v="2030" u="1"/>
        <n v="294" u="1"/>
        <n v="350.91" u="1"/>
        <n v="417" u="1"/>
        <n v="426" u="1"/>
        <n v="1397.7376" u="1"/>
        <n v="1021.8243" u="1"/>
        <n v="379.76" u="1"/>
        <n v="427.04" u="1"/>
        <n v="224.43" u="1"/>
        <n v="7393.5996" u="1"/>
        <n v="407.46" u="1"/>
        <n v="381.6736" u="1"/>
        <n v="1345.9915" u="1"/>
        <n v="234.34" u="1"/>
        <n v="427.4704" u="1"/>
        <n v="552.3952" u="1"/>
        <n v="594.0703999999999" u="1"/>
        <n v="545" u="1"/>
        <n v="182.01" u="1"/>
        <n v="279.5466" u="1"/>
        <n v="549.6934" u="1"/>
        <n v="608.54" u="1"/>
        <n v="688.2624" u="1"/>
        <n v="773.5168" u="1"/>
        <n v="468.9664" u="1"/>
        <n v="729.4784" u="1"/>
        <n v="2112.432" u="1"/>
        <n v="1933.0641" u="1"/>
        <n v="347.1328" u="1"/>
        <n v="719.4432" u="1"/>
        <n v="885.528" u="1"/>
        <n v="1257.312" u="1"/>
        <n v="132.55" u="1"/>
        <n v="350.74" u="1"/>
        <n v="188.35" u="1"/>
        <n v="830.2" u="1"/>
        <n v="785.4" u="1"/>
        <n v="264.0266" u="1"/>
        <n v="190.17" u="1"/>
        <n v="9253.09" u="1"/>
        <n v="920.3" u="1"/>
        <n v="8510" u="1"/>
        <n v="2349.09" u="1"/>
        <n v="355.42" u="1"/>
        <n v="433.26" u="1"/>
        <n v="257.7134" u="1"/>
        <n v="515.42" u="1"/>
        <n v="176" u="1"/>
        <n v="314" u="1"/>
        <n v="505.14" u="1"/>
        <n v="1713" u="1"/>
        <n v="155.5" u="1"/>
        <n v="150.12" u="1"/>
        <n v="176.15" u="1"/>
        <n v="521.55" u="1"/>
        <n v="568.8" u="1"/>
        <n v="552" u="1"/>
        <n v="333" u="1"/>
        <n v="568.65" u="1"/>
        <n v="617.16" u="1"/>
        <n v="479.568" u="1"/>
        <n v="242.64" u="1"/>
        <n v="371.98" u="1"/>
        <n v="419.98" u="1"/>
        <n v="2486.7465" u="1"/>
        <n v="1389.6" u="1"/>
        <n v="224" u="1"/>
        <n v="246.92" u="1"/>
        <n v="222.62" u="1"/>
        <n v="100.0832" u="1"/>
        <n v="192.6597" u="1"/>
        <n v="5490.5799" u="1"/>
        <n v="444.4384" u="1"/>
        <n v="463.64" u="1"/>
        <n v="287.53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876.62" u="1"/>
        <n v="744.7899" u="1"/>
        <n v="149.59" u="1"/>
        <n v="464.65" u="1"/>
        <n v="1112.6976" u="1"/>
        <n v="790.23" u="1"/>
        <n v="268.32" u="1"/>
        <n v="1200" u="1"/>
        <n v="916.29" u="1"/>
        <n v="832.52" u="1"/>
        <n v="604.0299" u="1"/>
        <n v="464.6" u="1"/>
        <n v="18225" u="1"/>
        <n v="1778.9176" u="1"/>
        <n v="2123.6096" u="1"/>
        <n v="852.4688" u="1"/>
        <n v="834" u="1"/>
        <n v="590" u="1"/>
        <n v="351.26" u="1"/>
        <n v="657.8" u="1"/>
        <n v="738.27" u="1"/>
        <n v="723.8" u="1"/>
        <n v="561.2" u="1"/>
        <n v="544" u="1"/>
        <n v="1544.81" u="1"/>
        <n v="383.93" u="1"/>
        <n v="381.61" u="1"/>
        <n v="247.49" u="1"/>
        <n v="365.65" u="1"/>
        <n v="863.01" u="1"/>
        <n v="1127.27" u="1"/>
        <n v="770.99" u="1"/>
        <n v="738.1799999999999" u="1"/>
        <n v="299.52" u="1"/>
        <n v="300.6" u="1"/>
        <n v="585.3200000000001" u="1"/>
        <n v="596.4336" u="1"/>
        <n v="571.1664" u="1"/>
        <n v="6172.2" u="1"/>
        <n v="5527.32" u="1"/>
        <n v="7146.72" u="1"/>
        <n v="513.66" u="1"/>
        <n v="235.8" u="1"/>
        <n v="1046.41" u="1"/>
        <n v="352.4175" u="1"/>
        <n v="539.65" u="1"/>
        <n v="616.7" u="1"/>
        <n v="1348.76" u="1"/>
        <n v="361.6032" u="1"/>
        <n v="881.0816" u="1"/>
        <n v="771.5904" u="1"/>
        <n v="591.822" u="1"/>
        <n v="892.92" u="1"/>
        <n v="1702.46" u="1"/>
        <n v="155.54" u="1"/>
        <n v="589.3299" u="1"/>
        <n v="470.13" u="1"/>
        <n v="2185.512" u="1"/>
        <n v="549.0576" u="1"/>
        <n v="498.05" u="1"/>
        <n v="294.64" u="1"/>
        <n v="254.6096" u="1"/>
        <n v="366.0384" u="1"/>
        <n v="645.9712" u="1"/>
        <n v="467.0001" u="1"/>
        <n v="364.8" u="1"/>
        <n v="204.36" u="1"/>
        <n v="2700" u="1"/>
        <n v="263.34" u="1"/>
        <n v="221" u="1"/>
        <n v="1648.14" u="1"/>
        <n v="499.725" u="1"/>
        <n v="169.49" u="1"/>
        <n v="445.86" u="1"/>
        <n v="262.34" u="1"/>
        <n v="7978.24" u="1"/>
        <n v="636.456" u="1"/>
        <n v="390.3134" u="1"/>
        <n v="491.5299" u="1"/>
        <n v="474.885" u="1"/>
        <n v="173.74" u="1"/>
        <n v="316.2534" u="1"/>
        <n v="3475.8" u="1"/>
        <n v="1302.89" u="1"/>
        <n v="317.49" u="1"/>
        <n v="1460.4" u="1"/>
        <n v="1080.37" u="1"/>
        <n v="1429.64" u="1"/>
        <n v="1943.15" u="1"/>
        <n v="1479.45" u="1"/>
        <n v="2518.49" u="1"/>
        <n v="1280.96" u="1"/>
        <n v="1044.9608" u="1"/>
        <n v="162.83" u="1"/>
        <n v="5225.62" u="1"/>
        <n v="1658.52" u="1"/>
        <n v="1140.51" u="1"/>
        <n v="543.62" u="1"/>
        <n v="757.1522" u="1"/>
        <n v="1163.9269" u="1"/>
        <n v="628.23" u="1"/>
        <n v="559.92" u="1"/>
        <n v="994.4" u="1"/>
        <n v="2183.12" u="1"/>
        <n v="966.24" u="1"/>
        <n v="1327.2" u="1"/>
        <n v="340.36" u="1"/>
        <n v="312.72" u="1"/>
        <n v="479.12" u="1"/>
        <n v="511.59" u="1"/>
        <n v="908.58" u="1"/>
        <n v="412.82" u="1"/>
        <n v="923.1523999999999" u="1"/>
        <n v="568.3099999999999" u="1"/>
        <n v="1301.64" u="1"/>
        <n v="408.92" u="1"/>
        <n v="1770.15" u="1"/>
        <n v="244.25" u="1"/>
        <n v="1824.11" u="1"/>
        <n v="1198.83" u="1"/>
        <n v="1020.42" u="1"/>
        <n v="1807.45" u="1"/>
        <n v="500.2" u="1"/>
        <n v="2915.09" u="1"/>
        <n v="783.1775" u="1"/>
        <n v="961.72" u="1"/>
        <n v="1174.7662" u="1"/>
        <n v="627.3099999999999" u="1"/>
        <n v="2868.78" u="1"/>
        <n v="3515.24" u="1"/>
        <n v="1073.44" u="1"/>
        <n v="697.9400000000001" u="1"/>
        <n v="1309.95" u="1"/>
        <n v="979.9347" u="1"/>
        <n v="903.5" u="1"/>
        <n v="980.92" u="1"/>
        <n v="1945.47" u="1"/>
        <n v="5671.08" u="1"/>
        <n v="4634.1" u="1"/>
        <n v="856.35" u="1"/>
        <n v="1077.18" u="1"/>
        <n v="374.58" u="1"/>
        <n v="331.23" u="1"/>
        <n v="1202.46" u="1"/>
        <n v="229.71" u="1"/>
        <n v="220.13" u="1"/>
        <n v="1041.88" u="1"/>
        <n v="39894.33" u="1"/>
        <n v="5062.5" u="1"/>
        <n v="6431.94" u="1"/>
        <n v="333.2" u="1"/>
        <n v="1993.93" u="1"/>
        <n v="13358.35" u="1"/>
        <n v="1634.39" u="1"/>
        <n v="4275.69" u="1"/>
        <n v="9326.940000000001" u="1"/>
        <n v="1060.22" u="1"/>
        <n v="5182.22" u="1"/>
        <n v="1565.79" u="1"/>
        <n v="2779.03" u="1"/>
        <n v="29011.59" u="1"/>
        <n v="5346.38" u="1"/>
        <n v="741" u="1"/>
        <n v="654.55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2" u="1"/>
        <n v="237.9" u="1"/>
        <n v="3075.91" u="1"/>
        <n v="1449.8" u="1"/>
        <n v="886.8" u="1"/>
        <n v="3047.82" u="1"/>
        <n v="4609.98" u="1"/>
        <n v="22261.27" u="1"/>
        <n v="442.25" u="1"/>
        <n v="473.55" u="1"/>
        <n v="11087.8" u="1"/>
        <n v="1497.852" u="1"/>
        <n v="2891.49" u="1"/>
        <n v="787.5" u="1"/>
        <n v="2495" u="1"/>
        <n v="998" u="1"/>
        <n v="1593.07" u="1"/>
        <n v="1694.54" u="1"/>
        <n v="250.95" u="1"/>
        <n v="1280.4" u="1"/>
        <n v="564.7701" u="1"/>
        <n v="637.6599" u="1"/>
        <n v="194.1" u="1"/>
        <n v="5080.8765" u="1"/>
        <n v="212" u="1"/>
        <n v="576.9607999999999" u="1"/>
        <n v="573.6742" u="1"/>
        <n v="804.6" u="1"/>
        <n v="1472" u="1"/>
        <n v="304.53" u="1"/>
        <n v="1208.88" u="1"/>
        <n v="488.2" u="1"/>
        <n v="9409" u="1"/>
        <n v="4040" u="1"/>
        <n v="304" u="1"/>
        <n v="1152" u="1"/>
        <n v="786.6" u="1"/>
        <n v="7861.6" u="1"/>
        <n v="5055.3" u="1"/>
        <n v="780" u="1"/>
        <n v="1994.09" u="1"/>
        <n v="284.44" u="1"/>
        <n v="558.64" u="1"/>
        <n v="574.55" u="1"/>
        <n v="1052.37" u="1"/>
        <n v="761.11" u="1"/>
        <n v="871.6799999999999" u="1"/>
        <n v="1640.62" u="1"/>
        <n v="532.36" u="1"/>
        <n v="1679.04" u="1"/>
        <n v="400.31" u="1"/>
        <n v="3452.49" u="1"/>
        <n v="3929.44" u="1"/>
        <n v="643.2" u="1"/>
        <n v="1126.24" u="1"/>
        <n v="548.34" u="1"/>
        <n v="1263.92" u="1"/>
        <n v="203.4" u="1"/>
        <n v="4153.09" u="1"/>
        <n v="407.61" u="1"/>
        <n v="2104.19" u="1"/>
        <n v="396.45" u="1"/>
        <n v="413.34" u="1"/>
        <n v="20997.12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946" u="1"/>
        <n v="1419" u="1"/>
        <n v="295.62" u="1"/>
        <n v="607" u="1"/>
        <n v="308" u="1"/>
        <n v="497.58" u="1"/>
        <n v="239" u="1"/>
        <n v="13776.0714" u="1"/>
        <n v="1364.76" u="1"/>
        <n v="869" u="1"/>
        <n v="1980" u="1"/>
        <n v="3307.5" u="1"/>
        <n v="2900" u="1"/>
        <n v="117.78" u="1"/>
        <n v="339.93" u="1"/>
        <n v="100.1" u="1"/>
        <n v="849" u="1"/>
        <n v="889.2" u="1"/>
        <n v="2593.8297" u="1"/>
        <n v="4751.16" u="1"/>
        <n v="10853.1808" u="1"/>
        <n v="836.09" u="1"/>
        <n v="681.76" u="1"/>
        <n v="481" u="1"/>
        <n v="625.59" u="1"/>
        <n v="1235.83" u="1"/>
        <n v="1449.45" u="1"/>
        <n v="708.64" u="1"/>
        <n v="1294.32" u="1"/>
        <n v="816.3200000000001" u="1"/>
        <n v="1157.12" u="1"/>
        <n v="1006" u="1"/>
        <n v="823.13" u="1"/>
        <n v="2219.54" u="1"/>
        <n v="2405.1" u="1"/>
        <n v="789.96" u="1"/>
        <n v="3263.82" u="1"/>
        <n v="4918.47" u="1"/>
        <n v="5546.573" u="1"/>
        <n v="679.37" u="1"/>
        <n v="11810.88" u="1"/>
        <n v="38798.76" u="1"/>
        <n v="4047.6" u="1"/>
        <n v="4274.26" u="1"/>
        <n v="4263.47" u="1"/>
        <n v="1198.74" u="1"/>
        <n v="2538.95" u="1"/>
        <n v="433.84" u="1"/>
        <n v="675.62" u="1"/>
        <n v="586.4400000000001" u="1"/>
        <n v="837.67" u="1"/>
        <n v="690.99" u="1"/>
        <n v="300.59" u="1"/>
        <n v="953.92" u="1"/>
        <n v="1380.22" u="1"/>
        <n v="702.89" u="1"/>
        <n v="1890.86" u="1"/>
        <n v="1206" u="1"/>
        <n v="5538" u="1"/>
        <n v="3339" u="1"/>
        <n v="1349" u="1"/>
        <n v="189.6" u="1"/>
        <n v="2589.7984" u="1"/>
        <n v="659.9199" u="1"/>
        <n v="572.5104" u="1"/>
        <n v="609.168" u="1"/>
        <n v="432.2066" u="1"/>
        <n v="427.67" u="1"/>
        <n v="434.61" u="1"/>
        <n v="577.597" u="1"/>
        <n v="284.9" u="1"/>
        <n v="247.92" u="1"/>
        <n v="1119" u="1"/>
        <n v="2058.26" u="1"/>
        <n v="1142.94" u="1"/>
        <n v="1098.51" u="1"/>
        <n v="1943.16" u="1"/>
        <n v="7087.52" u="1"/>
        <n v="262.8" u="1"/>
        <n v="361.04" u="1"/>
        <n v="903.2" u="1"/>
        <n v="956" u="1"/>
        <n v="2985" u="1"/>
        <n v="843.75" u="1"/>
        <n v="590.15" u="1"/>
        <n v="790.3" u="1"/>
        <n v="811.3" u="1"/>
        <n v="474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" u="1"/>
        <n v="3647.48" u="1"/>
        <n v="865.16" u="1"/>
        <n v="226.71" u="1"/>
        <n v="0.06" u="1"/>
        <n v="983.92" u="1"/>
        <n v="907.5" u="1"/>
        <n v="774.24" u="1"/>
        <n v="630.9" u="1"/>
        <n v="1583.4768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094.02" u="1"/>
        <n v="3766.5" u="1"/>
        <n v="1746" u="1"/>
        <n v="1174" u="1"/>
        <n v="134.92" u="1"/>
        <n v="299.92" u="1"/>
        <n v="253.42" u="1"/>
        <n v="2069.52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801.1" u="1"/>
        <n v="235.88" u="1"/>
        <n v="86.5" u="1"/>
        <n v="947.9" u="1"/>
        <n v="778.17" u="1"/>
        <n v="2988.9" u="1"/>
        <n v="2087.44" u="1"/>
        <n v="1474.86" u="1"/>
        <n v="1103.1" u="1"/>
        <n v="785.8" u="1"/>
        <n v="1403.76" u="1"/>
        <n v="734.92" u="1"/>
        <n v="2154.59" u="1"/>
        <n v="444.6" u="1"/>
        <n v="1338.96" u="1"/>
        <n v="458.92" u="1"/>
        <n v="1941.43" u="1"/>
        <n v="13217.1015" u="1"/>
        <n v="70.20999999999999" u="1"/>
        <n v="46.23" u="1"/>
        <n v="218.22" u="1"/>
        <n v="213.56" u="1"/>
        <n v="654.49" u="1"/>
        <n v="692.75" u="1"/>
        <n v="533.8" u="1"/>
        <n v="905" u="1"/>
        <n v="15562.72" u="1"/>
        <n v="2264.36" u="1"/>
        <n v="2456.09" u="1"/>
        <n v="514" u="1"/>
        <n v="34944.52" u="1"/>
        <n v="3708.48" u="1"/>
        <n v="15775.48" u="1"/>
        <n v="4108.16" u="1"/>
        <n v="1129.97" u="1"/>
        <n v="1001.08" u="1"/>
        <n v="500.8226" u="1"/>
        <n v="558.3884" u="1"/>
        <n v="1641.731" u="1"/>
        <n v="2211.34" u="1"/>
        <n v="2076.8832" u="1"/>
        <n v="1104.264" u="1"/>
        <n v="2518.0512" u="1"/>
        <n v="1435" u="1"/>
        <n v="244" u="1"/>
        <n v="211.55" u="1"/>
        <n v="168" u="1"/>
        <n v="357.87" u="1"/>
        <n v="92.83" u="1"/>
        <n v="2142.8" u="1"/>
        <n v="2292.48" u="1"/>
        <n v="3429" u="1"/>
        <n v="815.673" u="1"/>
        <n v="2105.18" u="1"/>
        <n v="417.74" u="1"/>
        <n v="1827.8" u="1"/>
        <n v="476" u="1"/>
        <n v="2391.27" u="1"/>
        <n v="2112" u="1"/>
        <n v="433.76" u="1"/>
        <n v="4084.596" u="1"/>
        <n v="2613.704" u="1"/>
        <n v="81.3" u="1"/>
        <n v="78.29000000000001" u="1"/>
        <n v="150.35" u="1"/>
        <n v="148.68" u="1"/>
        <n v="342.08" u="1"/>
        <n v="57.15" u="1"/>
        <n v="3748.6" u="1"/>
        <n v="538" u="1"/>
        <n v="138.6" u="1"/>
        <n v="352.75" u="1"/>
        <n v="251.055" u="1"/>
        <n v="403.065" u="1"/>
        <n v="1240" u="1"/>
        <n v="2360" u="1"/>
        <n v="414" u="1"/>
        <n v="500.0301" u="1"/>
        <n v="367.2032" u="1"/>
        <n v="405.5475" u="1"/>
        <n v="5741.4" u="1"/>
        <n v="93.22" u="1"/>
        <n v="364.7392" u="1"/>
        <n v="260.8704" u="1"/>
        <n v="1273.94" u="1"/>
        <n v="117" u="1"/>
        <n v="903" u="1"/>
        <n v="354.72" u="1"/>
        <n v="229.59" u="1"/>
        <n v="625.3200000000001" u="1"/>
        <n v="9921.190000000001" u="1"/>
        <n v="7750.49" u="1"/>
        <n v="1181.02" u="1"/>
        <n v="20916.06" u="1"/>
        <n v="3296.6" u="1"/>
        <n v="17747.12" u="1"/>
        <n v="17795.31" u="1"/>
        <n v="43540.7472" u="1"/>
        <n v="4772.54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6" u="1"/>
        <n v="3530.9" u="1"/>
        <n v="8390.129999999999" u="1"/>
        <n v="905.79" u="1"/>
        <n v="3100.86" u="1"/>
        <n v="21598.78" u="1"/>
        <n v="25096.062" u="1"/>
        <n v="2336.78" u="1"/>
        <n v="18964.37" u="1"/>
        <n v="37618.96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1" u="1"/>
        <n v="1183.7853" u="1"/>
        <n v="3008" u="1"/>
        <n v="2454.28" u="1"/>
        <n v="220.45" u="1"/>
        <n v="4781" u="1"/>
        <n v="697.38" u="1"/>
        <n v="2022.12" u="1"/>
        <n v="433.09" u="1"/>
        <n v="1165.85" u="1"/>
        <n v="637.02" u="1"/>
        <n v="637.03" u="1"/>
        <n v="574.4" u="1"/>
        <n v="1136.09" u="1"/>
        <n v="555.4400000000001" u="1"/>
        <n v="1993.1" u="1"/>
        <n v="1908.64" u="1"/>
        <n v="672.6" u="1"/>
        <n v="572.84" u="1"/>
        <n v="686.3200000000001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" u="1"/>
        <n v="1488.72" u="1"/>
        <n v="1097.44" u="1"/>
        <n v="357.8" u="1"/>
        <n v="1023.87" u="1"/>
        <n v="1201.11" u="1"/>
        <n v="999.89" u="1"/>
        <n v="495.8" u="1"/>
        <n v="5116.96" u="1"/>
        <n v="1190" u="1"/>
        <n v="391.13" u="1"/>
        <n v="6291.72" u="1"/>
        <n v="2099.08" u="1"/>
        <n v="4141.67" u="1"/>
        <n v="917.96" u="1"/>
        <n v="632.8" u="1"/>
        <n v="1514.34" u="1"/>
        <n v="8062" u="1"/>
        <n v="2445.83" u="1"/>
        <n v="11427.9511" u="1"/>
        <n v="22027.1484" u="1"/>
        <n v="5064.6993" u="1"/>
        <n v="24815.27" u="1"/>
        <n v="787.7184" u="1"/>
        <n v="3963.33" u="1"/>
        <n v="304.0352" u="1"/>
        <n v="432.17" u="1"/>
        <n v="6099.25" u="1"/>
        <n v="574.3248" u="1"/>
        <n v="446.2752" u="1"/>
        <n v="774.3792" u="1"/>
        <n v="5243" u="1"/>
        <n v="325" u="1"/>
        <n v="752.73" u="1"/>
        <n v="139" u="1"/>
        <n v="154.8" u="1"/>
        <n v="143" u="1"/>
        <n v="548.02" u="1"/>
        <n v="283.02" u="1"/>
        <n v="286.04" u="1"/>
        <n v="6488.2" u="1"/>
        <n v="1622.05" u="1"/>
        <n v="4866.15" u="1"/>
        <n v="2350.03" u="1"/>
        <n v="1545.41" u="1"/>
        <n v="856.3" u="1"/>
        <n v="1031.76" u="1"/>
        <n v="1221.91" u="1"/>
        <n v="606.88" u="1"/>
        <n v="329.3" u="1"/>
        <n v="1485.6536" u="1"/>
        <n v="852.928" u="1"/>
        <n v="812.0599999999999" u="1"/>
        <n v="455.51" u="1"/>
        <n v="325.38" u="1"/>
        <n v="590.7399" u="1"/>
        <n v="559.74" u="1"/>
        <n v="871.24" u="1"/>
        <n v="330.1666" u="1"/>
        <n v="3191.605" u="1"/>
        <n v="102" u="1"/>
        <n v="1141.4004" u="1"/>
        <n v="258.78" u="1"/>
        <n v="730.71" u="1"/>
        <n v="6196.32" u="1"/>
        <n v="539.28" u="1"/>
        <n v="746.4457" u="1"/>
        <n v="1225.02" u="1"/>
        <n v="1394.84" u="1"/>
        <n v="4630.78" u="1"/>
        <n v="1162.43" u="1"/>
        <n v="6068.29" u="1"/>
        <n v="9215.88999999999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" u="1"/>
        <n v="951.2" u="1"/>
        <n v="9834.98" u="1"/>
        <n v="4644.23" u="1"/>
        <n v="7070.15" u="1"/>
        <n v="9181.34" u="1"/>
        <n v="4497.65" u="1"/>
        <n v="3676.91" u="1"/>
        <n v="6918.66" u="1"/>
        <n v="9050.530000000001" u="1"/>
        <n v="444.25" u="1"/>
        <n v="991.3701" u="1"/>
        <n v="1083.86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" u="1"/>
        <n v="1221" u="1"/>
        <n v="2608.23" u="1"/>
        <n v="1268.57" u="1"/>
        <n v="8820.2192" u="1"/>
        <n v="29460.8664" u="1"/>
        <n v="29536.3656" u="1"/>
        <n v="25863.882" u="1"/>
        <n v="32068.2582" u="1"/>
        <n v="12428.3412" u="1"/>
        <n v="3900.2495" u="1"/>
        <n v="1240.344" u="1"/>
        <n v="89.22" u="1"/>
        <n v="3411.19" u="1"/>
        <n v="1904.19" u="1"/>
        <n v="61" u="1"/>
        <n v="144" u="1"/>
        <n v="9670.3505" u="1"/>
        <n v="1834.87" u="1"/>
        <n v="2666.316" u="1"/>
        <n v="816.6799999999999" u="1"/>
        <n v="176.3" u="1"/>
        <n v="1" u="1"/>
        <n v="931.5599999999999" u="1"/>
        <n v="480.04" u="1"/>
        <n v="1594.03" u="1"/>
        <n v="696.83" u="1"/>
        <n v="564.87" u="1"/>
        <n v="1178.22" u="1"/>
        <n v="41799.5592" u="1"/>
        <n v="5640.8688" u="1"/>
        <n v="3657.19" u="1"/>
        <n v="5160" u="1"/>
        <n v="86.0889" u="1"/>
        <n v="192.63" u="1"/>
        <n v="1873" u="1"/>
        <n v="4094.16" u="1"/>
        <n v="677.928" u="1"/>
        <n v="919.59" u="1"/>
        <n v="7024.16" u="1"/>
        <n v="1049" u="1"/>
        <n v="2145" u="1"/>
        <n v="812176.8786000001" u="1"/>
        <n v="7100.87" u="1"/>
        <n v="229.2" u="1"/>
        <n v="619.2" u="1"/>
        <n v="274.51" u="1"/>
        <n v="2889.936" u="1"/>
        <n v="809.7" u="1"/>
        <n v="159.715" u="1"/>
        <n v="170.365" u="1"/>
        <n v="2464.52" u="1"/>
        <n v="1224.3" u="1"/>
        <n v="4802.1138" u="1"/>
        <n v="1335.02" u="1"/>
        <n v="1472.04" u="1"/>
        <n v="2131.75" u="1"/>
        <n v="1956.04" u="1"/>
        <n v="2407.19" u="1"/>
        <n v="4933.11" u="1"/>
        <n v="2533.73" u="1"/>
        <n v="9937.41" u="1"/>
        <n v="3154.9835" u="1"/>
        <n v="624.2935" u="1"/>
        <n v="884.45" u="1"/>
        <n v="558.67" u="1"/>
        <n v="1895.7323" u="1"/>
        <n v="1516.8013" u="1"/>
        <n v="1215.06" u="1"/>
        <n v="446.86" u="1"/>
        <n v="2924.21" u="1"/>
        <n v="5221.12" u="1"/>
        <n v="851.2007" u="1"/>
        <n v="1465.354" u="1"/>
        <n v="946.5" u="1"/>
        <n v="1152.06" u="1"/>
        <n v="1404.5787" u="1"/>
        <n v="1442.6652" u="1"/>
        <n v="969.0857999999999" u="1"/>
        <n v="1365.8936" u="1"/>
        <n v="1762.9734" u="1"/>
        <n v="19657.91" u="1"/>
        <n v="21751.36" u="1"/>
        <n v="3804.75" u="1"/>
        <n v="22104.9" u="1"/>
        <n v="18021.96" u="1"/>
        <n v="582.6799999999999" u="1"/>
        <n v="1992.42" u="1"/>
        <n v="208.24" u="1"/>
        <n v="5234.2387" u="1"/>
        <n v="1549.9062" u="1"/>
        <n v="832.627" u="1"/>
        <n v="3766.9804" u="1"/>
        <n v="2279.76" u="1"/>
        <n v="2098.71" u="1"/>
        <n v="543.92" u="1"/>
        <n v="24863.772" u="1"/>
        <n v="1559.86" u="1"/>
        <n v="2773.0839" u="1"/>
        <n v="1518.9472" u="1"/>
        <n v="2898.3043" u="1"/>
        <n v="2402.175" u="1"/>
        <n v="2597.3959" u="1"/>
        <n v="18197.04" u="1"/>
        <n v="15062.09" u="1"/>
        <n v="367.09" u="1"/>
        <n v="1238.16" u="1"/>
        <n v="957.35" u="1"/>
        <n v="1997.1" u="1"/>
        <n v="4939.11" u="1"/>
        <n v="97.48" u="1"/>
        <n v="813.27" u="1"/>
        <n v="2785.9" u="1"/>
        <n v="650.1824" u="1"/>
        <n v="826.28" u="1"/>
        <n v="7743.72" u="1"/>
        <n v="432.16" u="1"/>
        <n v="2292.9" u="1"/>
        <n v="193.2" u="1"/>
        <n v="1616" u="1"/>
        <n v="2651.8" u="1"/>
        <n v="3444.7204" u="1"/>
        <n v="783.104" u="1"/>
        <n v="1478.39" u="1"/>
        <n v="637.98" u="1"/>
        <n v="1679.03" u="1"/>
        <n v="431.88" u="1"/>
        <n v="883.2" u="1"/>
        <n v="9015.606599999999" u="1"/>
        <n v="329.8466" u="1"/>
        <n v="694.59" u="1"/>
        <n v="582.3085" u="1"/>
        <n v="38720.82" u="1"/>
        <n v="1168" u="1"/>
        <n v="626.3165" u="1"/>
        <n v="312.4576" u="1"/>
        <n v="1094" u="1"/>
        <n v="1693.6" u="1"/>
        <n v="1417.09" u="1"/>
        <n v="977.52" u="1"/>
        <n v="387" u="1"/>
        <n v="531.6" u="1"/>
        <n v="976.35" u="1"/>
        <n v="219.12" u="1"/>
        <n v="8668.440000000001" u="1"/>
        <n v="1336.31" u="1"/>
        <n v="1127.65" u="1"/>
        <n v="1022.25" u="1"/>
        <n v="623.2" u="1"/>
        <n v="368.63" u="1"/>
        <n v="10184.5" u="1"/>
        <n v="490.5152" u="1"/>
        <n v="176.232" u="1"/>
        <n v="773.136" u="1"/>
        <n v="422.446" u="1"/>
        <n v="476.336" u="1"/>
        <n v="820.2655999999999" u="1"/>
        <n v="289.4752" u="1"/>
        <n v="367.8864" u="1"/>
        <n v="788.72" u="1"/>
        <n v="1306.68" u="1"/>
        <n v="369.6" u="1"/>
        <n v="2213.92" u="1"/>
        <n v="3872.352" u="1"/>
        <n v="1936.176" u="1"/>
        <n v="759" u="1"/>
        <n v="540.55" u="1"/>
        <n v="2237.94" u="1"/>
        <n v="1810.78" u="1"/>
        <n v="2540.53" u="1"/>
        <n v="558.24" u="1"/>
        <n v="694.8" u="1"/>
        <n v="278.4" u="1"/>
        <n v="1956.3" u="1"/>
        <n v="387.39" u="1"/>
        <n v="1038.21" u="1"/>
        <n v="419.92" u="1"/>
        <n v="518.3200000000001" u="1"/>
        <n v="313.11" u="1"/>
        <n v="8032.392" u="1"/>
        <n v="2347.968" u="1"/>
        <n v="206.67" u="1"/>
        <n v="754.2864" u="1"/>
        <n v="387.8" u="1"/>
        <n v="24223.13" u="1"/>
        <n v="699.8" u="1"/>
        <n v="555.6099" u="1"/>
        <n v="41.9" u="1"/>
        <n v="104.23" u="1"/>
        <n v="869.5232" u="1"/>
        <n v="872" u="1"/>
        <n v="79.90000000000001" u="1"/>
        <n v="40.44" u="1"/>
        <n v="1329.37" u="1"/>
        <n v="448.081" u="1"/>
        <n v="4555.3" u="1"/>
        <n v="1374.95" u="1"/>
        <n v="1085.84" u="1"/>
        <n v="445.05" u="1"/>
        <n v="7347.648" u="1"/>
        <n v="717.4272" u="1"/>
        <n v="283.1066" u="1"/>
        <n v="703.5665" u="1"/>
        <n v="3489.09" u="1"/>
        <n v="450.015" u="1"/>
        <n v="477.8816" u="1"/>
        <n v="734.3616" u="1"/>
        <n v="1220" u="1"/>
        <n v="318.25" u="1"/>
        <n v="3236.1302" u="1"/>
        <n v="2908.56" u="1"/>
        <n v="4623.27" u="1"/>
        <n v="196.7056" u="1"/>
        <n v="390.2752" u="1"/>
        <n v="177.24" u="1"/>
        <n v="1442.22" u="1"/>
        <n v="1007.12" u="1"/>
        <n v="31426.72" u="1"/>
        <n v="1357.5852" u="1"/>
        <n v="368.2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" u="1"/>
        <n v="360.72" u="1"/>
        <n v="512.9" u="1"/>
        <n v="1933.03" u="1"/>
        <n v="904.34" u="1"/>
        <n v="1667.02" u="1"/>
        <n v="732.45" u="1"/>
        <n v="195.55" u="1"/>
        <n v="1531.04" u="1"/>
        <n v="553.49" u="1"/>
        <n v="408.42" u="1"/>
        <n v="408.41" u="1"/>
        <n v="874.5599999999999" u="1"/>
        <n v="397.13" u="1"/>
        <n v="789.52" u="1"/>
        <n v="209.99" u="1"/>
        <n v="1049.95" u="1"/>
        <n v="689.97" u="1"/>
        <n v="629.97" u="1"/>
        <n v="577.47" u="1"/>
        <n v="839.96" u="1"/>
        <n v="618.67" u="1"/>
        <n v="21271.488" u="1"/>
        <n v="237600" u="1"/>
        <n v="196.36" u="1"/>
        <n v="439.5552" u="1"/>
        <n v="961.0496000000001" u="1"/>
        <n v="527.7075" u="1"/>
        <n v="629" u="1"/>
        <n v="820.5119999999999" u="1"/>
        <n v="3042" u="1"/>
        <n v="195.715" u="1"/>
        <n v="201.24" u="1"/>
        <n v="2872.4" u="1"/>
        <n v="795.72" u="1"/>
        <n v="594.08" u="1"/>
        <n v="222.49" u="1"/>
        <n v="268.09" u="1"/>
        <n v="2783.8608" u="1"/>
        <n v="1158.76" u="1"/>
        <n v="954.73" u="1"/>
        <n v="720.712" u="1"/>
        <n v="1617.96" u="1"/>
        <n v="233.46" u="1"/>
        <n v="708.71" u="1"/>
        <n v="786.3072" u="1"/>
        <n v="826.224" u="1"/>
        <n v="248.34" u="1"/>
        <n v="1325.072" u="1"/>
        <n v="522.0096" u="1"/>
        <n v="731.85" u="1"/>
        <n v="384.12" u="1"/>
        <n v="159.4768" u="1"/>
        <n v="964.72" u="1"/>
        <n v="49.25" u="1"/>
        <n v="367.2256" u="1"/>
        <n v="403.9392" u="1"/>
        <n v="377.72" u="1"/>
        <n v="177.09" u="1"/>
        <n v="124.05" u="1"/>
        <n v="249.26" u="1"/>
        <n v="164.08" u="1"/>
        <n v="10154.59" u="1"/>
        <n v="1348.9168" u="1"/>
        <n v="358.7136" u="1"/>
        <n v="1973" u="1"/>
        <n v="201.93" u="1"/>
        <n v="175.25" u="1"/>
        <n v="103.77" u="1"/>
        <n v="473.34" u="1"/>
        <n v="1429.032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" u="1"/>
        <n v="685.7536" u="1"/>
        <n v="599.9001" u="1"/>
        <n v="638.7201" u="1"/>
        <n v="429.57" u="1"/>
        <n v="574.8375" u="1"/>
        <n v="364.0896" u="1"/>
        <n v="618.408" u="1"/>
        <n v="177.22" u="1"/>
        <n v="508.368" u="1"/>
        <n v="154.56" u="1"/>
        <n v="485.9456" u="1"/>
        <n v="620.528" u="1"/>
        <n v="420.39" u="1"/>
        <n v="541.92" u="1"/>
        <n v="1251.31" u="1"/>
        <n v="1596.98" u="1"/>
        <n v="525.22" u="1"/>
        <n v="962.1" u="1"/>
        <n v="291.8" u="1"/>
        <n v="1009" u="1"/>
        <n v="1029" u="1"/>
        <n v="701.3200000000001" u="1"/>
        <n v="379" u="1"/>
        <n v="249.6" u="1"/>
        <n v="2043" u="1"/>
        <n v="275.1" u="1"/>
        <n v="914.1" u="1"/>
        <n v="192.165" u="1"/>
        <n v="1093.98" u="1"/>
        <n v="402.6288" u="1"/>
        <n v="677.824" u="1"/>
        <n v="814.184" u="1"/>
        <n v="475.0704" u="1"/>
        <n v="399.9744" u="1"/>
        <n v="218.3552" u="1"/>
        <n v="316.7136" u="1"/>
        <n v="597.352" u="1"/>
        <n v="1070.4064" u="1"/>
        <n v="436.6656" u="1"/>
        <n v="624.4448" u="1"/>
        <n v="641.76" u="1"/>
        <n v="1674.624" u="1"/>
        <n v="345.87" u="1"/>
        <n v="249.8" u="1"/>
        <n v="550.7712" u="1"/>
        <n v="1006.06" u="1"/>
        <n v="725.62" u="1"/>
        <n v="336.12" u="1"/>
        <n v="271.48" u="1"/>
        <n v="745.75" u="1"/>
        <n v="6001.35" u="1"/>
        <n v="19513.86" u="1"/>
        <n v="526.13" u="1"/>
        <n v="496" u="1"/>
        <n v="2344.9" u="1"/>
        <n v="1895.88" u="1"/>
        <n v="1444.72" u="1"/>
        <n v="1017.4" u="1"/>
        <n v="1556.82" u="1"/>
        <n v="459.27" u="1"/>
        <n v="2753.47" u="1"/>
        <n v="1034.92" u="1"/>
        <n v="179.36" u="1"/>
        <n v="633.67" u="1"/>
        <n v="350.47" u="1"/>
        <n v="404.16" u="1"/>
        <n v="1905.46" u="1"/>
        <n v="2650.63" u="1"/>
        <n v="339.17" u="1"/>
        <n v="530.3200000000001" u="1"/>
        <n v="681.67" u="1"/>
        <n v="962.95" u="1"/>
        <n v="3225.44" u="1"/>
        <n v="619.9400000000001" u="1"/>
        <n v="269.04" u="1"/>
        <n v="757.25" u="1"/>
        <n v="1384.42" u="1"/>
        <n v="373" u="1"/>
        <n v="675.9" u="1"/>
        <n v="1764.11" u="1"/>
        <n v="524.25" u="1"/>
        <n v="787.8" u="1"/>
        <n v="449.28" u="1"/>
        <n v="1488.56" u="1"/>
        <n v="269.1" u="1"/>
        <n v="421.71" u="1"/>
        <n v="498.58" u="1"/>
        <n v="213.66" u="1"/>
        <n v="5032.69" u="1"/>
        <n v="3543.27" u="1"/>
        <n v="649.38" u="1"/>
        <n v="1181.76" u="1"/>
        <n v="1233.0802" u="1"/>
        <n v="587.3" u="1"/>
        <n v="3009.86" u="1"/>
        <n v="5312.67" u="1"/>
        <n v="7357.56" u="1"/>
        <n v="3840" u="1"/>
        <n v="9654.110000000001" u="1"/>
        <n v="1847.49" u="1"/>
        <n v="2602.184" u="1"/>
        <n v="218.99" u="1"/>
        <n v="906.72" u="1"/>
        <n v="997.1067" u="1"/>
        <n v="1947.7477" u="1"/>
        <n v="1483.47" u="1"/>
        <n v="3211.25" u="1"/>
        <n v="2381.8" u="1"/>
        <n v="3590.1498" u="1"/>
        <n v="1483.4723" u="1"/>
        <n v="9359" u="1"/>
        <n v="82.09" u="1"/>
        <n v="587.99" u="1"/>
        <n v="45294.25" u="1"/>
        <n v="394" u="1"/>
        <n v="977.8" u="1"/>
        <n v="652.064" u="1"/>
        <n v="299.68" u="1"/>
        <n v="1455.32" u="1"/>
        <n v="1671.55" u="1"/>
        <n v="364.75" u="1"/>
        <n v="3106.7898" u="1"/>
        <n v="219.4" u="1"/>
        <n v="556.38" u="1"/>
        <n v="2351.25" u="1"/>
        <n v="1719.9279" u="1"/>
        <n v="1063.3692" u="1"/>
        <n v="2193.6976" u="1"/>
        <n v="1331.0001" u="1"/>
        <n v="541.365" u="1"/>
        <n v="894.45" u="1"/>
        <n v="7480.1181" u="1"/>
        <n v="2248.8" u="1"/>
        <n v="1292.1976" u="1"/>
        <n v="2817.1844" u="1"/>
        <n v="934.106" u="1"/>
        <n v="1112.04" u="1"/>
        <n v="5459.7234" u="1"/>
        <n v="768" u="1"/>
        <n v="1487.4" u="1"/>
        <n v="1256.269" u="1"/>
        <n v="257.61" u="1"/>
        <n v="909" u="1"/>
        <n v="54.78" u="1"/>
        <n v="9412.272000000001" u="1"/>
        <n v="20524.625" u="1"/>
        <n v="8538.99" u="1"/>
        <n v="1067.6" u="1"/>
        <n v="433.68" u="1"/>
        <n v="1430" u="1"/>
        <n v="376.69" u="1"/>
        <n v="502.25" u="1"/>
        <n v="342.18" u="1"/>
        <n v="283.99" u="1"/>
        <n v="1977.88" u="1"/>
        <n v="4655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1" u="1"/>
        <n v="1894.5" u="1"/>
        <n v="1938.11" u="1"/>
        <n v="412.45" u="1"/>
        <n v="756.92" u="1"/>
        <n v="945.1" u="1"/>
        <n v="18777.66" u="1"/>
        <n v="2472.72" u="1"/>
        <n v="190.98" u="1"/>
        <n v="2725.44" u="1"/>
        <n v="811.12" u="1"/>
        <n v="1240.72" u="1"/>
        <n v="2206.32" u="1"/>
        <n v="859.04" u="1"/>
        <n v="1940.46" u="1"/>
        <n v="1957.52" u="1"/>
        <n v="492.72" u="1"/>
        <n v="449.9" u="1"/>
        <n v="2001.341" u="1"/>
        <n v="1379.0062" u="1"/>
        <n v="1627.39" u="1"/>
        <n v="2607.7337" u="1"/>
        <n v="4699.52" u="1"/>
        <n v="394.8" u="1"/>
        <n v="1348.2" u="1"/>
        <n v="424.26" u="1"/>
        <n v="955.34" u="1"/>
        <n v="625.42" u="1"/>
        <n v="725.84" u="1"/>
        <n v="1532.31" u="1"/>
        <n v="921.9299999999999" u="1"/>
        <n v="508.57" u="1"/>
        <n v="636.59" u="1"/>
        <n v="628.42" u="1"/>
        <n v="455.92" u="1"/>
        <n v="451.14" u="1"/>
        <n v="2527.78" u="1"/>
        <n v="1241.17" u="1"/>
        <n v="285.45" u="1"/>
        <n v="483.84" u="1"/>
        <n v="1858.34" u="1"/>
        <n v="507.3514" u="1"/>
        <n v="431.1" u="1"/>
        <n v="10591.68" u="1"/>
        <n v="626.99" u="1"/>
        <n v="472.2775" u="1"/>
        <n v="1629.45" u="1"/>
        <n v="291" u="1"/>
        <n v="895.9" u="1"/>
        <n v="1392.7398" u="1"/>
        <n v="268.95" u="1"/>
        <n v="278.33" u="1"/>
        <n v="3706.758" u="1"/>
        <n v="791.2632" u="1"/>
        <n v="1599.784" u="1"/>
        <n v="2155.32" u="1"/>
        <n v="825.3" u="1"/>
        <n v="222.17" u="1"/>
        <n v="440.9" u="1"/>
        <n v="185.5" u="1"/>
        <n v="233.36" u="1"/>
        <n v="1279.432" u="1"/>
        <n v="896.896" u="1"/>
        <n v="1018.08" u="1"/>
        <n v="1782.9504" u="1"/>
        <n v="3558.969" u="1"/>
        <n v="2472" u="1"/>
        <n v="201.97" u="1"/>
        <n v="626.48" u="1"/>
        <n v="268.42" u="1"/>
        <n v="717.4299999999999" u="1"/>
        <n v="566.2899" u="1"/>
        <n v="299.98" u="1"/>
        <n v="800.144" u="1"/>
        <n v="342.88" u="1"/>
        <n v="66.09999999999999" u="1"/>
        <n v="65.92" u="1"/>
        <n v="1327.5" u="1"/>
        <n v="1728" u="1"/>
        <n v="716" u="1"/>
        <n v="339.2592" u="1"/>
        <n v="379.9908" u="1"/>
        <n v="1061.5212" u="1"/>
        <n v="2075.45" u="1"/>
        <n v="2152.4658" u="1"/>
        <n v="332.01" u="1"/>
        <n v="1712.56" u="1"/>
        <n v="3950.8895" u="1"/>
        <n v="568" u="1"/>
        <n v="13956.4692" u="1"/>
        <n v="1521.356" u="1"/>
        <n v="1050.8736" u="1"/>
        <n v="381.99" u="1"/>
        <n v="426.37" u="1"/>
        <n v="796.33" u="1"/>
        <n v="759.87" u="1"/>
        <n v="616.4928" u="1"/>
        <n v="610.71" u="1"/>
        <n v="8041.0176" u="1"/>
        <n v="273.8176" u="1"/>
        <n v="1255.5" u="1"/>
        <n v="3750" u="1"/>
        <n v="5400" u="1"/>
        <n v="209.5" u="1"/>
        <n v="68.45" u="1"/>
        <n v="366.04" u="1"/>
        <n v="370.4" u="1"/>
        <n v="886.26" u="1"/>
        <n v="371.0448" u="1"/>
        <n v="163.352" u="1"/>
        <n v="1025.024" u="1"/>
        <n v="245.2576" u="1"/>
        <n v="218.45" u="1"/>
        <n v="382.815" u="1"/>
        <n v="574.665" u="1"/>
        <n v="1060.4799" u="1"/>
        <n v="660.9792" u="1"/>
        <n v="227.41" u="1"/>
        <n v="1310" u="1"/>
        <n v="251.22" u="1"/>
        <n v="250.98" u="1"/>
        <n v="318.9536" u="1"/>
        <n v="1000.5632" u="1"/>
        <n v="683.872" u="1"/>
        <n v="634.8132000000001" u="1"/>
        <n v="1064.952" u="1"/>
        <n v="655.256" u="1"/>
        <n v="199.9872" u="1"/>
        <n v="84.17" u="1"/>
        <n v="199.4" u="1"/>
        <n v="1555.7" u="1"/>
        <n v="212.63" u="1"/>
        <n v="177.305" u="1"/>
        <n v="498.0699" u="1"/>
        <n v="818.41" u="1"/>
        <n v="250.665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2" u="1"/>
        <n v="108.53" u="1"/>
        <n v="4782.98" u="1"/>
        <n v="1366.2" u="1"/>
        <n v="261.88" u="1"/>
        <n v="354.7" u="1"/>
        <n v="950.79" u="1"/>
        <n v="1226.58" u="1"/>
        <n v="152.33" u="1"/>
        <n v="685.9" u="1"/>
        <n v="433.39" u="1"/>
        <n v="649.8" u="1"/>
        <n v="5838.76" u="1"/>
        <n v="753.1799999999999" u="1"/>
        <n v="1319.12" u="1"/>
        <n v="251.12" u="1"/>
        <n v="440.82" u="1"/>
        <n v="440.81" u="1"/>
        <n v="2652.26" u="1"/>
        <n v="437.52" u="1"/>
        <n v="161.52" u="1"/>
        <n v="1253.7" u="1"/>
        <n v="912.86" u="1"/>
        <n v="959.84" u="1"/>
        <n v="3644.6" u="1"/>
        <n v="805.52" u="1"/>
        <n v="918.3099999999999" u="1"/>
        <n v="3884.32" u="1"/>
        <n v="1745.88" u="1"/>
        <n v="2483.7" u="1"/>
        <n v="2483.7084" u="1"/>
        <n v="2234.1588" u="1"/>
        <n v="718.63" u="1"/>
        <n v="739.7501999999999" u="1"/>
        <n v="3601.3582" u="1"/>
        <n v="477.17" u="1"/>
        <n v="502.82" u="1"/>
        <n v="1949.9504" u="1"/>
        <n v="757.1068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" u="1"/>
        <n v="49419.61" u="1"/>
        <n v="1107" u="1"/>
        <n v="1691.5" u="1"/>
        <n v="922.34" u="1"/>
        <n v="562.34" u="1"/>
        <n v="4104.9" u="1"/>
        <n v="423.59" u="1"/>
        <n v="858.67" u="1"/>
        <n v="1457.84" u="1"/>
        <n v="2152.25" u="1"/>
        <n v="819.78" u="1"/>
        <n v="513.47" u="1"/>
        <n v="448.34" u="1"/>
        <n v="582.73" u="1"/>
        <n v="6609.1742" u="1"/>
        <n v="24606.73" u="1"/>
        <n v="1897.77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" u="1"/>
        <n v="1248.4681" u="1"/>
        <n v="1028.243" u="1"/>
        <n v="1821.6792" u="1"/>
        <n v="456" u="1"/>
        <n v="2938.464" u="1"/>
        <n v="684.8755" u="1"/>
        <n v="629.28" u="1"/>
        <n v="678.9657999999999" u="1"/>
        <n v="233.94" u="1"/>
        <n v="213" u="1"/>
        <n v="18700" u="1"/>
        <n v="1776.8" u="1"/>
        <n v="2807.589" u="1"/>
        <n v="4655.805" u="1"/>
        <n v="848.17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" u="1"/>
        <n v="1161.91" u="1"/>
        <n v="453.09" u="1"/>
        <n v="731.54" u="1"/>
        <n v="1199.8" u="1"/>
        <n v="638.9" u="1"/>
        <n v="2836.8007" u="1"/>
        <n v="972.8" u="1"/>
        <n v="1844.6963" u="1"/>
        <n v="986.3200000000001" u="1"/>
        <n v="784.3200000000001" u="1"/>
        <n v="2497.98" u="1"/>
        <n v="1079.7545" u="1"/>
        <n v="184.3855" u="1"/>
        <n v="3280.64" u="1"/>
        <n v="384.64" u="1"/>
        <n v="271.92" u="1"/>
        <n v="701.0651" u="1"/>
        <n v="1384.6104" u="1"/>
        <n v="1824.5648" u="1"/>
        <n v="1105.3814" u="1"/>
        <n v="49561.99" u="1"/>
        <n v="1754.92" u="1"/>
        <n v="11121.92" u="1"/>
        <n v="1028" u="1"/>
        <n v="963.6" u="1"/>
        <n v="6664.45" u="1"/>
        <n v="487.35" u="1"/>
        <n v="676" u="1"/>
        <n v="3171" u="1"/>
        <n v="2091.9" u="1"/>
        <n v="276.75" u="1"/>
        <n v="3273.3" u="1"/>
        <n v="1193.8" u="1"/>
        <n v="426.42" u="1"/>
        <n v="1135.24" u="1"/>
        <n v="563" u="1"/>
        <n v="226.44" u="1"/>
        <n v="1140" u="1"/>
        <n v="1083.95" u="1"/>
        <n v="9909.25" u="1"/>
        <n v="136.64" u="1"/>
        <n v="688" u="1"/>
        <n v="281" u="1"/>
        <n v="1157.1" u="1"/>
        <n v="1047.54" u="1"/>
        <n v="931.26" u="1"/>
        <n v="1013.32" u="1"/>
        <n v="1204.17" u="1"/>
        <n v="323.4" u="1"/>
        <n v="506.68" u="1"/>
        <n v="253.98" u="1"/>
        <n v="216" u="1"/>
        <n v="2779.8" u="1"/>
        <n v="563.66" u="1"/>
        <n v="455" u="1"/>
        <n v="41.69" u="1"/>
        <n v="11449.095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1" u="1"/>
        <n v="1237.8" u="1"/>
        <n v="1302.01" u="1"/>
        <n v="330.23" u="1"/>
        <n v="1087.49" u="1"/>
        <n v="378.46" u="1"/>
        <n v="1499.58" u="1"/>
        <n v="151.92" u="1"/>
        <n v="393.42" u="1"/>
        <n v="3026.91" u="1"/>
        <n v="15550.76" u="1"/>
        <n v="2582.2157" u="1"/>
        <n v="938.9400000000001" u="1"/>
        <n v="4808.41" u="1"/>
        <n v="1271.84" u="1"/>
        <n v="2502.03" u="1"/>
        <n v="1427.15" u="1"/>
        <n v="326.27" u="1"/>
        <n v="4807.7234" u="1"/>
        <n v="326.32" u="1"/>
        <n v="2908.97" u="1"/>
        <n v="2610.64" u="1"/>
        <n v="2338.18" u="1"/>
        <n v="2389.22" u="1"/>
        <n v="2300.73" u="1"/>
        <n v="4177.3" u="1"/>
        <n v="471.5119" u="1"/>
        <n v="328.19" u="1"/>
        <n v="557.0978" u="1"/>
        <n v="1317.3604" u="1"/>
        <n v="2895.0154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11290" u="1"/>
        <n v="2178.99" u="1"/>
        <n v="1472.016" u="1"/>
        <n v="8335" u="1"/>
        <n v="3252" u="1"/>
        <n v="865.6" u="1"/>
        <n v="195" u="1"/>
        <n v="850" u="1"/>
        <n v="278.99" u="1"/>
        <n v="1592" u="1"/>
        <n v="188.6752" u="1"/>
        <n v="893.308" u="1"/>
        <n v="695.0372" u="1"/>
        <n v="902.0232" u="1"/>
        <n v="975.013" u="1"/>
        <n v="1183" u="1"/>
        <n v="12909.39" u="1"/>
        <n v="1331" u="1"/>
        <n v="857.8549" u="1"/>
        <n v="1816.08" u="1"/>
        <n v="68671.56" u="1"/>
        <n v="3960" u="1"/>
        <n v="1128.81" u="1"/>
        <n v="506.36" u="1"/>
        <n v="1260" u="1"/>
        <n v="236.23" u="1"/>
        <n v="213.92" u="1"/>
        <n v="494.2224" u="1"/>
        <n v="177.93" u="1"/>
        <n v="869.296" u="1"/>
        <n v="675.428" u="1"/>
        <n v="952.037" u="1"/>
        <n v="910.1358" u="1"/>
        <n v="570.2" u="1"/>
        <n v="245.86" u="1"/>
        <n v="297.04" u="1"/>
        <n v="1028.79" u="1"/>
        <n v="355.8866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" u="1"/>
        <n v="1011.9415" u="1"/>
        <n v="203.04" u="1"/>
        <n v="175" u="1"/>
        <n v="56.05" u="1"/>
        <n v="1226.8704" u="1"/>
        <n v="847.97" u="1"/>
        <n v="302.51" u="1"/>
        <n v="698.4768" u="1"/>
        <n v="927.97" u="1"/>
        <n v="919.63" u="1"/>
        <n v="950.67" u="1"/>
        <n v="1155.42" u="1"/>
        <n v="574.5824" u="1"/>
        <n v="1930.2304" u="1"/>
        <n v="279.72" u="1"/>
        <n v="679.3920000000001" u="1"/>
        <n v="610.2768" u="1"/>
        <n v="536.8384" u="1"/>
        <n v="1656" u="1"/>
        <n v="2716.52" u="1"/>
        <n v="4633.84" u="1"/>
        <n v="268.4192" u="1"/>
        <n v="418.95" u="1"/>
        <n v="652.5119999999999" u="1"/>
        <n v="831.6672" u="1"/>
        <n v="788.6144" u="1"/>
        <n v="144.7376" u="1"/>
        <n v="411.8352" u="1"/>
        <n v="138.34" u="1"/>
        <n v="969.3" u="1"/>
        <n v="424.8" u="1"/>
        <n v="151.25" u="1"/>
        <n v="3578" u="1"/>
        <n v="400.8704" u="1"/>
        <n v="707.896" u="1"/>
        <n v="4738.24" u="1"/>
        <n v="175.54" u="1"/>
        <n v="502" u="1"/>
        <n v="191.915" u="1"/>
        <n v="737.008" u="1"/>
        <n v="665.4880000000001" u="1"/>
        <n v="699.65" u="1"/>
        <n v="2545.19" u="1"/>
        <n v="1301.2" u="1"/>
        <n v="240.14" u="1"/>
        <n v="1290.18" u="1"/>
        <n v="1037.8" u="1"/>
        <n v="738.8" u="1"/>
        <n v="2953.55" u="1"/>
        <n v="556.8" u="1"/>
        <n v="2227.34" u="1"/>
        <n v="1214.91" u="1"/>
        <n v="1220.57" u="1"/>
        <n v="611.77" u="1"/>
        <n v="588.42" u="1"/>
        <n v="5302.94" u="1"/>
        <n v="4197.4842" u="1"/>
        <n v="1340.17" u="1"/>
        <n v="1532.92" u="1"/>
        <n v="1217.92" u="1"/>
        <n v="589.42" u="1"/>
        <n v="882.0700000000001" u="1"/>
        <n v="1550.26" u="1"/>
        <n v="2040.71" u="1"/>
        <n v="1898.84" u="1"/>
        <n v="1553.17" u="1"/>
        <n v="2395.02" u="1"/>
        <n v="745.72" u="1"/>
        <n v="1094.74" u="1"/>
        <n v="2190" u="1"/>
        <n v="557" u="1"/>
        <n v="793.3184" u="1"/>
        <n v="261.54" u="1"/>
        <n v="660.99" u="1"/>
        <n v="410.43" u="1"/>
        <n v="311.56" u="1"/>
        <n v="260.2768" u="1"/>
        <n v="423.9872" u="1"/>
        <n v="563.3376" u="1"/>
        <n v="227.7856" u="1"/>
        <n v="530.4768" u="1"/>
        <n v="690.952" u="1"/>
        <n v="610.0454999999999" u="1"/>
        <n v="785.2992" u="1"/>
        <n v="243.1296" u="1"/>
        <n v="155.2544" u="1"/>
        <n v="172.1104" u="1"/>
        <n v="507.3152" u="1"/>
        <n v="652.5568" u="1"/>
        <n v="750.7808" u="1"/>
        <n v="253.6576" u="1"/>
        <n v="206.8528" u="1"/>
        <n v="207.7152" u="1"/>
        <n v="380.4864" u="1"/>
        <n v="1935.91" u="1"/>
        <n v="139.14" u="1"/>
        <n v="251.55" u="1"/>
        <n v="15358.48" u="1"/>
        <n v="714.5673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9" u="1"/>
        <n v="598.89" u="1"/>
        <n v="3939.12" u="1"/>
        <n v="462.39" u="1"/>
        <n v="4661.0436" u="1"/>
        <n v="674.5" u="1"/>
        <n v="1360.39" u="1"/>
        <n v="736.53" u="1"/>
        <n v="1858.5" u="1"/>
        <n v="644.385" u="1"/>
        <n v="83.63" u="1"/>
        <n v="85.8" u="1"/>
        <n v="400.8" u="1"/>
        <n v="1138.22" u="1"/>
        <n v="3206.44" u="1"/>
        <n v="1091.8" u="1"/>
        <n v="691.8699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00000000001" u="1"/>
        <n v="805.58" u="1"/>
        <n v="601.85" u="1"/>
        <n v="5662.44" u="1"/>
        <n v="16015.37" u="1"/>
        <n v="13832.2" u="1"/>
        <n v="3030.841" u="1"/>
        <n v="607.6900000000001" u="1"/>
        <n v="1417.31" u="1"/>
        <n v="614.51" u="1"/>
        <n v="550.97" u="1"/>
        <n v="830.22" u="1"/>
        <n v="767.1799999999999" u="1"/>
        <n v="1608.67" u="1"/>
        <n v="328" u="1"/>
        <n v="1144.35" u="1"/>
        <n v="1805.39" u="1"/>
        <n v="453" u="1"/>
        <n v="1511" u="1"/>
        <n v="8530.061400000001" u="1"/>
        <n v="248.81" u="1"/>
        <n v="18945" u="1"/>
        <n v="2858" u="1"/>
        <n v="2173.5" u="1"/>
        <n v="395.28" u="1"/>
        <n v="23153.58" u="1"/>
        <n v="492.3" u="1"/>
        <n v="1590.58" u="1"/>
        <n v="339.9" u="1"/>
        <n v="2336.32" u="1"/>
        <n v="2769.21" u="1"/>
        <n v="1503.84" u="1"/>
        <n v="1318.36" u="1"/>
        <n v="12852" u="1"/>
        <n v="1064.56" u="1"/>
        <n v="1069.34" u="1"/>
        <n v="686.92" u="1"/>
        <n v="1393.42" u="1"/>
        <n v="495.55" u="1"/>
        <n v="333.9" u="1"/>
        <n v="772.13" u="1"/>
        <n v="1406.17" u="1"/>
        <n v="13313.26" u="1"/>
        <n v="2913.196" u="1"/>
        <n v="376.08" u="1"/>
        <n v="873" u="1"/>
        <n v="3969.56" u="1"/>
        <n v="3807.945" u="1"/>
        <n v="5106.08" u="1"/>
        <n v="770" u="1"/>
        <n v="7971.5328" u="1"/>
        <n v="4054" u="1"/>
        <n v="308.7" u="1"/>
        <n v="433.66" u="1"/>
        <n v="87.02" u="1"/>
        <n v="40.4" u="1"/>
        <n v="257.84" u="1"/>
        <n v="1073.6" u="1"/>
        <n v="715.9" u="1"/>
        <n v="1586.03" u="1"/>
        <n v="848.83" u="1"/>
        <n v="499.49" u="1"/>
        <n v="325.9" u="1"/>
        <n v="1421.73" u="1"/>
        <n v="1674.76" u="1"/>
        <n v="1674.78" u="1"/>
        <n v="346.32" u="1"/>
        <n v="1570.49" u="1"/>
        <n v="4046.48" u="1"/>
        <n v="201.77" u="1"/>
        <n v="289.6" u="1"/>
        <n v="1769.44" u="1"/>
        <n v="640.72" u="1"/>
        <n v="2986.91" u="1"/>
        <n v="2986.89" u="1"/>
        <n v="389.98" u="1"/>
        <n v="106.19" u="1"/>
        <n v="4240.8284" u="1"/>
        <n v="1894.35" u="1"/>
        <n v="2518.2" u="1"/>
        <n v="14658.9024" u="1"/>
        <n v="552.83" u="1"/>
        <n v="36890" u="1"/>
        <n v="773.17" u="1"/>
        <n v="436.34" u="1"/>
        <n v="848.92" u="1"/>
        <n v="2540" u="1"/>
        <n v="693.8" u="1"/>
        <n v="1520.42" u="1"/>
        <n v="1035.59" u="1"/>
        <n v="1226.9" u="1"/>
        <n v="176.32" u="1"/>
        <n v="518.17" u="1"/>
        <n v="887.65" u="1"/>
        <n v="880.21" u="1"/>
        <n v="2163.67" u="1"/>
        <n v="15116.0184" u="1"/>
        <n v="28838.0445" u="1"/>
        <n v="5751.26" u="1"/>
        <n v="282" u="1"/>
        <n v="487" u="1"/>
        <n v="7475" u="1"/>
        <n v="547.04" u="1"/>
        <n v="679.14" u="1"/>
        <n v="251" u="1"/>
        <n v="1160" u="1"/>
        <n v="501.93" u="1"/>
        <n v="6433.36" u="1"/>
        <n v="40.46" u="1"/>
        <n v="547.55" u="1"/>
        <n v="285.99" u="1"/>
        <n v="1157.475" u="1"/>
        <n v="865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236" u="1"/>
        <n v="1230" u="1"/>
        <n v="1879.215" u="1"/>
        <n v="786.77" u="1"/>
        <n v="791.6" u="1"/>
        <n v="1237.5" u="1"/>
        <n v="1128.3" u="1"/>
        <n v="6254.18" u="1"/>
        <n v="2582.02" u="1"/>
        <n v="132" u="1"/>
        <n v="618.3200000000001" u="1"/>
        <n v="1671.84" u="1"/>
        <n v="359.12" u="1"/>
        <n v="800.9" u="1"/>
        <n v="674.95" u="1"/>
        <n v="193.08" u="1"/>
        <n v="1863.25" u="1"/>
        <n v="570.8901" u="1"/>
        <n v="8864.448" u="1"/>
        <n v="1399.35" u="1"/>
        <n v="175.66" u="1"/>
        <n v="173.315" u="1"/>
        <n v="353.16" u="1"/>
        <n v="428.119" u="1"/>
        <n v="164.6848" u="1"/>
        <n v="2040" u="1"/>
        <n v="552.3" u="1"/>
        <n v="1582.457" u="1"/>
        <n v="97.94" u="1"/>
        <n v="2200" u="1"/>
        <n v="3553.4505" u="1"/>
        <n v="675.2941" u="1"/>
        <n v="789.6045" u="1"/>
        <n v="1129.6779" u="1"/>
        <n v="822" u="1"/>
        <n v="1559.82" u="1"/>
        <n v="305.37" u="1"/>
        <n v="11247" u="1"/>
        <n v="6756" u="1"/>
        <n v="3824.01" u="1"/>
        <n v="2786" u="1"/>
        <n v="274.84" u="1"/>
        <n v="96.03" u="1"/>
        <n v="472" u="1"/>
        <n v="1464" u="1"/>
        <n v="851.1900000000001" u="1"/>
        <n v="208" u="1"/>
        <n v="550.58" u="1"/>
        <n v="711" u="1"/>
        <n v="338.912" u="1"/>
        <n v="410.5024" u="1"/>
        <n v="714.17" u="1"/>
        <n v="679.3024" u="1"/>
        <n v="725.8496" u="1"/>
        <n v="573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458.4" u="1"/>
        <n v="435.2" u="1"/>
        <n v="1007.84" u="1"/>
        <n v="364.72" u="1"/>
        <n v="377.74" u="1"/>
        <n v="2531.1" u="1"/>
        <n v="2531.07" u="1"/>
        <n v="3006.45" u="1"/>
        <n v="3006.44" u="1"/>
        <n v="584.13" u="1"/>
        <n v="4855.73" u="1"/>
        <n v="2645.87" u="1"/>
        <n v="28230.73" u="1"/>
        <n v="808.92" u="1"/>
        <n v="8428.940000000001" u="1"/>
        <n v="1045.34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8" u="1"/>
        <n v="173.44" u="1"/>
        <n v="654.696" u="1"/>
        <n v="645.456" u="1"/>
        <n v="380.5934" u="1"/>
        <n v="812.05" u="1"/>
        <n v="1230.44" u="1"/>
        <n v="508.8608" u="1"/>
        <n v="734.4512" u="1"/>
        <n v="505.83" u="1"/>
        <n v="812.46" u="1"/>
        <n v="797.88" u="1"/>
        <n v="445.96" u="1"/>
        <n v="489" u="1"/>
        <n v="329.67" u="1"/>
        <n v="7951.68" u="1"/>
        <n v="7945.89" u="1"/>
        <n v="326" u="1"/>
        <n v="1639" u="1"/>
        <n v="978" u="1"/>
        <n v="4731" u="1"/>
        <n v="6071.31" u="1"/>
        <n v="9787.4" u="1"/>
        <n v="4297.75" u="1"/>
        <n v="923.36" u="1"/>
        <n v="185.02" u="1"/>
        <n v="826.5" u="1"/>
        <n v="824.1" u="1"/>
        <n v="8009.52" u="1"/>
        <n v="385.2" u="1"/>
        <n v="468" u="1"/>
        <n v="12775.8" u="1"/>
        <n v="2236.86" u="1"/>
        <n v="2066.32" u="1"/>
        <n v="3150" u="1"/>
        <n v="4492.32" u="1"/>
        <n v="1145" u="1"/>
        <n v="458.85" u="1"/>
        <n v="311.6" u="1"/>
        <n v="2987" u="1"/>
        <n v="7376" u="1"/>
        <n v="5937.48" u="1"/>
        <n v="935.24" u="1"/>
        <n v="4151.4" u="1"/>
        <n v="11053.1" u="1"/>
        <n v="743.75" u="1"/>
        <n v="1421.97" u="1"/>
        <n v="930.496" u="1"/>
        <n v="335.7984" u="1"/>
        <n v="405.2832" u="1"/>
        <n v="362.3004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" u="1"/>
        <n v="507.72" u="1"/>
        <n v="253.88" u="1"/>
        <n v="3137.0976" u="1"/>
        <n v="436.9" u="1"/>
        <n v="388.8" u="1"/>
        <n v="214.61" u="1"/>
        <n v="585.3674999999999" u="1"/>
        <n v="316" u="1"/>
        <n v="3752.4" u="1"/>
        <n v="690.4576" u="1"/>
        <n v="519.6319999999999" u="1"/>
        <n v="875.73" u="1"/>
        <n v="2584.44" u="1"/>
        <n v="601.6416" u="1"/>
        <n v="428.0416" u="1"/>
        <n v="329.3696" u="1"/>
        <n v="446.02" u="1"/>
        <n v="1916.5664" u="1"/>
        <n v="308.58" u="1"/>
        <n v="5338.08" u="1"/>
        <n v="550.3200000000001" u="1"/>
        <n v="148.74" u="1"/>
        <n v="2384.9" u="1"/>
        <n v="171.59" u="1"/>
        <n v="483.54" u="1"/>
        <n v="517.75" u="1"/>
        <n v="1027.9024" u="1"/>
        <n v="802.9" u="1"/>
        <n v="436.7104" u="1"/>
        <n v="128.6" u="1"/>
        <n v="205.01" u="1"/>
        <n v="475.5" u="1"/>
        <n v="748" u="1"/>
        <n v="387.45" u="1"/>
        <n v="583.1616" u="1"/>
        <n v="986.49" u="1"/>
        <n v="894.768" u="1"/>
        <n v="1064.9856" u="1"/>
        <n v="1309" u="1"/>
        <n v="1203.384" u="1"/>
        <n v="1097.6784" u="1"/>
        <n v="763.29" u="1"/>
        <n v="452.475" u="1"/>
        <n v="762.26" u="1"/>
        <n v="495.7425" u="1"/>
        <n v="1446.3" u="1"/>
        <n v="119.97" u="1"/>
        <n v="606.24" u="1"/>
        <n v="2743.2" u="1"/>
        <n v="1116.32" u="1"/>
        <n v="1440.97" u="1"/>
        <n v="1590.39" u="1"/>
        <n v="2590.47" u="1"/>
        <n v="1269.09" u="1"/>
        <n v="1262.17" u="1"/>
        <n v="1253.09" u="1"/>
        <n v="32565.19" u="1"/>
        <n v="1130.59" u="1"/>
        <n v="570.59" u="1"/>
        <n v="1337.17" u="1"/>
        <n v="1133.17" u="1"/>
        <n v="929.09" u="1"/>
        <n v="30790.87" u="1"/>
        <n v="513.3744" u="1"/>
        <n v="84.40000000000001" u="1"/>
        <n v="193.98" u="1"/>
        <n v="907.39" u="1"/>
        <n v="1276.64" u="1"/>
        <n v="464.88" u="1"/>
        <n v="1375.8" u="1"/>
        <n v="393.9" u="1"/>
        <n v="3191.6" u="1"/>
        <n v="980.88" u="1"/>
        <n v="1850.04" u="1"/>
        <n v="20400.96" u="1"/>
        <n v="1178.79" u="1"/>
        <n v="234.73" u="1"/>
        <n v="551.17" u="1"/>
        <n v="1160.84" u="1"/>
        <n v="1068.59" u="1"/>
        <n v="3374.05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" u="1"/>
        <n v="6750.28" u="1"/>
        <n v="10457.52" u="1"/>
        <n v="1240.2" u="1"/>
        <n v="12727" u="1"/>
        <n v="523.1900000000001" u="1"/>
        <n v="1282.14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2" u="1"/>
        <n v="410.92" u="1"/>
        <n v="489.44" u="1"/>
        <n v="1070.15" u="1"/>
        <n v="1076.07" u="1"/>
        <n v="675.95" u="1"/>
        <n v="567.59" u="1"/>
        <n v="4370.5911" u="1"/>
        <n v="6743.386" u="1"/>
        <n v="1497.925" u="1"/>
        <n v="1274.598" u="1"/>
        <n v="1064.8885" u="1"/>
        <n v="1697.66" u="1"/>
        <n v="2609.6224" u="1"/>
        <n v="194.432" u="1"/>
        <n v="494.0544" u="1"/>
        <n v="376.82" u="1"/>
        <n v="6861.45" u="1"/>
        <n v="1116" u="1"/>
        <n v="933.5088" u="1"/>
        <n v="750.9824" u="1"/>
        <n v="901.8464" u="1"/>
        <n v="107.96" u="1"/>
        <n v="2324.32" u="1"/>
        <n v="2188.16" u="1"/>
        <n v="524.208" u="1"/>
        <n v="726.64" u="1"/>
        <n v="2433.6" u="1"/>
        <n v="1051.0116" u="1"/>
        <n v="955.9" u="1"/>
        <n v="10947.81" u="1"/>
        <n v="8818" u="1"/>
        <n v="127.24" u="1"/>
        <n v="14404.595" u="1"/>
        <n v="4918.73" u="1"/>
        <n v="588.84" u="1"/>
        <n v="526.4400000000001" u="1"/>
        <n v="566.04" u="1"/>
        <n v="224.81" u="1"/>
        <n v="854.3053" u="1"/>
        <n v="1565.3902" u="1"/>
        <n v="1406.8208" u="1"/>
        <n v="189.99" u="1"/>
        <n v="609" u="1"/>
        <n v="627.51" u="1"/>
        <n v="1088.96" u="1"/>
        <n v="2146.84" u="1"/>
        <n v="2572.8" u="1"/>
        <n v="3743.712" u="1"/>
        <n v="487.3344" u="1"/>
        <n v="942.95" u="1"/>
        <n v="646" u="1"/>
        <n v="985" u="1"/>
        <n v="7719.2328" u="1"/>
        <n v="1796.058" u="1"/>
        <n v="1860" u="1"/>
        <n v="431" u="1"/>
        <n v="2088" u="1"/>
        <n v="5430" u="1"/>
        <n v="14699.92" u="1"/>
        <n v="1202.83" u="1"/>
        <n v="758" u="1"/>
        <n v="7907.515" u="1"/>
        <n v="1299" u="1"/>
        <n v="606" u="1"/>
        <n v="1434.504" u="1"/>
        <n v="11506.808" u="1"/>
        <n v="174.6" u="1"/>
        <n v="2109.9862" u="1"/>
        <n v="877.5599999999999" u="1"/>
        <n v="204.39" u="1"/>
        <n v="347.27" u="1"/>
        <n v="343.74" u="1"/>
        <n v="183.12" u="1"/>
        <n v="24280.44" u="1"/>
        <n v="156.465" u="1"/>
        <n v="717.6064" u="1"/>
        <n v="375.57" u="1"/>
        <n v="1144.5" u="1"/>
        <n v="344.2208" u="1"/>
        <n v="156.3184" u="1"/>
        <n v="621.2304" u="1"/>
        <n v="218.3328" u="1"/>
        <n v="524.2048" u="1"/>
        <n v="241.4944" u="1"/>
        <n v="239.1648" u="1"/>
        <n v="486.2592" u="1"/>
        <n v="482.71" u="1"/>
        <n v="253.27" u="1"/>
        <n v="227.95" u="1"/>
        <n v="182.79" u="1"/>
        <n v="1590.61" u="1"/>
        <n v="3472.02" u="1"/>
        <n v="444.72" u="1"/>
        <n v="1032.3" u="1"/>
        <n v="848.64" u="1"/>
        <n v="445.2" u="1"/>
        <n v="4629.18" u="1"/>
        <n v="4865.15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1" u="1"/>
        <n v="548.92" u="1"/>
        <n v="71.8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9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6" u="1"/>
        <n v="1035.18" u="1"/>
        <n v="1091.4" u="1"/>
        <n v="1606.2891" u="1"/>
        <n v="1985.6" u="1"/>
        <n v="916.3200000000001" u="1"/>
        <n v="21353.41" u="1"/>
        <n v="50.45" u="1"/>
        <n v="161.99" u="1"/>
        <n v="139.29" u="1"/>
        <n v="12629.1" u="1"/>
        <n v="225.96" u="1"/>
        <n v="225.95" u="1"/>
        <n v="4779.9" u="1"/>
        <n v="10428" u="1"/>
        <n v="1749" u="1"/>
        <n v="1692" u="1"/>
        <n v="925" u="1"/>
        <n v="541.67" u="1"/>
        <n v="30346.9" u="1"/>
        <n v="16628.85" u="1"/>
        <n v="233.64" u="1"/>
        <n v="863.09" u="1"/>
        <n v="671.34" u="1"/>
        <n v="1684" u="1"/>
        <n v="2597.45" u="1"/>
        <n v="170.705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4" u="1"/>
        <n v="1732.87" u="1"/>
        <n v="694.4" u="1"/>
        <n v="1742.91" u="1"/>
        <n v="1467.8" u="1"/>
        <n v="1143.3" u="1"/>
        <n v="2672" u="1"/>
        <n v="3209.0975" u="1"/>
        <n v="486.2" u="1"/>
        <n v="4422.6" u="1"/>
        <n v="4119.6" u="1"/>
        <n v="338" u="1"/>
        <n v="322.28" u="1"/>
        <n v="934.4" u="1"/>
        <n v="113.79" u="1"/>
        <n v="108" u="1"/>
        <n v="2497.95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4" u="1"/>
        <n v="1194.67" u="1"/>
        <n v="463.9" u="1"/>
        <n v="276.67" u="1"/>
        <n v="961.4400000000001" u="1"/>
        <n v="1184.72" u="1"/>
        <n v="994.4299999999999" u="1"/>
        <n v="954.13" u="1"/>
        <n v="766.24" u="1"/>
        <n v="1898.89" u="1"/>
        <n v="1118.84" u="1"/>
        <n v="851.4299999999999" u="1"/>
        <n v="1483.84" u="1"/>
        <n v="1127.97" u="1"/>
        <n v="1986.8" u="1"/>
        <n v="1676.17" u="1"/>
        <n v="859.9" u="1"/>
        <n v="426.114" u="1"/>
        <n v="160.98" u="1"/>
        <n v="643.135" u="1"/>
        <n v="677.148" u="1"/>
        <n v="548.96" u="1"/>
        <n v="217.01" u="1"/>
        <n v="895.34" u="1"/>
        <n v="385.0308" u="1"/>
        <n v="589.2544" u="1"/>
        <n v="11043" u="1"/>
        <n v="1433.7009" u="1"/>
        <n v="1011.6512" u="1"/>
        <n v="789.4656" u="1"/>
        <n v="176.435" u="1"/>
        <n v="159.77" u="1"/>
        <n v="378.79" u="1"/>
        <n v="85.08" u="1"/>
        <n v="638.64" u="1"/>
        <n v="1092.39" u="1"/>
        <n v="1911.28" u="1"/>
        <n v="246.86" u="1"/>
        <n v="543.27" u="1"/>
        <n v="692.96" u="1"/>
        <n v="497.44" u="1"/>
        <n v="2954" u="1"/>
        <n v="2520.93" u="1"/>
        <n v="1117.63" u="1"/>
        <n v="650.78" u="1"/>
        <n v="435.72" u="1"/>
        <n v="204.92" u="1"/>
        <n v="346" u="1"/>
        <n v="188.68" u="1"/>
        <n v="221.4" u="1"/>
        <n v="8605.48" u="1"/>
        <n v="796.22" u="1"/>
        <n v="489.69" u="1"/>
        <n v="4010.72" u="1"/>
        <n v="625.17" u="1"/>
        <n v="1180.77" u="1"/>
        <n v="496.12" u="1"/>
        <n v="1042.5" u="1"/>
        <n v="478.18" u="1"/>
        <n v="990.24" u="1"/>
        <n v="1184" u="1"/>
        <n v="487.5" u="1"/>
        <n v="223.75" u="1"/>
        <n v="458.6" u="1"/>
        <n v="205.7134" u="1"/>
        <n v="171.08" u="1"/>
        <n v="2948.93" u="1"/>
        <n v="2475.68" u="1"/>
        <n v="594.9888" u="1"/>
        <n v="394.9344" u="1"/>
        <n v="155.96" u="1"/>
        <n v="3341.86" u="1"/>
        <n v="379.19" u="1"/>
        <n v="1112.2944" u="1"/>
        <n v="588.3" u="1"/>
        <n v="1657.65" u="1"/>
        <n v="3600.48" u="1"/>
        <n v="852" u="1"/>
        <n v="3132.8" u="1"/>
        <n v="570.29" u="1"/>
        <n v="649.39" u="1"/>
        <n v="755.6319999999999" u="1"/>
        <n v="3325.9808" u="1"/>
        <n v="199.585" u="1"/>
        <n v="234.77" u="1"/>
        <n v="557.0775" u="1"/>
        <n v="2804.5648" u="1"/>
        <n v="848.23" u="1"/>
        <n v="7671" u="1"/>
        <n v="517.4848" u="1"/>
        <n v="884.9344" u="1"/>
        <n v="274.1312" u="1"/>
        <n v="541.2699" u="1"/>
        <n v="375.3456" u="1"/>
        <n v="562.7328" u="1"/>
        <n v="460.64" u="1"/>
        <n v="666.1312" u="1"/>
        <n v="10035.19" u="1"/>
        <n v="4989.24" u="1"/>
        <n v="181.5" u="1"/>
        <n v="325.92" u="1"/>
        <n v="537.6900000000001" u="1"/>
        <n v="805.112" u="1"/>
        <n v="255.7856" u="1"/>
        <n v="168.952" u="1"/>
        <n v="494.7264" u="1"/>
        <n v="511.2128" u="1"/>
        <n v="489.384" u="1"/>
        <n v="79.7384" u="1"/>
        <n v="644.0896" u="1"/>
        <n v="468.4512" u="1"/>
        <n v="316.8928" u="1"/>
        <n v="334.1856" u="1"/>
        <n v="1136.6208" u="1"/>
        <n v="635.6672" u="1"/>
        <n v="269.84" u="1"/>
        <n v="1972.69" u="1"/>
        <n v="1598.78" u="1"/>
        <n v="10839.94" u="1"/>
        <n v="1195.64" u="1"/>
        <n v="176.58" u="1"/>
        <n v="97.02" u="1"/>
        <n v="42.66" u="1"/>
        <n v="889.4400000000001" u="1"/>
        <n v="863.92" u="1"/>
        <n v="1813.04" u="1"/>
        <n v="1026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599999999999" u="1"/>
        <n v="61.77" u="1"/>
        <n v="522.51" u="1"/>
        <n v="1395.83" u="1"/>
        <n v="1139.84" u="1"/>
        <n v="307.82" u="1"/>
        <n v="519.92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00000000001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" u="1"/>
        <n v="891.67" u="1"/>
        <n v="1183.92" u="1"/>
        <n v="2394.22" u="1"/>
        <n v="1387.42" u="1"/>
        <n v="941.9299999999999" u="1"/>
        <n v="1731.67" u="1"/>
        <n v="704.91" u="1"/>
        <n v="1324.08" u="1"/>
        <n v="625.34" u="1"/>
        <n v="939.67" u="1"/>
        <n v="4338.32" u="1"/>
        <n v="405.7872" u="1"/>
        <n v="914" u="1"/>
        <n v="20908.4104" u="1"/>
        <n v="795.99" u="1"/>
        <n v="788.073" u="1"/>
        <n v="699.897" u="1"/>
        <n v="1158.1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6145.5504" u="1"/>
        <n v="2986.14" u="1"/>
        <n v="683.05" u="1"/>
        <n v="708.9" u="1"/>
        <n v="1249.37" u="1"/>
        <n v="399.8" u="1"/>
        <n v="2030.81" u="1"/>
        <n v="2272.06" u="1"/>
        <n v="824.25" u="1"/>
        <n v="1435.99" u="1"/>
        <n v="1450.44" u="1"/>
        <n v="1698.87" u="1"/>
        <n v="600.72" u="1"/>
        <n v="1805.52" u="1"/>
        <n v="2083.12" u="1"/>
        <n v="166.75" u="1"/>
        <n v="409.41" u="1"/>
        <n v="365.4" u="1"/>
        <n v="1055.6" u="1"/>
        <n v="473.92" u="1"/>
        <n v="1519.9" u="1"/>
        <n v="803.17" u="1"/>
        <n v="2550.51" u="1"/>
        <n v="1360.78" u="1"/>
        <n v="1150.24" u="1"/>
        <n v="1634.84" u="1"/>
        <n v="947.09" u="1"/>
        <n v="93.90000000000001" u="1"/>
        <n v="577.4400000000001" u="1"/>
        <n v="665.84" u="1"/>
        <n v="122.16" u="1"/>
        <n v="140.29" u="1"/>
        <n v="118.68" u="1"/>
        <n v="443.67" u="1"/>
        <n v="359.99" u="1"/>
        <n v="289.96" u="1"/>
        <n v="289.94" u="1"/>
        <n v="129.07" u="1"/>
        <n v="772" u="1"/>
        <n v="288.14" u="1"/>
        <n v="699.8200000000001" u="1"/>
        <n v="1312.1901" u="1"/>
        <n v="5916.9396" u="1"/>
        <n v="617.67" u="1"/>
        <n v="1908.2203" u="1"/>
        <n v="1522.86" u="1"/>
        <n v="429.07" u="1"/>
        <n v="8388.1986" u="1"/>
        <n v="286.88" u="1"/>
        <n v="1229.0001" u="1"/>
        <n v="263.75" u="1"/>
        <n v="296.4" u="1"/>
        <n v="603.9999" u="1"/>
        <n v="1428.32" u="1"/>
        <n v="8285.52" u="1"/>
        <n v="8521.709999999999" u="1"/>
        <n v="2755.95" u="1"/>
        <n v="760.23" u="1"/>
        <n v="1129.02" u="1"/>
        <n v="323.91" u="1"/>
        <n v="309.96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4" u="1"/>
        <n v="2217.44" u="1"/>
        <n v="2715.8" u="1"/>
        <n v="1320.32" u="1"/>
        <n v="1199.12" u="1"/>
        <n v="725.28" u="1"/>
        <n v="1107.04" u="1"/>
        <n v="1417.34" u="1"/>
        <n v="701.5" u="1"/>
        <n v="664.42" u="1"/>
        <n v="861.8" u="1"/>
        <n v="1817.76" u="1"/>
        <n v="2397.75" u="1"/>
        <n v="2145.59" u="1"/>
        <n v="645.0700000000001" u="1"/>
        <n v="1017.9" u="1"/>
        <n v="1455" u="1"/>
        <n v="667.75" u="1"/>
        <n v="1430.07" u="1"/>
        <n v="1220.17" u="1"/>
        <n v="2192.68" u="1"/>
        <n v="968" u="1"/>
        <n v="596.58" u="1"/>
        <n v="646.24" u="1"/>
        <n v="171.1248" u="1"/>
        <n v="1835.43" u="1"/>
        <n v="1776.1148" u="1"/>
        <n v="2101.8846" u="1"/>
        <n v="205.1" u="1"/>
        <n v="153.16" u="1"/>
        <n v="1236.704" u="1"/>
        <n v="2871.8592" u="1"/>
        <n v="715.62" u="1"/>
        <n v="294.87" u="1"/>
        <n v="887.3801999999999" u="1"/>
        <n v="1218.53" u="1"/>
        <n v="731.12" u="1"/>
        <n v="292.54" u="1"/>
        <n v="25564.19" u="1"/>
        <n v="13664" u="1"/>
        <n v="14584.48" u="1"/>
        <n v="9502.51" u="1"/>
        <n v="637.5599999999999" u="1"/>
        <n v="384.02" u="1"/>
        <n v="595.0599" u="1"/>
        <n v="172" u="1"/>
        <n v="128.65" u="1"/>
        <n v="1388.772" u="1"/>
        <n v="392.4928" u="1"/>
        <n v="559.2699" u="1"/>
        <n v="3547.9584" u="1"/>
        <n v="498.46" u="1"/>
        <n v="455.4144" u="1"/>
        <n v="459.7824" u="1"/>
        <n v="2295.2" u="1"/>
        <n v="595.2" u="1"/>
        <n v="278.25" u="1"/>
        <n v="5378.09" u="1"/>
        <n v="1124.42" u="1"/>
        <n v="538.0703999999999" u="1"/>
        <n v="366.6" u="1"/>
        <n v="394.912" u="1"/>
        <n v="911.76" u="1"/>
        <n v="203.84" u="1"/>
        <n v="203.28" u="1"/>
        <n v="3835.5" u="1"/>
        <n v="411.1968" u="1"/>
        <n v="671.6" u="1"/>
        <n v="466.335" u="1"/>
        <n v="463.0416" u="1"/>
        <n v="547.688" u="1"/>
        <n v="337.7052" u="1"/>
        <n v="504.8064" u="1"/>
        <n v="2084.25" u="1"/>
        <n v="847.35" u="1"/>
        <n v="665.7" u="1"/>
        <n v="386.93" u="1"/>
        <n v="408.45" u="1"/>
        <n v="7661.54" u="1"/>
        <n v="796.36" u="1"/>
        <n v="353.6512" u="1"/>
        <n v="220.5392" u="1"/>
        <n v="592.032" u="1"/>
        <n v="1002.0864" u="1"/>
        <n v="372.5568" u="1"/>
        <n v="117.3592" u="1"/>
        <n v="1146.47" u="1"/>
        <n v="259.12" u="1"/>
        <n v="1616.84" u="1"/>
        <n v="6580.49" u="1"/>
        <n v="713.17" u="1"/>
        <n v="599.8" u="1"/>
        <n v="802.59" u="1"/>
        <n v="735.08" u="1"/>
        <n v="32241.1" u="1"/>
        <n v="8173.25" u="1"/>
        <n v="5202.66" u="1"/>
        <n v="1059.12" u="1"/>
        <n v="886.3200000000001" u="1"/>
        <n v="1344.8" u="1"/>
        <n v="707.9" u="1"/>
        <n v="2779.92" u="1"/>
        <n v="1828.6" u="1"/>
        <n v="1985.51" u="1"/>
        <n v="278.13" u="1"/>
        <n v="2480.688" u="1"/>
        <n v="1978.494" u="1"/>
        <n v="686.3674999999999" u="1"/>
        <n v="18543.208" u="1"/>
        <n v="10620.388" u="1"/>
        <n v="24.8" u="1"/>
        <n v="1570" u="1"/>
        <n v="1308" u="1"/>
        <n v="4976.7" u="1"/>
        <n v="2532.444" u="1"/>
        <n v="7561.26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86" u="1"/>
        <n v="570.968" u="1"/>
        <n v="1048.96" u="1"/>
        <n v="264.5" u="1"/>
        <n v="403.032" u="1"/>
        <n v="5535" u="1"/>
        <n v="5511" u="1"/>
        <n v="1674" u="1"/>
        <n v="880.561" u="1"/>
        <n v="196" u="1"/>
        <n v="17284.4" u="1"/>
        <n v="5054.8" u="1"/>
        <n v="5435.5" u="1"/>
        <n v="21809.13" u="1"/>
        <n v="1193.226" u="1"/>
        <n v="6978.82" u="1"/>
        <n v="600.6" u="1"/>
        <n v="2199.62" u="1"/>
        <n v="31526.45" u="1"/>
        <n v="4590.1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" u="1"/>
        <n v="384.56" u="1"/>
        <n v="1290" u="1"/>
        <n v="541.1015" u="1"/>
        <n v="576.12" u="1"/>
        <n v="1290.1557" u="1"/>
        <n v="162.49" u="1"/>
        <n v="2743.785" u="1"/>
        <n v="1385.54" u="1"/>
        <n v="799.1" u="1"/>
        <n v="589.8" u="1"/>
        <n v="1330.32" u="1"/>
        <n v="1217.85" u="1"/>
        <n v="1023.29" u="1"/>
        <n v="818.5" u="1"/>
        <n v="1336.02" u="1"/>
        <n v="824.34" u="1"/>
        <n v="668.02" u="1"/>
        <n v="738.65" u="1"/>
        <n v="1983.7" u="1"/>
        <n v="1391.44" u="1"/>
        <n v="1990.15" u="1"/>
        <n v="1497.82" u="1"/>
        <n v="1196.22" u="1"/>
        <n v="936.4" u="1"/>
        <n v="845.4400000000001" u="1"/>
        <n v="1889.84" u="1"/>
        <n v="1372.72" u="1"/>
        <n v="1661.97" u="1"/>
        <n v="981.01" u="1"/>
        <n v="1323.8468" u="1"/>
        <n v="1051.38" u="1"/>
        <n v="2222.98" u="1"/>
        <n v="1606.09" u="1"/>
        <n v="1313.01" u="1"/>
        <n v="17762.86" u="1"/>
        <n v="41017.09" u="1"/>
        <n v="30761.43" u="1"/>
        <n v="344.32" u="1"/>
        <n v="765" u="1"/>
        <n v="614.9808" u="1"/>
        <n v="146.5184" u="1"/>
        <n v="3665.0432" u="1"/>
        <n v="306.7934" u="1"/>
        <n v="521.6736" u="1"/>
        <n v="866.1072" u="1"/>
        <n v="617.568" u="1"/>
        <n v="739.7376" u="1"/>
        <n v="2672.01" u="1"/>
        <n v="4001.96" u="1"/>
        <n v="9624.74" u="1"/>
        <n v="1181.5309" u="1"/>
        <n v="1017.4886" u="1"/>
        <n v="287.88" u="1"/>
        <n v="4347.23" u="1"/>
        <n v="4555.1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" u="1"/>
        <n v="511.0896" u="1"/>
        <n v="259.3248" u="1"/>
        <n v="725.08" u="1"/>
        <n v="340.7264" u="1"/>
        <n v="404.0512" u="1"/>
        <n v="4142.88" u="1"/>
        <n v="1192" u="1"/>
        <n v="5700.08" u="1"/>
        <n v="1097.21" u="1"/>
        <n v="2123.91" u="1"/>
        <n v="655.14" u="1"/>
        <n v="850.5599999999999" u="1"/>
        <n v="520.8" u="1"/>
        <n v="1844.29" u="1"/>
        <n v="1067.5097" u="1"/>
        <n v="4876.74" u="1"/>
        <n v="705.1900000000001" u="1"/>
        <n v="2693.5041" u="1"/>
        <n v="2671.8901" u="1"/>
        <n v="250.69" u="1"/>
        <n v="599.424" u="1"/>
        <n v="275.8896" u="1"/>
        <n v="280.5" u="1"/>
        <n v="1061.27" u="1"/>
        <n v="752.86" u="1"/>
        <n v="740.9400000000001" u="1"/>
        <n v="2716.3349" u="1"/>
        <n v="579.3" u="1"/>
        <n v="223.61" u="1"/>
        <n v="2072.5913" u="1"/>
        <n v="1415.0749" u="1"/>
        <n v="422" u="1"/>
        <n v="784.476" u="1"/>
        <n v="461.39" u="1"/>
        <n v="13111.45" u="1"/>
        <n v="1413.94" u="1"/>
        <n v="440.0928" u="1"/>
        <n v="207.56" u="1"/>
        <n v="592.8525" u="1"/>
        <n v="862.23" u="1"/>
        <n v="1043.5201" u="1"/>
        <n v="489.555" u="1"/>
        <n v="509.92" u="1"/>
        <n v="345.24" u="1"/>
        <n v="507.2928" u="1"/>
        <n v="662.5472" u="1"/>
        <n v="276.0352" u="1"/>
        <n v="377.832" u="1"/>
        <n v="5512.8522" u="1"/>
        <n v="564.6" u="1"/>
        <n v="791.4" u="1"/>
        <n v="2033.32" u="1"/>
        <n v="579.1968000000001" u="1"/>
        <n v="761.3088" u="1"/>
        <n v="714.5712" u="1"/>
        <n v="770.336" u="1"/>
        <n v="455.91" u="1"/>
        <n v="391.92" u="1"/>
        <n v="489.97" u="1"/>
        <n v="1134.9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00000000001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1" u="1"/>
        <n v="360.14" u="1"/>
        <n v="230.32" u="1"/>
        <n v="2186.01" u="1"/>
        <n v="2703" u="1"/>
        <n v="698.1814000000001" u="1"/>
        <n v="2219.9598" u="1"/>
        <n v="1722.1663" u="1"/>
        <n v="647.85" u="1"/>
        <n v="486.7373" u="1"/>
        <n v="496.3373" u="1"/>
        <n v="1956.64" u="1"/>
        <n v="1009.9" u="1"/>
        <n v="1985.74" u="1"/>
        <n v="749.92" u="1"/>
        <n v="993.38" u="1"/>
        <n v="828.67" u="1"/>
        <n v="773.48" u="1"/>
        <n v="1063.42" u="1"/>
        <n v="183.5" u="1"/>
        <n v="2048.31" u="1"/>
        <n v="1157.57" u="1"/>
        <n v="740.84" u="1"/>
        <n v="1025.92" u="1"/>
        <n v="762.55" u="1"/>
        <n v="18876.114" u="1"/>
        <n v="3685.5" u="1"/>
        <n v="1115.28" u="1"/>
        <n v="1186.1164" u="1"/>
        <n v="2674.83" u="1"/>
        <n v="905.45" u="1"/>
        <n v="1992" u="1"/>
        <n v="1858" u="1"/>
        <n v="10176" u="1"/>
        <n v="5515.08" u="1"/>
        <n v="1101.6" u="1"/>
        <n v="19219.66" u="1"/>
        <n v="337.1" u="1"/>
        <n v="2000" u="1"/>
        <n v="875.6" u="1"/>
        <n v="1175.8" u="1"/>
        <n v="248.56" u="1"/>
        <n v="2655" u="1"/>
        <n v="11905.3584" u="1"/>
        <n v="753.712" u="1"/>
        <n v="648.414" u="1"/>
        <n v="2286.024" u="1"/>
        <n v="4067.7" u="1"/>
        <n v="4413.18" u="1"/>
        <n v="226.91" u="1"/>
        <n v="921" u="1"/>
        <n v="638.28" u="1"/>
        <n v="251.75" u="1"/>
        <n v="1967.55" u="1"/>
        <n v="343.4" u="1"/>
        <n v="1049.5" u="1"/>
        <n v="48.86" u="1"/>
        <n v="1309.8" u="1"/>
        <n v="592.8200000000001" u="1"/>
        <n v="921.9" u="1"/>
        <n v="248.6" u="1"/>
      </sharedItems>
    </cacheField>
    <cacheField name="Taxa" uniqueList="1" numFmtId="0" sqlType="0" hierarchy="0" level="0" databaseField="1">
      <sharedItems count="0" containsBlank="1" containsNumber="1" containsString="0" minValue="0" maxValue="4102"/>
    </cacheField>
    <cacheField name="Outras Taxas" uniqueList="1" numFmtId="0" sqlType="0" hierarchy="0" level="0" databaseField="1">
      <sharedItems count="0" containsBlank="1" containsNumber="1" containsString="0" minValue="0" maxValue="1280.15"/>
    </cacheField>
    <cacheField name="Taxa DU" uniqueList="1" numFmtId="0" sqlType="0" hierarchy="0" level="0" databaseField="1">
      <sharedItems count="0" containsBlank="1" containsNumber="1" containsString="0" minValue="0" maxValue="159.94"/>
    </cacheField>
    <cacheField name="Taxa BR" uniqueList="1" numFmtId="0" sqlType="0" hierarchy="0" level="0" databaseField="1">
      <sharedItems count="0" containsBlank="1" containsNumber="1" containsString="0" minValue="0" maxValue="120.08"/>
    </cacheField>
    <cacheField name="Taxa Extra" uniqueList="1" numFmtId="0" sqlType="0" hierarchy="0" level="0" databaseField="1">
      <sharedItems count="0" containsBlank="1" containsNumber="1" containsString="0" minValue="0" maxValue="311.64"/>
    </cacheField>
    <cacheField name="Fee" uniqueList="1" numFmtId="0" sqlType="0" hierarchy="0" level="0" databaseField="1">
      <sharedItems count="0" containsBlank="1" containsNumber="1" containsString="0" minValue="0" maxValue="490.9"/>
    </cacheField>
    <cacheField name="Observação" uniqueList="1" numFmtId="0" sqlType="0" hierarchy="0" level="0" databaseField="1">
      <sharedItems count="0" containsBlank="1"/>
    </cacheField>
    <cacheField name="Mensagem Erro" uniqueList="1" numFmtId="0" sqlType="0" hierarchy="0" level="0" databaseField="1">
      <sharedItems count="0" containsBlank="1"/>
    </cacheField>
    <cacheField name="OBTS" uniqueList="1" numFmtId="0" sqlType="0" hierarchy="0" level="0" databaseField="1">
      <sharedItems count="10" containsBlank="1">
        <s v="GOVER"/>
        <s v="MANUAL"/>
        <s v="ZUPPER"/>
        <s v="KONTRIP"/>
        <s v="SABRE"/>
        <s v="ARGO(TMS)"/>
        <s v="LEMONTECH"/>
        <s v="WOOBA"/>
        <m/>
        <s v="EBOOKING" u="1"/>
      </sharedItems>
    </cacheField>
    <cacheField name="CAMPO" uniqueList="1" numFmtId="0" sqlType="0" hierarchy="0" level="0" databaseField="1">
      <sharedItems count="40" containsBlank="1">
        <s v="Tarifa mínima"/>
        <s v="Falta de Fornecedor"/>
        <s v="Falta informação nos trechos"/>
        <s v="Falta de informação Gerencial"/>
        <s v="Forma de Pagamento indevida"/>
        <s v="Não identificado"/>
        <s v="Cadastro enviado errado no Benner"/>
        <s v="Conciliação de Cartão"/>
        <s v="Centro de custo"/>
        <s v="Canal de venda"/>
        <s v="Mais de um campo não preenchido"/>
        <s v="Matrícula"/>
        <s v="Empenho/departamento"/>
        <s v="Pagamento não permitido para cobrança"/>
        <s v="Contrato de fornecedor"/>
        <s v="Finalidade"/>
        <m/>
        <s v="Departamento" u="1"/>
        <s v="Informação de controle" u="1"/>
        <s v="Motivo" u="1"/>
        <s v="Requisição" u="1"/>
        <s v="Cliente" u="1"/>
        <s v="Controle de comissão pós paga" u="1"/>
        <s v="Solicitante" u="1"/>
        <s v="Bilhete duplicado" u="1"/>
        <s v="Caractere inválido" u="1"/>
        <s v="Duplicidade de RLOC" u="1"/>
        <s v="OS" u="1"/>
        <s v="Tarifa máxima" u="1"/>
        <s v="Projeto" u="1"/>
        <s v="Bilhete conciliado" u="1"/>
        <s v="Autorização do cartão da forma de pagamento" u="1"/>
        <s v="Administradora Cartão Fee incorreta" u="1"/>
        <s v="Nível funcionári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uniqueList="1" numFmtId="0" sqlType="0" hierarchy="0" level="0" databaseField="1">
      <sharedItems count="0" containsBlank="1"/>
    </cacheField>
    <cacheField name="TIPO DE ERRO" uniqueList="1" numFmtId="0" sqlType="0" hierarchy="0" level="0" databaseField="1">
      <sharedItems count="6" containsBlank="1">
        <s v="Dados do Fornecedor"/>
        <s v="Dados Gerenciais"/>
        <s v="Sistema"/>
        <s v="Edição não Permitida"/>
        <m/>
        <s v="Duplicidade de Contabilização" u="1"/>
      </sharedItems>
    </cacheField>
    <cacheField name="CATEGORIA DE ERRO" uniqueList="1" numFmtId="0" sqlType="0" hierarchy="0" level="0" databaseField="1">
      <sharedItems count="0" containsBlank="1"/>
    </cacheField>
    <cacheField name="EMPRESA" uniqueList="1" numFmtId="0" sqlType="0" hierarchy="0" level="0" databaseField="1">
      <sharedItems count="0" containsBlank="1"/>
    </cacheField>
    <cacheField name="RESPONSÁVEL" uniqueList="1" numFmtId="0" sqlType="0" hierarchy="0" level="0" databaseField="1">
      <sharedItems count="11" containsBlank="1">
        <s v="Central de Emissão"/>
        <s v="Suporte Benner"/>
        <s v="Suporte KCS"/>
        <s v="Operações - CORP"/>
        <s v="Operações - ZUPPER"/>
        <s v="Operações - KONTRIP"/>
        <s v="Operações - FCM"/>
        <m/>
        <s v="Conciliação aérea" u="1"/>
        <s v="INOVENTS" u="1"/>
        <s v="Operações CORP" u="1"/>
      </sharedItems>
    </cacheField>
    <cacheField name="Dias (Data Inclusão)" uniqueList="1" numFmtId="0" sqlType="0" hierarchy="0" level="0" databaseField="0">
      <fieldGroup base="3">
        <rangePr autoStart="1" autoEnd="1" groupBy="days" startDate="2025-02-26T11:43:30" endDate="2025-11-23T22:22:30" groupInterval="1"/>
        <groupItems count="368">
          <s v="&lt;26/02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3/11/2025"/>
        </groupItems>
      </fieldGroup>
    </cacheField>
    <cacheField name="Meses (Data Inclusão)" uniqueList="1" numFmtId="0" sqlType="0" hierarchy="0" level="0" databaseField="0">
      <fieldGroup base="3">
        <rangePr autoStart="1" autoEnd="1" groupBy="months" startDate="2025-02-26T11:43:30" endDate="2025-11-23T22:22:30" groupInterval="1"/>
        <groupItems count="14">
          <s v="&lt;26/0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11/2025"/>
        </groupItems>
      </fieldGroup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Igor Freitas dos Santos" refreshedDate="45985.32137233796" createdVersion="8" refreshedVersion="8" minRefreshableVersion="3" recordCount="601" r:id="rId1">
  <cacheSource type="worksheet">
    <worksheetSource ref="A1:AP1048576" sheet="Processado Erro - BASE"/>
  </cacheSource>
  <cacheFields count="48">
    <cacheField name="Handle PNR" uniqueList="1" numFmtId="0" sqlType="0" hierarchy="0" level="0" databaseField="1">
      <sharedItems count="0" containsBlank="1" containsInteger="1" containsNumber="1" containsString="0" minValue="21721135" maxValue="23376667"/>
    </cacheField>
    <cacheField name="Handle ACC" uniqueList="1" numFmtId="0" sqlType="0" hierarchy="0" level="0" databaseField="1">
      <sharedItems count="0" containsBlank="1" containsInteger="1" containsNumber="1" containsString="0" minValue="22644986" maxValue="24100904"/>
    </cacheField>
    <cacheField name="Sequencia" uniqueList="1" numFmtId="0" sqlType="0" hierarchy="0" level="0" databaseField="1">
      <sharedItems count="0" containsBlank="1"/>
    </cacheField>
    <cacheField name="Data Inclusão" uniqueList="1" numFmtId="0" sqlType="0" hierarchy="0" level="0" databaseField="1">
      <sharedItems count="8000" containsBlank="1" containsDate="1" containsNonDate="0" containsString="0" minDate="2024-08-27T20:34:26" maxDate="2025-11-23T22:22:30">
        <d v="2025-11-17T20:54:54"/>
        <d v="2025-11-17T20:54:55"/>
        <d v="2025-11-07T11:55:57"/>
        <d v="2025-11-13T17:05:26"/>
        <d v="2025-11-15T15:54:04"/>
        <d v="2025-11-21T08:35:01"/>
        <d v="2025-11-21T08:46:22"/>
        <d v="2025-11-15T15:36:11"/>
        <d v="2025-11-21T21:58:19"/>
        <d v="2025-11-21T09:53:12"/>
        <d v="2025-11-22T00:21:06"/>
        <d v="2025-11-22T10:02:08"/>
        <d v="2025-11-22T10:03:08"/>
        <d v="2025-11-23T11:57:09"/>
        <d v="2025-11-23T12:20:17"/>
        <d v="2025-11-23T13:25:07"/>
        <d v="2025-11-23T13:26:08"/>
        <d v="2025-11-23T16:02:06"/>
        <d v="2025-11-23T18:02:06"/>
        <d v="2025-11-23T18:03:06"/>
        <d v="2025-11-21T20:45:14"/>
        <d v="2025-11-21T19:25:13"/>
        <d v="2025-11-21T19:26:13"/>
        <d v="2025-11-21T11:49:09"/>
        <d v="2025-11-21T14:07:14"/>
        <d v="2025-11-21T07:57:06"/>
        <d v="2025-11-15T06:50:05"/>
        <d v="2025-11-15T12:44:06"/>
        <d v="2025-11-16T18:36:14"/>
        <d v="2025-11-16T20:27:04"/>
        <d v="2025-11-15T22:01:07"/>
        <d v="2025-11-16T03:23:21"/>
        <d v="2025-11-16T18:48:09"/>
        <d v="2025-11-21T14:04:30"/>
        <d v="2025-11-18T11:34:47"/>
        <d v="2025-11-18T12:32:35"/>
        <d v="2025-11-18T10:14:45"/>
        <d v="2025-11-18T10:16:46"/>
        <d v="2025-11-18T13:47:03"/>
        <d v="2025-11-17T09:10:29"/>
        <d v="2025-11-17T09:04:30"/>
        <d v="2025-11-15T16:12:27"/>
        <d v="2025-11-16T15:46:37"/>
        <d v="2025-11-10T20:58:36"/>
        <d v="2025-11-11T09:28:28"/>
        <d v="2025-11-10T21:14:37"/>
        <d v="2025-11-10T21:22:28"/>
        <d v="2025-11-10T21:36:28"/>
        <d v="2025-11-11T09:00:27"/>
        <d v="2025-11-10T21:04:37"/>
        <d v="2025-11-10T20:42:25"/>
        <d v="2025-11-10T20:43:23"/>
        <d v="2025-11-06T20:26:36"/>
        <d v="2025-11-22T20:38:26"/>
        <d v="2025-11-20T19:40:28"/>
        <d v="2025-10-17T15:55:43"/>
        <d v="2025-10-15T16:30:14"/>
        <d v="2025-10-27T08:54:29"/>
        <d v="2025-11-10T16:25:31"/>
        <d v="2025-11-14T20:54:56"/>
        <d v="2025-11-18T11:15:16"/>
        <d v="2025-11-19T16:03:20"/>
        <d v="2025-11-19T16:25:58"/>
        <d v="2025-11-18T17:36:20"/>
        <d v="2025-11-19T13:44:29"/>
        <d v="2025-11-19T14:24:24"/>
        <d v="2025-11-11T08:14:44"/>
        <d v="2025-11-14T14:08:19"/>
        <d v="2025-11-14T14:08:20"/>
        <d v="2025-10-27T19:15:56"/>
        <d v="2025-11-15T15:54:05"/>
        <d v="2025-11-15T15:54:06"/>
        <d v="2025-10-30T19:35:21"/>
        <d v="2025-10-30T19:35:22"/>
        <d v="2025-11-05T14:59:24"/>
        <d v="2025-11-18T10:54:49"/>
        <d v="2025-11-17T09:24:56"/>
        <d v="2025-11-19T18:04:31"/>
        <d v="2025-10-27T16:24:50"/>
        <d v="2025-11-14T14:13:04"/>
        <d v="2025-11-21T16:27:57"/>
        <d v="2025-11-19T21:56:25"/>
        <d v="2025-11-19T15:39:25"/>
        <d v="2025-11-21T16:27:44"/>
        <d v="2025-11-23T22:22:30"/>
        <d v="2025-11-23T16:17:01"/>
        <d v="2025-11-19T21:55:30"/>
        <d v="2025-11-19T21:55:58"/>
        <d v="2025-11-19T03:13:26"/>
        <d v="2025-11-18T12:41:51"/>
        <d v="2025-11-19T16:32:19"/>
        <d v="2025-11-21T17:21:42"/>
        <d v="2025-11-21T17:21:46"/>
        <d v="2025-11-13T15:52:44"/>
        <d v="2025-11-10T12:55:21"/>
        <d v="2025-11-12T15:13:39"/>
        <d v="2025-11-21T10:21:28"/>
        <d v="2025-11-21T10:21:33"/>
        <d v="2025-11-18T15:01:46"/>
        <d v="2025-11-19T10:23:45"/>
        <d v="2025-11-19T16:32:42"/>
        <d v="2025-11-13T07:56:14"/>
        <d v="2025-11-21T14:05:52"/>
        <d v="2025-11-17T20:53:45"/>
        <d v="2025-11-06T13:14:42"/>
        <d v="2025-11-19T17:53:01"/>
        <d v="2025-11-17T15:05:55"/>
        <d v="2025-10-28T17:05:23"/>
        <d v="2025-11-07T11:07:27"/>
        <d v="2025-11-21T15:55:26"/>
        <d v="2025-11-21T15:55:29"/>
        <d v="2025-11-20T15:17:19"/>
        <d v="2025-11-17T09:07:28"/>
        <d v="2025-11-21T15:55:44"/>
        <d v="2025-11-14T19:33:37"/>
        <d v="2025-10-24T12:28:26"/>
        <d v="2025-11-11T18:43:13"/>
        <d v="2025-11-11T18:43:18"/>
        <d v="2025-11-03T21:57:30"/>
        <d v="2025-11-17T09:35:05"/>
        <d v="2025-11-14T15:47:25"/>
        <d v="2025-11-14T15:47:28"/>
        <d v="2025-11-14T15:47:30"/>
        <d v="2025-11-10T14:50:34"/>
        <d v="2025-11-21T10:09:35"/>
        <d v="2025-11-21T12:39:28"/>
        <d v="2025-11-21T15:52:34"/>
        <d v="2025-11-21T20:35:52"/>
        <d v="2025-11-21T17:26:21"/>
        <d v="2025-11-07T18:12:00"/>
        <d v="2025-11-13T12:44:16"/>
        <d v="2025-11-12T09:21:49"/>
        <d v="2025-11-12T11:21:53"/>
        <d v="2025-10-30T09:54:26"/>
        <d v="2025-10-21T15:03:41"/>
        <d v="2025-11-04T09:11:43"/>
        <d v="2025-11-06T08:52:10"/>
        <d v="2025-11-03T19:51:07"/>
        <d v="2025-11-14T13:16:18"/>
        <d v="2025-11-12T12:37:37"/>
        <d v="2025-11-11T18:23:52"/>
        <d v="2025-11-11T18:23:59"/>
        <d v="2025-11-04T22:07:36"/>
        <d v="2025-10-23T18:10:32"/>
        <d v="2025-11-04T16:06:10"/>
        <d v="2025-11-21T15:39:52"/>
        <d v="2025-11-06T17:42:30"/>
        <d v="2025-11-07T23:06:51"/>
        <d v="2025-11-11T18:26:34"/>
        <d v="2025-11-17T15:01:28"/>
        <d v="2025-11-18T14:37:30"/>
        <d v="2025-11-21T15:40:02"/>
        <d v="2025-11-17T15:01:05"/>
        <d v="2025-11-10T18:58:17"/>
        <d v="2025-11-10T18:58:23"/>
        <d v="2025-11-07T23:07:21"/>
        <d v="2025-11-04T16:05:12"/>
        <d v="2025-11-21T15:41:27"/>
        <d v="2025-11-21T15:41:49"/>
        <d v="2025-11-21T21:42:08"/>
        <d v="2025-11-21T21:45:54"/>
        <d v="2025-11-21T21:42:45"/>
        <d v="2025-11-21T21:42:48"/>
        <d v="2025-11-21T15:35:50"/>
        <d v="2025-11-21T15:35:54"/>
        <d v="2025-11-21T15:36:16"/>
        <d v="2025-11-21T15:36:25"/>
        <d v="2025-11-21T15:36:44"/>
        <d v="2025-11-21T15:36:59"/>
        <d v="2025-11-21T15:37:28"/>
        <d v="2025-11-21T15:37:57"/>
        <d v="2025-11-21T15:38:20"/>
        <d v="2025-11-18T20:43:47"/>
        <d v="2025-11-19T15:36:32"/>
        <d v="2025-11-21T21:41:23"/>
        <d v="2025-11-17T14:19:58"/>
        <d v="2025-10-20T23:11:23"/>
        <d v="2025-11-12T18:46:17"/>
        <d v="2025-11-12T18:46:53"/>
        <d v="2025-10-10T19:52:16"/>
        <d v="2025-10-10T19:52:22"/>
        <d v="2025-10-10T19:52:29"/>
        <d v="2025-11-18T20:45:17"/>
        <d v="2025-11-19T21:06:44"/>
        <d v="2025-11-19T21:06:58"/>
        <d v="2025-11-19T21:07:45"/>
        <d v="2025-11-21T15:40:51"/>
        <d v="2025-11-21T15:40:54"/>
        <d v="2025-11-21T15:40:58"/>
        <d v="2025-11-21T15:41:01"/>
        <d v="2025-11-21T15:41:14"/>
        <d v="2025-11-21T15:39:55"/>
        <d v="2025-11-14T19:20:45"/>
        <d v="2025-11-17T20:21:04"/>
        <d v="2025-11-17T20:21:30"/>
        <d v="2025-11-21T09:24:54"/>
        <d v="2025-11-21T09:24:55"/>
        <d v="2025-10-27T13:53:54"/>
        <d v="2025-02-26T11:43:30"/>
        <d v="2025-11-18T20:54:23"/>
        <d v="2025-11-18T20:54:32"/>
        <d v="2025-11-18T20:54:37"/>
        <d v="2025-11-13T19:19:09"/>
        <d v="2025-04-09T20:04:45"/>
        <d v="2025-03-26T03:41:59"/>
        <d v="2025-11-07T23:26:11"/>
        <d v="2025-11-09T11:36:38"/>
        <d v="2025-11-11T18:48:08"/>
        <d v="2025-11-15T01:28:05"/>
        <d v="2025-11-21T20:33:24"/>
        <d v="2025-11-17T19:41:29"/>
        <d v="2025-11-04T09:35:23"/>
        <d v="2025-11-19T17:14:28"/>
        <d v="2025-11-19T16:02:21"/>
        <d v="2025-11-19T19:11:02"/>
        <d v="2025-11-21T18:41:10"/>
        <d v="2025-11-17T11:21:11"/>
        <d v="2025-11-19T17:11:54"/>
        <d v="2025-10-24T15:15:40"/>
        <d v="2025-10-24T15:15:42"/>
        <d v="2025-11-21T17:16:33"/>
        <d v="2025-10-22T12:10:29"/>
        <d v="2025-10-31T18:03:06"/>
        <d v="2025-10-17T19:09:06"/>
        <d v="2025-11-04T11:20:51"/>
        <d v="2025-11-04T13:03:00"/>
        <d v="2025-11-03T11:03:31"/>
        <d v="2025-11-03T11:04:11"/>
        <d v="2025-11-19T16:46:01"/>
        <d v="2025-11-19T16:46:10"/>
        <d v="2025-11-20T17:33:20"/>
        <d v="2025-11-21T17:34:42"/>
        <d v="2025-11-21T13:14:51"/>
        <d v="2025-11-21T08:55:44"/>
        <d v="2025-11-19T16:00:33"/>
        <d v="2025-11-19T21:21:51"/>
        <d v="2025-11-22T15:56:46"/>
        <d v="2025-10-20T18:14:07"/>
        <d v="2025-11-18T19:52:26"/>
        <d v="2025-11-17T19:41:43"/>
        <d v="2025-11-19T15:34:08"/>
        <d v="2025-11-21T16:21:55"/>
        <d v="2025-11-21T09:35:53"/>
        <d v="2025-10-28T20:30:56"/>
        <d v="2025-11-17T20:57:56"/>
        <d v="2025-11-19T21:39:35"/>
        <d v="2025-11-21T16:19:29"/>
        <d v="2025-11-21T16:19:30"/>
        <d v="2025-11-21T09:35:05"/>
        <d v="2025-10-16T13:48:18"/>
        <d v="2025-11-11T20:04:22"/>
        <d v="2025-11-12T16:24:32"/>
        <d v="2025-11-17T11:54:51"/>
        <d v="2025-11-07T11:45:50"/>
        <d v="2025-11-07T16:26:10"/>
        <d v="2025-11-06T15:24:56"/>
        <d v="2025-11-06T11:15:04"/>
        <d v="2025-11-14T19:44:06"/>
        <d v="2025-11-18T10:06:32"/>
        <d v="2025-11-17T19:44:36"/>
        <d v="2025-11-18T18:14:25"/>
        <d v="2025-11-14T14:18:00"/>
        <d v="2025-10-18T00:06:56"/>
        <d v="2025-10-17T00:04:50"/>
        <d v="2025-10-28T16:26:14"/>
        <d v="2025-11-03T10:31:09"/>
        <d v="2025-11-21T17:01:43"/>
        <d v="2025-11-18T13:21:04"/>
        <d v="2025-11-18T09:41:17"/>
        <d v="2025-11-18T13:22:07"/>
        <d v="2025-11-06T15:51:12"/>
        <d v="2025-11-21T10:20:48"/>
        <d v="2025-11-17T14:41:12"/>
        <d v="2025-11-14T19:21:27"/>
        <d v="2025-11-21T12:13:04"/>
        <d v="2025-11-19T11:50:33"/>
        <d v="2025-11-19T11:50:38"/>
        <d v="2025-11-18T17:01:00"/>
        <d v="2025-11-19T18:50:54"/>
        <d v="2025-11-17T17:01:27"/>
        <d v="2025-11-17T17:01:43"/>
        <d v="2025-11-19T08:51:20"/>
        <d v="2025-11-12T15:20:48"/>
        <d v="2025-11-05T18:31:04"/>
        <d v="2025-11-06T18:31:08"/>
        <d v="2025-11-13T08:41:49"/>
        <d v="2025-10-28T14:14:58"/>
        <d v="2025-11-19T02:53:37"/>
        <d v="2025-10-28T14:13:34"/>
        <d v="2025-11-11T19:06:46"/>
        <d v="2025-10-28T20:16:49"/>
        <d v="2025-11-21T17:33:55"/>
        <d v="2025-11-21T08:53:41"/>
        <d v="2025-11-17T18:54:02"/>
        <d v="2025-11-21T08:53:22"/>
        <d v="2025-11-19T19:43:01"/>
        <d v="2025-11-18T16:52:50"/>
        <d v="2025-11-18T15:53:10"/>
        <d v="2025-11-18T09:54:44"/>
        <d v="2025-11-21T20:32:57"/>
        <d v="2025-11-17T18:54:14"/>
        <d v="2025-11-18T17:15:10"/>
        <d v="2025-10-31T12:00:43"/>
        <d v="2025-11-12T08:34:39"/>
        <d v="2025-11-17T14:31:41"/>
        <d v="2025-11-17T14:32:28"/>
        <d v="2025-11-17T14:32:32"/>
        <d v="2025-11-17T14:32:37"/>
        <d v="2025-11-18T14:49:19"/>
        <d v="2025-11-21T15:52:45"/>
        <d v="2025-11-18T20:57:26"/>
        <d v="2025-11-21T21:56:30"/>
        <d v="2025-11-21T15:52:42"/>
        <d v="2025-11-21T21:56:59"/>
        <d v="2025-11-21T15:52:56"/>
        <d v="2025-11-15T01:28:21"/>
        <d v="2025-10-08T19:37:30"/>
        <d v="2025-11-19T16:02:37"/>
        <d v="2025-11-19T16:02:31"/>
        <d v="2025-11-21T09:00:47"/>
        <d v="2025-11-19T17:01:09"/>
        <d v="2025-11-14T14:02:33"/>
        <d v="2025-11-19T17:02:32"/>
        <d v="2025-11-19T14:44:43"/>
        <d v="2025-11-19T17:44:12"/>
        <d v="2025-11-11T12:36:45"/>
        <d v="2025-11-06T17:19:01"/>
        <d v="2025-11-12T12:54:49"/>
        <d v="2025-11-19T02:52:17"/>
        <d v="2025-11-21T22:01:47"/>
        <d v="2025-11-18T14:57:53"/>
        <d v="2025-11-18T14:57:59"/>
        <d v="2025-11-18T14:58:02"/>
        <d v="2025-11-18T14:58:09"/>
        <d v="2025-11-22T15:57:13"/>
        <d v="2025-11-21T22:02:46"/>
        <d v="2025-11-21T22:05:06"/>
        <d v="2025-11-18T21:07:38"/>
        <d v="2025-11-18T21:07:50"/>
        <d v="2025-11-19T21:28:27"/>
        <d v="2025-11-19T15:20:52"/>
        <d v="2025-11-19T15:20:56"/>
        <d v="2025-11-19T15:20:59"/>
        <d v="2025-11-19T15:21:20"/>
        <d v="2025-11-19T15:22:42"/>
        <d v="2025-11-17T20:45:37"/>
        <d v="2025-11-17T20:47:51"/>
        <d v="2025-11-18T14:58:37"/>
        <d v="2025-11-18T15:00:00"/>
        <d v="2025-11-18T15:00:03"/>
        <d v="2025-11-18T15:00:07"/>
        <d v="2025-11-19T15:19:56"/>
        <d v="2025-11-19T15:20:12"/>
        <d v="2025-11-19T15:20:33"/>
        <d v="2025-11-19T15:20:39"/>
        <d v="2025-11-19T15:20:41"/>
        <d v="2025-11-19T15:20:49"/>
        <d v="2025-11-21T15:59:03"/>
        <d v="2025-11-21T15:59:04"/>
        <d v="2025-11-21T15:59:12"/>
        <d v="2025-11-21T15:59:17"/>
        <d v="2025-11-21T16:03:15"/>
        <d v="2025-11-21T16:04:04"/>
        <d v="2025-11-21T16:04:05"/>
        <d v="2025-11-21T16:04:33"/>
        <d v="2025-11-21T16:04:44"/>
        <d v="2025-11-19T15:22:50"/>
        <d v="2025-11-19T15:23:06"/>
        <d v="2025-11-19T15:23:07"/>
        <d v="2025-11-19T15:23:13"/>
        <d v="2025-11-19T21:28:40"/>
        <d v="2025-11-19T21:28:37"/>
        <d v="2025-11-13T15:34:34"/>
        <d v="2025-11-14T11:15:07"/>
        <d v="2025-11-13T10:13:50"/>
        <d v="2025-10-22T14:39:35"/>
        <d v="2025-10-22T14:39:41"/>
        <d v="2025-11-18T14:51:39"/>
        <d v="2025-11-18T14:51:40"/>
        <d v="2025-11-20T15:17:10"/>
        <d v="2025-11-20T15:17:13"/>
        <d v="2025-11-19T09:04:15"/>
        <d v="2025-11-19T08:25:02"/>
        <d v="2025-11-19T13:05:03"/>
        <d v="2025-11-17T11:15:41"/>
        <d v="2025-11-05T22:29:36"/>
        <d v="2025-11-14T13:20:08"/>
        <d v="2025-11-13T00:46:40"/>
        <d v="2025-10-24T18:29:32"/>
        <d v="2025-11-21T21:41:28"/>
        <d v="2025-11-14T19:23:07"/>
        <d v="2025-11-14T19:23:08"/>
        <d v="2025-11-05T16:23:19"/>
        <d v="2025-11-03T21:47:57"/>
        <d v="2025-10-24T18:31:45"/>
        <d v="2025-11-05T22:27:08"/>
        <d v="2025-11-18T20:43:08"/>
        <d v="2025-11-10T12:22:29"/>
        <d v="2025-10-30T14:59:37"/>
        <d v="2025-11-17T14:46:50"/>
        <d v="2025-11-17T14:47:18"/>
        <d v="2025-11-11T12:39:26"/>
        <d v="2025-11-11T12:39:22"/>
        <d v="2025-11-19T21:22:43"/>
        <d v="2025-11-19T21:23:05"/>
        <d v="2025-11-19T21:23:28"/>
        <d v="2025-11-19T21:23:41"/>
        <d v="2025-11-19T21:23:44"/>
        <d v="2025-11-19T21:23:56"/>
        <d v="2025-11-21T09:32:41"/>
        <d v="2025-11-21T15:53:02"/>
        <d v="2025-11-17T14:33:22"/>
        <d v="2025-11-19T13:03:51"/>
        <d v="2025-11-19T13:03:57"/>
        <d v="2025-11-15T15:54:07"/>
        <d v="2025-11-06T11:52:33"/>
        <d v="2025-10-31T16:32:17"/>
        <d v="2025-11-22T15:59:20"/>
        <d v="2025-11-21T22:20:10"/>
        <d v="2025-11-21T16:25:51"/>
        <d v="2025-11-21T16:25:54"/>
        <d v="2025-11-17T21:12:08"/>
        <d v="2025-11-17T21:12:39"/>
        <d v="2025-11-18T15:15:38"/>
        <d v="2025-11-19T15:35:34"/>
        <d v="2025-11-17T14:59:14"/>
        <d v="2025-11-02T16:54:57"/>
        <d v="2025-11-14T16:36:20"/>
        <d v="2025-10-21T14:44:33"/>
        <d v="2025-10-21T11:45:30"/>
        <d v="2025-11-11T16:24:52"/>
        <d v="2025-11-17T14:45:09"/>
        <d v="2025-11-17T16:25:29"/>
        <d v="2025-11-19T18:04:44"/>
        <d v="2025-11-19T16:54:41"/>
        <d v="2025-11-21T20:24:13"/>
        <d v="2025-11-17T14:01:31"/>
        <d v="2025-11-17T14:01:32"/>
        <d v="2025-11-17T14:01:34"/>
        <d v="2025-11-14T12:01:10"/>
        <d v="2025-11-21T11:01:55"/>
        <d v="2025-11-21T18:01:05"/>
        <d v="2025-11-21T21:02:01"/>
        <d v="2025-11-19T17:01:26"/>
        <d v="2025-11-19T16:02:35"/>
        <d v="2025-11-19T17:01:41"/>
        <d v="2025-11-21T17:01:58"/>
        <d v="2025-11-04T09:11:08"/>
        <d v="2025-11-14T07:11:07"/>
        <d v="2025-11-14T07:11:08"/>
        <d v="2025-11-14T07:11:09"/>
        <d v="2025-11-14T07:20:59"/>
        <d v="2025-11-14T07:21:00"/>
        <d v="2025-10-31T09:38:40"/>
        <d v="2025-10-16T08:24:48"/>
        <d v="2025-10-17T08:44:29"/>
        <d v="2025-10-30T11:55:30"/>
        <d v="2025-11-05T22:46:30"/>
        <d v="2025-11-21T15:55:12"/>
        <d v="2025-11-21T19:14:07"/>
        <d v="2025-11-21T17:53:46"/>
        <d v="2025-11-19T17:44:44"/>
        <d v="2025-11-19T17:44:47"/>
        <d v="2025-11-17T18:14:52"/>
        <d v="2025-11-17T12:34:22"/>
        <d v="2025-11-11T10:14:51"/>
        <d v="2025-11-04T10:02:27"/>
        <d v="2025-11-04T10:42:53"/>
        <d v="2025-11-03T11:05:10"/>
        <d v="2025-11-03T12:22:55"/>
        <d v="2025-11-03T19:22:40"/>
        <d v="2025-11-05T18:43:21"/>
        <d v="2025-11-05T18:43:25"/>
        <d v="2025-11-03T10:03:33"/>
        <d v="2025-11-11T14:53:04"/>
        <d v="2025-11-11T09:33:41"/>
        <d v="2025-11-10T14:53:08"/>
        <d v="2025-11-10T18:14:19"/>
        <d v="2025-11-19T17:04:29"/>
        <d v="2025-11-18T16:34:11"/>
        <d v="2025-11-18T16:34:15"/>
        <d v="2025-11-21T17:17:14"/>
        <d v="2025-11-21T17:17:20"/>
        <d v="2025-11-21T14:14:31"/>
        <d v="2025-11-21T11:53:36"/>
        <d v="2025-11-21T11:53:40"/>
        <d v="2025-11-21T11:53:43"/>
        <d v="2025-11-21T10:16:22"/>
        <d v="2025-11-21T10:16:26"/>
        <d v="2025-11-21T10:16:30"/>
        <d v="2025-11-21T10:16:35"/>
        <d v="2025-11-21T10:16:41"/>
        <d v="2025-11-21T10:16:51"/>
        <d v="2025-11-21T10:17:02"/>
        <d v="2025-11-17T20:36:29"/>
        <d v="2025-11-19T19:05:29"/>
        <d v="2025-11-18T09:55:40"/>
        <d v="2025-11-19T17:43:16"/>
        <d v="2025-11-17T14:45:05"/>
        <d v="2025-11-17T14:21:26"/>
        <d v="2025-11-17T14:21:27"/>
        <d v="2025-11-17T14:21:22"/>
        <d v="2025-11-06T16:49:32"/>
        <d v="2025-11-21T21:43:26"/>
        <d v="2025-11-21T21:43:29"/>
        <d v="2025-11-14T13:24:44"/>
        <d v="2025-11-18T20:47:03"/>
        <d v="2025-11-18T20:47:13"/>
        <d v="2025-11-21T21:43:07"/>
        <d v="2025-11-19T21:26:13"/>
        <d v="2025-11-19T15:16:01"/>
        <d v="2025-11-17T20:40:55"/>
        <d v="2025-11-14T19:49:09"/>
        <d v="2025-11-21T22:00:58"/>
        <d v="2025-11-21T22:01:13"/>
        <d v="2025-11-21T22:01:27"/>
        <d v="2025-11-11T18:55:55"/>
        <d v="2025-11-11T12:33:21"/>
        <d v="2025-11-11T12:33:17"/>
        <d v="2025-04-04T18:06:33"/>
        <d v="2025-11-20T21:24:10"/>
        <m/>
        <d v="2025-11-18T14:04:05" u="1"/>
        <d v="2025-11-18T14:03:54" u="1"/>
        <d v="2025-11-18T14:05:22" u="1"/>
        <d v="2025-11-13T15:41:25" u="1"/>
        <d v="2025-11-17T22:51:14" u="1"/>
        <d v="2025-11-17T22:52:14" u="1"/>
        <d v="2025-11-17T17:32:12" u="1"/>
        <d v="2025-11-17T15:41:06" u="1"/>
        <d v="2025-11-17T15:42:06" u="1"/>
        <d v="2025-11-18T19:42:09" u="1"/>
        <d v="2025-11-18T19:43:06" u="1"/>
        <d v="2025-11-18T11:11:11" u="1"/>
        <d v="2025-11-18T15:22:42" u="1"/>
        <d v="2025-11-12T19:06:26" u="1"/>
        <d v="2025-11-17T19:14:30" u="1"/>
        <d v="2025-11-17T11:25:34" u="1"/>
        <d v="2025-11-17T10:05:03" u="1"/>
        <d v="2025-11-13T15:54:59" u="1"/>
        <d v="2025-11-10T16:13:18" u="1"/>
        <d v="2025-10-29T11:55:05" u="1"/>
        <d v="2025-10-29T11:55:06" u="1"/>
        <d v="2025-11-06T09:34:49" u="1"/>
        <d v="2025-11-19T03:13:20" u="1"/>
        <d v="2025-11-14T17:41:48" u="1"/>
        <d v="2025-11-13T15:52:50" u="1"/>
        <d v="2025-11-17T16:41:15" u="1"/>
        <d v="2025-11-17T16:21:16" u="1"/>
        <d v="2025-11-07T12:24:23" u="1"/>
        <d v="2025-11-18T15:01:56" u="1"/>
        <d v="2025-11-18T15:01:48" u="1"/>
        <d v="2025-11-17T20:53:28" u="1"/>
        <d v="2025-11-07T13:35:52" u="1"/>
        <d v="2025-10-31T14:59:38" u="1"/>
        <d v="2025-10-17T22:28:55" u="1"/>
        <d v="2025-10-23T18:18:15" u="1"/>
        <d v="2025-11-13T00:47:03" u="1"/>
        <d v="2025-11-13T00:47:01" u="1"/>
        <d v="2025-11-18T16:47:54" u="1"/>
        <d v="2025-11-18T17:34:30" u="1"/>
        <d v="2025-11-18T19:04:01" u="1"/>
        <d v="2025-11-12T18:44:13" u="1"/>
        <d v="2025-11-13T19:07:42" u="1"/>
        <d v="2025-11-13T19:07:49" u="1"/>
        <d v="2025-11-04T17:18:12" u="1"/>
        <d v="2025-10-09T19:34:29" u="1"/>
        <d v="2025-10-14T21:12:33" u="1"/>
        <d v="2025-10-13T20:53:16" u="1"/>
        <d v="2025-10-06T18:33:40" u="1"/>
        <d v="2025-10-16T21:51:38" u="1"/>
        <d v="2025-10-16T21:51:45" u="1"/>
        <d v="2025-10-14T09:00:50" u="1"/>
        <d v="2025-11-06T10:36:22" u="1"/>
        <d v="2025-11-18T14:39:09" u="1"/>
        <d v="2025-11-17T20:22:10" u="1"/>
        <d v="2025-11-18T14:37:39" u="1"/>
        <d v="2025-11-18T14:35:27" u="1"/>
        <d v="2025-11-18T20:43:02" u="1"/>
        <d v="2025-11-18T20:40:50" u="1"/>
        <d v="2025-11-18T20:41:55" u="1"/>
        <d v="2025-11-17T14:17:30" u="1"/>
        <d v="2025-11-17T14:19:55" u="1"/>
        <d v="2025-11-18T20:45:56" u="1"/>
        <d v="2025-11-18T20:46:32" u="1"/>
        <d v="2025-11-03T21:50:23" u="1"/>
        <d v="2025-10-31T20:49:12" u="1"/>
        <d v="2025-10-24T18:32:49" u="1"/>
        <d v="2025-11-14T20:20:46" u="1"/>
        <d v="2025-11-14T20:20:53" u="1"/>
        <d v="2025-11-17T14:20:05" u="1"/>
        <d v="2025-11-17T20:23:47" u="1"/>
        <d v="2025-11-17T20:23:53" u="1"/>
        <d v="2025-11-18T20:44:56" u="1"/>
        <d v="2025-10-20T17:31:23" u="1"/>
        <d v="2025-10-20T17:31:35" u="1"/>
        <d v="2025-10-13T21:14:51" u="1"/>
        <d v="2025-10-08T13:19:07" u="1"/>
        <d v="2025-10-20T17:33:08" u="1"/>
        <d v="2025-10-28T20:02:18" u="1"/>
        <d v="2025-10-28T20:02:25" u="1"/>
        <d v="2025-11-03T16:03:18" u="1"/>
        <d v="2025-10-22T23:57:49" u="1"/>
        <d v="2025-11-03T16:02:43" u="1"/>
        <d v="2025-11-03T16:03:03" u="1"/>
        <d v="2025-11-07T23:25:02" u="1"/>
        <d v="2025-11-03T16:03:07" u="1"/>
        <d v="2025-11-03T16:02:49" u="1"/>
        <d v="2025-10-30T14:40:45" u="1"/>
        <d v="2025-11-13T19:19:21" u="1"/>
        <d v="2025-11-06T10:44:55" u="1"/>
        <d v="2025-11-10T17:44:47" u="1"/>
        <d v="2025-11-06T14:54:54" u="1"/>
        <d v="2025-10-17T13:14:29" u="1"/>
        <d v="2025-10-24T15:15:41" u="1"/>
        <d v="2025-10-29T10:17:58" u="1"/>
        <d v="2025-10-24T16:54:58" u="1"/>
        <d v="2025-11-13T17:25:01" u="1"/>
        <d v="2025-11-14T13:17:19" u="1"/>
        <d v="2025-11-11T17:34:51" u="1"/>
        <d v="2025-11-13T13:54:38" u="1"/>
        <d v="2025-11-11T15:53:16" u="1"/>
        <d v="2025-11-18T21:22:53" u="1"/>
        <d v="2025-11-10T17:15:15" u="1"/>
        <d v="2025-11-14T19:47:14" u="1"/>
        <d v="2025-11-10T12:14:01" u="1"/>
        <d v="2025-11-12T19:12:18" u="1"/>
        <d v="2025-11-18T14:52:47" u="1"/>
        <d v="2025-11-17T20:39:06" u="1"/>
        <d v="2025-11-17T20:39:03" u="1"/>
        <d v="2025-11-07T17:31:52" u="1"/>
        <d v="2025-11-07T17:32:08" u="1"/>
        <d v="2025-11-18T12:35:43" u="1"/>
        <d v="2025-11-05T14:25:57" u="1"/>
        <d v="2025-11-05T16:25:07" u="1"/>
        <d v="2025-11-12T14:24:28" u="1"/>
        <d v="2025-10-27T09:34:41" u="1"/>
        <d v="2025-11-06T14:04:25" u="1"/>
        <d v="2025-11-06T14:04:26" u="1"/>
        <d v="2025-11-12T12:02:05" u="1"/>
        <d v="2025-11-14T12:43:32" u="1"/>
        <d v="2025-11-13T19:48:35" u="1"/>
        <d v="2025-11-13T19:48:43" u="1"/>
        <d v="2025-10-16T22:33:04" u="1"/>
        <d v="2025-10-14T15:46:11" u="1"/>
        <d v="2025-11-05T23:09:14" u="1"/>
        <d v="2025-11-03T16:33:51" u="1"/>
        <d v="2025-11-07T23:40:59" u="1"/>
        <d v="2025-11-19T03:09:37" u="1"/>
        <d v="2025-11-11T19:23:36" u="1"/>
        <d v="2025-10-20T18:15:35" u="1"/>
        <d v="2025-11-17T20:58:55" u="1"/>
        <d v="2025-11-07T11:18:53" u="1"/>
        <d v="2025-10-06T19:34:25" u="1"/>
        <d v="2025-10-16T16:53:00" u="1"/>
        <d v="2025-11-19T03:01:31" u="1"/>
        <d v="2025-10-03T18:30:01" u="1"/>
        <d v="2025-10-20T23:39:58" u="1"/>
        <d v="2025-11-15T01:30:29" u="1"/>
        <d v="2025-11-15T01:30:32" u="1"/>
        <d v="2025-11-19T03:09:18" u="1"/>
        <d v="2025-11-17T14:55:55" u="1"/>
        <d v="2025-10-30T15:03:23" u="1"/>
        <d v="2025-10-08T13:15:02" u="1"/>
        <d v="2025-10-15T00:04:47" u="1"/>
        <d v="2025-11-14T10:52:30" u="1"/>
        <d v="2025-11-18T17:21:42" u="1"/>
        <d v="2025-11-13T13:41:21" u="1"/>
        <d v="2025-11-18T13:21:31" u="1"/>
        <d v="2025-11-15T13:26:21" u="1"/>
        <d v="2025-11-17T14:55:38" u="1"/>
        <d v="2025-11-18T15:13:27" u="1"/>
        <d v="2025-11-17T18:53:59" u="1"/>
        <d v="2025-11-18T17:15:14" u="1"/>
        <d v="2025-11-14T12:55:42" u="1"/>
        <d v="2025-10-21T11:39:37" u="1"/>
        <d v="2025-10-21T11:39:45" u="1"/>
        <d v="2025-11-13T19:46:07" u="1"/>
        <d v="2025-11-17T14:49:34" u="1"/>
        <d v="2025-11-14T20:02:55" u="1"/>
        <d v="2025-10-27T20:11:29" u="1"/>
        <d v="2025-10-21T18:21:37" u="1"/>
        <d v="2025-10-08T20:00:41" u="1"/>
        <d v="2025-11-17T20:34:59" u="1"/>
        <d v="2025-11-17T20:35:03" u="1"/>
        <d v="2025-11-17T20:35:06" u="1"/>
        <d v="2025-11-17T20:35:09" u="1"/>
        <d v="2025-11-18T20:57:53" u="1"/>
        <d v="2025-11-11T18:49:41" u="1"/>
        <d v="2025-11-11T18:49:44" u="1"/>
        <d v="2025-11-17T20:35:36" u="1"/>
        <d v="2025-10-16T16:18:34" u="1"/>
        <d v="2025-11-12T19:06:14" u="1"/>
        <d v="2025-11-05T10:24:47" u="1"/>
        <d v="2025-11-18T20:57:23" u="1"/>
        <d v="2025-11-18T20:57:31" u="1"/>
        <d v="2025-11-18T20:57:32" u="1"/>
        <d v="2025-10-10T13:57:35" u="1"/>
        <d v="2025-11-18T17:02:27" u="1"/>
        <d v="2025-11-18T18:02:29" u="1"/>
        <d v="2025-11-17T16:00:37" u="1"/>
        <d v="2025-11-17T19:01:27" u="1"/>
        <d v="2025-11-04T19:00:34" u="1"/>
        <d v="2025-11-10T17:01:44" u="1"/>
        <d v="2025-11-17T17:54:00" u="1"/>
        <d v="2025-11-18T09:33:47" u="1"/>
        <d v="2025-11-19T02:47:46" u="1"/>
        <d v="2025-11-19T02:48:25" u="1"/>
        <d v="2025-11-14T19:44:08" u="1"/>
        <d v="2025-11-13T12:46:35" u="1"/>
        <d v="2025-11-14T15:15:17" u="1"/>
        <d v="2025-11-13T12:46:38" u="1"/>
        <d v="2025-11-06T16:42:56" u="1"/>
        <d v="2025-10-15T15:32:18" u="1"/>
        <d v="2025-10-24T12:23:36" u="1"/>
        <d v="2025-11-13T19:02:34" u="1"/>
        <d v="2025-11-04T16:05:58" u="1"/>
        <d v="2025-10-28T19:49:04" u="1"/>
        <d v="2025-10-24T12:23:17" u="1"/>
        <d v="2025-10-03T23:38:34" u="1"/>
        <d v="2025-10-13T14:48:48" u="1"/>
        <d v="2025-11-07T10:57:32" u="1"/>
        <d v="2025-11-07T10:58:02" u="1"/>
        <d v="2025-11-12T18:48:02" u="1"/>
        <d v="2025-10-15T15:39:12" u="1"/>
        <d v="2025-10-08T19:19:29" u="1"/>
        <d v="2025-10-29T14:06:08" u="1"/>
        <d v="2025-11-06T10:38:54" u="1"/>
        <d v="2025-10-01T10:49:34" u="1"/>
        <d v="2025-11-10T18:38:14" u="1"/>
        <d v="2025-11-10T18:38:10" u="1"/>
        <d v="2025-10-30T15:00:23" u="1"/>
        <d v="2025-11-18T14:50:06" u="1"/>
        <d v="2025-11-17T08:11:27" u="1"/>
        <d v="2025-10-13T15:06:08" u="1"/>
        <d v="2025-11-19T03:10:15" u="1"/>
        <d v="2025-11-19T03:10:17" u="1"/>
        <d v="2025-11-11T19:30:05" u="1"/>
        <d v="2025-11-19T03:11:32" u="1"/>
        <d v="2025-11-19T03:11:36" u="1"/>
        <d v="2025-11-19T03:11:40" u="1"/>
        <d v="2025-11-19T03:11:44" u="1"/>
        <d v="2025-11-19T03:11:47" u="1"/>
        <d v="2025-11-17T21:12:05" u="1"/>
        <d v="2025-11-18T15:15:16" u="1"/>
        <d v="2025-11-04T11:54:38" u="1"/>
        <d v="2025-11-06T11:05:58" u="1"/>
        <d v="2025-11-06T12:55:00" u="1"/>
        <d v="2025-11-13T15:55:01" u="1"/>
        <d v="2025-11-13T15:54:58" u="1"/>
        <d v="2025-11-13T15:55:00" u="1"/>
        <d v="2025-11-18T10:54:51" u="1"/>
        <d v="2025-11-18T17:15:59" u="1"/>
        <d v="2025-11-11T18:14:26" u="1"/>
        <d v="2025-11-11T18:14:27" u="1"/>
        <d v="2025-11-11T18:14:28" u="1"/>
        <d v="2025-11-18T12:45:02" u="1"/>
        <d v="2025-11-10T12:25:41" u="1"/>
        <d v="2025-10-31T16:45:13" u="1"/>
        <d v="2025-11-10T13:14:57" u="1"/>
        <d v="2025-11-11T13:45:11" u="1"/>
        <d v="2025-11-06T14:54:53" u="1"/>
        <d v="2025-11-14T16:36:26" u="1"/>
        <d v="2025-11-10T12:05:47" u="1"/>
        <d v="2025-11-13T19:44:11" u="1"/>
        <d v="2025-11-11T17:14:46" u="1"/>
        <d v="2025-11-13T11:09:02" u="1"/>
        <d v="2025-11-14T17:26:31" u="1"/>
        <d v="2025-11-12T12:44:34" u="1"/>
        <d v="2025-11-14T11:46:34" u="1"/>
        <d v="2025-11-07T16:02:55" u="1"/>
        <d v="2025-11-18T12:01:25" u="1"/>
        <d v="2025-11-13T16:03:26" u="1"/>
        <d v="2025-11-14T18:03:15" u="1"/>
        <d v="2025-11-17T17:00:36" u="1"/>
        <d v="2025-11-16T22:01:19" u="1"/>
        <d v="2025-11-07T19:01:58" u="1"/>
        <d v="2025-11-13T20:00:43" u="1"/>
        <d v="2025-11-12T13:00:55" u="1"/>
        <d v="2025-11-18T17:02:28" u="1"/>
        <d v="2025-11-18T11:01:20" u="1"/>
        <d v="2025-11-18T11:01:19" u="1"/>
        <d v="2025-11-18T17:22:29" u="1"/>
        <d v="2025-11-18T17:22:32" u="1"/>
        <d v="2025-11-18T17:22:39" u="1"/>
        <d v="2025-11-18T21:00:09" u="1"/>
        <d v="2025-11-07T21:11:25" u="1"/>
        <d v="2025-10-15T15:41:27" u="1"/>
        <d v="2025-10-15T11:15:31" u="1"/>
        <d v="2025-10-21T11:29:50" u="1"/>
        <d v="2025-10-07T19:21:40" u="1"/>
        <d v="2025-11-18T13:35:02" u="1"/>
        <d v="2025-11-17T23:33:19" u="1"/>
        <d v="2025-11-19T00:43:19" u="1"/>
        <d v="2025-11-19T01:03:34" u="1"/>
        <d v="2025-11-18T13:54:16" u="1"/>
        <d v="2025-11-18T00:33:21" u="1"/>
        <d v="2025-10-07T01:26:25" u="1"/>
        <d v="2025-10-09T16:08:46" u="1"/>
        <d v="2025-11-18T17:16:49" u="1"/>
        <d v="2025-11-18T17:16:53" u="1"/>
        <d v="2025-11-17T20:36:45" u="1"/>
        <d v="2025-11-19T02:53:55" u="1"/>
        <d v="2025-11-18T14:38:54" u="1"/>
        <d v="2025-11-18T14:39:00" u="1"/>
        <d v="2025-11-18T14:39:04" u="1"/>
        <d v="2025-11-18T02:27:20" u="1"/>
        <d v="2025-11-18T02:27:43" u="1"/>
        <d v="2025-11-17T20:24:28" u="1"/>
        <d v="2025-11-18T21:03:06" u="1"/>
        <d v="2025-11-17T20:43:10" u="1"/>
        <d v="2025-11-18T08:32:45" u="1"/>
        <d v="2025-11-10T18:29:01" u="1"/>
        <d v="2025-11-14T13:49:14" u="1"/>
        <d v="2025-11-04T10:04:07" u="1"/>
        <d v="2025-11-17T19:23:59" u="1"/>
        <d v="2025-11-17T19:24:00" u="1"/>
        <d v="2025-11-17T14:54:08" u="1"/>
        <d v="2025-11-17T15:57:51" u="1"/>
        <d v="2025-10-23T12:46:29" u="1"/>
        <d v="2025-11-17T17:04:55" u="1"/>
        <d v="2025-11-17T21:34:44" u="1"/>
        <d v="2025-11-17T11:35:26" u="1"/>
        <d v="2025-11-17T16:51:48" u="1"/>
        <d v="2025-11-01T12:24:11" u="1"/>
        <d v="2025-10-30T21:02:06" u="1"/>
        <d v="2025-11-14T14:56:11" u="1"/>
        <d v="2025-11-14T15:27:11" u="1"/>
        <d v="2025-11-14T15:49:11" u="1"/>
        <d v="2025-11-14T16:23:12" u="1"/>
        <d v="2025-11-14T16:24:13" u="1"/>
        <d v="2025-11-14T15:03:07" u="1"/>
        <d v="2025-11-14T12:41:13" u="1"/>
        <d v="2025-11-14T13:45:25" u="1"/>
        <d v="2025-11-14T13:14:14" u="1"/>
        <d v="2025-11-14T12:29:08" u="1"/>
        <d v="2025-11-14T08:13:13" u="1"/>
        <d v="2025-11-14T10:39:24" u="1"/>
        <d v="2025-11-14T11:03:08" u="1"/>
        <d v="2025-11-14T08:34:14" u="1"/>
        <d v="2025-11-14T13:49:16" u="1"/>
        <d v="2025-11-14T13:54:22" u="1"/>
        <d v="2025-11-14T00:10:11" u="1"/>
        <d v="2025-11-14T00:15:14" u="1"/>
        <d v="2025-11-06T14:45:49" u="1"/>
        <d v="2025-11-08T07:28:11" u="1"/>
        <d v="2025-11-17T14:54:07" u="1"/>
        <d v="2025-11-17T13:17:29" u="1"/>
        <d v="2025-11-17T14:55:07" u="1"/>
        <d v="2025-11-17T14:59:09" u="1"/>
        <d v="2025-11-17T15:00:09" u="1"/>
        <d v="2025-11-17T14:39:12" u="1"/>
        <d v="2025-11-17T14:39:59" u="1"/>
        <d v="2025-11-17T14:40:12" u="1"/>
        <d v="2025-11-17T14:52:06" u="1"/>
        <d v="2025-11-17T14:52:38" u="1"/>
        <d v="2025-11-17T14:53:06" u="1"/>
        <d v="2025-11-17T14:53:13" u="1"/>
        <d v="2025-11-17T14:47:37" u="1"/>
        <d v="2025-11-17T14:48:14" u="1"/>
        <d v="2025-11-17T14:48:37" u="1"/>
        <d v="2025-11-17T14:49:16" u="1"/>
        <d v="2025-11-17T14:47:15" u="1"/>
        <d v="2025-11-17T14:45:48" u="1"/>
        <d v="2025-11-17T14:46:24" u="1"/>
        <d v="2025-11-17T14:41:45" u="1"/>
        <d v="2025-11-17T14:42:18" u="1"/>
        <d v="2025-11-17T14:42:59" u="1"/>
        <d v="2025-11-17T14:43:12" u="1"/>
        <d v="2025-11-17T14:43:35" u="1"/>
        <d v="2025-11-17T14:44:21" u="1"/>
        <d v="2025-11-17T14:44:55" u="1"/>
        <d v="2025-11-17T14:21:42" u="1"/>
        <d v="2025-11-17T14:22:17" u="1"/>
        <d v="2025-11-17T14:23:22" u="1"/>
        <d v="2025-11-17T10:46:09" u="1"/>
        <d v="2025-11-17T14:33:08" u="1"/>
        <d v="2025-11-17T14:34:08" u="1"/>
        <d v="2025-11-17T12:13:14" u="1"/>
        <d v="2025-11-17T14:40:32" u="1"/>
        <d v="2025-11-17T14:41:11" u="1"/>
        <d v="2025-11-17T15:26:38" u="1"/>
        <d v="2025-11-17T15:27:10" u="1"/>
        <d v="2025-11-17T15:27:32" u="1"/>
        <d v="2025-11-17T15:28:15" u="1"/>
        <d v="2025-11-17T15:28:57" u="1"/>
        <d v="2025-11-17T15:29:11" u="1"/>
        <d v="2025-11-17T15:30:11" u="1"/>
        <d v="2025-11-17T15:31:12" u="1"/>
        <d v="2025-11-17T14:54:39" u="1"/>
        <d v="2025-11-17T14:51:37" u="1"/>
        <d v="2025-11-17T14:50:50" u="1"/>
        <d v="2025-11-17T14:50:13" u="1"/>
        <d v="2025-11-17T15:25:10" u="1"/>
        <d v="2025-11-17T15:25:35" u="1"/>
        <d v="2025-11-17T15:02:10" u="1"/>
        <d v="2025-11-17T15:02:11" u="1"/>
        <d v="2025-11-17T15:02:29" u="1"/>
        <d v="2025-11-17T15:03:11" u="1"/>
        <d v="2025-11-17T15:03:30" u="1"/>
        <d v="2025-11-17T15:04:11" u="1"/>
        <d v="2025-11-17T15:04:12" u="1"/>
        <d v="2025-11-17T15:04:46" u="1"/>
        <d v="2025-11-17T15:05:11" u="1"/>
        <d v="2025-11-17T15:05:13" u="1"/>
        <d v="2025-11-17T15:05:37" u="1"/>
        <d v="2025-11-17T15:06:08" u="1"/>
        <d v="2025-11-17T15:06:48" u="1"/>
        <d v="2025-11-17T15:07:40" u="1"/>
        <d v="2025-11-17T15:08:13" u="1"/>
        <d v="2025-11-17T15:08:21" u="1"/>
        <d v="2025-11-17T15:08:55" u="1"/>
        <d v="2025-11-17T15:09:13" u="1"/>
        <d v="2025-11-17T15:09:32" u="1"/>
        <d v="2025-11-17T15:10:13" u="1"/>
        <d v="2025-11-17T15:10:22" u="1"/>
        <d v="2025-11-17T15:11:08" u="1"/>
        <d v="2025-11-17T15:11:13" u="1"/>
        <d v="2025-11-17T15:13:55" u="1"/>
        <d v="2025-11-17T15:14:05" u="1"/>
        <d v="2025-11-17T15:14:43" u="1"/>
        <d v="2025-11-17T15:15:06" u="1"/>
        <d v="2025-11-17T15:15:07" u="1"/>
        <d v="2025-11-17T15:15:21" u="1"/>
        <d v="2025-11-17T15:15:56" u="1"/>
        <d v="2025-11-17T15:16:07" u="1"/>
        <d v="2025-11-17T15:16:32" u="1"/>
        <d v="2025-11-17T15:17:22" u="1"/>
        <d v="2025-11-17T15:18:10" u="1"/>
        <d v="2025-11-17T15:19:00" u="1"/>
        <d v="2025-11-17T15:21:01" u="1"/>
        <d v="2025-11-17T15:21:08" u="1"/>
        <d v="2025-11-17T15:22:52" u="1"/>
        <d v="2025-11-17T15:23:09" u="1"/>
        <d v="2025-11-17T15:23:15" u="1"/>
        <d v="2025-11-17T15:23:47" u="1"/>
        <d v="2025-11-17T15:24:09" u="1"/>
        <d v="2025-11-17T15:24:32" u="1"/>
        <d v="2025-11-17T15:13:21" u="1"/>
        <d v="2025-11-17T15:12:24" u="1"/>
        <d v="2025-11-17T15:11:50" u="1"/>
        <d v="2025-11-15T16:55:10" u="1"/>
        <d v="2025-11-15T16:56:10" u="1"/>
        <d v="2025-11-14T14:53:09" u="1"/>
        <d v="2025-11-14T14:54:15" u="1"/>
        <d v="2025-11-14T16:40:13" u="1"/>
        <d v="2025-11-14T16:43:14" u="1"/>
        <d v="2025-11-15T05:15:24" u="1"/>
        <d v="2025-11-15T05:45:10" u="1"/>
        <d v="2025-11-15T09:41:06" u="1"/>
        <d v="2025-11-15T09:42:06" u="1"/>
        <d v="2025-11-15T09:50:15" u="1"/>
        <d v="2025-11-15T13:13:18" u="1"/>
        <d v="2025-11-15T13:14:20" u="1"/>
        <d v="2025-11-15T00:36:11" u="1"/>
        <d v="2025-11-15T00:53:09" u="1"/>
        <d v="2025-11-15T22:07:10" u="1"/>
        <d v="2025-11-15T23:25:19" u="1"/>
        <d v="2025-11-16T00:15:05" u="1"/>
        <d v="2025-11-16T03:46:20" u="1"/>
        <d v="2025-11-16T07:42:23" u="1"/>
        <d v="2025-11-16T09:41:14" u="1"/>
        <d v="2025-11-17T14:21:07" u="1"/>
        <d v="2025-11-17T14:21:15" u="1"/>
        <d v="2025-11-17T14:26:06" u="1"/>
        <d v="2025-11-17T14:28:07" u="1"/>
        <d v="2025-11-17T09:31:10" u="1"/>
        <d v="2025-11-16T18:55:13" u="1"/>
        <d v="2025-11-15T19:55:10" u="1"/>
        <d v="2025-11-15T21:56:14" u="1"/>
        <d v="2025-11-16T18:29:11" u="1"/>
        <d v="2025-11-16T14:33:07" u="1"/>
        <d v="2025-11-17T11:52:10" u="1"/>
        <d v="2025-11-16T09:57:10" u="1"/>
        <d v="2025-11-16T09:58:09" u="1"/>
        <d v="2025-11-16T10:21:12" u="1"/>
        <d v="2025-11-16T10:52:04" u="1"/>
        <d v="2025-11-16T11:03:10" u="1"/>
        <d v="2025-11-16T11:04:10" u="1"/>
        <d v="2025-11-16T13:39:13" u="1"/>
        <d v="2025-11-17T15:33:13" u="1"/>
        <d v="2025-11-17T15:33:14" u="1"/>
        <d v="2025-11-17T15:34:13" u="1"/>
        <d v="2025-11-17T15:35:13" u="1"/>
        <d v="2025-11-17T15:36:16" u="1"/>
        <d v="2025-11-17T15:37:14" u="1"/>
        <d v="2025-11-17T15:43:06" u="1"/>
        <d v="2025-11-17T15:44:17" u="1"/>
        <d v="2025-11-17T15:45:23" u="1"/>
        <d v="2025-11-17T15:45:26" u="1"/>
        <d v="2025-11-17T15:46:09" u="1"/>
        <d v="2025-11-17T15:47:08" u="1"/>
        <d v="2025-11-17T15:48:18" u="1"/>
        <d v="2025-11-17T15:48:19" u="1"/>
        <d v="2025-11-17T15:48:20" u="1"/>
        <d v="2025-11-17T15:50:11" u="1"/>
        <d v="2025-11-17T15:51:16" u="1"/>
        <d v="2025-11-17T16:03:06" u="1"/>
        <d v="2025-11-17T16:03:07" u="1"/>
        <d v="2025-11-17T16:03:19" u="1"/>
        <d v="2025-11-17T16:04:12" u="1"/>
        <d v="2025-11-17T16:05:07" u="1"/>
        <d v="2025-11-17T16:05:59" u="1"/>
        <d v="2025-11-17T16:06:06" u="1"/>
        <d v="2025-11-17T16:06:49" u="1"/>
        <d v="2025-11-17T16:07:29" u="1"/>
        <d v="2025-11-17T16:08:09" u="1"/>
        <d v="2025-11-17T16:08:32" u="1"/>
        <d v="2025-11-17T16:09:07" u="1"/>
        <d v="2025-11-17T16:10:08" u="1"/>
        <d v="2025-11-17T16:11:08" u="1"/>
        <d v="2025-11-17T16:11:11" u="1"/>
        <d v="2025-11-17T16:12:02" u="1"/>
        <d v="2025-11-17T16:12:09" u="1"/>
        <d v="2025-11-17T16:13:09" u="1"/>
        <d v="2025-11-17T16:13:37" u="1"/>
        <d v="2025-11-17T16:14:09" u="1"/>
        <d v="2025-11-17T16:14:39" u="1"/>
        <d v="2025-11-17T16:15:58" u="1"/>
        <d v="2025-11-17T16:16:11" u="1"/>
        <d v="2025-11-17T16:16:17" u="1"/>
        <d v="2025-11-17T16:16:50" u="1"/>
        <d v="2025-11-17T16:35:19" u="1"/>
        <d v="2025-11-17T16:35:58" u="1"/>
        <d v="2025-11-17T16:36:45" u="1"/>
        <d v="2025-11-17T16:37:23" u="1"/>
        <d v="2025-11-17T16:38:13" u="1"/>
        <d v="2025-11-17T16:39:10" u="1"/>
        <d v="2025-11-17T16:39:43" u="1"/>
        <d v="2025-11-17T16:40:20" u="1"/>
        <d v="2025-11-17T16:40:52" u="1"/>
        <d v="2025-11-17T16:41:11" u="1"/>
        <d v="2025-11-17T16:26:05" u="1"/>
        <d v="2025-11-17T16:26:50" u="1"/>
        <d v="2025-11-17T16:27:15" u="1"/>
        <d v="2025-11-17T16:27:16" u="1"/>
        <d v="2025-11-17T16:27:20" u="1"/>
        <d v="2025-11-17T16:27:57" u="1"/>
        <d v="2025-11-17T16:28:14" u="1"/>
        <d v="2025-11-17T16:28:33" u="1"/>
        <d v="2025-11-17T16:29:21" u="1"/>
        <d v="2025-11-17T16:30:10" u="1"/>
        <d v="2025-11-17T16:30:42" u="1"/>
        <d v="2025-11-17T16:31:06" u="1"/>
        <d v="2025-11-17T16:31:12" u="1"/>
        <d v="2025-11-17T16:31:43" u="1"/>
        <d v="2025-11-17T16:32:07" u="1"/>
        <d v="2025-11-17T16:32:16" u="1"/>
        <d v="2025-11-17T16:32:59" u="1"/>
        <d v="2025-11-17T16:33:07" u="1"/>
        <d v="2025-11-17T16:33:08" u="1"/>
        <d v="2025-11-17T16:33:45" u="1"/>
        <d v="2025-11-17T15:54:11" u="1"/>
        <d v="2025-11-17T15:54:46" u="1"/>
        <d v="2025-11-17T15:55:12" u="1"/>
        <d v="2025-11-17T15:56:03" u="1"/>
        <d v="2025-11-17T15:56:11" u="1"/>
        <d v="2025-11-17T15:56:12" u="1"/>
        <d v="2025-11-17T15:56:48" u="1"/>
        <d v="2025-11-17T15:53:11" u="1"/>
        <d v="2025-11-17T15:53:15" u="1"/>
        <d v="2025-11-17T15:58:22" u="1"/>
        <d v="2025-11-17T15:58:56" u="1"/>
        <d v="2025-11-17T15:59:13" u="1"/>
        <d v="2025-11-17T15:59:34" u="1"/>
        <d v="2025-11-17T16:00:26" u="1"/>
        <d v="2025-11-17T16:01:02" u="1"/>
        <d v="2025-11-17T16:02:01" u="1"/>
        <d v="2025-11-17T16:17:35" u="1"/>
        <d v="2025-11-17T16:19:00" u="1"/>
        <d v="2025-11-17T16:19:11" u="1"/>
        <d v="2025-11-17T16:19:50" u="1"/>
        <d v="2025-11-17T16:20:34" u="1"/>
        <d v="2025-11-17T16:22:03" u="1"/>
        <d v="2025-11-17T16:22:39" u="1"/>
        <d v="2025-11-17T16:23:11" u="1"/>
        <d v="2025-11-17T16:23:56" u="1"/>
        <d v="2025-11-17T16:24:13" u="1"/>
        <d v="2025-11-17T16:24:35" u="1"/>
        <d v="2025-11-17T16:25:13" u="1"/>
        <d v="2025-11-17T16:25:14" u="1"/>
        <d v="2025-11-17T16:25:28" u="1"/>
        <d v="2025-11-17T17:37:16" u="1"/>
        <d v="2025-11-17T17:38:27" u="1"/>
        <d v="2025-11-17T17:39:16" u="1"/>
        <d v="2025-11-17T17:39:17" u="1"/>
        <d v="2025-11-17T17:42:06" u="1"/>
        <d v="2025-11-17T17:43:06" u="1"/>
        <d v="2025-11-17T17:45:22" u="1"/>
        <d v="2025-11-17T17:45:23" u="1"/>
        <d v="2025-11-17T17:46:07" u="1"/>
        <d v="2025-11-17T17:47:08" u="1"/>
        <d v="2025-11-17T17:47:14" u="1"/>
        <d v="2025-11-17T17:48:12" u="1"/>
        <d v="2025-11-17T17:49:08" u="1"/>
        <d v="2025-11-17T17:49:19" u="1"/>
        <d v="2025-11-17T17:50:09" u="1"/>
        <d v="2025-11-17T17:51:10" u="1"/>
        <d v="2025-11-17T17:52:10" u="1"/>
        <d v="2025-11-17T17:53:12" u="1"/>
        <d v="2025-11-17T17:26:09" u="1"/>
        <d v="2025-11-17T17:29:10" u="1"/>
        <d v="2025-11-17T17:31:11" u="1"/>
        <d v="2025-11-17T17:33:12" u="1"/>
        <d v="2025-11-17T17:35:13" u="1"/>
        <d v="2025-11-17T17:02:09" u="1"/>
        <d v="2025-11-17T17:02:13" u="1"/>
        <d v="2025-11-17T17:03:01" u="1"/>
        <d v="2025-11-17T17:03:09" u="1"/>
        <d v="2025-11-17T16:45:43" u="1"/>
        <d v="2025-11-17T16:41:24" u="1"/>
        <d v="2025-11-17T16:41:58" u="1"/>
        <d v="2025-11-17T17:00:51" u="1"/>
        <d v="2025-11-17T17:01:35" u="1"/>
        <d v="2025-11-17T16:56:22" u="1"/>
        <d v="2025-11-17T16:57:07" u="1"/>
        <d v="2025-11-17T16:57:08" u="1"/>
        <d v="2025-11-17T16:57:11" u="1"/>
        <d v="2025-11-17T16:57:47" u="1"/>
        <d v="2025-11-17T16:58:22" u="1"/>
        <d v="2025-11-17T16:58:57" u="1"/>
        <d v="2025-11-17T16:59:07" u="1"/>
        <d v="2025-11-17T16:59:33" u="1"/>
        <d v="2025-11-17T17:00:14" u="1"/>
        <d v="2025-11-17T17:05:11" u="1"/>
        <d v="2025-11-17T17:05:37" u="1"/>
        <d v="2025-11-17T17:06:11" u="1"/>
        <d v="2025-11-17T17:06:12" u="1"/>
        <d v="2025-11-17T17:06:39" u="1"/>
        <d v="2025-11-17T17:07:13" u="1"/>
        <d v="2025-11-17T17:07:14" u="1"/>
        <d v="2025-11-17T17:07:35" u="1"/>
        <d v="2025-11-17T17:08:32" u="1"/>
        <d v="2025-11-17T17:09:12" u="1"/>
        <d v="2025-11-17T17:09:33" u="1"/>
        <d v="2025-11-17T17:10:08" u="1"/>
        <d v="2025-11-17T17:10:15" u="1"/>
        <d v="2025-11-17T17:11:13" u="1"/>
        <d v="2025-11-17T17:12:13" u="1"/>
        <d v="2025-11-17T17:16:05" u="1"/>
        <d v="2025-11-17T17:18:06" u="1"/>
        <d v="2025-11-17T17:19:07" u="1"/>
        <d v="2025-11-17T17:21:07" u="1"/>
        <d v="2025-11-17T15:57:25" u="1"/>
        <d v="2025-11-17T16:21:28" u="1"/>
        <d v="2025-11-17T16:34:22" u="1"/>
        <d v="2025-11-17T16:35:08" u="1"/>
        <d v="2025-11-17T16:42:11" u="1"/>
        <d v="2025-11-17T16:42:37" u="1"/>
        <d v="2025-11-17T16:43:11" u="1"/>
        <d v="2025-11-17T16:43:34" u="1"/>
        <d v="2025-11-17T16:44:30" u="1"/>
        <d v="2025-11-17T16:45:09" u="1"/>
        <d v="2025-11-17T16:46:17" u="1"/>
        <d v="2025-11-17T16:46:51" u="1"/>
        <d v="2025-11-17T16:47:24" u="1"/>
        <d v="2025-11-17T16:47:58" u="1"/>
        <d v="2025-11-17T16:48:13" u="1"/>
        <d v="2025-11-17T16:48:54" u="1"/>
        <d v="2025-11-17T16:49:15" u="1"/>
        <d v="2025-11-17T16:49:29" u="1"/>
        <d v="2025-11-17T16:50:02" u="1"/>
        <d v="2025-11-17T16:50:36" u="1"/>
        <d v="2025-11-17T16:51:14" u="1"/>
        <d v="2025-11-17T16:51:20" u="1"/>
        <d v="2025-11-17T16:52:15" u="1"/>
        <d v="2025-11-17T16:52:22" u="1"/>
        <d v="2025-11-17T16:52:56" u="1"/>
        <d v="2025-11-17T16:53:42" u="1"/>
        <d v="2025-11-17T16:54:05" u="1"/>
        <d v="2025-11-17T16:54:15" u="1"/>
        <d v="2025-11-17T16:54:48" u="1"/>
        <d v="2025-11-17T16:55:07" u="1"/>
        <d v="2025-11-17T16:55:35" u="1"/>
        <d v="2025-11-17T21:13:16" u="1"/>
        <d v="2025-11-17T21:15:05" u="1"/>
        <d v="2025-11-17T21:06:11" u="1"/>
        <d v="2025-11-17T21:07:11" u="1"/>
        <d v="2025-11-17T21:10:12" u="1"/>
        <d v="2025-11-17T21:11:13" u="1"/>
        <d v="2025-11-17T20:37:08" u="1"/>
        <d v="2025-11-17T21:18:06" u="1"/>
        <d v="2025-11-17T21:19:07" u="1"/>
        <d v="2025-11-17T21:20:07" u="1"/>
        <d v="2025-11-17T20:35:07" u="1"/>
        <d v="2025-11-17T20:56:06" u="1"/>
        <d v="2025-11-17T20:54:05" u="1"/>
        <d v="2025-11-17T20:59:07" u="1"/>
        <d v="2025-11-17T21:00:18" u="1"/>
        <d v="2025-11-17T21:01:09" u="1"/>
        <d v="2025-11-17T21:03:10" u="1"/>
        <d v="2025-11-17T21:04:10" u="1"/>
        <d v="2025-11-17T21:05:11" u="1"/>
        <d v="2025-11-17T21:05:12" u="1"/>
        <d v="2025-11-17T21:37:09" u="1"/>
        <d v="2025-11-17T21:39:07" u="1"/>
        <d v="2025-11-17T21:40:08" u="1"/>
        <d v="2025-11-17T21:41:09" u="1"/>
        <d v="2025-11-17T21:42:19" u="1"/>
        <d v="2025-11-17T21:43:14" u="1"/>
        <d v="2025-11-17T21:43:21" u="1"/>
        <d v="2025-11-17T21:45:10" u="1"/>
        <d v="2025-11-17T21:47:13" u="1"/>
        <d v="2025-11-17T21:47:22" u="1"/>
        <d v="2025-11-17T21:47:34" u="1"/>
        <d v="2025-11-17T21:48:11" u="1"/>
        <d v="2025-11-17T21:48:15" u="1"/>
        <d v="2025-11-17T21:49:15" u="1"/>
        <d v="2025-11-17T21:49:21" u="1"/>
        <d v="2025-11-17T21:50:13" u="1"/>
        <d v="2025-11-17T21:50:23" u="1"/>
        <d v="2025-11-17T21:51:14" u="1"/>
        <d v="2025-11-17T21:53:05" u="1"/>
        <d v="2025-11-17T21:53:12" u="1"/>
        <d v="2025-11-17T21:54:05" u="1"/>
        <d v="2025-11-17T21:55:05" u="1"/>
        <d v="2025-11-17T21:57:07" u="1"/>
        <d v="2025-11-17T21:57:11" u="1"/>
        <d v="2025-11-17T21:59:07" u="1"/>
        <d v="2025-11-17T22:00:18" u="1"/>
        <d v="2025-11-17T22:01:09" u="1"/>
        <d v="2025-11-17T22:03:10" u="1"/>
        <d v="2025-11-17T22:03:11" u="1"/>
        <d v="2025-11-17T22:04:10" u="1"/>
        <d v="2025-11-17T22:05:10" u="1"/>
        <d v="2025-11-17T22:07:13" u="1"/>
        <d v="2025-11-17T22:09:13" u="1"/>
        <d v="2025-11-17T22:10:13" u="1"/>
        <d v="2025-11-17T22:14:15" u="1"/>
        <d v="2025-11-17T22:15:06" u="1"/>
        <d v="2025-11-17T22:17:07" u="1"/>
        <d v="2025-11-17T22:21:10" u="1"/>
        <d v="2025-11-17T22:21:11" u="1"/>
        <d v="2025-11-17T22:22:09" u="1"/>
        <d v="2025-11-17T22:22:10" u="1"/>
        <d v="2025-11-17T22:23:10" u="1"/>
        <d v="2025-11-17T22:24:10" u="1"/>
        <d v="2025-11-17T22:26:11" u="1"/>
        <d v="2025-11-17T22:27:12" u="1"/>
        <d v="2025-11-17T22:28:13" u="1"/>
        <d v="2025-11-17T22:29:15" u="1"/>
        <d v="2025-11-17T22:29:16" u="1"/>
        <d v="2025-11-17T22:30:14" u="1"/>
        <d v="2025-11-17T22:31:14" u="1"/>
        <d v="2025-11-17T22:31:15" u="1"/>
        <d v="2025-11-17T22:32:15" u="1"/>
        <d v="2025-11-17T22:33:05" u="1"/>
        <d v="2025-11-17T22:34:05" u="1"/>
        <d v="2025-11-17T22:35:06" u="1"/>
        <d v="2025-11-17T22:36:07" u="1"/>
        <d v="2025-11-17T22:37:08" u="1"/>
        <d v="2025-11-17T22:38:08" u="1"/>
        <d v="2025-11-17T22:39:08" u="1"/>
        <d v="2025-11-17T22:41:10" u="1"/>
        <d v="2025-11-17T22:43:10" u="1"/>
        <d v="2025-11-17T22:47:11" u="1"/>
        <d v="2025-11-17T22:48:12" u="1"/>
        <d v="2025-11-17T22:49:13" u="1"/>
        <d v="2025-11-17T22:50:13" u="1"/>
        <d v="2025-11-17T22:53:15" u="1"/>
        <d v="2025-11-17T22:54:05" u="1"/>
        <d v="2025-11-17T22:54:06" u="1"/>
        <d v="2025-11-17T22:55:06" u="1"/>
        <d v="2025-11-17T22:56:06" u="1"/>
        <d v="2025-11-17T22:57:06" u="1"/>
        <d v="2025-11-17T22:58:07" u="1"/>
        <d v="2025-11-17T22:59:07" u="1"/>
        <d v="2025-11-17T22:59:08" u="1"/>
        <d v="2025-11-17T23:00:18" u="1"/>
        <d v="2025-11-17T21:20:08" u="1"/>
        <d v="2025-11-17T21:21:09" u="1"/>
        <d v="2025-11-17T21:22:09" u="1"/>
        <d v="2025-11-17T21:23:09" u="1"/>
        <d v="2025-11-17T21:24:09" u="1"/>
        <d v="2025-11-17T21:25:10" u="1"/>
        <d v="2025-11-17T21:27:11" u="1"/>
        <d v="2025-11-17T21:28:13" u="1"/>
        <d v="2025-11-17T21:29:13" u="1"/>
        <d v="2025-11-17T21:29:14" u="1"/>
        <d v="2025-11-17T21:31:16" u="1"/>
        <d v="2025-11-17T21:32:14" u="1"/>
        <d v="2025-11-17T21:32:15" u="1"/>
        <d v="2025-11-17T21:33:16" u="1"/>
        <d v="2025-11-17T21:34:05" u="1"/>
        <d v="2025-11-17T20:34:06" u="1"/>
        <d v="2025-11-17T20:31:06" u="1"/>
        <d v="2025-11-17T23:05:11" u="1"/>
        <d v="2025-11-17T23:05:12" u="1"/>
        <d v="2025-11-17T23:06:11" u="1"/>
        <d v="2025-11-17T23:07:11" u="1"/>
        <d v="2025-11-17T23:09:14" u="1"/>
        <d v="2025-11-17T23:10:13" u="1"/>
        <d v="2025-11-17T23:11:13" u="1"/>
        <d v="2025-11-17T20:57:06" u="1"/>
        <d v="2025-11-17T23:13:14" u="1"/>
        <d v="2025-11-17T23:15:15" u="1"/>
        <d v="2025-11-17T19:45:17" u="1"/>
        <d v="2025-11-17T19:45:26" u="1"/>
        <d v="2025-11-17T19:46:13" u="1"/>
        <d v="2025-11-17T19:47:13" u="1"/>
        <d v="2025-11-17T19:49:14" u="1"/>
        <d v="2025-11-17T19:50:23" u="1"/>
        <d v="2025-11-17T19:51:07" u="1"/>
        <d v="2025-11-17T19:51:10" u="1"/>
        <d v="2025-11-17T19:53:05" u="1"/>
        <d v="2025-11-17T19:55:07" u="1"/>
        <d v="2025-11-17T19:55:12" u="1"/>
        <d v="2025-11-17T19:56:07" u="1"/>
        <d v="2025-11-17T19:56:11" u="1"/>
        <d v="2025-11-17T19:58:07" u="1"/>
        <d v="2025-11-17T19:59:12" u="1"/>
        <d v="2025-11-17T20:02:11" u="1"/>
        <d v="2025-11-17T20:03:12" u="1"/>
        <d v="2025-11-17T20:03:17" u="1"/>
        <d v="2025-11-17T20:04:12" u="1"/>
        <d v="2025-11-17T19:24:13" u="1"/>
        <d v="2025-11-17T19:25:14" u="1"/>
        <d v="2025-11-17T19:27:05" u="1"/>
        <d v="2025-11-17T19:28:16" u="1"/>
        <d v="2025-11-17T19:29:05" u="1"/>
        <d v="2025-11-17T19:33:07" u="1"/>
        <d v="2025-11-17T19:34:07" u="1"/>
        <d v="2025-11-17T19:35:07" u="1"/>
        <d v="2025-11-17T19:37:13" u="1"/>
        <d v="2025-11-17T19:38:09" u="1"/>
        <d v="2025-11-17T19:39:10" u="1"/>
        <d v="2025-11-17T19:41:14" u="1"/>
        <d v="2025-11-17T19:41:21" u="1"/>
        <d v="2025-11-17T20:49:13" u="1"/>
        <d v="2025-11-17T20:51:14" u="1"/>
        <d v="2025-11-17T20:53:14" u="1"/>
        <d v="2025-11-17T20:24:12" u="1"/>
        <d v="2025-11-17T20:44:10" u="1"/>
        <d v="2025-11-17T20:45:11" u="1"/>
        <d v="2025-11-17T20:25:12" u="1"/>
        <d v="2025-11-17T20:47:12" u="1"/>
        <d v="2025-11-17T20:07:13" u="1"/>
        <d v="2025-11-17T20:21:11" u="1"/>
        <d v="2025-11-17T20:23:12" u="1"/>
        <d v="2025-11-17T19:13:09" u="1"/>
        <d v="2025-11-17T19:42:13" u="1"/>
        <d v="2025-11-17T19:43:12" u="1"/>
        <d v="2025-11-17T19:44:12" u="1"/>
        <d v="2025-11-17T19:44:19" u="1"/>
        <d v="2025-11-17T20:08:14" u="1"/>
        <d v="2025-11-17T20:09:15" u="1"/>
        <d v="2025-11-17T20:10:09" u="1"/>
        <d v="2025-11-17T20:12:06" u="1"/>
        <d v="2025-11-17T20:13:07" u="1"/>
        <d v="2025-11-17T20:15:08" u="1"/>
        <d v="2025-11-17T20:16:09" u="1"/>
        <d v="2025-11-17T20:17:09" u="1"/>
        <d v="2025-11-17T17:55:12" u="1"/>
        <d v="2025-11-17T17:55:18" u="1"/>
        <d v="2025-11-17T17:57:12" u="1"/>
        <d v="2025-11-17T17:59:16" u="1"/>
        <d v="2025-11-17T17:23:08" u="1"/>
        <d v="2025-11-17T17:25:08" u="1"/>
        <d v="2025-11-17T18:02:14" u="1"/>
        <d v="2025-11-17T18:04:15" u="1"/>
        <d v="2025-11-17T18:04:16" u="1"/>
        <d v="2025-11-17T18:05:06" u="1"/>
        <d v="2025-11-17T18:06:07" u="1"/>
        <d v="2025-11-17T18:07:06" u="1"/>
        <d v="2025-11-17T18:07:07" u="1"/>
        <d v="2025-11-17T18:10:08" u="1"/>
        <d v="2025-11-17T18:10:09" u="1"/>
        <d v="2025-11-17T18:13:09" u="1"/>
        <d v="2025-11-17T18:15:10" u="1"/>
        <d v="2025-11-17T18:15:11" u="1"/>
        <d v="2025-11-17T18:15:16" u="1"/>
        <d v="2025-11-17T18:27:07" u="1"/>
        <d v="2025-11-17T18:29:07" u="1"/>
        <d v="2025-11-17T18:31:10" u="1"/>
        <d v="2025-11-17T18:31:11" u="1"/>
        <d v="2025-11-17T18:32:10" u="1"/>
        <d v="2025-11-17T18:33:10" u="1"/>
        <d v="2025-11-17T18:16:11" u="1"/>
        <d v="2025-11-17T18:17:12" u="1"/>
        <d v="2025-11-17T18:17:13" u="1"/>
        <d v="2025-11-17T18:18:12" u="1"/>
        <d v="2025-11-17T18:19:13" u="1"/>
        <d v="2025-11-17T18:20:13" u="1"/>
        <d v="2025-11-17T18:21:13" u="1"/>
        <d v="2025-11-17T18:25:06" u="1"/>
        <d v="2025-11-17T19:05:05" u="1"/>
        <d v="2025-11-17T19:06:05" u="1"/>
        <d v="2025-11-17T19:07:06" u="1"/>
        <d v="2025-11-17T19:09:06" u="1"/>
        <d v="2025-11-17T19:11:08" u="1"/>
        <d v="2025-11-17T19:17:11" u="1"/>
        <d v="2025-11-17T19:18:10" u="1"/>
        <d v="2025-11-17T19:18:11" u="1"/>
        <d v="2025-11-17T19:19:10" u="1"/>
        <d v="2025-11-17T19:21:12" u="1"/>
        <d v="2025-11-17T19:21:13" u="1"/>
        <d v="2025-11-17T19:22:12" u="1"/>
        <d v="2025-11-17T19:23:13" u="1"/>
        <d v="2025-11-17T18:55:10" u="1"/>
        <d v="2025-11-17T18:57:11" u="1"/>
        <d v="2025-11-17T18:58:11" u="1"/>
        <d v="2025-11-17T18:59:12" u="1"/>
        <d v="2025-11-17T19:00:13" u="1"/>
        <d v="2025-11-17T17:04:40" u="1"/>
        <d v="2025-11-17T19:02:14" u="1"/>
        <d v="2025-11-17T19:03:14" u="1"/>
        <d v="2025-11-17T18:45:15" u="1"/>
        <d v="2025-11-17T18:45:16" u="1"/>
        <d v="2025-11-17T18:47:06" u="1"/>
        <d v="2025-11-17T18:48:07" u="1"/>
        <d v="2025-11-17T18:49:07" u="1"/>
        <d v="2025-11-17T18:51:08" u="1"/>
        <d v="2025-11-17T18:37:12" u="1"/>
        <d v="2025-11-17T18:38:12" u="1"/>
        <d v="2025-11-17T18:39:13" u="1"/>
        <d v="2025-11-17T18:40:13" u="1"/>
        <d v="2025-11-17T18:41:15" u="1"/>
        <d v="2025-11-17T18:42:13" u="1"/>
        <d v="2025-11-17T18:42:14" u="1"/>
        <d v="2025-11-17T18:43:15" u="1"/>
        <d v="2025-11-17T18:44:14" u="1"/>
        <d v="2025-11-17T23:45:08" u="1"/>
        <d v="2025-11-17T23:45:17" u="1"/>
        <d v="2025-11-17T23:46:17" u="1"/>
        <d v="2025-11-17T23:55:22" u="1"/>
        <d v="2025-11-17T23:57:21" u="1"/>
        <d v="2025-11-18T00:00:18" u="1"/>
        <d v="2025-11-18T00:03:06" u="1"/>
        <d v="2025-11-18T00:03:11" u="1"/>
        <d v="2025-11-18T00:03:12" u="1"/>
        <d v="2025-11-17T23:16:05" u="1"/>
        <d v="2025-11-17T23:17:05" u="1"/>
        <d v="2025-11-17T23:20:06" u="1"/>
        <d v="2025-11-17T23:37:18" u="1"/>
        <d v="2025-11-17T23:38:15" u="1"/>
        <d v="2025-11-17T23:39:05" u="1"/>
        <d v="2025-11-17T23:21:07" u="1"/>
        <d v="2025-11-17T23:21:08" u="1"/>
        <d v="2025-11-17T23:22:08" u="1"/>
        <d v="2025-11-17T23:23:08" u="1"/>
        <d v="2025-11-17T23:24:08" u="1"/>
        <d v="2025-11-17T23:25:10" u="1"/>
        <d v="2025-11-17T23:26:09" u="1"/>
        <d v="2025-11-17T23:27:10" u="1"/>
        <d v="2025-11-17T23:29:11" u="1"/>
        <d v="2025-11-17T23:31:12" u="1"/>
        <d v="2025-11-17T23:32:12" u="1"/>
        <d v="2025-11-17T23:33:13" u="1"/>
        <d v="2025-11-18T00:35:08" u="1"/>
        <d v="2025-11-18T00:36:09" u="1"/>
        <d v="2025-11-18T00:37:09" u="1"/>
        <d v="2025-11-18T00:41:11" u="1"/>
        <d v="2025-11-18T00:43:12" u="1"/>
        <d v="2025-11-18T00:46:13" u="1"/>
        <d v="2025-11-18T00:49:04" u="1"/>
        <d v="2025-11-18T00:50:04" u="1"/>
        <d v="2025-11-18T00:51:05" u="1"/>
        <d v="2025-11-18T00:53:06" u="1"/>
        <d v="2025-11-18T00:55:07" u="1"/>
        <d v="2025-11-18T00:56:07" u="1"/>
        <d v="2025-11-18T00:57:08" u="1"/>
        <d v="2025-11-18T01:02:30" u="1"/>
        <d v="2025-11-18T01:04:20" u="1"/>
        <d v="2025-11-18T01:08:20" u="1"/>
        <d v="2025-11-18T01:09:25" u="1"/>
        <d v="2025-11-18T01:09:27" u="1"/>
        <d v="2025-11-18T01:10:23" u="1"/>
        <d v="2025-11-18T01:15:10" u="1"/>
        <d v="2025-11-18T01:19:11" u="1"/>
        <d v="2025-11-18T01:23:12" u="1"/>
        <d v="2025-11-18T01:25:15" u="1"/>
        <d v="2025-11-18T01:29:11" u="1"/>
        <d v="2025-11-18T01:29:16" u="1"/>
        <d v="2025-11-18T01:31:16" u="1"/>
        <d v="2025-11-18T01:33:13" u="1"/>
        <d v="2025-11-18T01:35:15" u="1"/>
        <d v="2025-11-18T01:51:11" u="1"/>
        <d v="2025-11-18T01:53:10" u="1"/>
        <d v="2025-11-18T02:17:10" u="1"/>
        <d v="2025-11-18T02:43:11" u="1"/>
        <d v="2025-11-18T02:44:12" u="1"/>
        <d v="2025-11-18T02:50:14" u="1"/>
        <d v="2025-11-18T03:00:16" u="1"/>
        <d v="2025-11-18T03:00:17" u="1"/>
        <d v="2025-11-18T03:02:09" u="1"/>
        <d v="2025-11-18T03:09:19" u="1"/>
        <d v="2025-11-18T03:19:13" u="1"/>
        <d v="2025-11-18T03:20:15" u="1"/>
        <d v="2025-11-18T04:08:45" u="1"/>
        <d v="2025-11-18T04:12:16" u="1"/>
        <d v="2025-11-18T04:13:17" u="1"/>
        <d v="2025-11-18T04:14:17" u="1"/>
        <d v="2025-11-18T04:31:24" u="1"/>
        <d v="2025-11-18T04:59:31" u="1"/>
        <d v="2025-11-18T05:00:25" u="1"/>
        <d v="2025-11-18T05:18:22" u="1"/>
        <d v="2025-11-18T05:24:13" u="1"/>
        <d v="2025-11-18T05:25:14" u="1"/>
        <d v="2025-11-18T00:05:10" u="1"/>
        <d v="2025-11-18T00:07:10" u="1"/>
        <d v="2025-11-18T00:13:09" u="1"/>
        <d v="2025-11-18T00:19:11" u="1"/>
        <d v="2025-11-18T00:20:12" u="1"/>
        <d v="2025-11-18T00:27:09" u="1"/>
        <d v="2025-11-18T00:29:06" u="1"/>
        <d v="2025-11-18T02:29:05" u="1"/>
        <d v="2025-11-18T05:46:21" u="1"/>
        <d v="2025-11-18T05:47:22" u="1"/>
        <d v="2025-11-18T05:51:07" u="1"/>
        <d v="2025-11-18T05:53:10" u="1"/>
        <d v="2025-11-18T06:10:17" u="1"/>
        <d v="2025-11-18T06:31:13" u="1"/>
        <d v="2025-11-18T06:35:14" u="1"/>
        <d v="2025-11-18T06:35:13" u="1"/>
        <d v="2025-11-18T06:38:14" u="1"/>
        <d v="2025-11-18T06:39:05" u="1"/>
        <d v="2025-11-18T06:39:06" u="1"/>
        <d v="2025-11-18T06:45:07" u="1"/>
        <d v="2025-11-18T06:51:10" u="1"/>
        <d v="2025-11-18T06:52:10" u="1"/>
        <d v="2025-11-18T06:55:15" u="1"/>
        <d v="2025-11-17T16:35:16" u="1"/>
        <d v="2025-11-17T19:44:37" u="1"/>
        <d v="2025-11-17T20:35:00" u="1"/>
        <d v="2025-11-17T20:04:49" u="1"/>
        <d v="2025-11-17T20:04:48" u="1"/>
        <d v="2025-11-17T17:26:07" u="1"/>
        <d v="2025-11-17T18:14:35" u="1"/>
        <d v="2025-11-17T18:44:25" u="1"/>
        <d v="2025-11-17T20:35:02" u="1"/>
        <d v="2025-10-16T16:19:08" u="1"/>
        <d v="2025-10-16T16:19:13" u="1"/>
        <d v="2025-11-17T23:20:31" u="1"/>
        <d v="2025-11-17T13:54:21" u="1"/>
        <d v="2025-11-17T18:14:27" u="1"/>
        <d v="2025-11-17T17:54:31" u="1"/>
        <d v="2025-11-17T16:17:22" u="1"/>
        <d v="2025-11-17T12:14:33" u="1"/>
        <d v="2025-10-24T07:45:03" u="1"/>
        <d v="2025-10-24T07:45:04" u="1"/>
        <d v="2025-11-17T21:17:39" u="1"/>
        <d v="2025-11-17T21:17:20" u="1"/>
        <d v="2025-11-14T20:21:55" u="1"/>
        <d v="2025-11-14T20:24:30" u="1"/>
        <d v="2025-11-17T21:17:00" u="1"/>
        <d v="2025-11-14T14:11:41" u="1"/>
        <d v="2025-11-14T14:12:24" u="1"/>
        <d v="2025-11-13T20:04:26" u="1"/>
        <d v="2025-03-05T12:24:29" u="1"/>
        <d v="2025-11-17T15:04:53" u="1"/>
        <d v="2025-11-17T15:05:03" u="1"/>
        <d v="2025-11-17T15:04:25" u="1"/>
        <d v="2025-11-17T21:17:35" u="1"/>
        <d v="2025-11-12T19:53:43" u="1"/>
        <d v="2025-11-03T10:52:02" u="1"/>
        <d v="2025-11-06T19:11:34" u="1"/>
        <d v="2025-10-24T14:12:26" u="1"/>
        <d v="2025-11-13T18:02:31" u="1"/>
        <d v="2025-10-31T18:33:45" u="1"/>
        <d v="2025-11-17T20:53:41" u="1"/>
        <d v="2025-11-17T16:55:41" u="1"/>
        <d v="2025-11-17T16:45:20" u="1"/>
        <d v="2025-10-29T12:25:21" u="1"/>
        <d v="2025-10-16T16:38:47" u="1"/>
        <d v="2025-11-17T21:14:54" u="1"/>
        <d v="2025-11-17T16:42:04" u="1"/>
        <d v="2025-11-17T16:45:46" u="1"/>
        <d v="2025-11-17T14:28:19" u="1"/>
        <d v="2025-11-17T16:02:04" u="1"/>
        <d v="2025-11-17T16:02:07" u="1"/>
        <d v="2025-11-17T16:33:51" u="1"/>
        <d v="2025-11-17T16:21:54" u="1"/>
        <d v="2025-11-17T15:26:18" u="1"/>
        <d v="2025-11-17T15:28:20" u="1"/>
        <d v="2025-11-17T15:03:51" u="1"/>
        <d v="2025-11-17T14:55:53" u="1"/>
        <d v="2025-11-17T20:07:41" u="1"/>
        <d v="2025-11-17T19:15:47" u="1"/>
        <d v="2025-11-17T19:49:58" u="1"/>
        <d v="2025-11-17T18:25:45" u="1"/>
        <d v="2025-11-17T18:35:47" u="1"/>
        <d v="2025-11-17T18:15:52" u="1"/>
        <d v="2025-11-17T19:11:47" u="1"/>
        <d v="2025-11-17T20:27:41" u="1"/>
        <d v="2025-11-17T20:55:46" u="1"/>
        <d v="2025-11-17T21:05:48" u="1"/>
        <d v="2025-11-17T22:27:41" u="1"/>
        <d v="2025-11-13T16:01:49" u="1"/>
        <d v="2025-11-13T12:44:04" u="1"/>
        <d v="2025-11-10T10:11:40" u="1"/>
        <d v="2025-11-11T18:21:23" u="1"/>
        <d v="2025-11-17T10:22:11" u="1"/>
        <d v="2025-11-17T10:22:21" u="1"/>
        <d v="2025-11-17T11:33:34" u="1"/>
        <d v="2025-11-17T09:13:04" u="1"/>
        <d v="2025-11-17T09:13:08" u="1"/>
        <d v="2025-11-17T16:33:53" u="1"/>
        <d v="2025-11-17T20:54:03" u="1"/>
        <d v="2025-11-17T19:14:12" u="1"/>
        <d v="2025-11-17T15:53:40" u="1"/>
        <d v="2025-11-14T17:54:16" u="1"/>
        <d v="2025-11-17T23:16:03" u="1"/>
        <d v="2025-11-17T23:04:34" u="1"/>
        <d v="2025-10-20T13:24:48" u="1"/>
        <d v="2025-10-15T11:25:29" u="1"/>
        <d v="2025-10-21T08:44:33" u="1"/>
        <d v="2025-10-20T13:24:49" u="1"/>
        <d v="2025-10-20T13:24:50" u="1"/>
        <d v="2025-10-15T11:25:28" u="1"/>
        <d v="2025-11-17T23:08:55" u="1"/>
        <d v="2025-11-17T23:13:11" u="1"/>
        <d v="2025-02-24T17:35:57" u="1"/>
        <d v="2025-11-13T19:22:07" u="1"/>
        <d v="2025-11-13T19:22:14" u="1"/>
        <d v="2025-11-13T19:22:19" u="1"/>
        <d v="2025-11-13T19:22:22" u="1"/>
        <d v="2025-11-17T14:29:42" u="1"/>
        <d v="2025-11-17T15:26:28" u="1"/>
        <d v="2025-11-17T15:53:10" u="1"/>
        <d v="2025-11-17T20:55:35" u="1"/>
        <d v="2025-11-14T17:02:41" u="1"/>
        <d v="2025-11-14T17:02:53" u="1"/>
        <d v="2025-11-14T15:45:30" u="1"/>
        <d v="2025-10-22T16:40:18" u="1"/>
        <d v="2025-11-17T13:15:13" u="1"/>
        <d v="2025-11-17T15:32:27" u="1"/>
        <d v="2025-11-17T13:13:28" u="1"/>
        <d v="2025-11-06T13:22:52" u="1"/>
        <d v="2025-11-13T13:34:43" u="1"/>
        <d v="2025-11-13T11:14:56" u="1"/>
        <d v="2025-10-29T10:13:42" u="1"/>
        <d v="2025-10-20T10:59:17" u="1"/>
        <d v="2025-10-24T18:57:56" u="1"/>
        <d v="2025-11-02T18:23:59" u="1"/>
        <d v="2025-11-02T15:33:42" u="1"/>
        <d v="2025-11-02T15:44:22" u="1"/>
        <d v="2025-11-02T18:04:26" u="1"/>
        <d v="2025-11-02T17:54:14" u="1"/>
        <d v="2025-11-02T15:54:39" u="1"/>
        <d v="2025-11-17T23:53:53" u="1"/>
        <d v="2025-11-17T23:44:37" u="1"/>
        <d v="2025-11-17T19:04:52" u="1"/>
        <d v="2025-11-17T17:35:23" u="1"/>
        <d v="2025-11-17T18:05:42" u="1"/>
        <d v="2025-11-17T20:54:53" u="1"/>
        <d v="2025-11-14T12:34:33" u="1"/>
        <d v="2025-10-16T22:30:27" u="1"/>
        <d v="2025-11-18T00:05:05" u="1"/>
        <d v="2025-11-07T11:45:35" u="1"/>
        <d v="2025-11-07T11:55:58" u="1"/>
        <d v="2025-11-17T20:52:22" u="1"/>
        <d v="2025-11-17T18:01:47" u="1"/>
        <d v="2025-11-17T17:03:27" u="1"/>
        <d v="2025-11-17T17:22:33" u="1"/>
        <d v="2025-11-17T17:22:45" u="1"/>
        <d v="2025-11-17T13:01:02" u="1"/>
        <d v="2025-11-14T13:01:46" u="1"/>
        <d v="2025-11-17T18:40:39" u="1"/>
        <d v="2025-10-31T18:32:02" u="1"/>
        <d v="2025-11-14T17:20:41" u="1"/>
        <d v="2025-11-05T14:52:02" u="1"/>
        <d v="2025-11-03T12:31:17" u="1"/>
        <d v="2025-11-14T08:20:55" u="1"/>
        <d v="2025-11-13T17:20:49" u="1"/>
        <d v="2025-11-10T11:52:55" u="1"/>
        <d v="2025-11-10T11:53:00" u="1"/>
        <d v="2025-11-10T17:21:11" u="1"/>
        <d v="2025-11-10T10:10:39" u="1"/>
        <d v="2025-11-11T16:42:05" u="1"/>
        <d v="2025-11-12T12:01:24" u="1"/>
        <d v="2025-11-11T10:32:45" u="1"/>
        <d v="2025-11-11T12:21:06" u="1"/>
        <d v="2025-11-11T17:21:22" u="1"/>
        <d v="2025-11-11T16:42:01" u="1"/>
        <d v="2025-11-17T15:01:02" u="1"/>
        <d v="2025-11-17T14:41:16" u="1"/>
        <d v="2025-10-24T10:11:02" u="1"/>
        <d v="2025-10-24T10:11:50" u="1"/>
        <d v="2025-10-28T08:42:05" u="1"/>
        <d v="2025-10-28T12:01:30" u="1"/>
        <d v="2025-10-29T12:51:04" u="1"/>
        <d v="2025-10-29T12:51:16" u="1"/>
        <d v="2025-10-30T13:11:55" u="1"/>
        <d v="2025-10-30T18:11:39" u="1"/>
        <d v="2025-10-30T18:31:15" u="1"/>
        <d v="2025-10-30T17:11:13" u="1"/>
        <d v="2025-10-30T17:11:23" u="1"/>
        <d v="2025-10-30T17:12:55" u="1"/>
        <d v="2025-11-06T18:31:34" u="1"/>
        <d v="2025-11-06T18:50:28" u="1"/>
        <d v="2025-11-07T14:42:08" u="1"/>
        <d v="2025-11-07T14:42:18" u="1"/>
        <d v="2025-10-23T20:00:58" u="1"/>
        <d v="2025-11-17T18:13:41" u="1"/>
        <d v="2025-11-17T20:53:57" u="1"/>
        <d v="2025-11-17T15:53:20" u="1"/>
        <d v="2025-11-17T20:54:19" u="1"/>
        <d v="2025-11-17T18:54:17" u="1"/>
        <d v="2025-11-17T18:54:21" u="1"/>
        <d v="2025-11-17T18:53:54" u="1"/>
        <d v="2025-10-30T16:01:23" u="1"/>
        <d v="2025-10-29T15:11:21" u="1"/>
        <d v="2025-11-13T19:13:34" u="1"/>
        <d v="2025-11-17T20:56:41" u="1"/>
        <d v="2025-11-17T15:56:54" u="1"/>
        <d v="2025-11-04T18:01:08" u="1"/>
        <d v="2025-11-18T02:29:33" u="1"/>
        <d v="2025-11-18T02:29:32" u="1"/>
        <d v="2025-11-07T17:20:41" u="1"/>
        <d v="2025-11-18T02:28:06" u="1"/>
        <d v="2025-11-18T02:28:02" u="1"/>
        <d v="2025-11-14T13:42:21" u="1"/>
        <d v="2025-11-13T19:23:08" u="1"/>
        <d v="2025-11-17T18:00:30" u="1"/>
        <d v="2025-11-04T12:02:29" u="1"/>
        <d v="2025-11-11T18:01:55" u="1"/>
        <d v="2025-11-11T16:02:36" u="1"/>
        <d v="2025-11-07T18:01:44" u="1"/>
        <d v="2025-11-03T16:00:35" u="1"/>
        <d v="2025-11-14T17:03:44" u="1"/>
        <d v="2025-11-14T15:03:31" u="1"/>
        <d v="2025-11-14T15:03:34" u="1"/>
        <d v="2025-11-14T15:03:36" u="1"/>
        <d v="2025-11-14T16:03:40" u="1"/>
        <d v="2025-11-17T17:54:16" u="1"/>
        <d v="2025-11-13T19:34:52" u="1"/>
        <d v="2025-11-07T17:32:39" u="1"/>
        <d v="2025-11-11T12:37:04" u="1"/>
        <d v="2025-11-05T17:02:21" u="1"/>
        <d v="2025-10-30T21:13:45" u="1"/>
        <d v="2025-11-18T02:29:09" u="1"/>
        <d v="2025-11-18T02:29:04" u="1"/>
        <d v="2025-11-10T18:34:32" u="1"/>
        <d v="2025-11-06T10:44:17" u="1"/>
        <d v="2025-11-14T19:57:40" u="1"/>
        <d v="2025-11-17T20:47:44" u="1"/>
        <d v="2025-11-12T12:55:29" u="1"/>
        <d v="2025-11-13T19:39:30" u="1"/>
        <d v="2025-11-14T19:54:58" u="1"/>
        <d v="2025-11-14T19:56:50" u="1"/>
        <d v="2025-11-14T19:56:51" u="1"/>
        <d v="2025-11-14T13:52:12" u="1"/>
        <d v="2025-11-13T19:35:55" u="1"/>
        <d v="2025-11-13T19:36:17" u="1"/>
        <d v="2025-11-17T14:40:41" u="1"/>
        <d v="2025-11-17T14:40:56" u="1"/>
        <d v="2025-11-13T13:26:11" u="1"/>
        <d v="2025-11-13T13:26:21" u="1"/>
        <d v="2025-11-13T13:26:44" u="1"/>
        <d v="2025-11-17T20:49:59" u="1"/>
        <d v="2025-11-17T23:12:40" u="1"/>
        <d v="2025-11-17T12:15:58" u="1"/>
        <d v="2025-11-17T09:35:04" u="1"/>
        <d v="2025-11-17T09:55:18" u="1"/>
        <d v="2025-11-17T20:23:28" u="1"/>
        <d v="2025-11-17T14:19:25" u="1"/>
        <d v="2025-11-17T20:23:50" u="1"/>
        <d v="2025-11-17T20:24:18" u="1"/>
        <d v="2025-11-15T01:26:42" u="1"/>
        <d v="2025-11-13T19:02:28" u="1"/>
        <d v="2025-11-14T01:06:53" u="1"/>
        <d v="2025-11-12T18:43:07" u="1"/>
        <d v="2025-11-12T18:43:39" u="1"/>
        <d v="2025-11-12T18:44:49" u="1"/>
        <d v="2025-10-28T19:48:09" u="1"/>
        <d v="2025-11-10T18:05:32" u="1"/>
        <d v="2025-11-18T02:29:28" u="1"/>
        <d v="2025-11-18T02:29:26" u="1"/>
        <d v="2025-11-17T20:21:37" u="1"/>
        <d v="2025-11-14T13:48:04" u="1"/>
        <d v="2025-11-14T13:48:09" u="1"/>
        <d v="2025-11-14T13:48:16" u="1"/>
        <d v="2025-11-14T13:48:23" u="1"/>
        <d v="2025-11-17T20:40:13" u="1"/>
        <d v="2025-11-17T20:40:18" u="1"/>
        <d v="2025-10-24T16:52:11" u="1"/>
        <d v="2025-11-18T02:31:10" u="1"/>
        <d v="2025-11-17T14:25:56" u="1"/>
        <d v="2025-10-29T15:06:37" u="1"/>
        <d v="2025-11-14T19:44:05" u="1"/>
        <d v="2025-11-12T16:54:58" u="1"/>
        <d v="2025-11-10T17:44:45" u="1"/>
        <d v="2025-11-06T14:34:55" u="1"/>
        <d v="2025-11-05T13:55:57" u="1"/>
        <d v="2025-11-17T14:15:17" u="1"/>
        <d v="2025-11-17T12:01:56" u="1"/>
        <d v="2025-11-14T15:03:03" u="1"/>
        <d v="2025-11-12T15:01:29" u="1"/>
        <d v="2025-11-11T14:01:43" u="1"/>
        <d v="2025-11-11T14:01:34" u="1"/>
        <d v="2025-11-11T14:01:39" u="1"/>
        <d v="2025-11-10T19:01:33" u="1"/>
        <d v="2025-11-14T16:03:51" u="1"/>
        <d v="2025-11-06T13:02:32" u="1"/>
        <d v="2025-11-05T17:05:16" u="1"/>
        <d v="2025-11-17T20:52:38" u="1"/>
        <d v="2025-11-10T19:14:25" u="1"/>
        <d v="2025-11-17T18:14:40" u="1"/>
        <d v="2025-11-17T18:14:44" u="1"/>
        <d v="2025-11-17T18:14:57" u="1"/>
        <d v="2025-11-14T18:14:04" u="1"/>
        <d v="2025-11-14T18:14:08" u="1"/>
        <d v="2025-11-14T18:14:11" u="1"/>
        <d v="2025-11-17T12:34:26" u="1"/>
        <d v="2025-11-17T12:34:30" u="1"/>
        <d v="2025-11-17T10:14:19" u="1"/>
        <d v="2025-11-17T10:14:23" u="1"/>
        <d v="2025-11-17T10:14:32" u="1"/>
        <d v="2025-11-17T10:14:35" u="1"/>
        <d v="2025-11-17T10:14:39" u="1"/>
        <d v="2025-11-17T10:14:43" u="1"/>
        <d v="2025-11-17T12:34:15" u="1"/>
        <d v="2025-11-17T12:34:19" u="1"/>
        <d v="2025-11-05T18:43:29" u="1"/>
        <d v="2025-11-05T18:43:32" u="1"/>
        <d v="2025-11-03T16:03:01" u="1"/>
        <d v="2025-11-03T12:22:59" u="1"/>
        <d v="2025-11-03T12:23:03" u="1"/>
        <d v="2025-11-03T12:23:08" u="1"/>
        <d v="2025-11-05T10:42:48" u="1"/>
        <d v="2025-11-05T11:42:44" u="1"/>
        <d v="2025-11-06T11:02:05" u="1"/>
        <d v="2025-11-06T11:02:09" u="1"/>
        <d v="2025-11-07T15:02:45" u="1"/>
        <d v="2025-11-07T18:23:13" u="1"/>
        <d v="2025-11-10T09:42:02" u="1"/>
        <d v="2025-11-10T13:13:46" u="1"/>
        <d v="2025-11-10T13:13:50" u="1"/>
        <d v="2025-11-14T10:16:16" u="1"/>
        <d v="2025-11-14T10:34:29" u="1"/>
        <d v="2025-11-13T15:13:53" u="1"/>
        <d v="2025-11-13T18:15:03" u="1"/>
        <d v="2025-11-13T18:15:07" u="1"/>
        <d v="2025-11-13T18:15:11" u="1"/>
        <d v="2025-11-13T18:53:33" u="1"/>
        <d v="2025-11-14T18:33:55" u="1"/>
        <d v="2025-11-14T18:33:58" u="1"/>
        <d v="2025-11-14T18:34:05" u="1"/>
        <d v="2025-11-14T18:34:09" u="1"/>
        <d v="2025-11-14T18:34:12" u="1"/>
        <d v="2025-11-14T18:34:16" u="1"/>
        <d v="2025-11-14T18:34:19" u="1"/>
        <d v="2025-11-12T09:52:48" u="1"/>
        <d v="2025-11-11T11:33:15" u="1"/>
        <d v="2025-11-11T16:33:25" u="1"/>
        <d v="2025-11-11T16:33:32" u="1"/>
        <d v="2025-11-12T15:34:36" u="1"/>
        <d v="2025-11-10T18:14:14" u="1"/>
        <d v="2025-11-10T14:53:04" u="1"/>
        <d v="2025-11-10T14:53:12" u="1"/>
        <d v="2025-11-10T16:53:39" u="1"/>
        <d v="2025-11-18T01:13:54" u="1"/>
        <d v="2025-10-23T15:50:24" u="1"/>
        <d v="2025-10-23T15:50:28" u="1"/>
        <d v="2025-10-09T00:36:31" u="1"/>
        <d v="2025-10-09T00:36:28" u="1"/>
        <d v="2025-10-03T00:35:50" u="1"/>
        <d v="2025-10-03T00:25:59" u="1"/>
        <d v="2025-10-03T00:25:55" u="1"/>
        <d v="2025-10-03T00:25:52" u="1"/>
        <d v="2025-11-18T02:28:09" u="1"/>
        <d v="2025-11-03T15:43:01" u="1"/>
        <d v="2025-11-14T13:25:15" u="1"/>
        <d v="2025-11-17T15:54:01" u="1"/>
        <d v="2025-11-17T20:55:22" u="1"/>
        <d v="2025-01-13T14:43:20" u="1"/>
        <d v="2025-03-13T17:15:06" u="1"/>
        <d v="2025-08-21T13:54:37" u="1"/>
        <d v="2025-05-06T12:18:41" u="1"/>
        <d v="2025-04-01T14:11:37" u="1"/>
        <d v="2025-09-01T12:58:17" u="1"/>
        <d v="2025-09-02T22:16:46" u="1"/>
        <d v="2025-09-04T08:06:27" u="1"/>
        <d v="2025-09-03T10:16:12" u="1"/>
        <d v="2025-09-03T10:07:16" u="1"/>
        <d v="2025-09-03T09:16:07" u="1"/>
        <d v="2025-09-04T08:32:17" u="1"/>
        <d v="2025-09-02T11:00:16" u="1"/>
        <d v="2025-09-02T14:00:45" u="1"/>
        <d v="2025-09-04T17:45:11" u="1"/>
        <d v="2025-09-05T15:45:42" u="1"/>
        <d v="2025-09-04T17:12:08" u="1"/>
        <d v="2025-09-04T08:32:23" u="1"/>
        <d v="2025-09-08T18:06:00" u="1"/>
        <d v="2025-09-05T10:22:51" u="1"/>
        <d v="2025-09-05T10:22:55" u="1"/>
        <d v="2025-09-05T10:23:33" u="1"/>
        <d v="2025-09-10T22:45:26" u="1"/>
        <d v="2025-09-10T17:02:21" u="1"/>
        <d v="2025-09-09T15:00:38" u="1"/>
        <d v="2025-09-09T16:03:33" u="1"/>
        <d v="2025-09-08T17:02:00" u="1"/>
        <d v="2025-09-08T17:02:04" u="1"/>
        <d v="2025-09-10T22:45:48" u="1"/>
        <d v="2025-09-10T22:45:56" u="1"/>
        <d v="2025-09-10T22:46:41" u="1"/>
        <d v="2025-09-10T22:46:51" u="1"/>
        <d v="2025-09-10T22:47:01" u="1"/>
        <d v="2025-09-10T22:47:05" u="1"/>
        <d v="2025-09-10T22:47:09" u="1"/>
        <d v="2025-09-10T22:47:13" u="1"/>
        <d v="2025-09-10T22:47:28" u="1"/>
        <d v="2025-09-10T22:47:39" u="1"/>
        <d v="2025-09-10T22:48:19" u="1"/>
        <d v="2025-09-10T22:48:51" u="1"/>
        <d v="2025-09-10T22:49:26" u="1"/>
        <d v="2025-09-10T22:49:29" u="1"/>
        <d v="2025-09-12T00:31:42" u="1"/>
        <d v="2025-09-12T12:43:35" u="1"/>
        <d v="2025-09-12T09:16:17" u="1"/>
        <d v="2025-09-12T09:16:18" u="1"/>
        <d v="2025-09-12T12:55:33" u="1"/>
        <d v="2025-09-12T10:46:19" u="1"/>
        <d v="2025-09-11T16:19:02" u="1"/>
        <d v="2025-09-11T19:33:38" u="1"/>
        <d v="2025-09-11T19:33:41" u="1"/>
        <d v="2025-09-11T19:33:49" u="1"/>
        <d v="2025-09-11T19:33:57" u="1"/>
        <d v="2025-09-10T22:45:31" u="1"/>
        <d v="2025-09-11T15:16:22" u="1"/>
        <d v="2025-09-12T07:27:30" u="1"/>
        <d v="2025-09-16T14:14:47" u="1"/>
        <d v="2025-09-12T18:37:43" u="1"/>
        <d v="2025-09-15T15:02:01" u="1"/>
        <d v="2025-09-18T11:37:26" u="1"/>
        <d v="2025-09-22T09:56:36" u="1"/>
        <d v="2025-09-16T17:47:33" u="1"/>
        <d v="2025-09-17T18:54:09" u="1"/>
        <d v="2025-09-12T19:06:10" u="1"/>
        <d v="2025-09-12T19:07:26" u="1"/>
        <d v="2025-09-12T19:08:06" u="1"/>
        <d v="2025-09-19T15:58:41" u="1"/>
        <d v="2025-09-19T15:58:43" u="1"/>
        <d v="2025-09-20T10:20:07" u="1"/>
        <d v="2025-09-19T00:14:59" u="1"/>
        <d v="2025-09-15T12:09:00" u="1"/>
        <d v="2025-09-15T12:09:03" u="1"/>
        <d v="2025-09-22T20:01:32" u="1"/>
        <d v="2025-09-17T13:35:12" u="1"/>
        <d v="2025-09-17T13:35:23" u="1"/>
        <d v="2025-09-17T13:35:28" u="1"/>
        <d v="2025-09-17T16:58:32" u="1"/>
        <d v="2025-09-18T17:58:30" u="1"/>
        <d v="2025-09-18T17:58:44" u="1"/>
        <d v="2025-09-18T17:59:13" u="1"/>
        <d v="2025-09-18T17:59:58" u="1"/>
        <d v="2025-09-18T18:00:02" u="1"/>
        <d v="2025-09-22T13:54:51" u="1"/>
        <d v="2025-09-22T13:54:56" u="1"/>
        <d v="2025-09-16T19:30:50" u="1"/>
        <d v="2025-09-16T15:58:50" u="1"/>
        <d v="2025-09-17T19:54:17" u="1"/>
        <d v="2025-09-12T14:46:52" u="1"/>
        <d v="2025-09-12T18:25:59" u="1"/>
        <d v="2025-09-15T12:26:11" u="1"/>
        <d v="2025-09-15T12:26:15" u="1"/>
        <d v="2025-09-16T17:58:23" u="1"/>
        <d v="2025-09-20T07:23:19" u="1"/>
        <d v="2025-09-20T07:23:25" u="1"/>
        <d v="2025-09-20T07:23:31" u="1"/>
        <d v="2025-09-20T07:28:53" u="1"/>
        <d v="2025-09-22T19:59:02" u="1"/>
        <d v="2025-09-22T20:01:56" u="1"/>
        <d v="2025-09-15T11:31:41" u="1"/>
        <d v="2025-09-16T15:58:56" u="1"/>
        <d v="2025-09-16T15:59:01" u="1"/>
        <d v="2025-09-12T20:19:32" u="1"/>
        <d v="2025-09-12T17:10:13" u="1"/>
        <d v="2025-09-12T13:46:44" u="1"/>
        <d v="2025-09-12T13:46:49" u="1"/>
        <d v="2025-09-12T13:46:53" u="1"/>
        <d v="2025-09-12T13:46:56" u="1"/>
        <d v="2025-09-21T19:37:33" u="1"/>
        <d v="2025-09-15T17:00:27" u="1"/>
        <d v="2025-09-16T18:05:53" u="1"/>
        <d v="2025-09-16T17:59:42" u="1"/>
        <d v="2025-09-16T09:02:00" u="1"/>
        <d v="2025-09-17T00:19:45" u="1"/>
        <d v="2025-09-15T17:38:42" u="1"/>
        <d v="2025-09-15T17:38:48" u="1"/>
        <d v="2025-09-15T17:38:54" u="1"/>
        <d v="2025-10-07T11:44:59" u="1"/>
        <d v="2025-10-07T10:54:42" u="1"/>
        <d v="2025-10-06T15:25:34" u="1"/>
        <d v="2025-09-30T16:45:55" u="1"/>
        <d v="2025-10-07T14:14:37" u="1"/>
        <d v="2025-10-02T16:07:30" u="1"/>
        <d v="2025-10-03T17:55:20" u="1"/>
        <d v="2025-09-25T15:10:15" u="1"/>
        <d v="2025-09-30T16:38:17" u="1"/>
        <d v="2025-09-23T14:19:17" u="1"/>
        <d v="2025-09-23T20:21:44" u="1"/>
        <d v="2025-09-25T14:54:11" u="1"/>
        <d v="2025-09-25T14:54:19" u="1"/>
        <d v="2025-10-06T18:30:54" u="1"/>
        <d v="2025-10-03T17:33:11" u="1"/>
        <d v="2025-10-06T12:28:12" u="1"/>
        <d v="2025-10-06T12:28:18" u="1"/>
        <d v="2025-09-25T21:02:49" u="1"/>
        <d v="2025-09-26T21:16:36" u="1"/>
        <d v="2025-09-26T21:17:14" u="1"/>
        <d v="2025-09-26T21:17:15" u="1"/>
        <d v="2025-09-30T10:42:45" u="1"/>
        <d v="2025-10-01T17:04:11" u="1"/>
        <d v="2025-10-01T17:05:15" u="1"/>
        <d v="2025-10-01T17:05:22" u="1"/>
        <d v="2025-10-06T11:45:19" u="1"/>
        <d v="2025-10-03T11:38:46" u="1"/>
        <d v="2025-10-03T11:39:09" u="1"/>
        <d v="2025-10-03T11:39:19" u="1"/>
        <d v="2025-10-01T23:09:00" u="1"/>
        <d v="2025-10-01T23:09:02" u="1"/>
        <d v="2025-09-25T10:25:26" u="1"/>
        <d v="2025-09-29T15:47:09" u="1"/>
        <d v="2025-09-25T16:06:45" u="1"/>
        <d v="2025-09-29T23:06:56" u="1"/>
        <d v="2025-10-04T05:43:29" u="1"/>
        <d v="2025-09-29T17:17:04" u="1"/>
        <d v="2025-09-30T17:18:57" u="1"/>
        <d v="2025-09-25T22:38:24" u="1"/>
        <d v="2025-10-02T23:34:59" u="1"/>
        <d v="2025-09-23T00:05:04" u="1"/>
        <d v="2025-10-01T18:55:35" u="1"/>
        <d v="2025-09-30T19:05:11" u="1"/>
        <d v="2025-09-25T14:28:15" u="1"/>
        <d v="2025-09-26T10:59:36" u="1"/>
        <d v="2025-10-03T11:55:10" u="1"/>
        <d v="2025-09-25T21:38:01" u="1"/>
        <d v="2025-10-01T23:10:28" u="1"/>
        <d v="2025-10-01T23:10:34" u="1"/>
        <d v="2025-09-29T16:38:24" u="1"/>
        <d v="2025-09-29T14:01:59" u="1"/>
        <d v="2025-09-29T16:00:30" u="1"/>
        <d v="2025-10-07T14:36:00" u="1"/>
        <d v="2025-10-03T18:10:06" u="1"/>
        <d v="2025-10-01T23:17:38" u="1"/>
        <d v="2025-10-01T10:49:19" u="1"/>
        <d v="2025-10-02T11:06:58" u="1"/>
        <d v="2025-10-05T18:13:05" u="1"/>
        <d v="2025-10-03T11:40:12" u="1"/>
        <d v="2025-10-02T23:35:37" u="1"/>
        <d v="2025-10-03T00:25:48" u="1"/>
        <d v="2025-10-02T19:56:07" u="1"/>
        <d v="2025-10-03T15:46:00" u="1"/>
        <d v="2025-10-03T16:06:52" u="1"/>
        <d v="2025-10-03T16:15:49" u="1"/>
        <d v="2025-10-03T16:36:11" u="1"/>
        <d v="2025-10-03T16:46:11" u="1"/>
        <d v="2025-10-03T17:56:36" u="1"/>
        <d v="2025-10-06T12:46:15" u="1"/>
        <d v="2025-10-06T12:46:19" u="1"/>
        <d v="2025-10-06T13:06:39" u="1"/>
        <d v="2025-10-06T13:27:01" u="1"/>
        <d v="2025-10-06T13:36:36" u="1"/>
        <d v="2025-10-06T15:37:08" u="1"/>
        <d v="2025-10-06T16:26:11" u="1"/>
        <d v="2025-10-06T16:26:15" u="1"/>
        <d v="2025-10-06T23:36:37" u="1"/>
        <d v="2025-10-06T23:45:58" u="1"/>
        <d v="2025-09-29T13:08:40" u="1"/>
        <d v="2025-09-25T16:25:36" u="1"/>
        <d v="2025-09-24T15:48:55" u="1"/>
        <d v="2025-09-24T15:49:00" u="1"/>
        <d v="2025-09-24T15:49:06" u="1"/>
        <d v="2025-09-24T15:49:10" u="1"/>
        <d v="2025-09-24T15:49:15" u="1"/>
        <d v="2025-09-25T13:02:08" u="1"/>
        <d v="2025-09-23T16:27:37" u="1"/>
        <d v="2025-10-01T14:56:38" u="1"/>
        <d v="2025-10-02T01:05:50" u="1"/>
        <d v="2025-10-02T01:05:55" u="1"/>
        <d v="2025-10-02T01:25:19" u="1"/>
        <d v="2025-09-30T15:35:42" u="1"/>
        <d v="2025-09-30T15:35:46" u="1"/>
        <d v="2025-09-30T15:55:46" u="1"/>
        <d v="2025-09-30T15:55:50" u="1"/>
        <d v="2025-09-30T16:15:25" u="1"/>
        <d v="2025-09-30T16:15:34" u="1"/>
        <d v="2025-09-30T16:35:35" u="1"/>
        <d v="2025-10-03T17:58:40" u="1"/>
        <d v="2025-09-29T10:18:45" u="1"/>
        <d v="2025-09-24T17:05:01" u="1"/>
        <d v="2025-10-02T11:02:06" u="1"/>
        <d v="2025-10-03T10:01:43" u="1"/>
        <d v="2025-10-07T07:10:59" u="1"/>
        <d v="2025-09-26T21:15:33" u="1"/>
        <d v="2025-10-07T07:10:28" u="1"/>
        <d v="2025-09-25T09:00:45" u="1"/>
        <d v="2025-09-24T11:03:46" u="1"/>
        <d v="2025-09-24T17:04:43" u="1"/>
        <d v="2025-09-25T09:02:37" u="1"/>
        <d v="2025-09-29T18:01:29" u="1"/>
        <d v="2025-09-25T18:04:49" u="1"/>
        <d v="2025-10-07T07:11:08" u="1"/>
        <d v="2025-10-07T14:35:50" u="1"/>
        <d v="2025-09-24T16:01:33" u="1"/>
        <d v="2025-09-24T15:00:53" u="1"/>
        <d v="2025-09-24T16:01:19" u="1"/>
        <d v="2025-10-15T14:58:26" u="1"/>
        <d v="2025-10-13T08:55:00" u="1"/>
        <d v="2025-10-13T11:46:20" u="1"/>
        <d v="2025-10-13T16:55:14" u="1"/>
        <d v="2025-10-10T09:35:11" u="1"/>
        <d v="2025-10-08T16:25:37" u="1"/>
        <d v="2025-10-15T11:15:29" u="1"/>
        <d v="2025-10-17T08:24:37" u="1"/>
        <d v="2025-10-15T16:52:24" u="1"/>
        <d v="2025-10-15T16:54:23" u="1"/>
        <d v="2025-10-16T17:51:48" u="1"/>
        <d v="2025-10-09T20:02:16" u="1"/>
        <d v="2025-10-10T13:58:50" u="1"/>
        <d v="2025-10-13T15:07:17" u="1"/>
        <d v="2025-10-16T16:23:24" u="1"/>
        <d v="2025-10-07T16:14:51" u="1"/>
        <d v="2025-10-16T15:47:33" u="1"/>
        <d v="2025-10-15T21:36:14" u="1"/>
        <d v="2025-10-15T21:36:49" u="1"/>
        <d v="2025-10-15T21:37:19" u="1"/>
        <d v="2025-10-15T21:38:18" u="1"/>
        <d v="2025-10-13T15:41:33" u="1"/>
        <d v="2025-10-10T19:51:51" u="1"/>
        <d v="2025-10-13T20:52:39" u="1"/>
        <d v="2025-10-09T19:32:02" u="1"/>
        <d v="2025-10-09T19:32:14" u="1"/>
        <d v="2025-10-09T19:32:39" u="1"/>
        <d v="2025-10-09T19:33:02" u="1"/>
        <d v="2025-10-09T19:33:12" u="1"/>
        <d v="2025-10-09T19:33:18" u="1"/>
        <d v="2025-10-08T19:14:33" u="1"/>
        <d v="2025-10-15T15:28:14" u="1"/>
        <d v="2025-10-08T19:14:21" u="1"/>
        <d v="2025-10-08T13:07:50" u="1"/>
        <d v="2025-10-09T13:27:11" u="1"/>
        <d v="2025-10-08T19:14:26" u="1"/>
        <d v="2025-10-15T17:35:44" u="1"/>
        <d v="2025-10-08T09:14:54" u="1"/>
        <d v="2025-10-08T14:24:50" u="1"/>
        <d v="2025-10-14T11:25:27" u="1"/>
        <d v="2025-10-14T16:48:49" u="1"/>
        <d v="2025-10-14T16:49:08" u="1"/>
        <d v="2025-10-13T18:48:25" u="1"/>
        <d v="2025-10-08T12:25:52" u="1"/>
        <d v="2025-10-09T20:22:20" u="1"/>
        <d v="2025-10-09T20:22:27" u="1"/>
        <d v="2025-10-10T14:21:01" u="1"/>
        <d v="2025-10-11T02:06:17" u="1"/>
        <d v="2025-10-14T15:47:11" u="1"/>
        <d v="2025-10-14T15:47:12" u="1"/>
        <d v="2025-10-14T15:48:56" u="1"/>
        <d v="2025-10-14T21:56:25" u="1"/>
        <d v="2025-10-16T22:36:04" u="1"/>
        <d v="2025-10-08T20:04:29" u="1"/>
        <d v="2025-10-20T18:14:59" u="1"/>
        <d v="2025-10-07T21:14:12" u="1"/>
        <d v="2025-10-10T16:24:59" u="1"/>
        <d v="2025-10-15T14:45:49" u="1"/>
        <d v="2025-10-16T14:15:20" u="1"/>
        <d v="2025-10-14T08:36:55" u="1"/>
        <d v="2025-10-14T08:37:13" u="1"/>
        <d v="2025-10-12T17:01:27" u="1"/>
        <d v="2025-10-12T17:01:28" u="1"/>
        <d v="2025-10-16T14:07:07" u="1"/>
        <d v="2025-10-16T14:10:24" u="1"/>
        <d v="2025-10-16T14:10:36" u="1"/>
        <d v="2025-10-16T14:13:42" u="1"/>
        <d v="2025-10-16T14:16:38" u="1"/>
        <d v="2025-10-14T09:05:18" u="1"/>
        <d v="2025-10-10T01:38:42" u="1"/>
        <d v="2025-10-10T20:14:48" u="1"/>
        <d v="2025-10-14T08:35:10" u="1"/>
        <d v="2025-10-14T08:36:52" u="1"/>
        <d v="2025-10-07T14:36:01" u="1"/>
        <d v="2025-10-14T11:54:24" u="1"/>
        <d v="2025-10-14T12:24:16" u="1"/>
        <d v="2025-10-10T14:06:50" u="1"/>
        <d v="2025-10-09T13:57:41" u="1"/>
        <d v="2025-10-10T14:08:17" u="1"/>
        <d v="2025-10-09T13:56:49" u="1"/>
        <d v="2025-10-17T09:34:57" u="1"/>
        <d v="2025-10-16T15:49:48" u="1"/>
        <d v="2025-10-16T15:54:59" u="1"/>
        <d v="2025-10-09T13:28:31" u="1"/>
        <d v="2025-10-08T19:14:25" u="1"/>
        <d v="2025-10-14T21:16:54" u="1"/>
        <d v="2025-10-14T21:17:05" u="1"/>
        <d v="2025-10-13T20:52:52" u="1"/>
        <d v="2025-10-14T21:51:25" u="1"/>
        <d v="2025-10-15T16:29:57" u="1"/>
        <d v="2025-10-15T16:30:11" u="1"/>
        <d v="2025-10-15T16:30:20" u="1"/>
        <d v="2025-10-15T22:07:12" u="1"/>
        <d v="2025-10-15T22:07:17" u="1"/>
        <d v="2025-10-10T01:40:54" u="1"/>
        <d v="2025-10-07T19:29:38" u="1"/>
        <d v="2025-10-09T14:21:45" u="1"/>
        <d v="2025-10-14T09:14:23" u="1"/>
        <d v="2025-10-10T18:44:45" u="1"/>
        <d v="2025-10-10T18:44:46" u="1"/>
        <d v="2025-10-09T00:56:15" u="1"/>
        <d v="2025-10-09T01:26:24" u="1"/>
        <d v="2025-10-09T01:36:38" u="1"/>
        <d v="2025-10-09T15:08:25" u="1"/>
        <d v="2025-10-09T15:38:09" u="1"/>
        <d v="2025-10-10T17:39:11" u="1"/>
        <d v="2025-10-07T17:36:36" u="1"/>
        <d v="2025-10-08T10:47:08" u="1"/>
        <d v="2025-10-08T10:56:48" u="1"/>
        <d v="2025-10-15T16:29:19" u="1"/>
        <d v="2025-10-15T16:40:55" u="1"/>
        <d v="2025-10-14T15:29:41" u="1"/>
        <d v="2025-10-13T23:37:42" u="1"/>
        <d v="2025-10-13T23:47:15" u="1"/>
        <d v="2025-10-13T23:47:19" u="1"/>
        <d v="2025-10-13T23:47:22" u="1"/>
        <d v="2025-10-13T23:47:25" u="1"/>
        <d v="2025-10-14T01:58:09" u="1"/>
        <d v="2025-10-13T13:08:03" u="1"/>
        <d v="2025-10-17T09:18:41" u="1"/>
        <d v="2025-10-16T16:30:06" u="1"/>
        <d v="2025-10-16T12:08:37" u="1"/>
        <d v="2025-10-17T09:58:55" u="1"/>
        <d v="2025-10-17T09:58:59" u="1"/>
        <d v="2025-10-17T09:59:03" u="1"/>
        <d v="2025-10-14T21:17:43" u="1"/>
        <d v="2025-10-10T19:55:41" u="1"/>
        <d v="2025-10-08T13:12:10" u="1"/>
        <d v="2025-10-16T21:56:16" u="1"/>
        <d v="2025-10-10T20:20:19" u="1"/>
        <d v="2025-10-08T19:42:40" u="1"/>
        <d v="2025-10-08T11:07:30" u="1"/>
        <d v="2025-10-08T13:16:09" u="1"/>
        <d v="2025-10-08T15:57:21" u="1"/>
        <d v="2025-10-08T15:57:26" u="1"/>
        <d v="2025-10-08T16:06:49" u="1"/>
        <d v="2025-10-08T16:06:53" u="1"/>
        <d v="2025-10-09T12:36:58" u="1"/>
        <d v="2025-10-09T12:47:14" u="1"/>
        <d v="2025-10-09T12:57:12" u="1"/>
        <d v="2025-10-09T13:07:03" u="1"/>
        <d v="2025-10-09T13:07:08" u="1"/>
        <d v="2025-10-09T13:17:47" u="1"/>
        <d v="2025-10-09T13:17:51" u="1"/>
        <d v="2025-10-09T13:17:54" u="1"/>
        <d v="2025-10-15T10:19:52" u="1"/>
        <d v="2025-10-16T14:00:36" u="1"/>
        <d v="2025-10-16T14:03:23" u="1"/>
        <d v="2025-10-09T13:25:27" u="1"/>
        <d v="2025-10-10T12:02:17" u="1"/>
        <d v="2025-10-20T11:00:38" u="1"/>
        <d v="2025-10-15T00:03:26" u="1"/>
        <d v="2025-10-14T08:34:57" u="1"/>
        <d v="2025-10-13T12:02:10" u="1"/>
        <d v="2025-10-14T20:37:27" u="1"/>
        <d v="2025-10-09T12:00:43" u="1"/>
        <d v="2025-10-16T14:08:25" u="1"/>
        <d v="2025-10-13T10:00:29" u="1"/>
        <d v="2025-10-15T00:01:45" u="1"/>
        <d v="2025-10-08T19:42:45" u="1"/>
        <d v="2025-10-15T09:24:49" u="1"/>
        <d v="2025-10-13T21:24:14" u="1"/>
        <d v="2025-10-17T12:15:25" u="1"/>
        <d v="2025-10-21T16:35:29" u="1"/>
        <d v="2025-10-21T11:38:47" u="1"/>
        <d v="2025-10-21T17:59:05" u="1"/>
        <d v="2025-10-20T17:38:42" u="1"/>
        <d v="2025-10-20T11:04:22" u="1"/>
        <d v="2025-10-20T23:24:23" u="1"/>
        <d v="2025-10-17T16:14:51" u="1"/>
        <d v="2025-10-21T23:34:20" u="1"/>
        <d v="2025-10-21T09:40:10" u="1"/>
        <d v="2025-10-20T18:24:34" u="1"/>
        <d v="2025-10-19T16:47:49" u="1"/>
        <d v="2025-10-20T23:27:05" u="1"/>
        <d v="2025-10-17T18:39:44" u="1"/>
        <d v="2025-10-20T11:09:07" u="1"/>
        <d v="2025-10-20T10:58:58" u="1"/>
        <d v="2025-10-20T11:19:36" u="1"/>
        <d v="2025-10-21T17:59:12" u="1"/>
        <d v="2025-10-21T17:59:34" u="1"/>
        <d v="2025-10-21T11:21:19" u="1"/>
        <d v="2025-10-17T22:12:43" u="1"/>
        <d v="2025-10-20T17:08:52" u="1"/>
        <d v="2025-10-21T11:31:42" u="1"/>
        <d v="2025-10-17T16:55:13" u="1"/>
        <d v="2025-10-21T23:52:15" u="1"/>
        <d v="2025-10-20T18:01:01" u="1"/>
        <d v="2025-10-20T11:16:55" u="1"/>
        <d v="2025-10-17T19:24:40" u="1"/>
        <d v="2025-10-17T19:18:06" u="1"/>
        <d v="2025-10-17T16:51:22" u="1"/>
        <d v="2025-10-17T16:19:38" u="1"/>
        <d v="2025-10-17T11:31:51" u="1"/>
        <d v="2025-10-17T11:01:15" u="1"/>
        <d v="2025-10-20T11:31:16" u="1"/>
        <d v="2025-10-20T10:11:37" u="1"/>
        <d v="2025-10-20T17:00:55" u="1"/>
        <d v="2025-10-21T10:29:24" u="1"/>
        <d v="2025-10-21T16:50:45" u="1"/>
        <d v="2025-10-21T16:50:55" u="1"/>
        <d v="2025-10-21T15:01:20" u="1"/>
        <d v="2025-10-20T16:21:41" u="1"/>
        <d v="2025-10-20T16:22:33" u="1"/>
        <d v="2025-10-17T16:51:26" u="1"/>
        <d v="2025-10-17T17:50:46" u="1"/>
        <d v="2025-10-17T17:50:51" u="1"/>
        <d v="2025-10-21T08:51:12" u="1"/>
        <d v="2025-10-21T16:51:13" u="1"/>
        <d v="2025-10-21T17:41:45" u="1"/>
        <d v="2025-10-21T16:52:08" u="1"/>
        <d v="2025-10-21T17:39:12" u="1"/>
        <d v="2025-10-21T16:09:08" u="1"/>
        <d v="2025-10-21T10:01:59" u="1"/>
        <d v="2025-10-21T09:00:31" u="1"/>
        <d v="2025-10-17T10:01:50" u="1"/>
        <d v="2025-10-21T11:28:58" u="1"/>
        <d v="2025-10-20T23:27:51" u="1"/>
        <d v="2025-10-17T22:35:55" u="1"/>
        <d v="2025-10-21T17:53:04" u="1"/>
        <d v="2025-10-21T17:53:36" u="1"/>
        <d v="2025-10-17T15:02:29" u="1"/>
        <d v="2025-10-21T09:01:24" u="1"/>
        <d v="2025-10-20T17:02:37" u="1"/>
        <d v="2025-10-21T10:01:45" u="1"/>
        <d v="2025-10-21T17:55:01" u="1"/>
        <d v="2025-10-21T18:10:40" u="1"/>
        <d v="2025-10-17T22:45:07" u="1"/>
        <d v="2025-10-17T22:45:11" u="1"/>
        <d v="2025-10-21T17:02:29" u="1"/>
        <d v="2025-10-20T10:00:43" u="1"/>
        <d v="2025-10-20T17:01:35" u="1"/>
        <d v="2025-10-20T16:01:44" u="1"/>
        <d v="2025-10-20T16:32:32" u="1"/>
        <d v="2025-10-20T16:49:42" u="1"/>
        <d v="2025-10-20T17:02:24" u="1"/>
        <d v="2025-10-20T18:16:30" u="1"/>
        <d v="2025-10-20T18:20:39" u="1"/>
        <d v="2025-10-21T11:42:34" u="1"/>
        <d v="2025-10-21T14:44:36" u="1"/>
        <d v="2025-10-20T23:11:53" u="1"/>
        <d v="2025-10-17T10:01:36" u="1"/>
        <d v="2025-10-21T17:26:54" u="1"/>
        <d v="2025-10-21T11:29:04" u="1"/>
        <d v="2025-10-20T16:59:54" u="1"/>
        <d v="2025-10-20T17:52:59" u="1"/>
        <d v="2025-10-20T17:53:03" u="1"/>
        <d v="2025-10-17T15:20:25" u="1"/>
        <d v="2025-10-17T15:40:17" u="1"/>
        <d v="2025-10-17T12:19:01" u="1"/>
        <d v="2025-10-17T12:19:06" u="1"/>
        <d v="2025-10-17T12:19:10" u="1"/>
        <d v="2025-10-17T10:28:31" u="1"/>
        <d v="2025-10-20T15:20:30" u="1"/>
        <d v="2025-10-20T15:20:35" u="1"/>
        <d v="2025-10-21T15:30:06" u="1"/>
        <d v="2025-10-21T17:05:22" u="1"/>
        <d v="2025-10-21T16:54:20" u="1"/>
        <d v="2025-10-17T16:39:53" u="1"/>
        <d v="2025-10-20T17:11:45" u="1"/>
        <d v="2025-10-21T11:23:05" u="1"/>
        <d v="2025-10-21T17:33:36" u="1"/>
        <d v="2025-10-21T11:34:38" u="1"/>
        <d v="2025-10-21T18:04:54" u="1"/>
        <d v="2025-10-21T18:05:41" u="1"/>
        <d v="2025-10-17T16:29:50" u="1"/>
        <d v="2025-10-20T11:20:22" u="1"/>
        <d v="2025-10-21T14:18:42" u="1"/>
        <d v="2025-10-20T14:19:43" u="1"/>
        <d v="2025-10-21T10:29:48" u="1"/>
        <d v="2025-10-21T17:12:05" u="1"/>
        <d v="2025-10-17T16:18:07" u="1"/>
        <d v="2025-10-17T16:18:28" u="1"/>
        <d v="2025-10-17T16:19:09" u="1"/>
        <d v="2025-10-17T11:09:53" u="1"/>
        <d v="2025-10-20T15:00:27" u="1"/>
        <d v="2025-10-21T09:35:51" u="1"/>
        <d v="2025-10-21T09:37:51" u="1"/>
        <d v="2025-10-21T09:41:58" u="1"/>
        <d v="2025-10-21T09:23:48" u="1"/>
        <d v="2025-10-21T09:23:58" u="1"/>
        <d v="2025-10-21T13:52:22" u="1"/>
        <d v="2025-10-21T14:00:18" u="1"/>
        <d v="2025-10-21T16:31:45" u="1"/>
        <d v="2025-10-21T16:36:03" u="1"/>
        <d v="2025-10-21T16:11:55" u="1"/>
        <d v="2025-10-21T16:22:16" u="1"/>
        <d v="2025-10-21T12:33:52" u="1"/>
        <d v="2025-10-21T17:56:04" u="1"/>
        <d v="2025-10-21T17:56:06" u="1"/>
        <d v="2025-10-21T18:13:02" u="1"/>
        <d v="2025-10-21T18:13:05" u="1"/>
        <d v="2025-10-21T11:49:33" u="1"/>
        <d v="2025-10-21T18:09:05" u="1"/>
        <d v="2025-10-21T16:20:00" u="1"/>
        <d v="2025-10-17T13:38:34" u="1"/>
        <d v="2025-10-20T20:28:24" u="1"/>
        <d v="2025-10-17T19:20:21" u="1"/>
        <d v="2025-10-17T13:39:05" u="1"/>
        <d v="2025-10-20T15:25:21" u="1"/>
        <d v="2025-10-21T15:45:24" u="1"/>
        <d v="2025-10-21T15:50:09" u="1"/>
        <d v="2025-10-21T15:50:14" u="1"/>
        <d v="2025-10-21T16:52:05" u="1"/>
        <d v="2025-10-21T15:12:02" u="1"/>
        <d v="2025-10-21T16:14:03" u="1"/>
        <d v="2025-10-21T17:39:55" u="1"/>
        <d v="2025-10-21T09:26:18" u="1"/>
        <d v="2025-10-21T09:33:52" u="1"/>
        <d v="2025-10-21T17:06:12" u="1"/>
        <d v="2025-10-21T17:32:17" u="1"/>
        <d v="2025-10-21T18:19:07" u="1"/>
        <d v="2025-10-21T16:09:04" u="1"/>
        <d v="2025-10-21T14:49:55" u="1"/>
        <d v="2025-10-21T14:42:12" u="1"/>
        <d v="2025-10-21T16:13:53" u="1"/>
        <d v="2025-10-21T14:43:57" u="1"/>
        <d v="2025-10-21T14:37:55" u="1"/>
        <d v="2025-10-21T10:29:49" u="1"/>
        <d v="2025-10-21T15:55:01" u="1"/>
        <d v="2025-10-21T11:29:37" u="1"/>
        <d v="2025-10-20T15:01:13" u="1"/>
        <d v="2025-10-20T15:35:20" u="1"/>
        <d v="2025-10-20T15:25:23" u="1"/>
        <d v="2025-10-17T18:18:54" u="1"/>
        <d v="2025-10-21T09:40:57" u="1"/>
        <d v="2025-10-20T12:58:41" u="1"/>
        <d v="2025-10-20T12:58:46" u="1"/>
        <d v="2025-10-21T09:58:45" u="1"/>
        <d v="2025-10-21T09:58:49" u="1"/>
        <d v="2025-10-21T11:41:52" u="1"/>
        <d v="2025-10-21T07:44:24" u="1"/>
        <d v="2025-10-20T11:21:42" u="1"/>
        <d v="2025-10-21T17:00:57" u="1"/>
        <d v="2025-10-17T11:00:49" u="1"/>
        <d v="2025-10-21T18:39:14" u="1"/>
        <d v="2025-10-21T18:39:33" u="1"/>
        <d v="2025-10-21T23:43:59" u="1"/>
        <d v="2025-10-21T18:23:44" u="1"/>
        <d v="2025-10-21T18:25:15" u="1"/>
        <d v="2025-10-21T18:31:08" u="1"/>
        <d v="2025-10-21T18:41:40" u="1"/>
        <d v="2025-10-21T19:06:00" u="1"/>
        <d v="2025-10-21T20:03:57" u="1"/>
        <d v="2025-10-21T23:48:10" u="1"/>
        <d v="2025-10-21T23:32:45" u="1"/>
        <d v="2025-10-21T23:58:11" u="1"/>
        <d v="2025-10-21T23:56:09" u="1"/>
        <d v="2025-10-21T23:56:48" u="1"/>
        <d v="2025-10-21T23:56:54" u="1"/>
        <d v="2025-10-21T23:58:34" u="1"/>
        <d v="2025-10-21T23:58:48" u="1"/>
        <d v="2025-10-21T23:45:03" u="1"/>
        <d v="2025-10-21T23:44:58" u="1"/>
        <d v="2025-10-21T21:03:18" u="1"/>
        <d v="2025-10-22T01:17:13" u="1"/>
        <d v="2025-10-21T19:10:29" u="1"/>
        <d v="2025-10-21T23:49:42" u="1"/>
        <d v="2025-10-21T23:49:39" u="1"/>
        <d v="2025-10-22T01:34:08" u="1"/>
        <d v="2025-10-21T19:54:13" u="1"/>
        <d v="2025-10-22T01:46:13" u="1"/>
        <d v="2025-10-21T19:22:21" u="1"/>
        <d v="2025-10-21T19:50:58" u="1"/>
        <d v="2025-10-21T23:48:53" u="1"/>
        <d v="2025-10-21T18:56:51" u="1"/>
        <d v="2025-10-21T19:12:25" u="1"/>
        <d v="2025-10-21T18:46:20" u="1"/>
        <d v="2025-10-21T15:49:04" u="1"/>
        <d v="2025-09-03T06:14:45" u="1"/>
        <d v="2025-09-04T11:19:47" u="1"/>
        <d v="2025-09-04T11:19:53" u="1"/>
        <d v="2025-09-05T16:33:44" u="1"/>
        <d v="2025-09-04T18:22:09" u="1"/>
        <d v="2025-09-09T22:02:36" u="1"/>
        <d v="2025-09-12T08:41:03" u="1"/>
        <d v="2025-09-17T12:33:32" u="1"/>
        <d v="2025-09-12T10:46:13" u="1"/>
        <d v="2025-09-12T12:59:12" u="1"/>
        <d v="2025-09-18T19:04:00" u="1"/>
        <d v="2025-09-19T12:02:07" u="1"/>
        <d v="2025-09-30T17:25:05" u="1"/>
        <d v="2025-09-20T09:51:52" u="1"/>
        <d v="2025-09-20T09:51:56" u="1"/>
        <d v="2025-09-20T08:40:51" u="1"/>
        <d v="2025-10-02T19:02:25" u="1"/>
        <d v="2025-10-03T18:00:57" u="1"/>
        <d v="2025-10-02T11:08:08" u="1"/>
        <d v="2025-09-30T16:33:43" u="1"/>
        <d v="2025-09-26T19:03:11" u="1"/>
        <d v="2025-10-01T19:01:24" u="1"/>
        <d v="2025-09-26T10:47:01" u="1"/>
        <d v="2025-10-10T13:58:47" u="1"/>
        <d v="2025-10-10T13:46:29" u="1"/>
        <d v="2025-10-09T19:33:36" u="1"/>
        <d v="2025-10-09T19:32:42" u="1"/>
        <d v="2025-10-06T18:32:51" u="1"/>
        <d v="2025-10-13T20:53:03" u="1"/>
        <d v="2025-10-13T20:53:05" u="1"/>
        <d v="2025-10-13T19:18:29" u="1"/>
        <d v="2025-10-09T20:30:27" u="1"/>
        <d v="2025-10-07T00:53:50" u="1"/>
        <d v="2025-10-07T00:53:51" u="1"/>
        <d v="2025-10-08T20:07:29" u="1"/>
        <d v="2025-10-09T15:05:17" u="1"/>
        <d v="2025-10-09T15:35:14" u="1"/>
        <d v="2025-10-13T11:35:29" u="1"/>
        <d v="2025-10-13T11:35:33" u="1"/>
        <d v="2025-10-10T20:39:02" u="1"/>
        <d v="2025-10-09T19:59:41" u="1"/>
        <d v="2025-10-09T19:59:45" u="1"/>
        <d v="2025-10-09T19:59:48" u="1"/>
        <d v="2025-10-13T21:17:54" u="1"/>
        <d v="2025-10-14T08:36:54" u="1"/>
        <d v="2025-10-09T17:00:57" u="1"/>
        <d v="2025-10-08T19:15:33" u="1"/>
        <d v="2025-10-08T13:31:02" u="1"/>
        <d v="2025-10-13T16:35:15" u="1"/>
        <d v="2025-10-13T10:05:03" u="1"/>
        <d v="2025-10-13T14:55:57" u="1"/>
        <d v="2025-10-13T08:44:29" u="1"/>
        <d v="2025-10-08T19:39:00" u="1"/>
        <d v="2025-10-13T20:59:13" u="1"/>
        <d v="2025-10-09T20:06:58" u="1"/>
        <d v="2025-10-09T20:07:02" u="1"/>
        <d v="2025-10-10T14:05:13" u="1"/>
        <d v="2025-10-10T14:05:17" u="1"/>
        <d v="2025-10-09T13:49:20" u="1"/>
        <d v="2025-10-09T20:02:58" u="1"/>
        <d v="2025-10-08T19:21:55" u="1"/>
        <d v="2025-10-08T19:22:27" u="1"/>
        <d v="2025-10-07T13:01:28" u="1"/>
        <d v="2025-10-06T22:23:27" u="1"/>
        <d v="2025-10-07T19:42:25" u="1"/>
        <d v="2025-10-09T10:37:49" u="1"/>
        <d v="2025-10-10T20:19:11" u="1"/>
        <d v="2025-10-10T17:17:15" u="1"/>
        <d v="2025-10-16T15:45:34" u="1"/>
        <d v="2025-10-08T09:44:31" u="1"/>
        <d v="2025-10-07T14:34:55" u="1"/>
        <d v="2025-10-09T13:36:54" u="1"/>
        <d v="2025-10-09T19:31:13" u="1"/>
        <d v="2025-10-09T19:33:28" u="1"/>
        <d v="2025-10-10T20:31:00" u="1"/>
        <d v="2025-10-13T23:06:40" u="1"/>
        <d v="2025-10-10T20:31:01" u="1"/>
        <d v="2025-10-08T12:30:54" u="1"/>
        <d v="2025-10-10T21:02:23" u="1"/>
        <d v="2025-10-07T14:35:08" u="1"/>
        <d v="2025-10-07T07:10:00" u="1"/>
        <d v="2025-10-14T15:14:58" u="1"/>
        <d v="2025-10-15T16:08:20" u="1"/>
        <d v="2025-10-16T15:08:47" u="1"/>
        <d v="2025-10-15T11:15:38" u="1"/>
        <d v="2025-10-14T22:07:01" u="1"/>
        <d v="2025-10-15T16:51:26" u="1"/>
        <d v="2025-10-17T16:59:45" u="1"/>
        <d v="2025-10-17T17:00:05" u="1"/>
        <d v="2025-10-17T17:00:29" u="1"/>
        <d v="2025-10-17T17:01:12" u="1"/>
        <d v="2025-10-17T17:02:24" u="1"/>
        <d v="2025-10-17T22:59:06" u="1"/>
        <d v="2025-10-18T10:22:48" u="1"/>
        <d v="2025-10-18T10:22:51" u="1"/>
        <d v="2025-10-17T16:40:38" u="1"/>
        <d v="2025-10-17T10:00:58" u="1"/>
        <d v="2025-10-17T10:01:01" u="1"/>
        <d v="2025-10-14T15:09:22" u="1"/>
        <d v="2025-10-15T21:38:23" u="1"/>
        <d v="2025-10-15T15:26:15" u="1"/>
        <d v="2025-10-15T15:27:10" u="1"/>
        <d v="2025-10-15T15:28:17" u="1"/>
        <d v="2025-10-17T16:58:19" u="1"/>
        <d v="2025-10-17T16:06:32" u="1"/>
        <d v="2025-10-10T14:05:22" u="1"/>
        <d v="2025-10-17T13:41:43" u="1"/>
        <d v="2025-10-16T16:16:20" u="1"/>
        <d v="2025-10-17T16:28:28" u="1"/>
        <d v="2025-10-17T16:28:43" u="1"/>
        <d v="2025-10-17T10:14:16" u="1"/>
        <d v="2025-10-14T15:49:25" u="1"/>
        <d v="2025-10-14T21:53:39" u="1"/>
        <d v="2025-10-14T21:53:47" u="1"/>
        <d v="2025-10-15T16:32:34" u="1"/>
        <d v="2025-10-15T22:11:47" u="1"/>
        <d v="2025-10-15T22:16:23" u="1"/>
        <d v="2025-10-16T09:53:50" u="1"/>
        <d v="2025-10-17T16:49:05" u="1"/>
        <d v="2025-10-17T16:49:44" u="1"/>
        <d v="2025-10-17T10:25:34" u="1"/>
        <d v="2025-10-17T10:35:05" u="1"/>
        <d v="2025-10-16T11:55:44" u="1"/>
        <d v="2025-10-17T16:51:57" u="1"/>
        <d v="2025-10-16T16:09:19" u="1"/>
        <d v="2025-10-17T10:02:32" u="1"/>
        <d v="2025-10-17T11:02:22" u="1"/>
        <d v="2025-10-14T21:31:14" u="1"/>
        <d v="2025-10-17T16:24:48" u="1"/>
        <d v="2025-10-16T16:19:34" u="1"/>
        <d v="2025-10-16T14:16:17" u="1"/>
        <d v="2025-10-16T14:16:20" u="1"/>
        <d v="2025-10-16T18:02:03" u="1"/>
        <d v="2025-10-17T15:02:17" u="1"/>
        <d v="2025-10-17T12:03:47" u="1"/>
        <d v="2025-10-16T16:40:35" u="1"/>
        <d v="2025-10-17T16:35:49" u="1"/>
        <d v="2025-10-17T16:37:35" u="1"/>
        <d v="2025-10-15T16:23:02" u="1"/>
        <d v="2025-10-17T17:15:45" u="1"/>
        <d v="2025-10-17T16:07:39" u="1"/>
        <d v="2025-10-14T15:10:49" u="1"/>
        <d v="2025-10-14T21:50:41" u="1"/>
        <d v="2025-10-17T16:44:57" u="1"/>
        <d v="2025-10-17T16:25:36" u="1"/>
        <d v="2025-10-15T16:47:26" u="1"/>
        <d v="2025-10-17T16:35:34" u="1"/>
        <d v="2025-10-14T17:45:01" u="1"/>
        <d v="2025-10-17T16:09:55" u="1"/>
        <d v="2025-10-17T10:03:02" u="1"/>
        <d v="2025-10-16T10:13:46" u="1"/>
        <d v="2025-10-16T10:13:47" u="1"/>
        <d v="2025-10-17T16:30:02" u="1"/>
        <d v="2025-10-17T16:30:26" u="1"/>
        <d v="2025-10-17T10:09:54" u="1"/>
        <d v="2025-10-17T10:10:13" u="1"/>
        <d v="2025-10-16T22:17:02" u="1"/>
        <d v="2025-10-17T11:20:51" u="1"/>
        <d v="2025-10-17T13:12:05" u="1"/>
        <d v="2025-10-17T11:01:30" u="1"/>
        <d v="2025-10-17T16:24:22" u="1"/>
        <d v="2025-10-16T15:46:11" u="1"/>
        <d v="2025-10-15T12:24:38" u="1"/>
        <d v="2025-10-16T17:34:46" u="1"/>
        <d v="2025-10-17T13:40:42" u="1"/>
        <d v="2025-10-16T13:08:29" u="1"/>
        <d v="2025-10-17T11:01:45" u="1"/>
        <d v="2025-10-16T13:40:29" u="1"/>
        <d v="2025-10-10T20:21:52" u="1"/>
        <d v="2025-10-17T14:17:08" u="1"/>
        <d v="2025-10-17T17:04:37" u="1"/>
        <d v="2025-10-16T22:10:40" u="1"/>
        <d v="2025-10-16T17:51:13" u="1"/>
        <d v="2025-10-15T11:04:39" u="1"/>
        <d v="2025-10-15T11:10:50" u="1"/>
        <d v="2025-10-17T15:56:25" u="1"/>
        <d v="2025-10-17T16:06:12" u="1"/>
        <d v="2025-10-17T06:20:53" u="1"/>
        <d v="2025-10-17T10:30:48" u="1"/>
        <d v="2025-10-15T16:51:07" u="1"/>
        <d v="2025-10-16T19:02:12" u="1"/>
        <d v="2025-10-15T17:42:03" u="1"/>
        <d v="2025-10-17T16:30:34" u="1"/>
        <d v="2025-10-17T22:47:00" u="1"/>
        <d v="2025-10-17T22:30:37" u="1"/>
        <d v="2025-10-17T22:12:52" u="1"/>
        <d v="2025-10-17T22:12:55" u="1"/>
        <d v="2025-10-17T22:12:58" u="1"/>
        <d v="2025-10-17T22:58:44" u="1"/>
        <d v="2025-10-17T22:39:12" u="1"/>
        <d v="2025-10-18T14:10:50" u="1"/>
        <d v="2025-10-17T18:02:25" u="1"/>
        <d v="2025-10-19T22:51:26" u="1"/>
        <d v="2025-10-19T22:51:29" u="1"/>
        <d v="2025-10-17T22:57:57" u="1"/>
        <d v="2025-10-18T20:43:56" u="1"/>
        <d v="2025-10-18T20:54:22" u="1"/>
        <d v="2025-10-17T22:37:27" u="1"/>
        <d v="2025-10-17T22:40:32" u="1"/>
        <d v="2025-10-17T22:41:26" u="1"/>
        <d v="2025-10-17T22:41:39" u="1"/>
        <d v="2025-10-18T13:50:47" u="1"/>
        <d v="2025-10-17T18:30:53" u="1"/>
        <d v="2025-10-18T09:11:50" u="1"/>
        <d v="2025-10-19T18:44:10" u="1"/>
        <d v="2025-10-19T12:41:10" u="1"/>
        <d v="2025-10-18T22:23:10" u="1"/>
        <d v="2025-10-17T19:41:12" u="1"/>
        <d v="2025-10-18T12:26:09" u="1"/>
        <d v="2025-10-16T16:28:58" u="1"/>
        <d v="2025-10-19T15:12:15" u="1"/>
        <d v="2025-10-18T17:26:22" u="1"/>
        <d v="2025-10-17T17:41:55" u="1"/>
        <d v="2025-10-17T18:16:26" u="1"/>
        <d v="2025-10-17T17:37:56" u="1"/>
        <d v="2025-10-17T17:23:54" u="1"/>
        <d v="2025-10-17T20:33:46" u="1"/>
        <d v="2025-10-18T17:51:50" u="1"/>
        <d v="2025-10-17T17:32:40" u="1"/>
        <d v="2025-10-18T09:07:47" u="1"/>
        <d v="2025-10-18T13:50:42" u="1"/>
        <d v="2025-10-17T22:58:29" u="1"/>
        <d v="2025-10-18T02:10:59" u="1"/>
        <d v="2025-10-18T14:10:45" u="1"/>
        <d v="2025-10-17T19:21:02" u="1"/>
        <d v="2025-10-17T19:18:42" u="1"/>
        <d v="2025-10-18T16:26:08" u="1"/>
        <d v="2025-10-18T16:26:09" u="1"/>
        <d v="2025-10-18T11:41:51" u="1"/>
        <d v="2025-10-19T11:55:47" u="1"/>
        <d v="2025-10-19T11:23:51" u="1"/>
        <d v="2025-10-17T17:19:56" u="1"/>
        <d v="2025-10-17T18:25:57" u="1"/>
        <d v="2025-10-17T22:56:14" u="1"/>
        <d v="2025-10-19T12:14:08" u="1"/>
        <d v="2025-10-18T00:50:24" u="1"/>
        <d v="2025-10-18T17:30:07" u="1"/>
        <d v="2025-10-18T18:02:14" u="1"/>
        <d v="2025-10-18T20:46:09" u="1"/>
        <d v="2025-10-18T23:21:07" u="1"/>
        <d v="2025-10-15T17:27:14" u="1"/>
        <d v="2025-10-17T19:19:43" u="1"/>
        <d v="2025-10-16T15:36:38" u="1"/>
        <d v="2025-10-17T00:11:07" u="1"/>
        <d v="2025-10-17T00:38:14" u="1"/>
        <d v="2025-10-16T18:58:06" u="1"/>
        <d v="2025-10-16T20:43:15" u="1"/>
        <d v="2025-10-16T20:44:06" u="1"/>
        <d v="2025-10-16T20:48:10" u="1"/>
        <d v="2025-10-16T14:40:26" u="1"/>
        <d v="2025-10-16T15:02:22" u="1"/>
        <d v="2025-10-16T15:03:19" u="1"/>
        <d v="2025-10-16T11:56:06" u="1"/>
        <d v="2025-10-16T11:24:15" u="1"/>
        <d v="2025-10-16T11:33:14" u="1"/>
        <d v="2025-10-16T11:35:07" u="1"/>
        <d v="2025-10-16T12:27:06" u="1"/>
        <d v="2025-10-16T12:28:07" u="1"/>
        <d v="2025-10-09T13:58:48" u="1"/>
        <d v="2025-10-09T14:04:41" u="1"/>
        <d v="2025-10-09T14:17:26" u="1"/>
        <d v="2025-10-08T10:08:36" u="1"/>
        <d v="2025-10-08T10:15:00" u="1"/>
        <d v="2025-10-02T12:01:06" u="1"/>
        <d v="2025-10-16T17:08:09" u="1"/>
        <d v="2025-10-15T16:51:10" u="1"/>
        <d v="2025-10-15T16:51:22" u="1"/>
        <d v="2025-10-09T18:03:33" u="1"/>
        <d v="2025-10-15T22:05:33" u="1"/>
        <d v="2025-10-16T16:49:12" u="1"/>
        <d v="2025-10-16T20:15:06" u="1"/>
        <d v="2025-10-16T08:13:46" u="1"/>
        <d v="2025-10-16T12:29:55" u="1"/>
        <d v="2025-10-16T12:35:51" u="1"/>
        <d v="2025-10-16T11:40:22" u="1"/>
        <d v="2025-10-16T15:46:12" u="1"/>
        <d v="2025-10-16T14:51:56" u="1"/>
        <d v="2025-10-16T14:51:58" u="1"/>
        <d v="2025-10-16T14:51:59" u="1"/>
        <d v="2025-10-16T21:47:49" u="1"/>
        <d v="2025-10-16T18:58:13" u="1"/>
        <d v="2025-10-16T19:13:51" u="1"/>
        <d v="2025-10-16T19:34:00" u="1"/>
        <d v="2025-10-16T16:36:05" u="1"/>
        <d v="2025-10-16T16:22:12" u="1"/>
        <d v="2025-10-16T16:28:01" u="1"/>
        <d v="2025-10-16T16:28:16" u="1"/>
        <d v="2025-10-16T16:30:01" u="1"/>
        <d v="2025-10-16T20:39:46" u="1"/>
        <d v="2025-10-16T20:41:46" u="1"/>
        <d v="2025-10-16T20:51:46" u="1"/>
        <d v="2025-10-16T20:55:46" u="1"/>
        <d v="2025-10-16T20:59:45" u="1"/>
        <d v="2025-10-16T17:35:27" u="1"/>
        <d v="2025-10-16T17:47:53" u="1"/>
        <d v="2025-10-16T17:08:00" u="1"/>
        <d v="2025-10-16T17:03:59" u="1"/>
        <d v="2025-10-16T21:50:53" u="1"/>
        <d v="2025-10-17T03:55:31" u="1"/>
        <d v="2025-10-16T15:45:32" u="1"/>
        <d v="2025-10-15T15:25:36" u="1"/>
        <d v="2025-10-08T14:27:18" u="1"/>
        <d v="2025-10-03T12:15:22" u="1"/>
        <d v="2025-10-15T09:24:03" u="1"/>
        <d v="2025-10-16T17:51:36" u="1"/>
        <d v="2025-10-16T17:01:09" u="1"/>
        <d v="2025-10-15T16:31:31" u="1"/>
        <d v="2025-10-16T09:55:01" u="1"/>
        <d v="2025-10-16T20:13:53" u="1"/>
        <d v="2025-10-16T20:14:08" u="1"/>
        <d v="2025-10-16T20:11:50" u="1"/>
        <d v="2025-10-16T20:12:07" u="1"/>
        <d v="2025-10-16T18:50:54" u="1"/>
        <d v="2025-10-16T16:21:16" u="1"/>
        <d v="2025-10-16T16:21:22" u="1"/>
        <d v="2025-10-16T16:21:40" u="1"/>
        <d v="2025-10-16T18:20:42" u="1"/>
        <d v="2025-10-16T18:31:45" u="1"/>
        <d v="2025-10-16T21:03:49" u="1"/>
        <d v="2025-10-16T14:18:21" u="1"/>
        <d v="2025-10-16T11:38:04" u="1"/>
        <d v="2025-10-16T16:04:42" u="1"/>
        <d v="2025-10-16T18:01:57" u="1"/>
        <d v="2025-10-16T20:02:24" u="1"/>
        <d v="2025-10-15T16:07:42" u="1"/>
        <d v="2025-10-16T16:17:45" u="1"/>
        <d v="2025-10-16T16:18:25" u="1"/>
        <d v="2025-10-16T16:03:54" u="1"/>
        <d v="2025-10-16T14:13:54" u="1"/>
        <d v="2025-10-16T14:16:21" u="1"/>
        <d v="2025-10-16T16:38:02" u="1"/>
        <d v="2025-10-16T16:45:13" u="1"/>
        <d v="2025-10-01T17:35:55" u="1"/>
        <d v="2025-09-08T11:56:36" u="1"/>
        <d v="2025-10-16T18:48:03" u="1"/>
        <d v="2025-10-06T17:47:15" u="1"/>
        <d v="2025-10-16T22:13:36" u="1"/>
        <d v="2025-10-14T15:24:27" u="1"/>
        <d v="2025-10-15T21:50:02" u="1"/>
        <d v="2025-10-15T22:21:03" u="1"/>
        <d v="2025-10-15T22:21:27" u="1"/>
        <d v="2025-10-16T22:36:28" u="1"/>
        <d v="2025-10-16T22:36:31" u="1"/>
        <d v="2025-10-16T17:04:19" u="1"/>
        <d v="2025-10-16T20:11:33" u="1"/>
        <d v="2025-10-16T20:13:35" u="1"/>
        <d v="2025-10-10T10:08:32" u="1"/>
        <d v="2025-10-16T22:24:47" u="1"/>
        <d v="2025-10-16T21:55:24" u="1"/>
        <d v="2025-10-16T21:55:31" u="1"/>
        <d v="2025-10-16T21:55:47" u="1"/>
        <d v="2025-10-16T21:55:54" u="1"/>
        <d v="2025-10-16T21:56:01" u="1"/>
        <d v="2025-10-16T21:56:04" u="1"/>
        <d v="2025-10-16T21:56:13" u="1"/>
        <d v="2025-10-15T15:41:47" u="1"/>
        <d v="2025-10-15T16:15:40" u="1"/>
        <d v="2025-10-15T16:19:27" u="1"/>
        <d v="2025-10-15T21:56:09" u="1"/>
        <d v="2025-10-16T09:50:39" u="1"/>
        <d v="2025-10-16T09:50:42" u="1"/>
        <d v="2025-10-16T22:17:17" u="1"/>
        <d v="2025-10-16T16:30:08" u="1"/>
        <d v="2025-10-15T11:25:53" u="1"/>
        <d v="2025-10-15T14:16:01" u="1"/>
        <d v="2025-10-15T14:18:03" u="1"/>
        <d v="2025-10-15T14:18:27" u="1"/>
        <d v="2025-10-14T20:30:15" u="1"/>
        <d v="2025-10-14T21:11:22" u="1"/>
        <d v="2025-10-14T14:52:07" u="1"/>
        <d v="2025-10-14T07:14:14" u="1"/>
        <d v="2025-10-15T09:01:12" u="1"/>
        <d v="2025-10-15T10:14:24" u="1"/>
        <d v="2025-10-15T21:47:13" u="1"/>
        <d v="2025-10-15T22:02:11" u="1"/>
        <d v="2025-10-15T23:23:10" u="1"/>
        <d v="2025-10-15T23:24:10" u="1"/>
        <d v="2025-10-16T01:56:23" u="1"/>
        <d v="2025-10-15T20:34:07" u="1"/>
        <d v="2025-10-15T10:04:16" u="1"/>
        <d v="2025-10-15T17:05:15" u="1"/>
        <d v="2025-10-15T17:09:19" u="1"/>
        <d v="2025-10-15T17:14:31" u="1"/>
        <d v="2025-10-15T17:19:15" u="1"/>
        <d v="2025-10-13T09:31:08" u="1"/>
        <d v="2025-10-08T11:46:14" u="1"/>
        <d v="2025-10-15T20:41:44" u="1"/>
        <d v="2025-10-15T20:41:46" u="1"/>
        <d v="2025-10-15T19:26:05" u="1"/>
        <d v="2025-10-15T19:26:06" u="1"/>
        <d v="2025-10-15T19:27:53" u="1"/>
        <d v="2025-10-15T19:38:32" u="1"/>
        <d v="2025-10-15T17:45:55" u="1"/>
        <d v="2025-10-07T15:21:20" u="1"/>
        <d v="2025-10-07T15:21:26" u="1"/>
        <d v="2025-10-08T19:31:21" u="1"/>
        <d v="2025-10-08T10:51:25" u="1"/>
        <d v="2025-10-10T18:31:48" u="1"/>
        <d v="2025-10-10T13:41:25" u="1"/>
        <d v="2025-09-18T20:18:41" u="1"/>
        <d v="2025-09-17T12:32:48" u="1"/>
        <d v="2025-10-07T20:47:22" u="1"/>
        <d v="2025-10-15T17:38:35" u="1"/>
        <d v="2025-10-08T17:00:24" u="1"/>
        <d v="2025-10-08T17:00:29" u="1"/>
        <d v="2025-10-08T17:17:54" u="1"/>
        <d v="2025-10-08T16:26:32" u="1"/>
        <d v="2025-10-08T16:36:28" u="1"/>
        <d v="2025-10-08T16:46:47" u="1"/>
        <d v="2025-10-08T16:46:51" u="1"/>
        <d v="2025-10-13T10:07:44" u="1"/>
        <d v="2025-10-10T15:51:29" u="1"/>
        <d v="2025-10-10T14:21:00" u="1"/>
        <d v="2025-10-08T17:51:05" u="1"/>
        <d v="2025-10-03T16:51:48" u="1"/>
        <d v="2025-09-22T16:45:24" u="1"/>
        <d v="2025-10-15T22:47:22" u="1"/>
        <d v="2025-10-07T16:11:09" u="1"/>
        <d v="2025-10-07T16:11:19" u="1"/>
        <d v="2025-10-07T16:11:29" u="1"/>
        <d v="2025-10-15T17:41:37" u="1"/>
        <d v="2025-10-15T17:41:46" u="1"/>
        <d v="2025-10-15T17:41:55" u="1"/>
        <d v="2025-10-15T17:42:11" u="1"/>
        <d v="2025-10-15T17:42:20" u="1"/>
        <d v="2025-10-15T17:42:32" u="1"/>
        <d v="2025-10-15T17:42:41" u="1"/>
        <d v="2025-10-13T19:18:22" u="1"/>
        <d v="2025-10-15T11:28:52" u="1"/>
        <d v="2025-10-03T18:55:41" u="1"/>
        <d v="2025-10-15T12:39:08" u="1"/>
        <d v="2025-10-13T18:48:15" u="1"/>
        <d v="2025-10-15T17:02:00" u="1"/>
        <d v="2025-10-10T18:28:02" u="1"/>
        <d v="2025-10-08T11:07:02" u="1"/>
        <d v="2025-10-13T10:28:24" u="1"/>
        <d v="2025-10-10T16:06:53" u="1"/>
        <d v="2025-10-10T17:21:34" u="1"/>
        <d v="2025-10-10T17:21:43" u="1"/>
        <d v="2025-10-14T16:48:59" u="1"/>
        <d v="2025-10-15T16:51:39" u="1"/>
        <d v="2025-10-15T16:51:53" u="1"/>
        <d v="2025-10-15T18:49:49" u="1"/>
        <d v="2025-10-09T19:01:43" u="1"/>
        <d v="2025-10-10T18:17:22" u="1"/>
        <d v="2025-10-15T18:49:29" u="1"/>
        <d v="2025-10-09T15:01:21" u="1"/>
        <d v="2025-10-07T15:40:46" u="1"/>
        <d v="2025-10-08T18:01:03" u="1"/>
        <d v="2025-09-19T16:06:14" u="1"/>
        <d v="2025-10-15T15:21:41" u="1"/>
        <d v="2025-10-15T18:50:40" u="1"/>
        <d v="2025-10-15T18:01:11" u="1"/>
        <d v="2025-10-14T15:31:25" u="1"/>
        <d v="2025-10-15T18:54:20" u="1"/>
        <d v="2025-10-15T15:41:51" u="1"/>
        <d v="2025-10-15T12:39:34" u="1"/>
        <d v="2025-10-15T13:31:38" u="1"/>
        <d v="2025-10-15T13:31:54" u="1"/>
        <d v="2025-10-09T08:50:22" u="1"/>
        <d v="2025-10-06T12:40:55" u="1"/>
        <d v="2025-10-06T12:01:10" u="1"/>
        <d v="2025-10-06T12:40:45" u="1"/>
        <d v="2025-10-09T17:11:20" u="1"/>
        <d v="2025-10-13T19:10:38" u="1"/>
        <d v="2025-10-06T10:10:58" u="1"/>
        <d v="2025-09-22T12:22:00" u="1"/>
        <d v="2025-10-14T18:05:15" u="1"/>
        <d v="2025-10-15T14:38:38" u="1"/>
        <d v="2025-10-15T15:49:24" u="1"/>
        <d v="2025-10-15T18:51:37" u="1"/>
        <d v="2025-10-15T16:28:21" u="1"/>
        <d v="2025-10-14T08:27:28" u="1"/>
        <d v="2025-10-15T14:19:29" u="1"/>
        <d v="2025-09-24T16:08:26" u="1"/>
        <d v="2025-09-25T17:04:39" u="1"/>
        <d v="2025-09-25T17:04:40" u="1"/>
        <d v="2025-09-25T14:03:00" u="1"/>
        <d v="2025-10-03T18:03:31" u="1"/>
        <d v="2025-10-03T18:03:44" u="1"/>
        <d v="2025-10-03T18:03:45" u="1"/>
        <d v="2025-10-07T17:15:32" u="1"/>
        <d v="2025-10-07T17:15:58" u="1"/>
        <d v="2025-10-07T17:15:59" u="1"/>
        <d v="2025-10-07T14:36:50" u="1"/>
        <d v="2025-10-02T14:00:55" u="1"/>
        <d v="2025-10-02T14:00:58" u="1"/>
        <d v="2025-10-02T18:03:18" u="1"/>
        <d v="2025-10-03T17:04:09" u="1"/>
        <d v="2025-10-15T14:14:37" u="1"/>
        <d v="2025-10-15T00:07:05" u="1"/>
        <d v="2025-10-15T00:07:11" u="1"/>
        <d v="2025-10-08T07:53:24" u="1"/>
        <d v="2025-10-09T13:04:01" u="1"/>
        <d v="2025-10-09T18:01:17" u="1"/>
        <d v="2025-10-09T18:01:21" u="1"/>
        <d v="2025-10-10T10:02:38" u="1"/>
        <d v="2025-10-14T08:35:08" u="1"/>
        <d v="2025-10-14T08:35:41" u="1"/>
        <d v="2025-10-14T19:35:20" u="1"/>
        <d v="2025-10-07T18:36:24" u="1"/>
        <d v="2025-09-26T13:46:13" u="1"/>
        <d v="2025-09-15T15:17:22" u="1"/>
        <d v="2025-10-13T19:07:44" u="1"/>
        <d v="2025-10-14T21:38:57" u="1"/>
        <d v="2025-10-09T16:36:40" u="1"/>
        <d v="2025-10-13T10:25:15" u="1"/>
        <d v="2025-10-07T19:54:51" u="1"/>
        <d v="2025-10-08T16:58:37" u="1"/>
        <d v="2025-10-15T16:42:54" u="1"/>
        <d v="2025-10-15T16:43:11" u="1"/>
        <d v="2025-10-10T01:42:04" u="1"/>
        <d v="2025-10-09T20:32:23" u="1"/>
        <d v="2025-10-09T20:32:51" u="1"/>
        <d v="2025-10-09T20:33:19" u="1"/>
        <d v="2025-10-09T20:33:30" u="1"/>
        <d v="2025-10-15T22:18:21" u="1"/>
        <d v="2025-10-15T22:18:27" u="1"/>
        <d v="2025-10-15T22:19:09" u="1"/>
        <d v="2025-10-15T22:19:49" u="1"/>
        <d v="2025-10-15T22:19:57" u="1"/>
        <d v="2025-10-13T15:36:57" u="1"/>
        <d v="2025-10-13T15:37:36" u="1"/>
        <d v="2025-10-08T13:39:53" u="1"/>
        <d v="2025-10-08T13:40:37" u="1"/>
        <d v="2025-10-08T13:40:52" u="1"/>
        <d v="2025-10-08T20:12:24" u="1"/>
        <d v="2025-10-08T20:13:53" u="1"/>
        <d v="2025-10-09T01:24:35" u="1"/>
        <d v="2025-10-14T22:03:10" u="1"/>
        <d v="2025-10-09T08:31:48" u="1"/>
        <d v="2025-10-13T08:41:18" u="1"/>
        <d v="2025-10-14T21:32:45" u="1"/>
        <d v="2025-10-14T13:34:40" u="1"/>
        <d v="2025-10-14T22:14:16" u="1"/>
        <d v="2025-10-14T11:45:10" u="1"/>
        <d v="2025-10-14T22:06:32" u="1"/>
        <d v="2025-10-14T15:53:19" u="1"/>
        <d v="2025-10-14T22:06:42" u="1"/>
        <d v="2025-10-13T16:18:20" u="1"/>
        <d v="2025-10-14T19:11:13" u="1"/>
        <d v="2025-10-14T15:37:47" u="1"/>
        <d v="2025-10-10T20:32:51" u="1"/>
        <d v="2025-10-03T23:49:54" u="1"/>
        <d v="2025-10-03T23:49:58" u="1"/>
        <d v="2025-10-10T12:04:51" u="1"/>
        <d v="2025-10-14T11:33:48" u="1"/>
        <d v="2025-10-14T11:55:57" u="1"/>
        <d v="2025-10-14T12:18:20" u="1"/>
        <d v="2025-10-14T10:29:48" u="1"/>
        <d v="2025-10-14T10:34:03" u="1"/>
        <d v="2025-10-14T10:34:18" u="1"/>
        <d v="2025-10-14T10:37:51" u="1"/>
        <d v="2025-10-14T10:46:15" u="1"/>
        <d v="2025-10-14T15:58:04" u="1"/>
        <d v="2025-10-14T15:38:11" u="1"/>
        <d v="2025-10-14T12:27:51" u="1"/>
        <d v="2025-10-14T12:41:48" u="1"/>
        <d v="2025-10-14T13:44:57" u="1"/>
        <d v="2025-10-14T18:23:53" u="1"/>
        <d v="2025-10-14T18:31:49" u="1"/>
        <d v="2025-10-14T18:31:50" u="1"/>
        <d v="2025-10-14T16:52:21" u="1"/>
        <d v="2025-10-14T16:52:43" u="1"/>
        <d v="2025-10-14T17:00:59" u="1"/>
        <d v="2025-10-14T17:02:40" u="1"/>
        <d v="2025-10-14T17:13:03" u="1"/>
        <d v="2025-09-02T19:28:23" u="1"/>
        <d v="2025-09-02T19:28:24" u="1"/>
        <d v="2025-09-02T19:28:28" u="1"/>
        <d v="2025-09-02T19:28:29" u="1"/>
        <d v="2025-09-17T12:11:18" u="1"/>
        <d v="2025-10-14T15:07:25" u="1"/>
        <d v="2025-10-14T15:08:56" u="1"/>
        <d v="2025-10-02T11:07:26" u="1"/>
        <d v="2025-09-17T18:19:32" u="1"/>
        <d v="2025-10-14T16:08:58" u="1"/>
        <d v="2025-10-14T15:41:00" u="1"/>
        <d v="2025-10-14T15:21:00" u="1"/>
        <d v="2025-10-14T15:21:48" u="1"/>
        <d v="2025-10-14T15:21:57" u="1"/>
        <d v="2025-10-14T15:22:06" u="1"/>
        <d v="2025-10-14T19:01:32" u="1"/>
        <d v="2025-10-13T19:18:14" u="1"/>
        <d v="2025-10-07T16:06:26" u="1"/>
        <d v="2025-10-07T16:06:34" u="1"/>
        <d v="2025-10-14T09:04:02" u="1"/>
        <d v="2025-10-14T15:26:56" u="1"/>
        <d v="2025-10-14T15:27:15" u="1"/>
        <d v="2025-10-14T15:27:18" u="1"/>
        <d v="2025-10-10T19:57:59" u="1"/>
        <d v="2025-10-14T15:47:47" u="1"/>
        <d v="2025-10-14T21:52:43" u="1"/>
        <d v="2025-10-14T19:32:49" u="1"/>
        <d v="2025-10-07T18:21:13" u="1"/>
        <d v="2025-10-14T16:50:42" u="1"/>
        <d v="2025-10-14T18:05:14" u="1"/>
        <d v="2025-10-06T19:01:34" u="1"/>
        <d v="2025-10-14T11:47:19" u="1"/>
        <d v="2025-10-14T17:37:27" u="1"/>
        <d v="2025-10-13T11:58:31" u="1"/>
        <d v="2025-10-14T19:33:09" u="1"/>
        <d v="2025-10-15T00:07:04" u="1"/>
        <d v="2025-10-15T00:07:06" u="1"/>
        <d v="2025-10-15T00:07:12" u="1"/>
        <d v="2025-10-09T17:03:57" u="1"/>
        <d v="2025-10-13T21:15:13" u="1"/>
        <d v="2025-10-14T15:23:40" u="1"/>
        <d v="2025-10-14T15:24:00" u="1"/>
        <d v="2025-10-14T15:24:10" u="1"/>
        <d v="2025-10-14T09:03:38" u="1"/>
        <d v="2025-10-10T16:02:51" u="1"/>
        <d v="2025-10-10T16:02:52" u="1"/>
        <d v="2025-10-14T08:36:47" u="1"/>
        <d v="2025-10-14T08:36:50" u="1"/>
        <d v="2025-10-15T00:06:30" u="1"/>
        <d v="2025-10-14T15:25:35" u="1"/>
        <d v="2025-10-14T21:31:33" u="1"/>
        <d v="2025-10-14T21:31:40" u="1"/>
        <d v="2025-10-14T21:31:51" u="1"/>
        <d v="2025-10-14T15:24:35" u="1"/>
        <d v="2025-10-14T19:31:02" u="1"/>
        <d v="2025-10-07T14:25:41" u="1"/>
        <d v="2025-10-14T22:03:36" u="1"/>
        <d v="2025-10-14T10:30:41" u="1"/>
        <d v="2025-10-08T18:26:45" u="1"/>
        <d v="2025-10-13T18:17:55" u="1"/>
        <d v="2025-10-14T21:47:20" u="1"/>
        <d v="2025-10-14T15:13:24" u="1"/>
        <d v="2025-10-14T15:13:34" u="1"/>
        <d v="2025-10-14T21:17:26" u="1"/>
        <d v="2025-10-14T21:36:08" u="1"/>
        <d v="2025-10-10T16:57:40" u="1"/>
        <d v="2025-10-13T14:45:40" u="1"/>
        <d v="2025-10-11T20:07:45" u="1"/>
        <d v="2025-10-13T10:27:09" u="1"/>
        <d v="2025-10-13T18:31:12" u="1"/>
        <d v="2025-10-13T20:53:06" u="1"/>
        <d v="2025-10-13T18:23:10" u="1"/>
        <d v="2025-10-13T18:38:08" u="1"/>
        <d v="2025-10-13T16:46:12" u="1"/>
        <d v="2025-10-13T13:21:08" u="1"/>
        <d v="2025-10-13T16:18:57" u="1"/>
        <d v="2025-10-10T17:48:18" u="1"/>
        <d v="2025-10-03T17:56:23" u="1"/>
        <d v="2025-09-26T18:09:06" u="1"/>
        <d v="2025-09-26T18:09:52" u="1"/>
        <d v="2025-10-13T21:46:03" u="1"/>
        <d v="2025-09-16T19:18:54" u="1"/>
        <d v="2025-10-09T20:35:12" u="1"/>
        <d v="2025-10-10T21:01:30" u="1"/>
        <d v="2025-10-10T16:11:10" u="1"/>
        <d v="2025-10-13T19:58:14" u="1"/>
        <d v="2025-10-13T19:58:51" u="1"/>
        <d v="2025-10-13T17:01:41" u="1"/>
        <d v="2025-10-08T16:51:46" u="1"/>
        <d v="2025-10-08T17:11:44" u="1"/>
        <d v="2025-10-09T12:41:56" u="1"/>
        <d v="2025-10-13T10:39:45" u="1"/>
        <d v="2025-10-13T08:35:58" u="1"/>
        <d v="2025-10-13T08:40:17" u="1"/>
        <d v="2025-10-10T12:37:57" u="1"/>
        <d v="2025-10-10T12:42:22" u="1"/>
        <d v="2025-10-10T12:42:33" u="1"/>
        <d v="2025-10-10T12:51:54" u="1"/>
        <d v="2025-10-10T14:25:57" u="1"/>
        <d v="2025-10-10T20:01:58" u="1"/>
        <d v="2025-10-10T17:14:15" u="1"/>
        <d v="2025-10-11T16:43:46" u="1"/>
        <d v="2025-10-13T13:57:48" u="1"/>
        <d v="2025-10-13T13:59:47" u="1"/>
        <d v="2025-10-13T14:23:48" u="1"/>
        <d v="2025-10-13T11:38:21" u="1"/>
        <d v="2025-10-13T11:05:50" u="1"/>
        <d v="2025-10-13T16:50:39" u="1"/>
        <d v="2025-10-13T15:47:50" u="1"/>
        <d v="2025-10-13T15:51:49" u="1"/>
        <d v="2025-10-13T16:08:19" u="1"/>
        <d v="2025-10-13T18:41:48" u="1"/>
        <d v="2025-10-13T17:45:58" u="1"/>
        <d v="2025-10-13T17:04:12" u="1"/>
        <d v="2025-10-13T17:05:53" u="1"/>
        <d v="2025-10-13T17:07:50" u="1"/>
        <d v="2025-10-13T18:37:51" u="1"/>
        <d v="2025-10-13T16:32:27" u="1"/>
        <d v="2025-10-13T20:13:42" u="1"/>
        <d v="2025-10-10T17:13:43" u="1"/>
        <d v="2025-10-10T16:12:18" u="1"/>
        <d v="2025-10-13T20:52:03" u="1"/>
        <d v="2025-10-13T14:46:33" u="1"/>
        <d v="2025-10-13T14:46:41" u="1"/>
        <d v="2025-10-13T20:50:55" u="1"/>
        <d v="2025-10-13T14:47:20" u="1"/>
        <d v="2025-10-13T09:18:04" u="1"/>
        <d v="2025-10-13T16:37:32" u="1"/>
        <d v="2025-10-13T17:19:14" u="1"/>
        <d v="2025-10-13T14:47:32" u="1"/>
        <d v="2025-10-08T16:03:44" u="1"/>
        <d v="2025-10-10T11:31:18" u="1"/>
        <d v="2025-10-13T17:19:07" u="1"/>
        <d v="2025-10-13T21:19:24" u="1"/>
        <d v="2025-10-13T21:19:41" u="1"/>
        <d v="2025-10-13T21:19:50" u="1"/>
        <d v="2025-10-01T09:35:58" u="1"/>
        <d v="2025-10-10T20:53:59" u="1"/>
        <d v="2025-10-10T20:54:07" u="1"/>
        <d v="2025-10-14T01:16:07" u="1"/>
        <d v="2025-10-09T10:31:44" u="1"/>
        <d v="2025-10-09T10:30:47" u="1"/>
        <d v="2025-10-09T14:10:46" u="1"/>
        <d v="2025-10-07T15:31:21" u="1"/>
        <d v="2025-10-07T15:31:36" u="1"/>
        <d v="2025-10-07T16:10:38" u="1"/>
        <d v="2025-10-07T18:20:49" u="1"/>
        <d v="2025-10-07T18:20:53" u="1"/>
        <d v="2025-10-09T15:01:01" u="1"/>
        <d v="2025-10-09T18:40:46" u="1"/>
        <d v="2025-10-09T18:40:51" u="1"/>
        <d v="2025-10-09T17:01:20" u="1"/>
        <d v="2025-10-09T17:01:25" u="1"/>
        <d v="2025-10-10T15:10:46" u="1"/>
        <d v="2025-10-10T10:51:27" u="1"/>
        <d v="2025-10-10T17:31:48" u="1"/>
        <d v="2025-10-06T14:41:03" u="1"/>
        <d v="2025-10-13T19:10:42" u="1"/>
        <d v="2025-10-07T18:21:35" u="1"/>
        <d v="2025-10-07T16:20:40" u="1"/>
        <d v="2025-10-06T18:11:17" u="1"/>
        <d v="2025-10-06T16:50:31" u="1"/>
        <d v="2025-10-06T17:31:00" u="1"/>
        <d v="2025-10-08T18:02:55" u="1"/>
        <d v="2025-10-08T15:40:50" u="1"/>
        <d v="2025-10-08T15:41:02" u="1"/>
        <d v="2025-10-08T15:41:07" u="1"/>
        <d v="2025-10-07T13:00:47" u="1"/>
        <d v="2025-10-09T15:01:09" u="1"/>
        <d v="2025-10-10T15:10:56" u="1"/>
        <d v="2025-10-10T17:31:04" u="1"/>
        <d v="2025-10-10T17:31:19" u="1"/>
        <d v="2025-10-13T16:20:42" u="1"/>
        <d v="2025-10-13T18:30:23" u="1"/>
        <d v="2025-10-13T17:41:17" u="1"/>
        <d v="2025-10-13T17:41:34" u="1"/>
        <d v="2025-10-10T16:24:53" u="1"/>
        <d v="2025-10-13T16:25:02" u="1"/>
        <d v="2025-10-13T16:25:03" u="1"/>
        <d v="2025-10-13T12:07:19" u="1"/>
        <d v="2025-10-10T17:03:35" u="1"/>
        <d v="2025-10-13T11:01:48" u="1"/>
        <d v="2025-10-11T14:02:18" u="1"/>
        <d v="2025-10-12T11:01:49" u="1"/>
        <d v="2025-10-12T11:01:53" u="1"/>
        <d v="2025-10-07T07:15:00" u="1"/>
        <d v="2025-10-07T07:15:02" u="1"/>
        <d v="2025-10-07T07:15:49" u="1"/>
        <d v="2025-10-14T03:00:03" u="1"/>
        <d v="2025-10-13T15:05:00" u="1"/>
        <d v="2025-10-03T18:09:47" u="1"/>
        <d v="2025-10-13T21:24:58" u="1"/>
        <d v="2025-10-13T20:51:36" u="1"/>
        <d v="2025-10-13T20:51:39" u="1"/>
        <d v="2025-10-13T14:47:00" u="1"/>
        <d v="2025-10-13T15:05:39" u="1"/>
        <d v="2025-10-13T15:36:39" u="1"/>
        <d v="2025-10-13T15:36:42" u="1"/>
        <d v="2025-10-13T15:36:45" u="1"/>
        <d v="2025-10-13T15:36:48" u="1"/>
        <d v="2025-10-13T15:37:05" u="1"/>
        <d v="2025-10-13T15:37:23" u="1"/>
        <d v="2025-10-13T21:42:59" u="1"/>
        <d v="2025-10-13T21:43:20" u="1"/>
        <d v="2025-10-13T14:57:50" u="1"/>
        <d v="2025-09-29T19:05:12" u="1"/>
        <d v="2025-10-06T11:46:45" u="1"/>
        <d v="2025-10-06T13:15:55" u="1"/>
        <d v="2025-10-14T02:17:52" u="1"/>
        <d v="2025-10-09T11:46:27" u="1"/>
        <d v="2025-10-13T21:30:35" u="1"/>
        <d v="2025-10-13T15:18:55" u="1"/>
        <d v="2025-10-13T15:18:52" u="1"/>
        <d v="2025-10-13T14:50:42" u="1"/>
        <d v="2025-10-13T20:58:17" u="1"/>
        <d v="2025-10-13T20:58:49" u="1"/>
        <d v="2025-10-13T20:58:56" u="1"/>
        <d v="2025-10-13T20:59:11" u="1"/>
        <d v="2025-10-11T01:56:58" u="1"/>
        <d v="2025-10-13T21:21:06" u="1"/>
        <d v="2025-10-13T21:21:09" u="1"/>
        <d v="2025-10-13T21:23:23" u="1"/>
        <d v="2025-10-10T07:57:09" u="1"/>
        <d v="2025-10-10T08:38:17" u="1"/>
        <d v="2025-10-10T12:48:13" u="1"/>
        <d v="2025-10-10T12:49:14" u="1"/>
        <d v="2025-10-10T22:32:17" u="1"/>
        <d v="2025-10-11T11:02:14" u="1"/>
        <d v="2025-10-11T12:48:14" u="1"/>
        <d v="2025-10-11T13:28:14" u="1"/>
        <d v="2025-10-11T18:43:13" u="1"/>
        <d v="2025-10-11T19:45:11" u="1"/>
        <d v="2025-10-11T20:08:14" u="1"/>
        <d v="2025-10-11T23:15:08" u="1"/>
        <d v="2025-10-12T10:26:09" u="1"/>
        <d v="2025-10-12T11:00:13" u="1"/>
        <d v="2025-10-10T16:33:08" u="1"/>
        <d v="2025-10-12T21:01:07" u="1"/>
        <d v="2025-10-12T21:09:12" u="1"/>
        <d v="2025-10-12T22:26:22" u="1"/>
        <d v="2025-10-07T11:05:00" u="1"/>
        <d v="2025-10-09T10:15:32" u="1"/>
        <d v="2025-10-08T18:54:34" u="1"/>
        <d v="2025-10-07T18:04:36" u="1"/>
        <d v="2025-10-06T15:15:23" u="1"/>
        <d v="2025-10-06T12:05:09" u="1"/>
        <d v="2025-10-03T17:07:09" u="1"/>
        <d v="2025-10-10T11:17:11" u="1"/>
        <d v="2025-10-03T16:55:59" u="1"/>
        <d v="2025-10-03T18:40:52" u="1"/>
        <d v="2025-09-19T13:05:23" u="1"/>
        <d v="2025-10-09T14:11:47" u="1"/>
        <d v="2025-10-10T21:01:02" u="1"/>
        <d v="2025-10-10T21:01:17" u="1"/>
        <d v="2025-10-10T21:01:25" u="1"/>
        <d v="2025-10-10T14:23:02" u="1"/>
        <d v="2025-10-10T14:23:34" u="1"/>
        <d v="2025-09-16T19:18:30" u="1"/>
        <d v="2025-09-15T19:18:45" u="1"/>
        <d v="2025-09-15T19:19:15" u="1"/>
        <d v="2025-10-10T14:23:46" u="1"/>
        <d v="2025-10-10T14:24:30" u="1"/>
        <d v="2025-10-09T20:37:24" u="1"/>
        <d v="2025-10-10T17:19:13" u="1"/>
        <d v="2025-10-10T14:10:34" u="1"/>
        <d v="2025-10-11T02:05:45" u="1"/>
        <d v="2025-10-10T14:44:24" u="1"/>
        <d v="2025-10-11T14:09:51" u="1"/>
        <d v="2025-10-10T20:15:53" u="1"/>
        <d v="2025-10-10T19:57:55" u="1"/>
        <d v="2025-10-10T20:11:55" u="1"/>
        <d v="2025-10-11T13:31:46" u="1"/>
        <d v="2025-10-10T21:34:09" u="1"/>
        <d v="2025-10-10T21:34:10" u="1"/>
        <d v="2025-10-10T21:34:19" u="1"/>
        <d v="2025-10-10T21:34:20" u="1"/>
        <d v="2025-10-09T13:29:54" u="1"/>
        <d v="2025-10-09T13:37:55" u="1"/>
        <d v="2025-10-12T12:14:16" u="1"/>
        <d v="2025-10-12T12:14:17" u="1"/>
        <d v="2025-10-12T12:47:44" u="1"/>
        <d v="2025-10-12T12:51:45" u="1"/>
        <d v="2025-10-10T14:41:56" u="1"/>
        <d v="2025-10-10T16:38:07" u="1"/>
        <d v="2025-10-10T16:43:58" u="1"/>
        <d v="2025-10-10T16:45:57" u="1"/>
        <d v="2025-10-10T15:10:02" u="1"/>
        <d v="2025-10-10T18:06:00" u="1"/>
        <d v="2025-10-10T18:06:01" u="1"/>
        <d v="2025-10-10T17:26:05" u="1"/>
        <d v="2025-10-10T17:26:06" u="1"/>
        <d v="2025-10-10T16:06:41" u="1"/>
        <d v="2025-10-10T16:13:55" u="1"/>
        <d v="2025-10-09T17:00:14" u="1"/>
        <d v="2025-10-09T15:10:11" u="1"/>
        <d v="2025-10-09T10:59:51" u="1"/>
        <d v="2025-10-09T11:39:53" u="1"/>
        <d v="2025-10-09T19:59:51" u="1"/>
        <d v="2025-10-09T19:03:54" u="1"/>
        <d v="2025-10-09T19:03:55" u="1"/>
        <d v="2025-10-10T08:40:00" u="1"/>
        <d v="2025-10-10T10:03:51" u="1"/>
        <d v="2025-10-10T19:52:09" u="1"/>
        <d v="2025-10-08T00:55:19" u="1"/>
        <d v="2025-10-07T18:51:55" u="1"/>
        <d v="2025-10-08T20:15:32" u="1"/>
        <d v="2025-10-08T20:15:37" u="1"/>
        <d v="2025-10-06T12:27:42" u="1"/>
        <d v="2025-10-07T12:46:26" u="1"/>
        <d v="2025-10-07T12:47:20" u="1"/>
        <d v="2025-10-10T13:49:17" u="1"/>
        <d v="2025-10-08T19:33:18" u="1"/>
        <d v="2025-10-07T19:17:22" u="1"/>
        <d v="2025-10-07T19:17:25" u="1"/>
        <d v="2025-10-07T19:17:27" u="1"/>
        <d v="2025-10-10T12:47:08" u="1"/>
        <d v="2025-10-10T19:27:47" u="1"/>
        <d v="2025-10-09T16:56:37" u="1"/>
        <d v="2025-10-10T12:27:33" u="1"/>
        <d v="2025-10-08T17:00:59" u="1"/>
        <d v="2025-10-12T19:47:05" u="1"/>
        <d v="2025-10-10T13:59:34" u="1"/>
        <d v="2025-10-10T13:59:37" u="1"/>
        <d v="2025-10-10T14:00:03" u="1"/>
        <d v="2025-10-10T14:00:20" u="1"/>
        <d v="2025-10-12T20:32:49" u="1"/>
        <d v="2025-10-11T14:08:41" u="1"/>
        <d v="2025-10-10T00:04:40" u="1"/>
        <d v="2025-10-09T22:14:53" u="1"/>
        <d v="2025-10-10T19:28:01" u="1"/>
        <d v="2025-10-09T13:11:05" u="1"/>
        <d v="2025-10-10T17:30:49" u="1"/>
        <d v="2025-10-10T17:30:59" u="1"/>
        <d v="2025-10-08T15:40:54" u="1"/>
        <d v="2025-10-10T18:20:37" u="1"/>
        <d v="2025-10-10T10:51:14" u="1"/>
        <d v="2025-10-07T16:20:45" u="1"/>
        <d v="2025-10-07T00:50:59" u="1"/>
        <d v="2025-10-10T17:19:49" u="1"/>
        <d v="2025-10-03T17:34:43" u="1"/>
        <d v="2025-10-08T17:25:13" u="1"/>
        <d v="2025-10-10T20:39:21" u="1"/>
        <d v="2025-10-05T18:12:20" u="1"/>
        <d v="2025-10-06T00:16:35" u="1"/>
        <d v="2025-10-10T07:41:37" u="1"/>
        <d v="2025-10-07T07:12:31" u="1"/>
        <d v="2025-10-07T14:36:17" u="1"/>
        <d v="2025-10-07T07:11:26" u="1"/>
        <d v="2025-10-10T20:25:59" u="1"/>
        <d v="2025-10-10T20:26:19" u="1"/>
        <d v="2025-10-10T10:57:57" u="1"/>
        <d v="2025-10-10T13:58:15" u="1"/>
        <d v="2025-10-10T20:33:32" u="1"/>
        <d v="2025-10-03T23:59:32" u="1"/>
        <d v="2025-10-03T23:59:41" u="1"/>
        <d v="2025-10-10T14:11:55" u="1"/>
        <d v="2025-10-10T19:51:00" u="1"/>
        <d v="2025-10-10T20:57:47" u="1"/>
        <d v="2025-10-01T17:17:51" u="1"/>
        <d v="2025-10-10T20:15:42" u="1"/>
        <d v="2025-10-09T13:58:20" u="1"/>
        <d v="2025-09-26T15:55:45" u="1"/>
        <d v="2025-09-30T17:12:40" u="1"/>
        <d v="2025-10-03T23:39:50" u="1"/>
        <d v="2025-10-03T23:40:09" u="1"/>
        <d v="2025-10-07T12:50:07" u="1"/>
        <d v="2025-10-10T19:55:07" u="1"/>
        <d v="2025-10-10T19:55:36" u="1"/>
        <d v="2025-10-10T19:55:39" u="1"/>
        <d v="2025-10-11T01:56:39" u="1"/>
        <d v="2025-10-11T01:56:42" u="1"/>
        <d v="2025-10-11T01:56:44" u="1"/>
        <d v="2025-10-11T01:56:55" u="1"/>
        <d v="2025-10-10T19:55:44" u="1"/>
        <d v="2025-10-10T14:04:38" u="1"/>
        <d v="2025-10-10T20:19:57" u="1"/>
        <d v="2025-10-10T20:20:45" u="1"/>
        <d v="2025-10-10T20:23:32" u="1"/>
        <d v="2025-10-09T20:07:38" u="1"/>
        <d v="2025-10-10T01:39:32" u="1"/>
        <d v="2025-10-03T18:02:57" u="1"/>
        <d v="2025-10-08T11:01:43" u="1"/>
        <d v="2025-10-08T14:31:25" u="1"/>
        <d v="2025-10-09T18:03:10" u="1"/>
        <d v="2025-10-09T09:53:11" u="1"/>
        <d v="2025-10-09T11:35:40" u="1"/>
        <d v="2025-10-09T11:28:32" u="1"/>
        <d v="2025-10-09T12:16:19" u="1"/>
        <d v="2025-10-09T21:44:08" u="1"/>
        <d v="2025-10-09T16:10:22" u="1"/>
        <d v="2025-10-09T13:36:23" u="1"/>
        <d v="2025-10-09T13:46:49" u="1"/>
        <d v="2025-09-27T16:12:21" u="1"/>
        <d v="2025-10-09T11:51:22" u="1"/>
        <d v="2025-10-09T11:41:33" u="1"/>
        <d v="2025-10-09T20:09:59" u="1"/>
        <d v="2025-10-06T10:01:45" u="1"/>
        <d v="2025-10-08T11:26:13" u="1"/>
        <d v="2025-10-09T10:38:13" u="1"/>
        <d v="2025-10-09T19:37:54" u="1"/>
        <d v="2025-10-09T18:07:55" u="1"/>
        <d v="2025-10-09T11:29:53" u="1"/>
        <d v="2025-10-09T14:43:55" u="1"/>
        <d v="2025-10-09T17:06:04" u="1"/>
        <d v="2025-10-09T14:41:34" u="1"/>
        <d v="2025-10-09T20:06:22" u="1"/>
        <d v="2025-10-09T20:09:50" u="1"/>
        <d v="2025-10-07T19:23:28" u="1"/>
        <d v="2025-10-07T07:15:48" u="1"/>
        <d v="2025-10-07T07:13:22" u="1"/>
        <d v="2025-10-02T14:01:00" u="1"/>
        <d v="2025-10-09T19:03:03" u="1"/>
        <d v="2025-10-09T19:03:04" u="1"/>
        <d v="2025-10-09T19:03:05" u="1"/>
        <d v="2025-10-09T19:03:02" u="1"/>
        <d v="2025-10-09T20:01:16" u="1"/>
        <d v="2025-10-09T13:45:19" u="1"/>
        <d v="2025-10-09T13:45:29" u="1"/>
        <d v="2025-10-10T01:38:55" u="1"/>
        <d v="2025-10-09T19:33:39" u="1"/>
        <d v="2025-10-03T17:01:26" u="1"/>
        <d v="2025-10-07T08:51:15" u="1"/>
        <d v="2025-10-03T09:21:17" u="1"/>
        <d v="2025-10-08T16:25:46" u="1"/>
        <d v="2025-10-08T16:14:38" u="1"/>
        <d v="2025-10-07T16:31:12" u="1"/>
        <d v="2025-10-03T14:32:49" u="1"/>
        <d v="2025-10-09T14:36:56" u="1"/>
        <d v="2025-10-09T19:47:34" u="1"/>
        <d v="2025-10-09T14:11:44" u="1"/>
        <d v="2025-10-09T20:35:24" u="1"/>
        <d v="2025-10-09T20:35:58" u="1"/>
        <d v="2025-10-09T20:36:46" u="1"/>
        <d v="2025-10-08T08:44:19" u="1"/>
        <d v="2025-10-07T20:24:08" u="1"/>
        <d v="2025-10-07T10:54:50" u="1"/>
        <d v="2025-10-08T16:45:51" u="1"/>
        <d v="2025-10-08T16:45:53" u="1"/>
        <d v="2025-10-09T17:07:49" u="1"/>
        <d v="2025-10-09T20:08:12" u="1"/>
        <d v="2025-10-08T17:25:49" u="1"/>
        <d v="2025-10-08T16:06:12" u="1"/>
        <d v="2025-10-08T15:36:24" u="1"/>
        <d v="2025-10-07T17:26:32" u="1"/>
        <d v="2025-10-09T19:58:06" u="1"/>
        <d v="2025-10-09T13:44:29" u="1"/>
        <d v="2025-10-07T14:36:48" u="1"/>
        <d v="2025-10-08T17:11:51" u="1"/>
        <d v="2025-10-08T17:12:38" u="1"/>
        <d v="2025-10-09T13:09:07" u="1"/>
        <d v="2025-09-16T10:01:31" u="1"/>
        <d v="2025-10-07T07:16:03" u="1"/>
        <d v="2025-10-07T14:37:55" u="1"/>
        <d v="2025-10-09T17:11:04" u="1"/>
        <d v="2025-10-06T17:21:09" u="1"/>
        <d v="2025-10-09T18:10:54" u="1"/>
        <d v="2025-10-09T18:30:50" u="1"/>
        <d v="2025-10-09T20:16:59" u="1"/>
        <d v="2025-10-09T20:17:07" u="1"/>
        <d v="2025-10-09T20:17:14" u="1"/>
        <d v="2025-09-22T17:52:17" u="1"/>
        <d v="2025-10-09T09:34:57" u="1"/>
        <d v="2025-10-07T12:55:03" u="1"/>
        <d v="2025-10-09T15:35:06" u="1"/>
        <d v="2025-10-08T17:55:09" u="1"/>
        <d v="2025-10-09T19:31:35" u="1"/>
        <d v="2025-10-09T20:05:37" u="1"/>
        <d v="2025-10-09T13:51:25" u="1"/>
        <d v="2025-10-08T13:24:46" u="1"/>
        <d v="2025-10-09T14:08:55" u="1"/>
        <d v="2025-10-09T20:32:13" u="1"/>
        <d v="2025-10-09T20:34:01" u="1"/>
        <d v="2025-10-03T11:06:38" u="1"/>
        <d v="2025-10-01T23:25:00" u="1"/>
        <d v="2025-10-09T09:54:28" u="1"/>
        <d v="2025-10-09T09:25:31" u="1"/>
        <d v="2025-10-09T12:25:15" u="1"/>
        <d v="2025-10-09T18:14:50" u="1"/>
        <d v="2025-10-08T11:17:17" u="1"/>
        <d v="2025-10-08T18:34:23" u="1"/>
        <d v="2025-10-08T18:34:24" u="1"/>
        <d v="2025-10-08T18:24:24" u="1"/>
        <d v="2025-10-09T17:57:13" u="1"/>
        <d v="2025-10-10T01:36:35" u="1"/>
        <d v="2025-10-08T15:57:14" u="1"/>
        <d v="2025-10-08T17:03:18" u="1"/>
        <d v="2025-10-08T17:05:20" u="1"/>
        <d v="2025-10-08T14:48:09" u="1"/>
        <d v="2025-10-08T14:50:11" u="1"/>
        <d v="2025-10-08T18:03:12" u="1"/>
        <d v="2025-10-08T17:21:14" u="1"/>
        <d v="2025-10-08T12:47:08" u="1"/>
        <d v="2025-10-08T14:51:12" u="1"/>
        <d v="2025-10-08T15:10:15" u="1"/>
        <d v="2025-10-08T21:12:15" u="1"/>
        <d v="2025-10-08T21:13:15" u="1"/>
        <d v="2025-10-08T15:58:05" u="1"/>
        <d v="2025-10-08T21:15:54" u="1"/>
        <d v="2025-10-08T20:16:44" u="1"/>
        <d v="2025-10-08T20:16:18" u="1"/>
        <d v="2025-10-08T20:18:22" u="1"/>
        <d v="2025-10-08T14:13:56" u="1"/>
        <d v="2025-10-08T22:05:44" u="1"/>
        <d v="2025-10-08T14:21:52" u="1"/>
        <d v="2025-10-08T14:24:10" u="1"/>
        <d v="2025-10-08T13:02:29" u="1"/>
        <d v="2025-10-08T13:05:48" u="1"/>
        <d v="2025-10-08T13:41:50" u="1"/>
        <d v="2025-10-08T13:49:46" u="1"/>
        <d v="2025-10-08T13:50:04" u="1"/>
        <d v="2025-10-08T13:27:47" u="1"/>
        <d v="2025-10-08T13:31:44" u="1"/>
        <d v="2025-10-08T14:08:46" u="1"/>
        <d v="2025-10-08T14:50:24" u="1"/>
        <d v="2025-10-08T18:14:25" u="1"/>
        <d v="2025-10-08T18:15:55" u="1"/>
        <d v="2025-10-08T18:29:55" u="1"/>
        <d v="2025-10-08T18:30:08" u="1"/>
        <d v="2025-10-08T18:23:54" u="1"/>
        <d v="2025-10-08T19:15:53" u="1"/>
        <d v="2025-10-08T19:16:14" u="1"/>
        <d v="2025-10-08T18:36:25" u="1"/>
        <d v="2025-10-08T18:43:53" u="1"/>
        <d v="2025-10-08T18:49:54" u="1"/>
        <d v="2025-10-08T18:53:54" u="1"/>
        <d v="2025-10-08T18:57:58" u="1"/>
        <d v="2025-10-08T19:01:55" u="1"/>
        <d v="2025-10-08T19:07:58" u="1"/>
        <d v="2025-10-08T19:08:09" u="1"/>
        <d v="2025-10-08T19:13:55" u="1"/>
        <d v="2025-10-08T11:47:53" u="1"/>
        <d v="2025-10-08T12:12:00" u="1"/>
        <d v="2025-10-08T16:06:02" u="1"/>
        <d v="2025-10-08T13:13:48" u="1"/>
        <d v="2025-10-08T16:09:38" u="1"/>
        <d v="2025-10-07T19:49:44" u="1"/>
        <d v="2025-10-08T09:55:58" u="1"/>
        <d v="2025-10-08T11:15:52" u="1"/>
        <d v="2025-10-08T20:07:51" u="1"/>
        <d v="2025-10-08T20:01:04" u="1"/>
        <d v="2025-10-08T19:43:52" u="1"/>
        <d v="2025-10-08T12:43:44" u="1"/>
        <d v="2025-10-08T17:43:58" u="1"/>
        <d v="2025-10-08T12:49:51" u="1"/>
        <d v="2025-10-08T14:49:54" u="1"/>
        <d v="2025-10-08T16:35:03" u="1"/>
        <d v="2025-10-07T20:47:05" u="1"/>
        <d v="2025-10-08T13:22:57" u="1"/>
        <d v="2025-10-08T13:23:05" u="1"/>
        <d v="2025-10-08T13:23:17" u="1"/>
        <d v="2025-10-08T20:15:40" u="1"/>
        <d v="2025-10-07T07:16:02" u="1"/>
        <d v="2025-10-08T07:53:36" u="1"/>
        <d v="2025-10-07T19:19:00" u="1"/>
        <d v="2025-10-07T19:19:07" u="1"/>
        <d v="2025-10-08T13:35:12" u="1"/>
        <d v="2025-10-08T13:37:33" u="1"/>
        <d v="2025-10-07T19:44:18" u="1"/>
        <d v="2025-10-07T18:51:09" u="1"/>
        <d v="2025-10-07T18:51:34" u="1"/>
        <d v="2025-10-08T16:57:36" u="1"/>
        <d v="2025-10-06T09:45:54" u="1"/>
        <d v="2025-10-07T19:57:50" u="1"/>
        <d v="2025-10-08T20:17:04" u="1"/>
        <d v="2025-10-08T20:17:58" u="1"/>
        <d v="2025-10-07T12:59:07" u="1"/>
        <d v="2025-10-08T19:34:50" u="1"/>
        <d v="2025-10-08T19:35:31" u="1"/>
        <d v="2025-10-08T19:36:04" u="1"/>
        <d v="2025-10-08T13:20:42" u="1"/>
        <d v="2025-10-08T01:02:27" u="1"/>
        <d v="2025-10-08T19:55:04" u="1"/>
        <d v="2025-10-08T20:17:55" u="1"/>
        <d v="2025-10-06T17:50:51" u="1"/>
        <d v="2025-10-07T18:21:32" u="1"/>
        <d v="2025-10-08T18:02:50" u="1"/>
        <d v="2025-10-08T18:21:13" u="1"/>
        <d v="2025-10-08T15:16:24" u="1"/>
        <d v="2025-10-07T13:09:52" u="1"/>
        <d v="2025-10-08T13:30:30" u="1"/>
        <d v="2025-09-06T00:21:47" u="1"/>
        <d v="2025-10-07T12:46:14" u="1"/>
        <d v="2025-10-07T19:26:08" u="1"/>
        <d v="2025-10-07T19:28:21" u="1"/>
        <d v="2025-10-08T13:23:50" u="1"/>
        <d v="2025-10-08T13:24:40" u="1"/>
        <d v="2025-10-08T19:44:30" u="1"/>
        <d v="2025-10-08T19:45:23" u="1"/>
        <d v="2025-10-07T13:02:53" u="1"/>
        <d v="2025-10-07T13:18:11" u="1"/>
        <d v="2025-10-08T13:39:51" u="1"/>
        <d v="2025-10-08T13:40:29" u="1"/>
        <d v="2025-10-08T13:40:48" u="1"/>
        <d v="2025-10-08T13:40:55" u="1"/>
        <d v="2025-09-24T22:31:53" u="1"/>
        <d v="2025-10-07T19:54:20" u="1"/>
        <d v="2025-10-07T19:54:26" u="1"/>
        <d v="2025-10-08T20:11:50" u="1"/>
        <d v="2025-10-08T20:13:04" u="1"/>
        <d v="2025-10-09T01:24:48" u="1"/>
        <d v="2025-10-03T18:33:44" u="1"/>
        <d v="2025-10-03T18:33:48" u="1"/>
        <d v="2025-10-03T18:33:52" u="1"/>
        <d v="2025-09-25T22:46:21" u="1"/>
        <d v="2025-09-25T22:46:24" u="1"/>
        <d v="2025-09-25T22:46:29" u="1"/>
        <d v="2025-09-25T22:46:37" u="1"/>
        <d v="2025-09-25T22:46:41" u="1"/>
        <d v="2025-09-25T22:46:44" u="1"/>
        <d v="2025-09-25T22:46:32" u="1"/>
        <d v="2025-09-29T23:10:39" u="1"/>
        <d v="2025-09-29T23:10:55" u="1"/>
        <d v="2025-09-29T23:10:58" u="1"/>
        <d v="2025-09-29T23:11:03" u="1"/>
        <d v="2025-09-29T23:11:06" u="1"/>
        <d v="2025-09-29T23:11:11" u="1"/>
        <d v="2025-09-29T23:11:14" u="1"/>
        <d v="2025-09-29T23:11:23" u="1"/>
        <d v="2025-09-29T17:26:00" u="1"/>
        <d v="2025-09-29T17:26:04" u="1"/>
        <d v="2025-09-29T17:26:08" u="1"/>
        <d v="2025-09-29T17:26:12" u="1"/>
        <d v="2025-10-07T12:49:31" u="1"/>
        <d v="2025-10-07T12:49:42" u="1"/>
        <d v="2025-10-07T12:49:55" u="1"/>
        <d v="2025-10-07T12:49:58" u="1"/>
        <d v="2025-10-07T12:50:05" u="1"/>
        <d v="2025-10-07T12:49:12" u="1"/>
        <d v="2025-10-07T12:49:15" u="1"/>
        <d v="2025-10-07T12:49:18" u="1"/>
        <d v="2025-10-07T12:49:20" u="1"/>
        <d v="2025-10-07T12:50:09" u="1"/>
        <d v="2025-10-07T12:50:12" u="1"/>
        <d v="2025-10-07T12:50:15" u="1"/>
        <d v="2025-10-07T12:50:21" u="1"/>
        <d v="2025-10-07T12:50:23" u="1"/>
        <d v="2025-10-07T12:50:26" u="1"/>
        <d v="2025-10-07T12:50:28" u="1"/>
        <d v="2025-10-08T19:21:37" u="1"/>
        <d v="2025-10-08T19:21:44" u="1"/>
        <d v="2025-10-09T01:17:35" u="1"/>
        <d v="2025-10-09T01:17:56" u="1"/>
        <d v="2025-10-07T18:59:35" u="1"/>
        <d v="2025-10-07T18:50:45" u="1"/>
        <d v="2025-10-07T17:12:15" u="1"/>
        <d v="2025-10-07T10:17:10" u="1"/>
        <d v="2025-10-07T21:18:10" u="1"/>
        <d v="2025-10-07T23:48:09" u="1"/>
        <d v="2025-10-07T18:20:06" u="1"/>
        <d v="2025-10-07T16:35:06" u="1"/>
        <d v="2025-10-06T16:57:25" u="1"/>
        <d v="2025-10-06T14:11:14" u="1"/>
        <d v="2025-10-07T20:48:48" u="1"/>
        <d v="2025-10-07T20:49:01" u="1"/>
        <d v="2025-09-18T10:16:45" u="1"/>
        <d v="2025-09-16T14:46:30" u="1"/>
        <d v="2025-10-07T20:50:40" u="1"/>
        <d v="2025-10-07T20:50:55" u="1"/>
        <d v="2025-10-07T20:48:43" u="1"/>
        <d v="2025-10-07T20:49:49" u="1"/>
        <d v="2025-10-01T18:41:21" u="1"/>
        <d v="2025-10-07T17:40:05" u="1"/>
        <d v="2025-10-07T18:05:54" u="1"/>
        <d v="2025-10-07T17:30:26" u="1"/>
        <d v="2025-10-07T17:30:30" u="1"/>
        <d v="2025-10-07T16:14:16" u="1"/>
        <d v="2025-10-07T19:59:45" u="1"/>
        <d v="2025-10-07T20:03:46" u="1"/>
        <d v="2025-10-07T16:53:51" u="1"/>
        <d v="2025-10-07T19:55:41" u="1"/>
        <d v="2025-10-07T19:08:17" u="1"/>
        <d v="2025-09-10T00:20:17" u="1"/>
        <d v="2025-10-06T15:56:19" u="1"/>
        <d v="2025-10-07T20:49:07" u="1"/>
        <d v="2025-10-07T17:16:37" u="1"/>
        <d v="2025-10-04T11:48:14" u="1"/>
        <d v="2025-10-07T19:42:40" u="1"/>
        <d v="2025-10-07T19:42:58" u="1"/>
        <d v="2025-10-07T18:52:08" u="1"/>
        <d v="2025-10-06T18:33:28" u="1"/>
        <d v="2025-10-06T17:31:47" u="1"/>
        <d v="2025-10-06T19:02:03" u="1"/>
        <d v="2025-10-06T18:32:14" u="1"/>
        <d v="2025-09-17T12:47:23" u="1"/>
        <d v="2025-10-06T16:07:12" u="1"/>
        <d v="2025-10-07T18:27:17" u="1"/>
        <d v="2025-10-06T16:45:53" u="1"/>
        <d v="2025-10-06T16:46:05" u="1"/>
        <d v="2025-10-03T11:15:52" u="1"/>
        <d v="2025-10-03T14:25:59" u="1"/>
        <d v="2025-10-01T18:17:10" u="1"/>
        <d v="2025-10-01T18:25:42" u="1"/>
        <d v="2025-10-01T18:25:58" u="1"/>
        <d v="2025-10-01T18:26:08" u="1"/>
        <d v="2025-10-01T18:26:18" u="1"/>
        <d v="2025-10-01T18:36:27" u="1"/>
        <d v="2025-09-20T09:57:51" u="1"/>
        <d v="2025-09-20T09:57:54" u="1"/>
        <d v="2025-09-19T13:38:57" u="1"/>
        <d v="2025-09-19T13:39:05" u="1"/>
        <d v="2025-09-19T10:22:25" u="1"/>
        <d v="2025-09-16T12:38:19" u="1"/>
        <d v="2025-10-07T14:56:07" u="1"/>
        <d v="2025-10-07T10:07:24" u="1"/>
        <d v="2025-10-07T08:56:03" u="1"/>
        <d v="2025-09-29T16:36:56" u="1"/>
        <d v="2025-09-29T16:37:00" u="1"/>
        <d v="2025-09-09T18:05:26" u="1"/>
        <d v="2025-09-17T16:30:01" u="1"/>
        <d v="2025-10-02T09:35:46" u="1"/>
        <d v="2025-09-23T12:34:50" u="1"/>
        <d v="2025-09-08T10:50:16" u="1"/>
        <d v="2025-10-01T16:38:16" u="1"/>
        <d v="2025-10-01T16:38:14" u="1"/>
        <d v="2025-09-19T18:14:35" u="1"/>
        <d v="2025-10-07T15:56:14" u="1"/>
        <d v="2025-10-07T16:26:09" u="1"/>
        <d v="2025-10-07T19:18:50" u="1"/>
        <d v="2025-10-07T14:37:04" u="1"/>
        <d v="2025-10-07T14:37:54" u="1"/>
        <d v="2025-10-08T01:05:29" u="1"/>
        <d v="2025-10-07T15:58:19" u="1"/>
        <d v="2025-10-07T20:50:46" u="1"/>
        <d v="2025-10-07T20:50:23" u="1"/>
        <d v="2025-10-07T20:51:09" u="1"/>
        <d v="2025-10-07T20:51:14" u="1"/>
        <d v="2025-10-07T20:51:20" u="1"/>
        <d v="2025-10-07T20:51:25" u="1"/>
        <d v="2025-10-07T20:51:29" u="1"/>
        <d v="2025-10-07T20:51:34" u="1"/>
        <d v="2025-10-06T12:55:20" u="1"/>
        <d v="2025-10-04T00:01:21" u="1"/>
        <d v="2025-09-05T15:35:49" u="1"/>
        <d v="2025-09-05T15:26:50" u="1"/>
        <d v="2025-09-29T16:26:48" u="1"/>
        <d v="2025-09-16T17:15:47" u="1"/>
        <d v="2025-10-07T19:26:54" u="1"/>
        <d v="2025-10-07T00:56:42" u="1"/>
        <d v="2025-10-07T00:56:46" u="1"/>
        <d v="2025-10-07T19:54:08" u="1"/>
        <d v="2025-10-07T11:54:52" u="1"/>
        <d v="2025-10-07T11:54:53" u="1"/>
        <d v="2025-10-07T11:54:54" u="1"/>
        <d v="2025-10-07T20:48:56" u="1"/>
        <d v="2025-10-07T19:37:26" u="1"/>
        <d v="2025-09-30T18:01:07" u="1"/>
        <d v="2025-09-30T17:12:45" u="1"/>
        <d v="2025-09-29T22:57:18" u="1"/>
        <d v="2025-09-30T17:12:56" u="1"/>
        <d v="2025-09-26T22:01:23" u="1"/>
        <d v="2025-10-06T12:53:39" u="1"/>
        <d v="2025-10-07T11:25:50" u="1"/>
        <d v="2025-09-24T14:49:43" u="1"/>
        <d v="2025-09-11T18:47:11" u="1"/>
        <d v="2025-09-08T09:56:05" u="1"/>
        <d v="2025-09-24T14:49:40" u="1"/>
        <d v="2025-10-02T11:17:38" u="1"/>
        <d v="2025-10-02T10:32:20" u="1"/>
        <d v="2025-10-01T15:42:39" u="1"/>
        <d v="2025-10-02T23:27:34" u="1"/>
        <d v="2025-10-03T16:38:45" u="1"/>
        <d v="2025-10-02T15:23:33" u="1"/>
        <d v="2025-10-02T09:11:14" u="1"/>
        <d v="2025-10-02T17:02:16" u="1"/>
        <d v="2025-10-02T17:11:57" u="1"/>
        <d v="2025-10-04T20:01:18" u="1"/>
        <d v="2025-10-03T16:48:10" u="1"/>
        <d v="2025-10-03T17:14:10" u="1"/>
        <d v="2025-10-03T14:06:12" u="1"/>
        <d v="2025-10-03T18:07:14" u="1"/>
        <d v="2025-10-03T17:58:09" u="1"/>
        <d v="2025-10-03T18:16:18" u="1"/>
        <d v="2025-10-05T09:54:11" u="1"/>
        <d v="2025-10-05T17:48:08" u="1"/>
        <d v="2025-10-04T21:24:10" u="1"/>
        <d v="2025-10-04T21:31:12" u="1"/>
        <d v="2025-10-04T13:22:08" u="1"/>
        <d v="2025-10-05T19:49:10" u="1"/>
        <d v="2025-10-05T20:07:12" u="1"/>
        <d v="2025-10-03T15:51:06" u="1"/>
        <d v="2025-09-22T16:27:12" u="1"/>
        <d v="2025-09-05T18:02:46" u="1"/>
        <d v="2025-10-05T17:44:00" u="1"/>
        <d v="2025-10-05T15:24:47" u="1"/>
        <d v="2025-10-05T17:54:57" u="1"/>
        <d v="2025-09-30T15:08:25" u="1"/>
        <d v="2025-10-02T10:45:46" u="1"/>
        <d v="2025-10-02T11:54:54" u="1"/>
        <d v="2025-10-05T17:55:41" u="1"/>
        <d v="2025-09-17T09:16:57" u="1"/>
        <d v="2025-10-01T16:02:06" u="1"/>
        <d v="2025-10-02T13:41:45" u="1"/>
        <d v="2025-10-01T13:21:42" u="1"/>
        <d v="2025-09-29T15:33:54" u="1"/>
        <d v="2025-10-02T10:41:37" u="1"/>
        <d v="2025-10-02T10:31:30" u="1"/>
        <d v="2025-10-03T10:16:27" u="1"/>
        <d v="2025-09-30T15:09:26" u="1"/>
        <d v="2025-10-04T22:21:11" u="1"/>
        <d v="2025-10-05T17:55:46" u="1"/>
        <d v="2025-10-04T10:01:29" u="1"/>
        <d v="2025-10-03T17:54:02" u="1"/>
        <d v="2025-10-03T19:07:56" u="1"/>
        <d v="2025-10-05T11:00:13" u="1"/>
        <d v="2025-10-03T18:24:08" u="1"/>
        <d v="2025-10-04T10:15:49" u="1"/>
        <d v="2025-10-03T19:02:50" u="1"/>
        <d v="2025-10-03T19:06:01" u="1"/>
        <d v="2025-10-03T19:12:10" u="1"/>
        <d v="2025-10-03T19:43:54" u="1"/>
        <d v="2025-10-03T20:02:01" u="1"/>
        <d v="2025-10-03T20:31:42" u="1"/>
        <d v="2025-10-03T20:53:48" u="1"/>
        <d v="2025-10-03T20:55:48" u="1"/>
        <d v="2025-10-04T17:58:00" u="1"/>
        <d v="2025-10-04T18:01:58" u="1"/>
        <d v="2025-10-03T18:58:40" u="1"/>
        <d v="2025-10-03T19:02:11" u="1"/>
        <d v="2025-10-04T20:39:54" u="1"/>
        <d v="2025-10-04T14:25:48" u="1"/>
        <d v="2025-10-04T17:18:18" u="1"/>
        <d v="2025-10-05T14:55:43" u="1"/>
        <d v="2025-10-03T17:28:27" u="1"/>
        <d v="2025-10-03T15:36:02" u="1"/>
        <d v="2025-10-03T15:40:22" u="1"/>
        <d v="2025-10-03T16:50:25" u="1"/>
        <d v="2025-10-03T17:00:10" u="1"/>
        <d v="2025-10-03T17:02:07" u="1"/>
        <d v="2025-10-03T10:35:51" u="1"/>
        <d v="2025-10-03T10:47:48" u="1"/>
        <d v="2025-10-02T18:42:25" u="1"/>
        <d v="2025-10-02T18:46:18" u="1"/>
        <d v="2025-10-02T18:51:57" u="1"/>
        <d v="2025-10-02T18:52:13" u="1"/>
        <d v="2025-10-02T19:00:27" u="1"/>
        <d v="2025-10-02T19:03:54" u="1"/>
        <d v="2025-10-02T19:08:14" u="1"/>
        <d v="2025-10-03T16:38:24" u="1"/>
        <d v="2025-10-03T16:56:12" u="1"/>
        <d v="2025-10-03T16:28:05" u="1"/>
        <d v="2025-09-30T15:06:15" u="1"/>
        <d v="2025-10-05T17:44:46" u="1"/>
        <d v="2025-09-17T14:31:45" u="1"/>
        <d v="2025-09-18T17:37:07" u="1"/>
        <d v="2025-09-18T17:46:51" u="1"/>
        <d v="2025-10-03T17:57:13" u="1"/>
        <d v="2025-10-03T17:57:27" u="1"/>
        <d v="2025-09-22T16:25:07" u="1"/>
        <d v="2025-09-26T14:03:22" u="1"/>
        <d v="2025-09-24T11:02:39" u="1"/>
        <d v="2025-09-24T11:02:34" u="1"/>
        <d v="2025-09-29T17:01:24" u="1"/>
        <d v="2025-10-03T09:03:20" u="1"/>
        <d v="2025-10-01T18:03:55" u="1"/>
        <d v="2025-09-29T14:01:39" u="1"/>
        <d v="2025-10-03T15:03:44" u="1"/>
        <d v="2025-10-03T15:03:43" u="1"/>
        <d v="2025-10-03T17:57:04" u="1"/>
        <d v="2025-10-02T17:49:48" u="1"/>
        <d v="2025-09-26T22:11:59" u="1"/>
        <d v="2025-10-04T00:08:58" u="1"/>
        <d v="2025-10-03T17:54:36" u="1"/>
        <d v="2025-10-03T17:52:35" u="1"/>
        <d v="2025-10-03T17:52:27" u="1"/>
        <d v="2025-10-04T17:51:31" u="1"/>
        <d v="2025-09-16T18:36:18" u="1"/>
        <d v="2025-10-03T17:51:03" u="1"/>
        <d v="2025-10-03T17:55:06" u="1"/>
        <d v="2025-09-17T18:30:34" u="1"/>
        <d v="2025-09-26T15:13:54" u="1"/>
        <d v="2025-09-24T15:25:33" u="1"/>
        <d v="2025-10-01T10:54:28" u="1"/>
        <d v="2025-10-03T18:37:22" u="1"/>
        <d v="2025-10-06T00:15:37" u="1"/>
        <d v="2025-09-17T18:30:56" u="1"/>
        <d v="2025-09-25T16:18:58" u="1"/>
        <d v="2025-09-25T13:25:42" u="1"/>
        <d v="2025-09-26T16:25:12" u="1"/>
        <d v="2025-10-05T17:44:55" u="1"/>
        <d v="2025-10-05T17:45:24" u="1"/>
        <d v="2025-10-05T17:55:30" u="1"/>
        <d v="2025-10-05T17:45:05" u="1"/>
        <d v="2025-09-30T14:57:47" u="1"/>
        <d v="2025-10-01T17:36:01" u="1"/>
        <d v="2025-09-29T15:37:34" u="1"/>
        <d v="2025-10-03T18:16:30" u="1"/>
        <d v="2025-10-03T18:16:40" u="1"/>
        <d v="2025-10-05T17:45:10" u="1"/>
        <d v="2025-10-01T15:26:10" u="1"/>
        <d v="2025-10-02T18:45:45" u="1"/>
        <d v="2025-09-02T12:46:38" u="1"/>
        <d v="2025-09-17T13:56:06" u="1"/>
        <d v="2025-09-17T14:10:02" u="1"/>
        <d v="2025-09-17T14:10:04" u="1"/>
        <d v="2025-10-03T09:34:56" u="1"/>
        <d v="2025-10-03T13:55:27" u="1"/>
        <d v="2025-10-03T14:24:37" u="1"/>
        <d v="2025-10-03T16:05:55" u="1"/>
        <d v="2025-10-03T17:41:38" u="1"/>
        <d v="2025-09-22T14:12:03" u="1"/>
        <d v="2025-09-29T22:26:15" u="1"/>
        <d v="2025-02-20T21:54:40" u="1"/>
        <d v="2025-09-23T13:40:51" u="1"/>
        <d v="2025-10-02T18:05:45" u="1"/>
        <d v="2025-10-02T18:09:25" u="1"/>
        <d v="2025-09-15T09:45:52" u="1"/>
        <d v="2025-09-26T14:57:11" u="1"/>
        <d v="2025-09-26T14:57:13" u="1"/>
        <d v="2025-09-26T14:57:15" u="1"/>
        <d v="2025-09-26T15:08:39" u="1"/>
        <d v="2025-09-26T15:08:44" u="1"/>
        <d v="2025-09-26T15:08:47" u="1"/>
        <d v="2025-09-26T14:47:34" u="1"/>
        <d v="2025-10-03T16:12:29" u="1"/>
        <d v="2025-09-22T17:52:18" u="1"/>
        <d v="2025-09-22T12:55:56" u="1"/>
        <d v="2025-10-02T08:55:57" u="1"/>
        <d v="2025-10-01T10:58:34" u="1"/>
        <d v="2025-10-03T14:55:08" u="1"/>
        <d v="2025-10-03T11:36:01" u="1"/>
        <d v="2025-10-05T15:24:52" u="1"/>
        <d v="2025-10-05T17:45:00" u="1"/>
        <d v="2025-10-03T17:05:53" u="1"/>
        <d v="2025-10-03T17:51:34" u="1"/>
        <d v="2025-10-03T17:51:40" u="1"/>
        <d v="2025-10-03T13:02:30" u="1"/>
        <d v="2025-10-01T23:10:58" u="1"/>
        <d v="2025-10-03T18:10:29" u="1"/>
        <d v="2025-10-03T23:55:28" u="1"/>
        <d v="2025-10-03T23:55:29" u="1"/>
        <d v="2025-10-03T23:55:30" u="1"/>
        <d v="2025-10-03T23:56:38" u="1"/>
        <d v="2025-10-03T23:56:49" u="1"/>
        <d v="2025-09-30T15:09:55" u="1"/>
        <d v="2025-10-05T15:14:56" u="1"/>
        <d v="2025-10-02T15:11:21" u="1"/>
        <d v="2025-10-03T18:10:33" u="1"/>
        <d v="2025-10-02T16:46:35" u="1"/>
        <d v="2025-10-05T17:34:36" u="1"/>
        <d v="2025-10-02T15:27:49" u="1"/>
        <d v="2025-09-05T19:38:58" u="1"/>
        <d v="2025-10-03T18:14:04" u="1"/>
        <d v="2025-10-03T18:14:07" u="1"/>
        <d v="2025-10-03T23:58:44" u="1"/>
        <d v="2025-09-25T15:44:21" u="1"/>
        <d v="2025-09-30T10:37:35" u="1"/>
        <d v="2025-09-30T10:37:36" u="1"/>
        <d v="2025-10-03T11:27:46" u="1"/>
        <d v="2025-09-10T00:37:37" u="1"/>
        <d v="2025-10-03T11:43:00" u="1"/>
        <d v="2025-10-03T11:45:37" u="1"/>
        <d v="2025-10-03T11:51:44" u="1"/>
        <d v="2025-10-03T23:51:36" u="1"/>
        <d v="2025-09-26T15:43:45" u="1"/>
        <d v="2025-10-03T17:58:59" u="1"/>
        <d v="2025-10-03T17:59:03" u="1"/>
        <d v="2025-10-03T17:59:19" u="1"/>
        <d v="2025-10-04T17:51:38" u="1"/>
        <d v="2025-10-02T18:00:32" u="1"/>
        <d v="2025-10-03T18:34:23" u="1"/>
        <d v="2025-10-04T17:52:41" u="1"/>
        <d v="2025-10-01T12:45:51" u="1"/>
        <d v="2025-10-01T16:28:34" u="1"/>
        <d v="2025-09-29T12:39:14" u="1"/>
        <d v="2025-09-24T19:44:07" u="1"/>
        <d v="2025-09-29T11:49:25" u="1"/>
        <d v="2025-09-29T11:31:19" u="1"/>
        <d v="2025-09-25T10:54:43" u="1"/>
        <d v="2025-09-22T17:32:46" u="1"/>
        <d v="2025-09-23T09:04:56" u="1"/>
        <d v="2025-10-03T16:34:34" u="1"/>
        <d v="2025-10-03T13:44:41" u="1"/>
        <d v="2025-10-02T08:46:32" u="1"/>
        <d v="2025-10-02T18:24:40" u="1"/>
        <d v="2025-10-02T12:06:38" u="1"/>
        <d v="2025-10-02T12:06:39" u="1"/>
        <d v="2025-10-02T14:05:17" u="1"/>
        <d v="2025-10-02T10:05:38" u="1"/>
        <d v="2025-10-03T16:25:10" u="1"/>
        <d v="2025-10-02T11:07:29" u="1"/>
        <d v="2025-09-29T16:55:35" u="1"/>
        <d v="2025-10-01T17:08:01" u="1"/>
        <d v="2025-09-30T14:37:02" u="1"/>
        <d v="2025-09-30T18:24:49" u="1"/>
        <d v="2025-09-30T17:35:41" u="1"/>
        <d v="2025-10-03T15:20:53" u="1"/>
        <d v="2025-10-03T15:52:08" u="1"/>
        <d v="2025-10-01T18:22:03" u="1"/>
        <d v="2025-10-05T15:24:42" u="1"/>
        <d v="2025-10-05T15:54:44" u="1"/>
        <d v="2025-10-03T17:38:16" u="1"/>
        <d v="2025-10-03T23:40:01" u="1"/>
        <d v="2025-10-03T23:40:03" u="1"/>
        <d v="2025-10-03T23:40:12" u="1"/>
        <d v="2025-10-03T23:39:34" u="1"/>
        <d v="2025-10-01T18:11:29" u="1"/>
        <d v="2025-10-01T10:02:05" u="1"/>
        <d v="2025-09-30T11:35:39" u="1"/>
        <d v="2025-09-30T16:11:30" u="1"/>
        <d v="2025-09-29T15:34:05" u="1"/>
        <d v="2025-10-01T22:39:09" u="1"/>
        <d v="2025-10-01T07:10:07" u="1"/>
        <d v="2025-10-01T07:11:07" u="1"/>
        <d v="2025-09-30T14:52:21" u="1"/>
        <d v="2025-09-18T16:47:20" u="1"/>
        <d v="2025-10-01T17:51:03" u="1"/>
        <d v="2025-10-01T17:51:14" u="1"/>
        <d v="2025-09-25T11:52:20" u="1"/>
        <d v="2025-10-01T15:27:00" u="1"/>
        <d v="2025-09-22T08:51:41" u="1"/>
        <d v="2025-10-01T11:41:49" u="1"/>
        <d v="2025-10-01T17:36:08" u="1"/>
        <d v="2025-09-17T15:47:09" u="1"/>
        <d v="2025-09-30T14:53:47" u="1"/>
        <d v="2025-10-01T17:36:32" u="1"/>
        <d v="2025-10-01T18:11:35" u="1"/>
        <d v="2025-10-01T17:37:42" u="1"/>
        <d v="2025-10-01T20:49:49" u="1"/>
        <d v="2025-10-01T17:34:04" u="1"/>
        <d v="2025-10-01T17:34:05" u="1"/>
        <d v="2025-10-01T17:56:01" u="1"/>
        <d v="2025-10-01T18:20:30" u="1"/>
        <d v="2025-10-01T14:09:55" u="1"/>
        <d v="2025-10-01T14:37:56" u="1"/>
        <d v="2025-10-01T16:22:30" u="1"/>
        <d v="2025-10-01T09:23:48" u="1"/>
        <d v="2025-09-26T14:48:27" u="1"/>
        <d v="2025-09-26T14:48:30" u="1"/>
        <d v="2025-10-01T17:56:17" u="1"/>
        <d v="2025-10-01T17:49:36" u="1"/>
        <d v="2025-09-22T09:56:10" u="1"/>
        <d v="2025-09-18T11:21:12" u="1"/>
        <d v="2025-09-15T18:34:29" u="1"/>
        <d v="2025-09-25T19:43:54" u="1"/>
        <d v="2025-10-01T17:07:12" u="1"/>
        <d v="2025-10-01T17:07:21" u="1"/>
        <d v="2025-10-01T13:21:52" u="1"/>
        <d v="2025-09-25T11:14:46" u="1"/>
        <d v="2025-09-26T11:09:52" u="1"/>
        <d v="2025-10-01T13:26:02" u="1"/>
        <d v="2025-09-30T20:25:02" u="1"/>
        <d v="2025-09-26T13:46:22" u="1"/>
        <d v="2025-09-26T13:35:20" u="1"/>
        <d v="2025-10-01T10:26:58" u="1"/>
        <d v="2025-09-17T12:35:33" u="1"/>
        <d v="2025-10-01T11:05:35" u="1"/>
        <d v="2025-10-01T23:13:14" u="1"/>
        <d v="2025-09-14T11:05:17" u="1"/>
        <d v="2025-09-04T18:06:19" u="1"/>
        <d v="2025-09-17T14:04:30" u="1"/>
        <d v="2025-09-17T14:04:53" u="1"/>
        <d v="2025-09-15T16:01:42" u="1"/>
        <d v="2025-09-04T08:32:52" u="1"/>
        <d v="2025-09-18T09:04:26" u="1"/>
        <d v="2025-10-02T05:03:08" u="1"/>
        <d v="2025-09-25T16:04:04" u="1"/>
        <d v="2025-09-22T16:21:58" u="1"/>
        <d v="2025-09-30T19:02:21" u="1"/>
        <d v="2025-10-01T23:21:48" u="1"/>
        <d v="2025-10-01T17:48:17" u="1"/>
        <d v="2025-09-10T00:42:59" u="1"/>
        <d v="2025-09-22T20:39:40" u="1"/>
        <d v="2025-10-01T17:16:37" u="1"/>
        <d v="2025-09-18T00:16:08" u="1"/>
        <d v="2025-09-18T00:16:07" u="1"/>
        <d v="2025-09-23T20:35:18" u="1"/>
        <d v="2025-09-18T18:54:02" u="1"/>
        <d v="2025-09-17T18:30:39" u="1"/>
        <d v="2025-09-17T18:30:55" u="1"/>
        <d v="2025-09-17T18:30:33" u="1"/>
        <d v="2025-09-26T15:26:27" u="1"/>
        <d v="2025-10-01T17:38:07" u="1"/>
        <d v="2025-10-01T18:55:56" u="1"/>
        <d v="2025-10-01T19:05:30" u="1"/>
        <d v="2025-10-01T17:36:55" u="1"/>
        <d v="2025-10-01T18:16:59" u="1"/>
        <d v="2025-09-11T16:17:41" u="1"/>
        <d v="2025-09-11T16:17:55" u="1"/>
        <d v="2025-09-11T16:18:13" u="1"/>
        <d v="2025-09-11T16:18:47" u="1"/>
        <d v="2025-09-30T18:25:48" u="1"/>
        <d v="2025-10-01T18:16:49" u="1"/>
        <d v="2025-09-17T20:14:42" u="1"/>
        <d v="2025-09-16T19:30:37" u="1"/>
        <d v="2025-09-12T13:46:04" u="1"/>
        <d v="2025-09-30T11:37:29" u="1"/>
        <d v="2025-09-11T17:15:49" u="1"/>
        <d v="2025-10-01T17:39:15" u="1"/>
        <d v="2025-09-30T22:42:57" u="1"/>
        <d v="2025-09-13T00:24:32" u="1"/>
        <d v="2025-09-30T22:41:07" u="1"/>
        <d v="2025-10-01T11:20:34" u="1"/>
        <d v="2025-10-01T18:25:12" u="1"/>
        <d v="2025-10-01T18:25:47" u="1"/>
        <d v="2025-10-01T23:30:38" u="1"/>
        <d v="2025-10-01T23:30:53" u="1"/>
        <d v="2025-10-01T11:20:17" u="1"/>
        <d v="2025-10-01T11:20:29" u="1"/>
        <d v="2025-09-30T10:43:29" u="1"/>
        <d v="2025-09-30T17:39:06" u="1"/>
        <d v="2025-09-29T17:41:53" u="1"/>
        <d v="2025-09-18T20:03:25" u="1"/>
        <d v="2025-09-15T19:20:14" u="1"/>
        <d v="2025-09-29T18:35:08" u="1"/>
        <d v="2025-09-29T18:35:09" u="1"/>
        <d v="2025-09-29T18:35:10" u="1"/>
        <d v="2025-09-30T14:47:03" u="1"/>
        <d v="2025-09-30T14:47:04" u="1"/>
        <d v="2025-09-26T13:05:57" u="1"/>
        <d v="2025-09-26T13:05:58" u="1"/>
        <d v="2025-09-26T13:06:00" u="1"/>
        <d v="2025-09-26T13:05:55" u="1"/>
        <d v="2025-09-29T14:50:55" u="1"/>
        <d v="2025-09-29T14:50:59" u="1"/>
        <d v="2025-09-29T14:51:03" u="1"/>
        <d v="2025-09-29T14:51:06" u="1"/>
        <d v="2025-09-29T14:51:09" u="1"/>
        <d v="2025-09-29T14:51:12" u="1"/>
        <d v="2025-09-29T14:51:20" u="1"/>
        <d v="2025-09-29T14:51:31" u="1"/>
        <d v="2025-09-29T14:51:43" u="1"/>
        <d v="2025-09-29T14:51:49" u="1"/>
        <d v="2025-09-29T16:37:27" u="1"/>
        <d v="2025-09-29T14:50:48" u="1"/>
        <d v="2025-09-29T14:50:52" u="1"/>
        <d v="2025-09-30T16:17:01" u="1"/>
        <d v="2025-09-30T16:17:03" u="1"/>
        <d v="2025-10-01T17:21:25" u="1"/>
        <d v="2025-10-01T16:15:05" u="1"/>
        <d v="2025-10-01T16:15:10" u="1"/>
        <d v="2025-10-01T16:35:18" u="1"/>
        <d v="2025-10-01T11:01:17" u="1"/>
        <d v="2025-09-09T16:01:12" u="1"/>
        <d v="2025-09-12T08:41:56" u="1"/>
        <d v="2025-09-18T11:04:10" u="1"/>
        <d v="2025-09-22T16:07:19" u="1"/>
        <d v="2025-09-04T15:03:55" u="1"/>
        <d v="2025-09-10T14:00:57" u="1"/>
        <d v="2025-09-10T14:01:03" u="1"/>
        <d v="2025-09-10T14:01:06" u="1"/>
        <d v="2025-09-08T16:01:39" u="1"/>
        <d v="2025-09-16T15:02:33" u="1"/>
        <d v="2025-09-18T17:04:29" u="1"/>
        <d v="2025-09-19T14:06:18" u="1"/>
        <d v="2025-09-18T12:04:15" u="1"/>
        <d v="2025-09-18T12:04:23" u="1"/>
        <d v="2025-09-18T12:04:25" u="1"/>
        <d v="2025-09-18T20:03:44" u="1"/>
        <d v="2025-09-16T10:02:14" u="1"/>
        <d v="2025-09-16T10:02:19" u="1"/>
        <d v="2025-09-16T11:01:22" u="1"/>
        <d v="2025-09-15T17:02:19" u="1"/>
        <d v="2025-09-15T17:02:38" u="1"/>
        <d v="2025-09-15T17:02:41" u="1"/>
        <d v="2025-09-16T18:04:37" u="1"/>
        <d v="2025-09-15T17:02:27" u="1"/>
        <d v="2025-09-15T17:02:30" u="1"/>
        <d v="2025-09-15T17:02:34" u="1"/>
        <d v="2025-09-15T17:02:44" u="1"/>
        <d v="2025-09-14T11:05:32" u="1"/>
        <d v="2025-09-14T11:07:05" u="1"/>
        <d v="2025-09-14T11:07:16" u="1"/>
        <d v="2025-09-14T15:01:20" u="1"/>
        <d v="2025-09-15T09:02:36" u="1"/>
        <d v="2025-09-15T14:01:30" u="1"/>
        <d v="2025-09-15T10:03:03" u="1"/>
        <d v="2025-09-29T18:00:45" u="1"/>
        <d v="2025-10-01T18:00:50" u="1"/>
        <d v="2025-09-29T14:01:42" u="1"/>
        <d v="2025-09-27T06:02:26" u="1"/>
        <d v="2025-09-22T16:24:02" u="1"/>
        <d v="2025-09-30T10:01:59" u="1"/>
        <d v="2025-09-30T10:02:00" u="1"/>
        <d v="2025-10-01T11:04:02" u="1"/>
        <d v="2025-09-24T09:04:21" u="1"/>
        <d v="2025-09-22T19:02:46" u="1"/>
        <d v="2025-09-24T19:04:19" u="1"/>
        <d v="2025-10-01T14:02:21" u="1"/>
        <d v="2025-10-01T17:36:23" u="1"/>
        <d v="2025-10-01T09:20:30" u="1"/>
        <d v="2025-10-01T09:20:47" u="1"/>
        <d v="2025-10-01T15:21:09" u="1"/>
        <d v="2025-10-01T15:51:29" u="1"/>
        <d v="2025-10-01T15:21:14" u="1"/>
        <d v="2025-10-01T16:40:48" u="1"/>
        <d v="2025-09-25T11:51:48" u="1"/>
        <d v="2025-09-19T16:09:35" u="1"/>
        <d v="2025-09-12T19:17:46" u="1"/>
        <d v="2025-09-12T06:46:56" u="1"/>
        <d v="2025-09-15T11:04:02" u="1"/>
        <d v="2025-09-04T12:49:34" u="1"/>
        <d v="2025-09-12T06:53:54" u="1"/>
        <d v="2025-09-12T06:53:41" u="1"/>
        <d v="2025-09-04T12:53:15" u="1"/>
        <d v="2025-09-04T12:53:21" u="1"/>
        <d v="2025-09-12T16:02:06" u="1"/>
        <d v="2025-09-12T16:03:18" u="1"/>
        <d v="2025-09-11T21:33:19" u="1"/>
        <d v="2025-09-12T06:49:27" u="1"/>
        <d v="2025-09-12T06:52:49" u="1"/>
        <d v="2025-09-11T15:03:01" u="1"/>
        <d v="2025-09-12T09:32:18" u="1"/>
        <d v="2025-09-22T16:41:48" u="1"/>
        <d v="2025-09-19T12:36:00" u="1"/>
        <d v="2025-09-19T16:31:09" u="1"/>
        <d v="2025-09-19T16:07:20" u="1"/>
        <d v="2025-09-19T16:07:39" u="1"/>
        <d v="2025-09-19T16:08:42" u="1"/>
        <d v="2025-09-19T16:09:43" u="1"/>
        <d v="2025-09-19T16:10:12" u="1"/>
        <d v="2025-09-15T17:33:07" u="1"/>
        <d v="2025-09-16T18:15:51" u="1"/>
        <d v="2025-09-16T18:19:13" u="1"/>
        <d v="2025-09-16T18:21:00" u="1"/>
        <d v="2025-09-29T15:32:23" u="1"/>
        <d v="2025-09-30T11:32:32" u="1"/>
        <d v="2025-09-29T19:02:26" u="1"/>
        <d v="2025-09-29T19:03:36" u="1"/>
        <d v="2025-09-29T19:03:49" u="1"/>
        <d v="2025-10-01T17:31:11" u="1"/>
        <d v="2025-09-30T18:02:13" u="1"/>
        <d v="2025-09-30T18:01:47" u="1"/>
        <d v="2025-10-01T11:11:02" u="1"/>
        <d v="2025-09-25T21:50:59" u="1"/>
        <d v="2025-09-23T11:41:17" u="1"/>
        <d v="2025-09-29T15:32:27" u="1"/>
        <d v="2025-09-26T20:11:14" u="1"/>
        <d v="2025-09-26T18:03:56" u="1"/>
        <d v="2025-09-12T11:26:37" u="1"/>
        <d v="2025-09-30T11:37:26" u="1"/>
        <d v="2025-09-30T11:15:23" u="1"/>
        <d v="2025-09-30T11:15:24" u="1"/>
        <d v="2025-09-30T11:28:08" u="1"/>
        <d v="2025-09-30T11:05:24" u="1"/>
        <d v="2024-12-23T14:07:56" u="1"/>
        <d v="2025-09-22T20:00:07" u="1"/>
        <d v="2025-09-30T10:39:14" u="1"/>
        <d v="2025-10-01T16:52:26" u="1"/>
        <d v="2025-10-01T11:06:37" u="1"/>
        <d v="2025-10-01T17:26:45" u="1"/>
        <d v="2025-09-22T20:46:25" u="1"/>
        <d v="2025-10-01T17:24:11" u="1"/>
        <d v="2025-10-01T23:15:43" u="1"/>
        <d v="2025-09-22T20:49:20" u="1"/>
        <d v="2025-10-01T17:26:05" u="1"/>
        <d v="2025-09-24T14:51:17" u="1"/>
        <d v="2025-09-29T23:13:20" u="1"/>
        <d v="2025-09-29T23:13:23" u="1"/>
        <d v="2025-10-01T18:13:06" u="1"/>
        <d v="2025-10-01T18:15:05" u="1"/>
        <d v="2025-10-01T23:27:08" u="1"/>
        <d v="2025-10-01T23:27:36" u="1"/>
        <d v="2025-10-01T23:27:48" u="1"/>
        <d v="2025-10-01T23:28:14" u="1"/>
        <d v="2025-10-01T11:18:36" u="1"/>
        <d v="2025-09-30T15:00:32" u="1"/>
        <d v="2025-09-24T19:14:28" u="1"/>
        <d v="2025-09-30T12:18:59" u="1"/>
        <d v="2025-09-30T10:13:07" u="1"/>
        <d v="2025-10-01T17:07:39" u="1"/>
        <d v="2025-09-10T22:46:00" u="1"/>
        <d v="2025-10-01T17:21:11" u="1"/>
        <d v="2025-10-01T14:56:51" u="1"/>
        <d v="2025-10-01T17:36:24" u="1"/>
        <d v="2025-09-30T17:12:36" u="1"/>
        <d v="2025-09-17T18:10:20" u="1"/>
        <d v="2025-09-29T16:19:29" u="1"/>
        <d v="2025-09-29T16:19:28" u="1"/>
        <d v="2025-09-30T15:51:54" u="1"/>
        <d v="2025-09-30T16:01:21" u="1"/>
        <d v="2025-09-30T22:13:05" u="1"/>
        <d v="2025-09-30T15:36:12" u="1"/>
        <d v="2025-09-30T15:45:14" u="1"/>
        <d v="2025-09-30T17:00:12" u="1"/>
        <d v="2025-09-30T22:39:11" u="1"/>
        <d v="2025-09-30T18:04:31" u="1"/>
        <d v="2025-09-30T21:24:11" u="1"/>
        <d v="2025-09-30T15:13:49" u="1"/>
        <d v="2025-09-30T18:04:15" u="1"/>
        <d v="2025-09-29T19:04:38" u="1"/>
        <d v="2025-09-30T17:05:26" u="1"/>
        <d v="2025-09-30T17:05:21" u="1"/>
        <d v="2025-09-11T19:29:07" u="1"/>
        <d v="2025-09-30T16:02:20" u="1"/>
        <d v="2025-09-30T11:19:51" u="1"/>
        <d v="2025-09-30T11:34:04" u="1"/>
        <d v="2025-09-30T11:34:08" u="1"/>
        <d v="2025-09-30T12:20:09" u="1"/>
        <d v="2025-09-30T15:44:02" u="1"/>
        <d v="2025-09-30T14:24:26" u="1"/>
        <d v="2025-09-30T14:43:49" u="1"/>
        <d v="2025-09-30T14:17:44" u="1"/>
        <d v="2025-09-30T14:21:45" u="1"/>
        <d v="2025-09-30T14:43:51" u="1"/>
        <d v="2025-09-30T14:43:52" u="1"/>
        <d v="2025-09-30T19:49:49" u="1"/>
        <d v="2025-09-30T20:27:49" u="1"/>
        <d v="2025-09-30T20:33:46" u="1"/>
        <d v="2025-09-30T16:19:53" u="1"/>
        <d v="2025-09-30T17:46:22" u="1"/>
        <d v="2025-09-30T17:49:54" u="1"/>
        <d v="2025-09-30T17:50:28" u="1"/>
        <d v="2025-09-30T17:51:52" u="1"/>
        <d v="2025-09-30T17:52:19" u="1"/>
        <d v="2025-09-30T17:39:50" u="1"/>
        <d v="2025-09-30T17:39:52" u="1"/>
        <d v="2025-09-30T18:31:51" u="1"/>
        <d v="2025-09-30T18:35:56" u="1"/>
        <d v="2025-09-30T18:44:19" u="1"/>
        <d v="2025-09-30T18:50:02" u="1"/>
        <d v="2025-09-30T11:13:48" u="1"/>
        <d v="2025-09-30T11:16:07" u="1"/>
        <d v="2025-09-22T12:15:53" u="1"/>
        <d v="2025-09-19T15:15:12" u="1"/>
        <d v="2025-09-30T11:17:50" u="1"/>
        <d v="2025-09-30T11:23:46" u="1"/>
        <d v="2025-09-26T20:15:31" u="1"/>
        <d v="2025-09-29T08:11:42" u="1"/>
        <d v="2025-09-29T08:11:53" u="1"/>
        <d v="2025-09-30T15:12:15" u="1"/>
        <d v="2025-09-30T22:57:56" u="1"/>
        <d v="2025-09-29T19:02:18" u="1"/>
        <d v="2025-09-30T19:02:47" u="1"/>
        <d v="2025-09-30T19:02:48" u="1"/>
        <d v="2025-09-30T19:02:49" u="1"/>
        <d v="2025-09-30T19:02:50" u="1"/>
        <d v="2025-09-30T18:02:22" u="1"/>
        <d v="2025-09-26T17:03:38" u="1"/>
        <d v="2025-09-30T09:01:46" u="1"/>
        <d v="2025-09-30T15:00:59" u="1"/>
        <d v="2025-09-30T10:33:38" u="1"/>
        <d v="2025-09-30T10:33:51" u="1"/>
        <d v="2025-09-30T22:56:35" u="1"/>
        <d v="2025-09-30T16:54:17" u="1"/>
        <d v="2025-09-30T16:55:06" u="1"/>
        <d v="2025-09-30T16:54:14" u="1"/>
        <d v="2025-09-30T17:31:35" u="1"/>
        <d v="2025-09-30T10:39:27" u="1"/>
        <d v="2025-09-30T10:39:39" u="1"/>
        <d v="2025-09-26T16:08:25" u="1"/>
        <d v="2025-09-26T16:08:26" u="1"/>
        <d v="2025-09-26T16:09:02" u="1"/>
        <d v="2025-09-19T12:20:36" u="1"/>
        <d v="2025-09-17T12:20:18" u="1"/>
        <d v="2025-09-30T16:51:40" u="1"/>
        <d v="2025-09-29T17:34:54" u="1"/>
        <d v="2025-09-30T12:42:55" u="1"/>
        <d v="2025-09-26T18:10:47" u="1"/>
        <d v="2025-09-30T16:44:55" u="1"/>
        <d v="2025-09-30T16:44:50" u="1"/>
        <d v="2025-09-30T16:44:58" u="1"/>
        <d v="2025-09-30T18:08:29" u="1"/>
        <d v="2025-09-30T18:08:40" u="1"/>
        <d v="2025-09-30T10:55:21" u="1"/>
        <d v="2025-09-30T15:15:09" u="1"/>
        <d v="2025-09-30T16:55:33" u="1"/>
        <d v="2025-09-30T21:55:09" u="1"/>
        <d v="2025-09-30T17:05:53" u="1"/>
        <d v="2025-09-30T17:05:58" u="1"/>
        <d v="2025-09-05T11:17:19" u="1"/>
        <d v="2025-09-16T18:13:57" u="1"/>
        <d v="2025-09-30T16:39:34" u="1"/>
        <d v="2025-09-30T17:40:03" u="1"/>
        <d v="2025-09-30T17:37:49" u="1"/>
        <d v="2025-09-30T10:42:57" u="1"/>
        <d v="2025-09-29T17:38:13" u="1"/>
        <d v="2025-09-30T17:39:21" u="1"/>
        <d v="2025-09-24T22:36:00" u="1"/>
        <d v="2025-09-20T10:59:45" u="1"/>
        <d v="2025-09-30T18:08:02" u="1"/>
        <d v="2025-09-30T16:52:46" u="1"/>
        <d v="2025-09-30T23:08:18" u="1"/>
        <d v="2025-09-30T17:05:55" u="1"/>
        <d v="2025-09-30T23:08:30" u="1"/>
        <d v="2025-09-30T18:02:23" u="1"/>
        <d v="2025-09-29T11:42:18" u="1"/>
        <d v="2025-09-26T17:01:12" u="1"/>
        <d v="2025-09-26T17:01:56" u="1"/>
        <d v="2025-09-12T06:49:05" u="1"/>
        <d v="2025-09-29T19:02:30" u="1"/>
        <d v="2025-09-30T15:51:11" u="1"/>
        <d v="2025-09-30T14:51:19" u="1"/>
        <d v="2025-09-30T15:41:15" u="1"/>
        <d v="2025-09-24T17:51:49" u="1"/>
        <d v="2025-09-29T11:42:52" u="1"/>
        <d v="2025-09-29T11:42:57" u="1"/>
        <d v="2025-09-30T10:38:57" u="1"/>
        <d v="2025-09-30T16:35:51" u="1"/>
        <d v="2025-09-30T22:37:48" u="1"/>
        <d v="2025-09-30T17:00:20" u="1"/>
        <d v="2025-09-30T17:02:14" u="1"/>
        <d v="2025-09-30T22:59:38" u="1"/>
        <d v="2025-09-24T22:30:06" u="1"/>
        <d v="2025-09-30T10:41:41" u="1"/>
        <d v="2025-09-30T10:40:54" u="1"/>
        <d v="2025-09-30T10:40:58" u="1"/>
        <d v="2025-09-29T23:10:51" u="1"/>
        <d v="2025-09-29T23:11:00" u="1"/>
        <d v="2025-09-29T17:28:41" u="1"/>
        <d v="2025-09-29T17:28:44" u="1"/>
        <d v="2025-09-29T17:28:47" u="1"/>
        <d v="2025-09-29T17:28:50" u="1"/>
        <d v="2025-09-29T17:28:52" u="1"/>
        <d v="2025-09-29T17:34:31" u="1"/>
        <d v="2025-09-30T23:31:44" u="1"/>
        <d v="2025-09-30T23:31:47" u="1"/>
        <d v="2025-09-30T23:31:49" u="1"/>
        <d v="2025-09-30T23:32:28" u="1"/>
        <d v="2025-09-30T23:32:30" u="1"/>
        <d v="2025-09-30T23:33:01" u="1"/>
        <d v="2025-09-30T23:33:03" u="1"/>
        <d v="2025-09-30T23:33:21" u="1"/>
        <d v="2025-09-30T23:33:34" u="1"/>
        <d v="2025-09-30T16:56:02" u="1"/>
        <d v="2025-09-30T16:56:06" u="1"/>
        <d v="2025-09-05T11:35:04" u="1"/>
        <d v="2025-09-05T11:35:08" u="1"/>
        <d v="2025-09-05T16:33:39" u="1"/>
        <d v="2025-09-05T10:22:13" u="1"/>
        <d v="2025-09-05T10:22:17" u="1"/>
        <d v="2025-09-05T10:22:31" u="1"/>
        <d v="2025-09-05T10:22:39" u="1"/>
        <d v="2025-09-05T10:22:47" u="1"/>
        <d v="2025-09-30T17:07:39" u="1"/>
        <d v="2025-09-30T15:08:02" u="1"/>
        <d v="2025-09-30T21:27:02" u="1"/>
        <d v="2025-09-30T16:56:21" u="1"/>
        <d v="2025-09-29T13:09:42" u="1"/>
        <d v="2025-09-30T16:37:41" u="1"/>
        <d v="2025-09-30T16:37:29" u="1"/>
        <d v="2025-09-30T10:26:47" u="1"/>
        <d v="2025-09-30T22:38:07" u="1"/>
        <d v="2025-09-30T22:38:11" u="1"/>
        <d v="2025-09-30T22:38:21" u="1"/>
        <d v="2025-09-30T22:38:25" u="1"/>
        <d v="2025-09-11T18:14:38" u="1"/>
        <d v="2025-09-29T23:03:26" u="1"/>
        <d v="2025-09-29T15:34:00" u="1"/>
        <d v="2025-09-29T10:50:14" u="1"/>
        <d v="2025-09-29T11:57:11" u="1"/>
        <d v="2025-09-29T13:38:09" u="1"/>
        <d v="2025-09-30T00:56:13" u="1"/>
        <d v="2025-09-30T02:56:18" u="1"/>
        <d v="2025-09-30T02:56:21" u="1"/>
        <d v="2025-09-29T12:29:52" u="1"/>
        <d v="2025-09-29T11:08:01" u="1"/>
        <d v="2025-09-29T11:14:03" u="1"/>
        <d v="2025-09-29T11:34:00" u="1"/>
        <d v="2025-09-29T17:27:49" u="1"/>
        <d v="2025-09-29T17:38:18" u="1"/>
        <d v="2025-09-29T17:27:50" u="1"/>
        <d v="2025-09-29T12:37:53" u="1"/>
        <d v="2025-09-29T16:41:47" u="1"/>
        <d v="2025-09-29T15:07:47" u="1"/>
        <d v="2025-09-29T10:47:54" u="1"/>
        <d v="2025-09-29T14:01:57" u="1"/>
        <d v="2025-09-29T16:46:05" u="1"/>
        <d v="2025-09-29T16:41:44" u="1"/>
        <d v="2025-09-29T16:42:17" u="1"/>
        <d v="2025-09-29T16:41:55" u="1"/>
        <d v="2025-09-24T22:21:56" u="1"/>
        <d v="2025-09-12T19:03:40" u="1"/>
        <d v="2025-09-25T16:49:11" u="1"/>
        <d v="2025-09-24T22:18:57" u="1"/>
        <d v="2025-09-06T18:04:57" u="1"/>
        <d v="2025-09-29T17:04:29" u="1"/>
        <d v="2025-09-29T17:05:15" u="1"/>
        <d v="2025-09-29T17:20:41" u="1"/>
        <d v="2025-09-29T17:22:41" u="1"/>
        <d v="2025-09-29T23:03:12" u="1"/>
        <d v="2025-09-26T15:59:17" u="1"/>
        <d v="2025-09-26T15:59:20" u="1"/>
        <d v="2025-09-26T15:59:24" u="1"/>
        <d v="2025-09-29T16:38:42" u="1"/>
        <d v="2025-09-29T16:38:46" u="1"/>
        <d v="2025-09-29T16:39:03" u="1"/>
        <d v="2025-09-19T12:19:36" u="1"/>
        <d v="2025-09-22T20:34:19" u="1"/>
        <d v="2025-09-16T18:30:53" u="1"/>
        <d v="2025-09-16T18:30:58" u="1"/>
        <d v="2025-09-16T18:31:02" u="1"/>
        <d v="2025-09-16T18:31:15" u="1"/>
        <d v="2025-09-16T18:30:48" u="1"/>
        <d v="2025-09-17T12:20:14" u="1"/>
        <d v="2025-09-17T00:17:36" u="1"/>
        <d v="2025-09-29T16:47:25" u="1"/>
        <d v="2025-09-29T16:44:14" u="1"/>
        <d v="2025-09-29T16:44:19" u="1"/>
        <d v="2025-09-29T16:44:23" u="1"/>
        <d v="2025-09-29T16:44:33" u="1"/>
        <d v="2025-09-29T16:44:37" u="1"/>
        <d v="2025-09-29T16:44:41" u="1"/>
        <d v="2025-09-29T16:44:44" u="1"/>
        <d v="2025-09-29T16:44:48" u="1"/>
        <d v="2025-09-29T20:05:42" u="1"/>
        <d v="2025-09-29T16:44:56" u="1"/>
        <d v="2025-09-22T18:04:57" u="1"/>
        <d v="2025-09-29T22:31:09" u="1"/>
        <d v="2025-09-24T15:25:45" u="1"/>
        <d v="2025-09-26T13:28:46" u="1"/>
        <d v="2025-09-29T14:18:27" u="1"/>
        <d v="2025-09-29T12:56:23" u="1"/>
        <d v="2025-09-29T16:42:35" u="1"/>
        <d v="2025-09-30T06:58:43" u="1"/>
        <d v="2025-09-27T09:26:14" u="1"/>
        <d v="2025-09-29T16:36:02" u="1"/>
        <d v="2025-09-20T13:12:07" u="1"/>
        <d v="2025-09-29T16:37:29" u="1"/>
        <d v="2025-09-29T22:42:15" u="1"/>
        <d v="2025-09-14T11:02:21" u="1"/>
        <d v="2025-09-26T12:04:01" u="1"/>
        <d v="2025-09-24T10:04:34" u="1"/>
        <d v="2025-09-15T18:50:18" u="1"/>
        <d v="2025-09-02T12:31:17" u="1"/>
        <d v="2025-09-09T12:48:17" u="1"/>
        <d v="2025-09-16T00:20:35" u="1"/>
        <d v="2025-09-15T12:32:41" u="1"/>
        <d v="2025-09-18T19:10:19" u="1"/>
        <d v="2025-09-23T20:53:17" u="1"/>
        <d v="2025-09-24T14:56:23" u="1"/>
        <d v="2025-09-24T14:56:32" u="1"/>
        <d v="2025-09-24T14:56:35" u="1"/>
        <d v="2025-09-29T22:52:14" u="1"/>
        <d v="2025-09-29T22:51:35" u="1"/>
        <d v="2025-09-23T14:55:59" u="1"/>
        <d v="2025-09-23T14:56:05" u="1"/>
        <d v="2025-09-26T21:57:04" u="1"/>
        <d v="2025-09-05T12:35:11" u="1"/>
        <d v="2025-09-04T12:46:19" u="1"/>
        <d v="2025-09-29T22:52:53" u="1"/>
        <d v="2025-09-29T22:52:05" u="1"/>
        <d v="2025-09-29T19:02:46" u="1"/>
        <d v="2025-09-24T14:58:54" u="1"/>
        <d v="2025-09-29T10:08:42" u="1"/>
        <d v="2025-09-29T10:08:38" u="1"/>
        <d v="2025-09-29T16:18:05" u="1"/>
        <d v="2025-09-29T16:16:18" u="1"/>
        <d v="2025-09-29T22:18:24" u="1"/>
        <d v="2025-09-20T13:16:32" u="1"/>
        <d v="2025-09-29T17:00:47" u="1"/>
        <d v="2025-09-18T19:16:28" u="1"/>
        <d v="2025-09-18T18:57:49" u="1"/>
        <d v="2025-09-29T16:43:53" u="1"/>
        <d v="2025-09-29T10:17:33" u="1"/>
        <d v="2025-09-25T15:32:47" u="1"/>
        <d v="2025-09-22T14:33:25" u="1"/>
        <d v="2025-09-22T14:33:55" u="1"/>
        <d v="2025-09-15T18:43:41" u="1"/>
        <d v="2025-09-25T15:34:16" u="1"/>
        <d v="2025-09-29T16:46:26" u="1"/>
        <d v="2025-09-29T16:45:38" u="1"/>
        <d v="2025-09-17T00:19:39" u="1"/>
        <d v="2025-09-16T00:19:11" u="1"/>
        <d v="2025-09-16T18:44:16" u="1"/>
        <d v="2025-09-16T18:44:35" u="1"/>
        <d v="2025-09-03T18:37:26" u="1"/>
        <d v="2025-09-12T19:20:29" u="1"/>
        <d v="2025-09-27T03:24:47" u="1"/>
        <d v="2025-09-29T22:18:35" u="1"/>
        <d v="2025-09-29T22:18:54" u="1"/>
        <d v="2025-09-24T14:34:41" u="1"/>
        <d v="2025-09-29T16:19:49" u="1"/>
        <d v="2025-09-24T00:41:07" u="1"/>
        <d v="2025-09-25T17:26:06" u="1"/>
        <d v="2025-09-25T20:06:13" u="1"/>
        <d v="2025-09-26T00:33:16" u="1"/>
        <d v="2025-09-17T15:16:24" u="1"/>
        <d v="2025-09-22T12:25:30" u="1"/>
        <d v="2025-09-24T17:54:03" u="1"/>
        <d v="2025-09-24T14:43:04" u="1"/>
        <d v="2025-09-18T20:18:53" u="1"/>
        <d v="2025-09-22T20:33:48" u="1"/>
        <d v="2025-09-24T11:32:49" u="1"/>
        <d v="2025-09-25T18:41:55" u="1"/>
        <d v="2025-09-25T18:41:25" u="1"/>
        <d v="2025-09-25T21:56:02" u="1"/>
        <d v="2025-09-16T12:35:26" u="1"/>
        <d v="2025-09-25T21:56:33" u="1"/>
        <d v="2025-09-25T16:22:00" u="1"/>
        <d v="2025-09-23T12:01:56" u="1"/>
        <d v="2025-09-23T12:01:58" u="1"/>
        <d v="2025-09-24T18:00:18" u="1"/>
        <d v="2025-09-25T15:38:06" u="1"/>
        <d v="2025-09-25T14:50:53" u="1"/>
        <d v="2025-09-25T14:50:55" u="1"/>
        <d v="2025-09-25T13:42:03" u="1"/>
        <d v="2025-09-25T11:32:00" u="1"/>
        <d v="2025-09-25T12:45:56" u="1"/>
        <d v="2025-09-25T10:24:20" u="1"/>
        <d v="2025-09-25T11:04:00" u="1"/>
        <d v="2025-09-25T10:26:26" u="1"/>
        <d v="2025-09-25T10:49:59" u="1"/>
        <d v="2025-09-25T10:52:03" u="1"/>
        <d v="2025-09-25T10:53:58" u="1"/>
        <d v="2025-09-25T10:54:18" u="1"/>
        <d v="2025-09-25T20:16:07" u="1"/>
        <d v="2025-09-25T20:30:45" u="1"/>
        <d v="2025-09-25T20:31:54" u="1"/>
        <d v="2025-09-25T19:21:52" u="1"/>
        <d v="2025-09-25T16:38:05" u="1"/>
        <d v="2025-09-25T17:29:59" u="1"/>
        <d v="2025-09-25T17:32:02" u="1"/>
        <d v="2025-09-25T17:46:11" u="1"/>
        <d v="2025-09-25T16:40:27" u="1"/>
        <d v="2025-09-25T17:14:05" u="1"/>
        <d v="2025-09-25T18:14:03" u="1"/>
        <d v="2025-09-25T18:03:57" u="1"/>
        <d v="2025-09-25T21:57:08" u="1"/>
        <d v="2025-09-22T13:50:43" u="1"/>
        <d v="2025-09-18T14:35:41" u="1"/>
        <d v="2025-09-18T16:50:25" u="1"/>
        <d v="2025-09-18T16:50:30" u="1"/>
        <d v="2025-09-10T21:14:38" u="1"/>
        <d v="2025-09-10T21:14:42" u="1"/>
        <d v="2025-09-25T11:53:29" u="1"/>
        <d v="2025-09-25T11:53:43" u="1"/>
        <d v="2025-09-19T16:18:12" u="1"/>
        <d v="2025-09-19T16:18:17" u="1"/>
        <d v="2025-09-25T21:56:17" u="1"/>
        <d v="2025-09-25T21:42:08" u="1"/>
        <d v="2025-09-23T14:42:36" u="1"/>
        <d v="2025-09-23T14:42:43" u="1"/>
        <d v="2025-09-23T14:43:01" u="1"/>
        <d v="2025-09-23T14:43:04" u="1"/>
        <d v="2025-09-24T21:39:59" u="1"/>
        <d v="2025-09-23T20:41:57" u="1"/>
        <d v="2025-09-23T02:03:44" u="1"/>
        <d v="2025-09-22T20:40:47" u="1"/>
        <d v="2025-09-25T16:01:08" u="1"/>
        <d v="2025-09-22T16:04:36" u="1"/>
        <d v="2025-09-23T14:00:43" u="1"/>
        <d v="2025-09-23T14:00:44" u="1"/>
        <d v="2025-09-23T14:00:45" u="1"/>
        <d v="2025-09-23T14:00:46" u="1"/>
        <d v="2025-09-23T14:00:48" u="1"/>
        <d v="2025-09-23T16:01:02" u="1"/>
        <d v="2025-09-23T16:01:04" u="1"/>
        <d v="2025-09-23T16:01:07" u="1"/>
        <d v="2025-09-25T21:41:14" u="1"/>
        <d v="2025-09-23T20:40:43" u="1"/>
        <d v="2025-09-24T21:38:45" u="1"/>
        <d v="2025-09-22T14:25:33" u="1"/>
        <d v="2025-09-24T21:35:16" u="1"/>
        <d v="2025-09-25T15:24:14" u="1"/>
        <d v="2025-09-22T14:27:36" u="1"/>
        <d v="2025-09-22T15:08:08" u="1"/>
        <d v="2025-09-24T22:06:35" u="1"/>
        <d v="2025-09-23T15:05:00" u="1"/>
        <d v="2025-09-23T15:05:51" u="1"/>
        <d v="2025-09-23T15:12:30" u="1"/>
        <d v="2025-09-25T16:00:16" u="1"/>
        <d v="2025-09-25T22:36:20" u="1"/>
        <d v="2025-09-25T16:04:42" u="1"/>
        <d v="2025-09-24T21:32:48" u="1"/>
        <d v="2025-09-22T19:55:53" u="1"/>
        <d v="2025-09-24T21:11:42" u="1"/>
        <d v="2025-09-24T21:05:04" u="1"/>
        <d v="2025-09-25T21:20:24" u="1"/>
        <d v="2025-09-25T21:20:27" u="1"/>
        <d v="2025-09-25T21:29:03" u="1"/>
        <d v="2025-09-23T15:18:44" u="1"/>
        <d v="2025-09-22T13:52:32" u="1"/>
        <d v="2025-09-23T14:11:48" u="1"/>
        <d v="2025-09-24T14:32:59" u="1"/>
        <d v="2025-09-24T14:33:02" u="1"/>
        <d v="2025-09-24T20:37:05" u="1"/>
        <d v="2025-09-25T20:58:42" u="1"/>
        <d v="2025-09-25T14:50:38" u="1"/>
        <d v="2025-09-25T14:50:44" u="1"/>
        <d v="2025-09-25T20:58:33" u="1"/>
        <d v="2025-09-25T18:36:14" u="1"/>
        <d v="2025-09-25T21:56:07" u="1"/>
        <d v="2025-09-19T15:47:13" u="1"/>
        <d v="2025-09-18T11:46:41" u="1"/>
        <d v="2025-09-24T12:36:09" u="1"/>
        <d v="2025-09-25T15:16:41" u="1"/>
        <d v="2025-09-25T13:01:48" u="1"/>
        <d v="2025-09-25T19:44:45" u="1"/>
        <d v="2025-09-25T16:25:16" u="1"/>
        <d v="2025-09-25T16:25:21" u="1"/>
        <d v="2025-09-25T21:57:37" u="1"/>
        <d v="2025-09-25T21:58:01" u="1"/>
        <d v="2025-09-11T19:44:32" u="1"/>
        <d v="2025-09-18T19:54:40" u="1"/>
        <d v="2025-09-25T12:59:52" u="1"/>
        <d v="2025-09-25T17:45:38" u="1"/>
        <d v="2025-09-08T17:26:18" u="1"/>
        <d v="2025-09-25T18:06:39" u="1"/>
        <d v="2025-09-25T17:55:03" u="1"/>
        <d v="2025-09-25T18:45:11" u="1"/>
        <d v="2025-09-25T18:55:33" u="1"/>
        <d v="2025-09-25T19:05:29" u="1"/>
        <d v="2025-09-25T12:35:45" u="1"/>
        <d v="2025-09-25T12:44:37" u="1"/>
        <d v="2025-09-25T11:05:36" u="1"/>
        <d v="2025-09-25T11:14:40" u="1"/>
        <d v="2025-09-25T11:26:13" u="1"/>
        <d v="2025-09-22T22:40:14" u="1"/>
        <d v="2025-09-24T02:47:02" u="1"/>
        <d v="2025-09-24T15:33:02" u="1"/>
        <d v="2025-09-24T15:33:05" u="1"/>
        <d v="2025-09-24T15:33:08" u="1"/>
        <d v="2025-09-24T15:33:11" u="1"/>
        <d v="2025-09-24T15:33:13" u="1"/>
        <d v="2025-09-25T16:13:23" u="1"/>
        <d v="2025-09-25T16:14:01" u="1"/>
        <d v="2025-09-25T16:15:45" u="1"/>
        <d v="2025-09-25T16:16:21" u="1"/>
        <d v="2025-09-24T22:35:45" u="1"/>
        <d v="2025-09-24T15:30:28" u="1"/>
        <d v="2025-09-24T15:31:38" u="1"/>
        <d v="2025-09-24T15:31:59" u="1"/>
        <d v="2025-09-23T15:20:54" u="1"/>
        <d v="2025-09-23T15:21:46" u="1"/>
        <d v="2025-09-23T15:23:14" u="1"/>
        <d v="2025-09-23T08:10:11" u="1"/>
        <d v="2025-09-22T22:42:49" u="1"/>
        <d v="2025-09-22T15:34:20" u="1"/>
        <d v="2025-09-22T15:38:49" u="1"/>
        <d v="2025-09-22T22:42:55" u="1"/>
        <d v="2025-09-24T22:35:58" u="1"/>
        <d v="2025-09-24T15:28:48" u="1"/>
        <d v="2025-09-25T16:17:56" u="1"/>
        <d v="2025-09-25T15:26:40" u="1"/>
        <d v="2025-09-25T15:26:46" u="1"/>
        <d v="2025-09-16T14:55:31" u="1"/>
        <d v="2025-09-16T14:55:32" u="1"/>
        <d v="2025-09-23T19:54:09" u="1"/>
        <d v="2025-09-23T12:26:37" u="1"/>
        <d v="2025-09-22T18:09:23" u="1"/>
        <d v="2025-09-15T18:05:35" u="1"/>
        <d v="2025-09-15T18:05:36" u="1"/>
        <d v="2025-09-22T15:00:15" u="1"/>
        <d v="2025-09-24T15:46:07" u="1"/>
        <d v="2025-09-22T18:04:17" u="1"/>
        <d v="2025-09-22T18:04:25" u="1"/>
        <d v="2025-09-20T09:49:58" u="1"/>
        <d v="2025-09-20T09:50:11" u="1"/>
        <d v="2025-09-20T09:50:16" u="1"/>
        <d v="2025-09-20T09:50:21" u="1"/>
        <d v="2025-09-20T09:47:20" u="1"/>
        <d v="2025-09-23T16:23:28" u="1"/>
        <d v="2025-09-23T16:23:57" u="1"/>
        <d v="2025-09-25T19:42:10" u="1"/>
        <d v="2025-09-20T09:49:54" u="1"/>
        <d v="2025-09-22T09:52:35" u="1"/>
        <d v="2025-09-22T09:52:41" u="1"/>
        <d v="2025-09-22T13:40:59" u="1"/>
        <d v="2025-09-20T09:43:47" u="1"/>
        <d v="2025-09-20T09:43:50" u="1"/>
        <d v="2025-09-20T09:50:50" u="1"/>
        <d v="2025-09-20T09:53:01" u="1"/>
        <d v="2025-09-20T09:48:03" u="1"/>
        <d v="2025-09-20T09:48:21" u="1"/>
        <d v="2025-09-20T09:48:24" u="1"/>
        <d v="2025-09-20T09:48:28" u="1"/>
        <d v="2025-09-20T09:48:36" u="1"/>
        <d v="2025-09-24T18:56:52" u="1"/>
        <d v="2025-09-24T12:34:11" u="1"/>
        <d v="2025-09-18T00:15:24" u="1"/>
        <d v="2025-09-25T21:37:41" u="1"/>
        <d v="2025-09-23T20:38:22" u="1"/>
        <d v="2025-09-23T20:38:36" u="1"/>
        <d v="2025-09-22T14:22:39" u="1"/>
        <d v="2025-09-22T14:24:28" u="1"/>
        <d v="2025-09-16T19:00:54" u="1"/>
        <d v="2025-09-23T15:02:57" u="1"/>
        <d v="2025-09-22T17:01:58" u="1"/>
        <d v="2025-09-25T16:03:56" u="1"/>
        <d v="2025-09-25T22:05:40" u="1"/>
        <d v="2025-09-25T15:37:00" u="1"/>
        <d v="2025-09-25T15:37:04" u="1"/>
        <d v="2025-09-25T15:37:07" u="1"/>
        <d v="2025-09-25T15:37:14" u="1"/>
        <d v="2025-09-25T15:37:24" u="1"/>
        <d v="2025-09-23T14:48:31" u="1"/>
        <d v="2025-09-25T15:42:25" u="1"/>
        <d v="2025-09-24T14:41:30" u="1"/>
        <d v="2025-09-25T18:31:10" u="1"/>
        <d v="2025-09-25T18:33:22" u="1"/>
        <d v="2025-09-19T16:05:55" u="1"/>
        <d v="2025-09-23T15:01:57" u="1"/>
        <d v="2025-09-24T11:31:51" u="1"/>
        <d v="2025-09-12T06:50:47" u="1"/>
        <d v="2025-09-12T09:32:04" u="1"/>
        <d v="2025-09-12T09:32:25" u="1"/>
        <d v="2025-09-04T12:41:47" u="1"/>
        <d v="2025-09-16T18:17:33" u="1"/>
        <d v="2025-09-15T11:01:21" u="1"/>
        <d v="2025-09-15T14:16:06" u="1"/>
        <d v="2025-09-15T17:31:56" u="1"/>
        <d v="2025-09-25T18:33:27" u="1"/>
        <d v="2025-09-24T14:41:44" u="1"/>
        <d v="2025-09-10T22:24:47" u="1"/>
        <d v="2025-09-24T09:24:35" u="1"/>
        <d v="2025-09-24T09:24:42" u="1"/>
        <d v="2025-09-24T09:24:48" u="1"/>
        <d v="2025-09-10T22:25:53" u="1"/>
        <d v="2025-09-12T10:39:34" u="1"/>
        <d v="2025-09-24T18:58:17" u="1"/>
        <d v="2025-09-23T20:58:44" u="1"/>
        <d v="2025-09-23T15:00:45" u="1"/>
        <d v="2025-09-22T20:59:55" u="1"/>
        <d v="2025-09-23T02:05:20" u="1"/>
        <d v="2025-09-25T11:05:45" u="1"/>
        <d v="2025-09-25T10:54:45" u="1"/>
        <d v="2025-09-24T20:39:41" u="1"/>
        <d v="2025-09-24T20:39:50" u="1"/>
        <d v="2025-09-24T20:39:57" u="1"/>
        <d v="2025-09-22T20:02:08" u="1"/>
        <d v="2025-09-23T14:16:06" u="1"/>
        <d v="2025-09-23T14:16:09" u="1"/>
        <d v="2025-09-26T03:07:09" u="1"/>
        <d v="2025-09-24T22:03:00" u="1"/>
        <d v="2025-09-24T14:31:11" u="1"/>
        <d v="2025-09-22T13:51:56" u="1"/>
        <d v="2025-09-25T15:33:06" u="1"/>
        <d v="2025-09-25T15:34:05" u="1"/>
        <d v="2025-09-25T15:34:29" u="1"/>
        <d v="2025-09-25T21:46:19" u="1"/>
        <d v="2025-09-24T14:50:59" u="1"/>
        <d v="2025-09-23T14:44:49" u="1"/>
        <d v="2025-09-23T14:45:46" u="1"/>
        <d v="2025-09-24T14:52:28" u="1"/>
        <d v="2025-09-22T20:43:49" u="1"/>
        <d v="2025-09-22T20:45:14" u="1"/>
        <d v="2025-09-23T20:45:44" u="1"/>
        <d v="2025-09-23T20:46:40" u="1"/>
        <d v="2025-09-22T14:35:22" u="1"/>
        <d v="2025-09-22T14:36:20" u="1"/>
        <d v="2025-09-22T14:36:42" u="1"/>
        <d v="2025-09-22T14:37:25" u="1"/>
        <d v="2025-09-25T16:07:18" u="1"/>
        <d v="2025-09-25T22:41:49" u="1"/>
        <d v="2025-09-25T22:41:51" u="1"/>
        <d v="2025-09-24T22:31:17" u="1"/>
        <d v="2025-09-24T22:31:19" u="1"/>
        <d v="2025-09-24T22:31:25" u="1"/>
        <d v="2025-09-24T22:31:28" u="1"/>
        <d v="2025-09-24T22:31:43" u="1"/>
        <d v="2025-09-24T22:31:49" u="1"/>
        <d v="2025-09-23T15:17:26" u="1"/>
        <d v="2025-09-24T02:43:13" u="1"/>
        <d v="2025-09-24T02:43:26" u="1"/>
        <d v="2025-09-22T15:22:31" u="1"/>
        <d v="2025-09-22T15:25:54" u="1"/>
        <d v="2025-09-22T22:36:18" u="1"/>
        <d v="2025-09-24T15:25:15" u="1"/>
        <d v="2025-09-12T19:20:19" u="1"/>
        <d v="2025-09-12T19:20:22" u="1"/>
        <d v="2025-09-12T19:20:25" u="1"/>
        <d v="2025-09-25T15:57:54" u="1"/>
        <d v="2025-09-25T16:40:06" u="1"/>
        <d v="2025-09-25T16:55:36" u="1"/>
        <d v="2025-09-24T11:58:28" u="1"/>
        <d v="2025-09-24T22:06:21" u="1"/>
        <d v="2025-09-24T21:39:39" u="1"/>
        <d v="2025-09-25T13:02:30" u="1"/>
        <d v="2025-09-15T18:54:01" u="1"/>
        <d v="2025-09-17T18:46:36" u="1"/>
        <d v="2025-09-16T18:54:33" u="1"/>
        <d v="2025-09-25T15:46:17" u="1"/>
        <d v="2025-09-24T21:55:03" u="1"/>
        <d v="2025-09-22T14:52:13" u="1"/>
        <d v="2025-09-24T15:00:57" u="1"/>
        <d v="2025-09-22T20:59:43" u="1"/>
        <d v="2025-09-24T02:22:01" u="1"/>
        <d v="2025-09-24T02:22:04" u="1"/>
        <d v="2025-09-24T14:35:55" u="1"/>
        <d v="2025-09-22T20:03:54" u="1"/>
        <d v="2025-09-22T20:03:58" u="1"/>
        <d v="2025-09-22T20:04:47" u="1"/>
        <d v="2025-09-22T20:04:50" u="1"/>
        <d v="2025-09-22T20:05:04" u="1"/>
        <d v="2025-09-22T20:05:08" u="1"/>
        <d v="2025-09-22T20:06:23" u="1"/>
        <d v="2025-09-24T20:41:03" u="1"/>
        <d v="2025-09-24T20:41:06" u="1"/>
        <d v="2025-09-24T20:41:09" u="1"/>
        <d v="2025-09-24T14:34:47" u="1"/>
        <d v="2025-09-24T14:34:49" u="1"/>
        <d v="2025-09-24T02:21:45" u="1"/>
        <d v="2025-09-24T02:21:57" u="1"/>
        <d v="2025-09-23T20:22:22" u="1"/>
        <d v="2025-09-23T20:22:26" u="1"/>
        <d v="2025-09-23T20:22:33" u="1"/>
        <d v="2025-09-23T20:22:38" u="1"/>
        <d v="2025-09-23T20:22:50" u="1"/>
        <d v="2025-09-23T20:23:07" u="1"/>
        <d v="2025-09-23T20:23:10" u="1"/>
        <d v="2025-09-25T14:59:34" u="1"/>
        <d v="2025-09-25T14:59:48" u="1"/>
        <d v="2025-09-25T14:59:57" u="1"/>
        <d v="2025-09-25T15:00:14" u="1"/>
        <d v="2025-09-25T21:01:07" u="1"/>
        <d v="2025-09-25T21:01:11" u="1"/>
        <d v="2025-09-25T21:01:38" u="1"/>
        <d v="2025-09-24T10:38:15" u="1"/>
        <d v="2025-09-24T20:01:17" u="1"/>
        <d v="2025-09-23T20:24:41" u="1"/>
        <d v="2025-09-24T17:56:49" u="1"/>
        <d v="2025-09-15T16:55:55" u="1"/>
        <d v="2025-09-24T15:24:47" u="1"/>
        <d v="2025-09-24T15:30:44" u="1"/>
        <d v="2025-09-24T15:40:22" u="1"/>
        <d v="2025-09-24T15:43:29" u="1"/>
        <d v="2025-09-24T15:40:50" u="1"/>
        <d v="2025-09-24T16:10:09" u="1"/>
        <d v="2025-09-24T16:14:07" u="1"/>
        <d v="2025-09-24T16:16:05" u="1"/>
        <d v="2025-09-24T16:18:06" u="1"/>
        <d v="2025-09-24T16:30:19" u="1"/>
        <d v="2025-09-24T15:57:20" u="1"/>
        <d v="2025-09-24T17:34:05" u="1"/>
        <d v="2025-09-24T18:22:39" u="1"/>
        <d v="2025-09-24T18:48:01" u="1"/>
        <d v="2025-09-24T19:22:02" u="1"/>
        <d v="2025-09-24T19:28:00" u="1"/>
        <d v="2025-09-24T19:28:01" u="1"/>
        <d v="2025-09-22T16:38:21" u="1"/>
        <d v="2025-09-22T16:21:55" u="1"/>
        <d v="2025-09-23T10:35:44" u="1"/>
        <d v="2025-09-23T10:53:45" u="1"/>
        <d v="2025-09-23T20:01:57" u="1"/>
        <d v="2025-09-23T16:42:10" u="1"/>
        <d v="2025-09-23T16:42:25" u="1"/>
        <d v="2025-09-23T16:44:18" u="1"/>
        <d v="2025-09-23T17:04:09" u="1"/>
        <d v="2025-09-23T17:05:53" u="1"/>
        <d v="2025-09-23T17:14:16" u="1"/>
        <d v="2025-09-23T17:14:40" u="1"/>
        <d v="2025-09-23T17:25:29" u="1"/>
        <d v="2025-09-23T17:25:46" u="1"/>
        <d v="2025-09-23T17:32:10" u="1"/>
        <d v="2025-09-23T17:50:00" u="1"/>
        <d v="2025-09-23T18:00:39" u="1"/>
        <d v="2025-09-23T18:15:55" u="1"/>
        <d v="2025-09-23T18:18:08" u="1"/>
        <d v="2025-09-23T18:30:38" u="1"/>
        <d v="2025-09-23T18:39:57" u="1"/>
        <d v="2025-09-23T18:49:56" u="1"/>
        <d v="2025-09-23T21:59:56" u="1"/>
        <d v="2025-09-24T13:03:57" u="1"/>
        <d v="2025-09-24T13:05:59" u="1"/>
        <d v="2025-09-24T13:28:42" u="1"/>
        <d v="2025-09-24T13:28:43" u="1"/>
        <d v="2025-09-24T13:29:59" u="1"/>
        <d v="2025-09-24T13:30:01" u="1"/>
        <d v="2025-09-24T11:16:13" u="1"/>
        <d v="2025-09-24T12:13:57" u="1"/>
        <d v="2025-09-12T18:43:54" u="1"/>
        <d v="2025-09-16T00:12:27" u="1"/>
        <d v="2025-09-24T14:49:53" u="1"/>
        <d v="2025-09-24T14:50:00" u="1"/>
        <d v="2025-09-23T20:42:30" u="1"/>
        <d v="2025-09-18T18:55:41" u="1"/>
        <d v="2025-09-22T14:30:20" u="1"/>
        <d v="2025-09-20T08:43:29" u="1"/>
        <d v="2025-09-24T21:40:33" u="1"/>
        <d v="2025-09-22T14:29:27" u="1"/>
        <d v="2025-09-22T14:29:53" u="1"/>
        <d v="2025-09-22T14:29:56" u="1"/>
        <d v="2025-09-22T14:30:00" u="1"/>
        <d v="2025-09-22T14:30:03" u="1"/>
        <d v="2025-09-19T12:26:52" u="1"/>
        <d v="2025-09-24T16:07:36" u="1"/>
        <d v="2025-09-24T18:01:19" u="1"/>
        <d v="2025-09-24T18:01:20" u="1"/>
        <d v="2025-09-24T17:04:40" u="1"/>
        <d v="2025-09-13T00:25:40" u="1"/>
        <d v="2025-09-24T18:58:22" u="1"/>
        <d v="2025-09-23T16:26:50" u="1"/>
        <d v="2025-09-24T18:59:47" u="1"/>
        <d v="2025-09-24T18:59:51" u="1"/>
        <d v="2025-09-24T18:59:55" u="1"/>
        <d v="2025-09-24T18:59:58" u="1"/>
        <d v="2025-09-24T19:00:02" u="1"/>
        <d v="2025-09-24T19:00:21" u="1"/>
        <d v="2025-09-24T19:00:27" u="1"/>
        <d v="2025-09-24T19:00:31" u="1"/>
        <d v="2025-09-24T19:00:36" u="1"/>
        <d v="2025-09-24T19:00:40" u="1"/>
        <d v="2025-09-24T19:00:44" u="1"/>
        <d v="2025-09-24T19:00:48" u="1"/>
        <d v="2025-09-24T19:00:52" u="1"/>
        <d v="2025-09-24T19:00:56" u="1"/>
        <d v="2025-09-24T19:01:01" u="1"/>
        <d v="2025-09-24T19:01:05" u="1"/>
        <d v="2025-09-24T17:58:09" u="1"/>
        <d v="2025-09-24T17:58:50" u="1"/>
        <d v="2025-09-24T17:59:09" u="1"/>
        <d v="2025-09-24T17:59:19" u="1"/>
        <d v="2025-09-24T17:59:28" u="1"/>
        <d v="2025-09-15T18:23:32" u="1"/>
        <d v="2025-09-24T19:59:27" u="1"/>
        <d v="2025-09-24T22:00:07" u="1"/>
        <d v="2025-09-24T22:00:11" u="1"/>
        <d v="2025-09-24T20:55:11" u="1"/>
        <d v="2025-09-24T20:55:14" u="1"/>
        <d v="2025-09-24T22:58:41" u="1"/>
        <d v="2025-09-24T22:58:44" u="1"/>
        <d v="2025-09-24T23:54:37" u="1"/>
        <d v="2025-09-24T23:54:41" u="1"/>
        <d v="2025-09-25T00:58:33" u="1"/>
        <d v="2025-09-25T00:58:36" u="1"/>
        <d v="2025-09-25T01:53:57" u="1"/>
        <d v="2025-09-25T01:54:00" u="1"/>
        <d v="2025-09-25T02:48:22" u="1"/>
        <d v="2025-09-25T02:48:25" u="1"/>
        <d v="2025-09-25T03:47:49" u="1"/>
        <d v="2025-09-25T03:47:52" u="1"/>
        <d v="2025-09-25T04:45:52" u="1"/>
        <d v="2025-09-25T04:45:56" u="1"/>
        <d v="2025-09-25T05:42:25" u="1"/>
        <d v="2025-09-25T05:42:29" u="1"/>
        <d v="2025-09-25T06:46:33" u="1"/>
        <d v="2025-09-25T06:46:35" u="1"/>
        <d v="2025-09-24T21:52:32" u="1"/>
        <d v="2025-09-24T14:58:07" u="1"/>
        <d v="2025-09-23T20:53:03" u="1"/>
        <d v="2025-09-24T17:52:36" u="1"/>
        <d v="2025-09-24T09:24:26" u="1"/>
        <d v="2025-09-24T18:58:14" u="1"/>
        <d v="2025-09-12T18:47:00" u="1"/>
        <d v="2025-09-23T02:04:41" u="1"/>
        <d v="2025-09-12T08:42:10" u="1"/>
        <d v="2025-09-14T20:00:18" u="1"/>
        <d v="2025-09-15T15:38:14" u="1"/>
        <d v="2025-09-16T22:22:14" u="1"/>
        <d v="2025-09-22T06:12:22" u="1"/>
        <d v="2025-09-22T14:26:11" u="1"/>
        <d v="2025-09-24T00:06:10" u="1"/>
        <d v="2025-09-24T00:07:10" u="1"/>
        <d v="2025-09-23T22:20:15" u="1"/>
        <d v="2025-09-23T22:21:06" u="1"/>
        <d v="2025-09-23T18:43:12" u="1"/>
        <d v="2025-09-23T18:55:09" u="1"/>
        <d v="2025-09-23T19:17:10" u="1"/>
        <d v="2025-09-23T19:22:13" u="1"/>
        <d v="2025-09-22T23:29:14" u="1"/>
        <d v="2025-09-23T13:24:09" u="1"/>
        <d v="2025-09-22T21:08:12" u="1"/>
        <d v="2025-09-22T21:08:58" u="1"/>
        <d v="2025-09-23T23:22:59" u="1"/>
        <d v="2025-09-22T16:49:03" u="1"/>
        <d v="2025-09-23T15:06:21" u="1"/>
        <d v="2025-09-23T20:25:06" u="1"/>
        <d v="2025-09-23T12:39:53" u="1"/>
        <d v="2025-09-23T12:46:07" u="1"/>
        <d v="2025-09-23T12:28:57" u="1"/>
        <d v="2025-09-23T12:18:04" u="1"/>
        <d v="2025-09-23T12:24:26" u="1"/>
        <d v="2025-09-23T11:57:53" u="1"/>
        <d v="2025-09-23T11:59:53" u="1"/>
        <d v="2025-09-22T18:18:13" u="1"/>
        <d v="2025-09-22T18:34:18" u="1"/>
        <d v="2025-09-22T17:16:09" u="1"/>
        <d v="2025-09-22T17:16:16" u="1"/>
        <d v="2025-09-22T13:29:50" u="1"/>
        <d v="2025-09-22T10:37:49" u="1"/>
        <d v="2025-09-22T10:41:47" u="1"/>
        <d v="2025-09-22T15:09:59" u="1"/>
        <d v="2025-09-22T15:10:10" u="1"/>
        <d v="2025-09-19T11:54:00" u="1"/>
        <d v="2025-09-19T09:31:54" u="1"/>
        <d v="2025-09-19T12:50:02" u="1"/>
        <d v="2025-09-19T12:54:35" u="1"/>
        <d v="2025-09-19T12:58:19" u="1"/>
        <d v="2025-09-19T13:42:00" u="1"/>
        <d v="2025-09-19T15:20:15" u="1"/>
        <d v="2025-09-22T08:19:54" u="1"/>
        <d v="2025-09-22T08:21:51" u="1"/>
        <d v="2025-09-22T08:23:51" u="1"/>
        <d v="2025-09-22T09:19:27" u="1"/>
        <d v="2025-09-22T09:19:28" u="1"/>
        <d v="2025-09-22T09:19:33" u="1"/>
        <d v="2025-09-19T17:40:06" u="1"/>
        <d v="2025-09-23T21:07:54" u="1"/>
        <d v="2025-09-23T20:05:55" u="1"/>
        <d v="2025-09-23T17:14:14" u="1"/>
        <d v="2025-09-23T17:28:41" u="1"/>
        <d v="2025-09-23T17:44:09" u="1"/>
        <d v="2025-09-23T17:58:31" u="1"/>
        <d v="2025-09-23T18:07:58" u="1"/>
        <d v="2025-09-23T18:18:00" u="1"/>
        <d v="2025-09-23T10:43:52" u="1"/>
        <d v="2025-09-23T10:53:51" u="1"/>
        <d v="2025-09-23T11:50:01" u="1"/>
        <d v="2025-09-23T18:54:39" u="1"/>
        <d v="2025-09-22T16:03:03" u="1"/>
        <d v="2025-09-23T11:01:29" u="1"/>
        <d v="2025-09-23T11:01:32" u="1"/>
        <d v="2025-09-23T11:01:39" u="1"/>
        <d v="2025-09-23T11:01:40" u="1"/>
        <d v="2025-09-23T11:01:41" u="1"/>
        <d v="2025-09-16T12:01:46" u="1"/>
        <d v="2025-09-19T14:02:35" u="1"/>
        <d v="2025-09-19T14:03:14" u="1"/>
        <d v="2025-09-04T08:36:14" u="1"/>
        <d v="2025-09-04T08:36:15" u="1"/>
        <d v="2025-09-04T07:33:31" u="1"/>
        <d v="2025-09-04T07:34:11" u="1"/>
        <d v="2025-09-05T08:03:03" u="1"/>
        <d v="2025-09-09T18:00:38" u="1"/>
        <d v="2025-09-08T10:00:43" u="1"/>
        <d v="2025-09-14T11:03:52" u="1"/>
        <d v="2025-09-16T09:01:50" u="1"/>
        <d v="2025-09-16T17:01:49" u="1"/>
        <d v="2025-09-16T17:02:11" u="1"/>
        <d v="2025-09-16T18:03:12" u="1"/>
        <d v="2025-09-16T18:03:16" u="1"/>
        <d v="2025-09-14T11:07:46" u="1"/>
        <d v="2025-09-16T12:01:44" u="1"/>
        <d v="2025-09-22T15:16:18" u="1"/>
        <d v="2025-09-23T21:04:55" u="1"/>
        <d v="2025-09-12T19:12:40" u="1"/>
        <d v="2025-09-23T15:04:14" u="1"/>
        <d v="2025-09-22T21:13:59" u="1"/>
        <d v="2025-09-20T09:56:26" u="1"/>
        <d v="2025-09-20T13:12:39" u="1"/>
        <d v="2025-09-20T13:12:57" u="1"/>
        <d v="2025-09-23T20:41:05" u="1"/>
        <d v="2025-09-20T13:13:33" u="1"/>
        <d v="2025-09-20T13:14:11" u="1"/>
        <d v="2025-09-23T16:26:54" u="1"/>
        <d v="2025-09-23T16:26:43" u="1"/>
        <d v="2025-09-22T13:44:02" u="1"/>
        <d v="2025-09-22T13:44:13" u="1"/>
        <d v="2025-09-22T13:45:20" u="1"/>
        <d v="2025-09-23T12:48:59" u="1"/>
        <d v="2025-09-23T12:49:07" u="1"/>
        <d v="2025-09-22T18:07:21" u="1"/>
        <d v="2025-09-23T12:48:25" u="1"/>
        <d v="2025-09-23T16:25:08" u="1"/>
        <d v="2025-09-23T16:25:18" u="1"/>
        <d v="2025-09-22T13:42:51" u="1"/>
        <d v="2025-09-23T20:24:20" u="1"/>
        <d v="2025-09-23T20:24:36" u="1"/>
        <d v="2025-09-22T15:34:15" u="1"/>
        <d v="2025-09-22T15:34:35" u="1"/>
        <d v="2025-09-24T02:31:52" u="1"/>
        <d v="2025-09-20T09:53:35" u="1"/>
        <d v="2025-09-19T12:21:22" u="1"/>
        <d v="2025-09-23T18:37:01" u="1"/>
        <d v="2025-09-20T10:16:52" u="1"/>
        <d v="2025-09-20T10:16:58" u="1"/>
        <d v="2025-09-05T00:35:23" u="1"/>
        <d v="2025-09-15T18:46:22" u="1"/>
        <d v="2025-09-22T20:51:44" u="1"/>
        <d v="2025-09-23T17:20:48" u="1"/>
        <d v="2025-09-23T11:41:26" u="1"/>
        <d v="2025-09-23T11:42:53" u="1"/>
        <d v="2025-09-22T16:42:39" u="1"/>
        <d v="2025-09-20T08:41:04" u="1"/>
        <d v="2025-09-19T16:10:59" u="1"/>
        <d v="2025-09-19T16:11:07" u="1"/>
        <d v="2025-09-19T16:01:45" u="1"/>
        <d v="2025-09-19T16:03:09" u="1"/>
        <d v="2025-09-19T16:05:06" u="1"/>
        <d v="2025-09-23T20:20:51" u="1"/>
        <d v="2025-09-17T18:45:28" u="1"/>
        <d v="2025-09-22T17:33:09" u="1"/>
        <d v="2025-09-23T09:55:31" u="1"/>
        <d v="2025-09-23T12:55:36" u="1"/>
        <d v="2025-09-22T13:59:25" u="1"/>
        <d v="2025-09-16T12:04:11" u="1"/>
        <d v="2025-09-24T02:21:38" u="1"/>
        <d v="2025-09-19T12:41:54" u="1"/>
        <d v="2025-09-20T13:16:36" u="1"/>
        <d v="2025-09-23T20:59:51" u="1"/>
        <d v="2025-09-22T21:03:31" u="1"/>
        <d v="2025-09-18T12:33:07" u="1"/>
        <d v="2025-09-20T10:08:42" u="1"/>
        <d v="2025-09-16T00:30:26" u="1"/>
        <d v="2025-09-23T12:51:21" u="1"/>
        <d v="2025-09-17T18:45:45" u="1"/>
        <d v="2025-09-17T18:45:46" u="1"/>
        <d v="2025-09-17T18:45:58" u="1"/>
        <d v="2025-09-23T14:59:14" u="1"/>
        <d v="2025-09-23T14:16:30" u="1"/>
        <d v="2025-09-23T02:02:10" u="1"/>
        <d v="2025-09-23T02:02:11" u="1"/>
        <d v="2025-09-22T20:36:40" u="1"/>
        <d v="2025-09-08T13:08:40" u="1"/>
        <d v="2025-09-23T01:07:22" u="1"/>
        <d v="2025-09-22T12:28:12" u="1"/>
        <d v="2025-09-18T20:20:03" u="1"/>
        <d v="2025-07-28T12:31:47" u="1"/>
        <d v="2025-07-28T12:47:13" u="1"/>
        <d v="2025-07-28T12:47:22" u="1"/>
        <d v="2025-08-05T17:32:46" u="1"/>
        <d v="2025-08-05T17:32:59" u="1"/>
        <d v="2025-09-22T15:44:25" u="1"/>
        <d v="2025-09-22T15:44:27" u="1"/>
        <d v="2025-09-22T15:44:29" u="1"/>
        <d v="2025-09-22T15:44:31" u="1"/>
        <d v="2025-09-22T15:44:35" u="1"/>
        <d v="2025-09-22T15:44:37" u="1"/>
        <d v="2025-09-22T15:44:41" u="1"/>
        <d v="2025-09-22T15:44:45" u="1"/>
        <d v="2025-09-22T15:44:48" u="1"/>
        <d v="2025-09-22T15:44:50" u="1"/>
        <d v="2025-09-22T15:44:52" u="1"/>
        <d v="2025-09-22T15:44:55" u="1"/>
        <d v="2025-09-22T15:44:57" u="1"/>
        <d v="2025-09-22T15:44:59" u="1"/>
        <d v="2025-09-22T15:45:01" u="1"/>
        <d v="2025-09-22T15:45:03" u="1"/>
        <d v="2025-09-22T15:45:05" u="1"/>
        <d v="2025-09-22T15:45:08" u="1"/>
        <d v="2025-09-22T12:24:27" u="1"/>
        <d v="2025-09-22T20:35:09" u="1"/>
        <d v="2025-09-22T20:35:24" u="1"/>
        <d v="2025-09-22T20:39:23" u="1"/>
        <d v="2025-09-22T16:49:21" u="1"/>
        <d v="2025-09-22T16:49:32" u="1"/>
        <d v="2025-09-22T16:52:01" u="1"/>
        <d v="2025-09-19T09:17:23" u="1"/>
        <d v="2025-09-22T20:35:01" u="1"/>
        <d v="2025-09-22T16:48:33" u="1"/>
        <d v="2025-09-17T22:16:26" u="1"/>
        <d v="2025-09-17T22:16:39" u="1"/>
        <d v="2025-09-19T13:35:41" u="1"/>
        <d v="2025-09-18T17:50:55" u="1"/>
        <d v="2025-09-22T18:05:47" u="1"/>
        <d v="2025-09-19T10:19:37" u="1"/>
        <d v="2025-09-22T20:39:33" u="1"/>
        <d v="2025-09-22T12:25:39" u="1"/>
        <d v="2025-09-19T10:18:54" u="1"/>
        <d v="2025-09-22T17:51:02" u="1"/>
        <d v="2025-09-19T15:34:04" u="1"/>
        <d v="2025-09-22T12:20:27" u="1"/>
        <d v="2025-09-22T18:56:01" u="1"/>
        <d v="2025-09-22T19:35:46" u="1"/>
        <d v="2025-09-22T14:51:51" u="1"/>
        <d v="2025-09-22T22:33:40" u="1"/>
        <d v="2025-09-22T16:01:56" u="1"/>
        <d v="2025-09-22T12:53:52" u="1"/>
        <d v="2025-09-22T12:55:49" u="1"/>
        <d v="2025-09-19T11:14:01" u="1"/>
        <d v="2025-09-19T19:34:21" u="1"/>
        <d v="2025-09-19T17:25:35" u="1"/>
        <d v="2025-09-19T17:38:06" u="1"/>
        <d v="2025-09-19T17:46:02" u="1"/>
        <d v="2025-09-19T17:48:04" u="1"/>
        <d v="2025-09-19T15:50:18" u="1"/>
        <d v="2025-09-19T16:27:14" u="1"/>
        <d v="2025-09-19T16:28:05" u="1"/>
        <d v="2025-09-20T11:57:46" u="1"/>
        <d v="2025-09-22T09:19:46" u="1"/>
        <d v="2025-09-22T09:19:48" u="1"/>
        <d v="2025-09-19T13:00:32" u="1"/>
        <d v="2025-09-19T13:54:28" u="1"/>
        <d v="2025-09-19T14:04:09" u="1"/>
        <d v="2025-09-19T12:40:11" u="1"/>
        <d v="2025-09-19T15:24:26" u="1"/>
        <d v="2025-09-19T10:31:49" u="1"/>
        <d v="2025-09-20T10:11:51" u="1"/>
        <d v="2025-09-19T12:35:04" u="1"/>
        <d v="2025-09-22T09:56:26" u="1"/>
        <d v="2025-09-22T20:37:33" u="1"/>
        <d v="2025-09-11T21:40:43" u="1"/>
        <d v="2025-09-10T22:37:27" u="1"/>
        <d v="2025-09-22T20:39:43" u="1"/>
        <d v="2025-09-19T12:35:48" u="1"/>
        <d v="2025-09-19T17:04:24" u="1"/>
        <d v="2025-09-22T20:39:18" u="1"/>
        <d v="2025-09-12T10:21:00" u="1"/>
        <d v="2025-09-22T20:38:37" u="1"/>
        <d v="2025-09-22T16:11:37" u="1"/>
        <d v="2025-09-22T16:11:40" u="1"/>
        <d v="2025-09-22T16:10:09" u="1"/>
        <d v="2025-09-22T16:10:13" u="1"/>
        <d v="2025-09-22T16:01:01" u="1"/>
        <d v="2025-09-22T16:01:31" u="1"/>
        <d v="2025-09-16T15:00:48" u="1"/>
        <d v="2025-09-22T16:04:08" u="1"/>
        <d v="2025-09-22T16:04:13" u="1"/>
        <d v="2025-09-22T16:04:17" u="1"/>
        <d v="2025-09-22T16:04:22" u="1"/>
        <d v="2025-09-20T09:55:05" u="1"/>
        <d v="2025-09-20T09:55:22" u="1"/>
        <d v="2025-09-13T00:25:47" u="1"/>
        <d v="2025-09-13T00:25:48" u="1"/>
        <d v="2025-09-18T18:46:58" u="1"/>
        <d v="2025-09-15T14:18:44" u="1"/>
        <d v="2025-09-22T20:37:00" u="1"/>
        <d v="2025-09-22T20:38:08" u="1"/>
        <d v="2025-09-18T14:37:04" u="1"/>
        <d v="2025-09-19T16:19:57" u="1"/>
        <d v="2025-09-16T11:29:32" u="1"/>
        <d v="2025-09-18T17:58:05" u="1"/>
        <d v="2025-09-18T17:58:12" u="1"/>
        <d v="2025-09-18T11:21:20" u="1"/>
        <d v="2025-09-11T16:16:30" u="1"/>
        <d v="2025-09-11T16:16:35" u="1"/>
        <d v="2025-09-11T16:16:40" u="1"/>
        <d v="2025-09-22T20:37:45" u="1"/>
        <d v="2025-09-19T10:20:45" u="1"/>
        <d v="2025-09-19T10:20:50" u="1"/>
        <d v="2025-09-19T13:36:42" u="1"/>
        <d v="2025-09-19T13:36:52" u="1"/>
        <d v="2025-09-22T13:44:21" u="1"/>
        <d v="2025-09-22T09:54:13" u="1"/>
        <d v="2025-09-22T09:54:19" u="1"/>
        <d v="2025-09-22T18:07:00" u="1"/>
        <d v="2025-09-22T18:07:38" u="1"/>
        <d v="2025-09-22T18:07:45" u="1"/>
        <d v="2025-09-18T14:34:29" u="1"/>
        <d v="2025-09-19T10:20:39" u="1"/>
        <d v="2025-09-19T12:12:30" u="1"/>
        <d v="2025-09-19T12:12:40" u="1"/>
        <d v="2025-09-22T15:38:31" u="1"/>
        <d v="2025-09-15T23:34:46" u="1"/>
        <d v="2025-09-20T09:41:24" u="1"/>
        <d v="2025-09-20T09:45:56" u="1"/>
        <d v="2025-09-20T09:47:24" u="1"/>
        <d v="2025-09-20T09:47:39" u="1"/>
        <d v="2025-09-20T09:46:40" u="1"/>
        <d v="2025-09-20T09:44:18" u="1"/>
        <d v="2025-09-23T00:26:16" u="1"/>
        <d v="2025-09-23T00:26:21" u="1"/>
        <d v="2025-09-22T23:26:48" u="1"/>
        <d v="2025-09-22T23:26:53" u="1"/>
        <d v="2025-09-22T22:32:56" u="1"/>
        <d v="2025-09-22T22:33:01" u="1"/>
        <d v="2025-09-22T21:34:55" u="1"/>
        <d v="2025-09-22T23:22:30" u="1"/>
        <d v="2025-09-23T00:21:49" u="1"/>
        <d v="2025-09-22T21:30:24" u="1"/>
        <d v="2025-09-22T22:28:06" u="1"/>
        <d v="2025-09-22T20:15:01" u="1"/>
        <d v="2025-09-22T19:10:59" u="1"/>
        <d v="2025-09-22T17:54:07" u="1"/>
        <d v="2025-09-19T15:40:10" u="1"/>
        <d v="2025-09-19T14:44:16" u="1"/>
        <d v="2025-09-22T16:17:23" u="1"/>
        <d v="2025-09-22T13:27:39" u="1"/>
        <d v="2025-09-22T14:56:37" u="1"/>
        <d v="2025-09-22T09:45:20" u="1"/>
        <d v="2025-09-22T10:56:12" u="1"/>
        <d v="2025-09-22T12:04:00" u="1"/>
        <d v="2025-09-23T06:31:28" u="1"/>
        <d v="2025-09-23T06:31:35" u="1"/>
        <d v="2025-09-23T05:28:48" u="1"/>
        <d v="2025-09-23T05:28:56" u="1"/>
        <d v="2025-09-23T04:28:49" u="1"/>
        <d v="2025-09-23T04:28:57" u="1"/>
        <d v="2025-09-23T03:29:14" u="1"/>
        <d v="2025-09-23T03:29:20" u="1"/>
        <d v="2025-09-23T01:23:57" u="1"/>
        <d v="2025-09-23T01:24:02" u="1"/>
        <d v="2025-09-23T02:20:10" u="1"/>
        <d v="2025-09-23T02:20:16" u="1"/>
        <d v="2025-09-19T16:19:13" u="1"/>
        <d v="2025-09-20T09:44:51" u="1"/>
        <d v="2025-09-20T09:48:47" u="1"/>
        <d v="2025-09-20T09:46:32" u="1"/>
        <d v="2025-09-20T09:47:50" u="1"/>
        <d v="2025-09-22T20:20:42" u="1"/>
        <d v="2025-09-20T12:53:21" u="1"/>
        <d v="2025-09-20T10:50:40" u="1"/>
        <d v="2025-09-20T11:47:17" u="1"/>
        <d v="2025-09-21T22:10:33" u="1"/>
        <d v="2025-09-21T23:05:31" u="1"/>
        <d v="2025-09-21T23:59:40" u="1"/>
        <d v="2025-09-22T01:01:47" u="1"/>
        <d v="2025-09-22T01:58:16" u="1"/>
        <d v="2025-09-22T02:53:46" u="1"/>
        <d v="2025-09-22T03:50:56" u="1"/>
        <d v="2025-09-22T04:47:12" u="1"/>
        <d v="2025-09-22T05:43:47" u="1"/>
        <d v="2025-09-22T06:52:52" u="1"/>
        <d v="2025-09-22T07:48:55" u="1"/>
        <d v="2025-09-22T08:44:29" u="1"/>
        <d v="2025-09-21T19:55:17" u="1"/>
        <d v="2025-09-21T20:13:50" u="1"/>
        <d v="2025-09-21T21:07:57" u="1"/>
        <d v="2025-09-23T02:14:43" u="1"/>
        <d v="2025-09-23T01:18:41" u="1"/>
        <d v="2025-09-23T03:23:46" u="1"/>
        <d v="2025-09-23T04:23:32" u="1"/>
        <d v="2025-09-23T05:22:26" u="1"/>
        <d v="2025-09-23T06:25:42" u="1"/>
        <d v="2025-09-20T09:34:36" u="1"/>
        <d v="2025-09-20T13:50:20" u="1"/>
        <d v="2025-09-20T14:46:26" u="1"/>
        <d v="2025-09-20T16:13:42" u="1"/>
        <d v="2025-09-20T17:09:45" u="1"/>
        <d v="2025-09-20T18:06:27" u="1"/>
        <d v="2025-09-20T19:12:33" u="1"/>
        <d v="2025-09-20T20:08:40" u="1"/>
        <d v="2025-09-20T21:04:05" u="1"/>
        <d v="2025-09-20T22:00:26" u="1"/>
        <d v="2025-09-20T22:56:01" u="1"/>
        <d v="2025-09-20T23:50:36" u="1"/>
        <d v="2025-09-21T00:51:34" u="1"/>
        <d v="2025-09-21T01:46:20" u="1"/>
        <d v="2025-09-21T02:39:18" u="1"/>
        <d v="2025-09-21T03:40:17" u="1"/>
        <d v="2025-09-21T04:34:26" u="1"/>
        <d v="2025-09-21T05:30:11" u="1"/>
        <d v="2025-09-21T06:32:43" u="1"/>
        <d v="2025-09-21T07:29:33" u="1"/>
        <d v="2025-09-21T08:27:42" u="1"/>
        <d v="2025-09-21T09:31:02" u="1"/>
        <d v="2025-09-21T10:26:02" u="1"/>
        <d v="2025-09-21T11:20:49" u="1"/>
        <d v="2025-09-21T12:21:57" u="1"/>
        <d v="2025-09-21T13:17:30" u="1"/>
        <d v="2025-09-21T14:12:28" u="1"/>
        <d v="2025-09-21T15:10:50" u="1"/>
        <d v="2025-09-21T16:06:53" u="1"/>
        <d v="2025-09-21T17:00:46" u="1"/>
        <d v="2025-09-21T18:02:52" u="1"/>
        <d v="2025-09-21T18:59:31" u="1"/>
        <d v="2025-09-21T19:19:39" u="1"/>
        <d v="2025-09-20T09:49:09" u="1"/>
        <d v="2025-09-20T09:49:03" u="1"/>
        <d v="2025-09-20T09:45:27" u="1"/>
        <d v="2025-09-19T16:19:33" u="1"/>
        <d v="2025-09-20T09:50:59" u="1"/>
        <d v="2025-09-20T09:51:03" u="1"/>
        <d v="2025-09-20T09:48:56" u="1"/>
        <d v="2025-09-15T23:33:54" u="1"/>
        <d v="2025-09-20T09:44:37" u="1"/>
        <d v="2025-09-20T09:44:40" u="1"/>
        <d v="2025-09-20T09:44:44" u="1"/>
        <d v="2025-09-20T09:44:46" u="1"/>
        <d v="2025-09-20T09:42:34" u="1"/>
        <d v="2025-09-20T09:42:38" u="1"/>
        <d v="2025-09-20T09:42:51" u="1"/>
        <d v="2025-09-22T12:29:58" u="1"/>
        <d v="2025-09-20T09:48:08" u="1"/>
        <d v="2025-09-20T09:51:18" u="1"/>
        <d v="2025-09-19T16:19:26" u="1"/>
        <d v="2025-09-20T09:45:42" u="1"/>
        <d v="2025-09-20T09:45:51" u="1"/>
        <d v="2025-09-20T09:47:58" u="1"/>
        <d v="2025-09-20T09:48:41" u="1"/>
        <d v="2025-09-19T16:19:20" u="1"/>
        <d v="2025-09-19T12:20:48" u="1"/>
        <d v="2025-09-18T12:44:28" u="1"/>
        <d v="2025-09-22T20:52:52" u="1"/>
        <d v="2025-09-22T20:52:58" u="1"/>
        <d v="2025-09-22T14:47:06" u="1"/>
        <d v="2025-09-19T16:31:22" u="1"/>
        <d v="2025-09-19T16:31:27" u="1"/>
        <d v="2025-09-19T16:10:18" u="1"/>
        <d v="2025-09-22T16:42:21" u="1"/>
        <d v="2025-09-22T20:32:16" u="1"/>
        <d v="2025-09-22T20:32:21" u="1"/>
        <d v="2025-09-19T16:08:29" u="1"/>
        <d v="2025-09-19T12:31:16" u="1"/>
        <d v="2025-09-19T16:02:58" u="1"/>
        <d v="2025-09-19T16:07:13" u="1"/>
        <d v="2025-09-15T23:32:20" u="1"/>
        <d v="2025-09-22T20:32:34" u="1"/>
        <d v="2025-09-19T16:07:46" u="1"/>
        <d v="2025-09-19T16:08:04" u="1"/>
        <d v="2025-09-19T16:05:10" u="1"/>
        <d v="2025-09-19T12:31:24" u="1"/>
        <d v="2025-09-19T12:31:02" u="1"/>
        <d v="2025-09-19T16:09:04" u="1"/>
        <d v="2025-09-19T16:12:06" u="1"/>
        <d v="2025-09-19T16:13:13" u="1"/>
        <d v="2025-09-22T20:31:46" u="1"/>
        <d v="2025-09-22T20:31:50" u="1"/>
        <d v="2025-09-22T16:43:30" u="1"/>
        <d v="2025-09-22T16:43:35" u="1"/>
        <d v="2025-09-22T12:23:07" u="1"/>
        <d v="2025-09-19T16:03:48" u="1"/>
        <d v="2025-09-19T16:05:50" u="1"/>
        <d v="2025-09-20T08:41:12" u="1"/>
        <d v="2025-09-20T08:40:54" u="1"/>
        <d v="2025-09-21T21:20:48" u="1"/>
        <d v="2025-09-19T16:11:54" u="1"/>
        <d v="2025-09-22T20:38:50" u="1"/>
        <d v="2025-09-22T20:38:14" u="1"/>
        <d v="2025-09-22T16:53:28" u="1"/>
        <d v="2025-09-22T20:36:15" u="1"/>
        <d v="2025-09-22T20:39:12" u="1"/>
        <d v="2025-09-22T20:39:49" u="1"/>
        <d v="2025-09-22T09:53:26" u="1"/>
        <d v="2025-09-22T12:25:14" u="1"/>
        <d v="2025-09-22T12:29:04" u="1"/>
        <d v="2025-09-22T12:25:21" u="1"/>
        <d v="2025-09-22T10:49:48" u="1"/>
        <d v="2025-09-22T10:49:49" u="1"/>
        <d v="2025-09-19T16:26:11" u="1"/>
        <d v="2025-09-19T12:28:35" u="1"/>
        <d v="2025-09-19T12:28:47" u="1"/>
        <d v="2025-09-22T14:16:04" u="1"/>
        <d v="2025-09-22T18:10:27" u="1"/>
        <d v="2025-09-22T20:39:27" u="1"/>
        <d v="2025-09-19T10:51:34" u="1"/>
        <d v="2025-09-20T09:59:16" u="1"/>
        <d v="2025-09-19T06:10:38" u="1"/>
        <d v="2025-09-20T18:29:04" u="1"/>
        <d v="2025-09-21T03:50:23" u="1"/>
        <d v="2025-09-20T10:03:33" u="1"/>
        <d v="2025-09-20T10:03:40" u="1"/>
        <d v="2025-09-20T10:03:45" u="1"/>
        <d v="2025-09-20T10:06:50" u="1"/>
        <d v="2025-09-19T14:17:05" u="1"/>
        <d v="2025-09-20T10:07:07" u="1"/>
        <d v="2025-09-20T09:54:01" u="1"/>
        <d v="2025-09-19T13:35:29" u="1"/>
        <d v="2025-09-19T16:47:07" u="1"/>
        <d v="2025-09-19T12:32:14" u="1"/>
        <d v="2025-09-20T21:11:10" u="1"/>
        <d v="2025-09-20T08:43:46" u="1"/>
        <d v="2025-09-20T08:44:25" u="1"/>
        <d v="2025-09-20T08:44:34" u="1"/>
        <d v="2025-09-19T16:17:12" u="1"/>
        <d v="2025-09-19T16:17:19" u="1"/>
        <d v="2025-09-18T16:01:35" u="1"/>
        <d v="2025-09-20T09:56:05" u="1"/>
        <d v="2025-09-06T00:05:22" u="1"/>
        <d v="2025-09-06T00:05:23" u="1"/>
        <d v="2025-09-06T00:05:24" u="1"/>
        <d v="2025-09-05T00:04:43" u="1"/>
        <d v="2025-09-05T00:04:44" u="1"/>
        <d v="2025-09-19T12:26:56" u="1"/>
        <d v="2025-09-12T12:40:56" u="1"/>
        <d v="2025-09-18T18:54:20" u="1"/>
        <d v="2025-09-18T18:05:58" u="1"/>
        <d v="2025-09-18T11:04:00" u="1"/>
        <d v="2025-09-17T17:01:29" u="1"/>
        <d v="2025-09-19T15:03:57" u="1"/>
        <d v="2025-09-19T15:03:58" u="1"/>
        <d v="2025-09-16T12:41:35" u="1"/>
        <d v="2025-09-14T00:05:50" u="1"/>
        <d v="2025-09-12T19:01:20" u="1"/>
        <d v="2025-09-12T19:02:58" u="1"/>
        <d v="2025-09-15T12:42:21" u="1"/>
        <d v="2025-09-15T12:42:41" u="1"/>
        <d v="2025-09-20T10:38:32" u="1"/>
        <d v="2025-09-20T10:49:09" u="1"/>
        <d v="2025-09-20T13:16:40" u="1"/>
        <d v="2025-09-19T12:25:18" u="1"/>
        <d v="2025-09-20T09:55:06" u="1"/>
        <d v="2025-09-19T12:24:46" u="1"/>
        <d v="2025-09-12T19:12:32" u="1"/>
        <d v="2025-09-20T10:34:24" u="1"/>
        <d v="2025-09-20T07:11:49" u="1"/>
        <d v="2025-09-20T07:19:20" u="1"/>
        <d v="2025-09-20T07:09:58" u="1"/>
        <d v="2025-09-15T08:14:40" u="1"/>
        <d v="2025-09-15T08:14:41" u="1"/>
        <d v="2025-09-16T14:35:26" u="1"/>
        <d v="2025-09-12T16:56:24" u="1"/>
        <d v="2025-09-12T16:56:25" u="1"/>
        <d v="2025-09-16T13:18:47" u="1"/>
        <d v="2025-09-15T09:56:21" u="1"/>
        <d v="2025-09-20T08:44:38" u="1"/>
        <d v="2025-09-20T08:43:37" u="1"/>
        <d v="2025-09-20T09:57:20" u="1"/>
        <d v="2025-09-19T13:38:25" u="1"/>
        <d v="2025-09-19T19:37:34" u="1"/>
        <d v="2025-09-19T12:08:41" u="1"/>
        <d v="2025-09-18T19:17:10" u="1"/>
        <d v="2025-09-18T19:17:11" u="1"/>
        <d v="2025-09-19T17:34:32" u="1"/>
        <d v="2025-09-18T14:17:03" u="1"/>
        <d v="2025-09-18T14:17:05" u="1"/>
        <d v="2025-09-19T13:15:58" u="1"/>
        <d v="2025-09-19T13:15:59" u="1"/>
        <d v="2025-09-19T13:16:01" u="1"/>
        <d v="2025-09-19T13:16:02" u="1"/>
        <d v="2025-09-19T13:16:03" u="1"/>
        <d v="2025-09-17T22:24:46" u="1"/>
        <d v="2025-09-20T09:25:00" u="1"/>
        <d v="2025-09-19T13:04:59" u="1"/>
        <d v="2025-09-11T19:34:27" u="1"/>
        <d v="2025-09-20T10:59:31" u="1"/>
        <d v="2025-09-16T12:48:36" u="1"/>
        <d v="2025-09-19T13:05:03" u="1"/>
        <d v="2025-09-18T00:34:09" u="1"/>
        <d v="2025-09-03T15:34:58" u="1"/>
        <d v="2025-09-18T11:37:31" u="1"/>
        <d v="2025-09-18T11:37:32" u="1"/>
        <d v="2025-09-18T11:37:33" u="1"/>
        <d v="2025-09-18T11:37:34" u="1"/>
        <d v="2025-09-18T11:37:35" u="1"/>
        <d v="2025-09-18T11:37:37" u="1"/>
        <d v="2025-09-18T11:37:38" u="1"/>
        <d v="2025-09-18T11:37:39" u="1"/>
        <d v="2025-09-18T11:37:41" u="1"/>
        <d v="2025-09-18T11:37:42" u="1"/>
        <d v="2025-09-08T14:07:08" u="1"/>
        <d v="2025-09-09T17:07:02" u="1"/>
        <d v="2025-09-15T16:45:47" u="1"/>
        <d v="2025-09-15T17:06:19" u="1"/>
        <d v="2025-09-19T10:57:36" u="1"/>
        <d v="2025-09-10T12:25:54" u="1"/>
        <d v="2025-09-09T16:36:52" u="1"/>
        <d v="2025-09-15T09:56:30" u="1"/>
        <d v="2025-09-19T12:46:10" u="1"/>
        <d v="2025-09-19T12:46:33" u="1"/>
        <d v="2025-09-20T09:51:59" u="1"/>
        <d v="2025-09-20T09:53:29" u="1"/>
        <d v="2025-09-16T12:27:09" u="1"/>
        <d v="2025-09-20T09:50:31" u="1"/>
        <d v="2025-09-20T09:50:07" u="1"/>
        <d v="2025-09-19T12:21:01" u="1"/>
        <d v="2025-09-21T13:32:00" u="1"/>
        <d v="2025-09-17T14:34:48" u="1"/>
        <d v="2025-09-17T14:41:54" u="1"/>
        <d v="2025-09-19T16:07:51" u="1"/>
        <d v="2025-09-19T16:09:38" u="1"/>
        <d v="2025-09-19T16:03:58" u="1"/>
        <d v="2025-09-19T16:04:02" u="1"/>
        <d v="2025-09-19T16:11:36" u="1"/>
        <d v="2025-09-20T08:40:41" u="1"/>
        <d v="2025-09-20T08:41:55" u="1"/>
        <d v="2025-09-19T16:12:44" u="1"/>
        <d v="2025-09-19T17:01:36" u="1"/>
        <d v="2025-09-19T16:14:07" u="1"/>
        <d v="2025-09-19T16:14:15" u="1"/>
        <d v="2025-09-19T13:36:05" u="1"/>
        <d v="2025-09-20T15:22:11" u="1"/>
        <d v="2025-09-19T15:47:16" u="1"/>
        <d v="2025-09-19T16:06:21" u="1"/>
        <d v="2025-09-18T12:06:15" u="1"/>
        <d v="2025-09-15T12:06:49" u="1"/>
        <d v="2025-09-18T12:06:11" u="1"/>
        <d v="2025-09-18T12:08:21" u="1"/>
        <d v="2025-09-18T12:05:17" u="1"/>
        <d v="2025-09-16T18:05:51" u="1"/>
        <d v="2025-09-18T12:09:13" u="1"/>
        <d v="2025-09-22T01:42:39" u="1"/>
        <d v="2025-09-15T12:26:53" u="1"/>
        <d v="2025-09-19T12:33:59" u="1"/>
        <d v="2025-09-21T19:37:46" u="1"/>
        <d v="2025-09-20T09:59:28" u="1"/>
        <d v="2025-09-20T10:02:31" u="1"/>
        <d v="2025-09-20T10:08:49" u="1"/>
        <d v="2025-09-20T10:09:58" u="1"/>
        <d v="2025-09-20T10:11:21" u="1"/>
        <d v="2025-09-13T00:27:59" u="1"/>
        <d v="2025-09-18T19:53:26" u="1"/>
        <d v="2025-09-20T10:54:22" u="1"/>
        <d v="2025-09-20T10:54:36" u="1"/>
        <d v="2025-09-20T10:55:00" u="1"/>
        <d v="2025-09-19T07:44:30" u="1"/>
        <d v="2025-09-18T12:07:43" u="1"/>
        <d v="2025-09-10T17:13:15" u="1"/>
        <d v="2025-09-10T17:13:18" u="1"/>
        <d v="2025-09-15T16:35:57" u="1"/>
        <d v="2025-09-10T11:26:48" u="1"/>
        <d v="2025-09-09T16:55:42" u="1"/>
        <d v="2025-09-16T10:45:18" u="1"/>
        <d v="2025-09-17T17:07:21" u="1"/>
        <d v="2025-09-10T18:05:53" u="1"/>
        <d v="2025-09-10T16:26:31" u="1"/>
        <d v="2025-09-20T09:58:07" u="1"/>
        <d v="2025-09-20T09:58:11" u="1"/>
        <d v="2025-09-20T09:58:14" u="1"/>
        <d v="2025-09-20T09:58:46" u="1"/>
        <d v="2025-09-20T09:59:01" u="1"/>
        <d v="2025-09-19T13:39:39" u="1"/>
        <d v="2025-09-18T17:59:28" u="1"/>
        <d v="2025-09-15T18:35:38" u="1"/>
        <d v="2025-09-16T12:39:18" u="1"/>
        <d v="2025-09-20T15:21:59" u="1"/>
        <d v="2025-09-16T12:11:15" u="1"/>
        <d v="2025-09-15T12:10:46" u="1"/>
        <d v="2025-09-17T18:09:24" u="1"/>
        <d v="2025-09-20T09:02:56" u="1"/>
        <d v="2025-09-20T09:02:59" u="1"/>
        <d v="2025-09-20T09:03:28" u="1"/>
        <d v="2025-09-20T09:04:20" u="1"/>
        <d v="2025-09-20T09:04:26" u="1"/>
        <d v="2025-09-11T18:13:32" u="1"/>
        <d v="2025-09-11T18:13:40" u="1"/>
        <d v="2025-09-11T18:13:47" u="1"/>
        <d v="2025-09-03T00:22:52" u="1"/>
        <d v="2025-09-19T12:09:25" u="1"/>
        <d v="2025-02-14T20:53:38" u="1"/>
        <d v="2025-07-20T19:34:32" u="1"/>
        <d v="2025-08-21T15:16:29" u="1"/>
        <d v="2025-08-20T18:04:45" u="1"/>
        <d v="2025-08-14T18:04:17" u="1"/>
        <d v="2025-08-22T16:07:19" u="1"/>
        <d v="2025-08-26T15:25:24" u="1"/>
        <d v="2025-08-21T18:04:40" u="1"/>
        <d v="2025-08-26T08:01:21" u="1"/>
        <d v="2025-08-22T14:06:35" u="1"/>
        <d v="2025-08-26T00:14:22" u="1"/>
        <d v="2025-08-25T18:05:51" u="1"/>
        <d v="2025-08-22T16:31:43" u="1"/>
        <d v="2025-08-28T16:59:09" u="1"/>
        <d v="2025-08-28T09:01:29" u="1"/>
        <d v="2025-08-27T09:33:28" u="1"/>
        <d v="2025-08-27T15:47:38" u="1"/>
        <d v="2025-08-28T19:07:58" u="1"/>
        <d v="2025-08-28T13:16:09" u="1"/>
        <d v="2025-08-28T13:31:32" u="1"/>
        <d v="2025-08-28T10:18:09" u="1"/>
        <d v="2025-08-28T10:24:58" u="1"/>
        <d v="2025-08-27T00:13:37" u="1"/>
        <d v="2025-08-28T18:36:16" u="1"/>
        <d v="2025-08-28T11:28:34" u="1"/>
        <d v="2025-08-28T10:35:45" u="1"/>
        <d v="2025-08-26T18:41:14" u="1"/>
        <d v="2025-08-28T16:59:24" u="1"/>
        <d v="2025-08-28T18:55:16" u="1"/>
        <d v="2025-09-01T16:02:35" u="1"/>
        <d v="2025-09-01T09:31:01" u="1"/>
        <d v="2025-09-01T11:47:46" u="1"/>
        <d v="2025-08-29T11:06:16" u="1"/>
        <d v="2025-08-29T17:31:08" u="1"/>
        <d v="2025-09-01T18:00:41" u="1"/>
        <d v="2025-09-01T14:01:50" u="1"/>
        <d v="2025-09-01T15:00:44" u="1"/>
        <d v="2025-08-29T08:13:32" u="1"/>
        <d v="2025-09-01T12:01:19" u="1"/>
        <d v="2025-08-30T00:22:03" u="1"/>
        <d v="2025-08-30T00:09:51" u="1"/>
        <d v="2025-09-01T13:17:40" u="1"/>
        <d v="2025-09-01T14:48:13" u="1"/>
        <d v="2025-09-01T12:47:52" u="1"/>
        <d v="2025-09-01T12:47:55" u="1"/>
        <d v="2025-09-01T11:09:06" u="1"/>
        <d v="2025-09-01T08:34:48" u="1"/>
        <d v="2025-09-01T18:34:52" u="1"/>
        <d v="2025-08-28T19:08:06" u="1"/>
        <d v="2025-08-29T18:58:21" u="1"/>
        <d v="2025-09-01T16:01:54" u="1"/>
        <d v="2025-09-01T16:01:59" u="1"/>
        <d v="2025-09-01T12:19:48" u="1"/>
        <d v="2025-09-01T20:56:24" u="1"/>
        <d v="2025-09-01T03:23:17" u="1"/>
        <d v="2025-09-01T12:58:32" u="1"/>
        <d v="2025-09-04T10:52:47" u="1"/>
        <d v="2025-09-04T14:17:16" u="1"/>
        <d v="2025-09-12T12:34:01" u="1"/>
        <d v="2025-09-11T15:05:41" u="1"/>
        <d v="2025-09-12T06:50:43" u="1"/>
        <d v="2025-09-12T06:51:00" u="1"/>
        <d v="2025-09-10T21:15:18" u="1"/>
        <d v="2025-09-08T19:46:48" u="1"/>
        <d v="2025-09-08T19:46:53" u="1"/>
        <d v="2025-09-08T19:46:57" u="1"/>
        <d v="2025-09-12T06:56:04" u="1"/>
        <d v="2025-09-10T21:14:58" u="1"/>
        <d v="2025-09-10T22:41:44" u="1"/>
        <d v="2025-09-16T12:47:09" u="1"/>
        <d v="2025-09-16T12:45:44" u="1"/>
        <d v="2025-09-16T12:41:18" u="1"/>
        <d v="2025-09-16T12:26:41" u="1"/>
        <d v="2025-09-16T12:27:22" u="1"/>
        <d v="2025-09-16T12:44:31" u="1"/>
        <d v="2025-09-16T12:44:46" u="1"/>
        <d v="2025-09-16T12:12:26" u="1"/>
        <d v="2025-09-16T12:12:40" u="1"/>
        <d v="2025-09-16T12:12:43" u="1"/>
        <d v="2025-09-16T12:12:31" u="1"/>
        <d v="2025-09-16T12:09:15" u="1"/>
        <d v="2025-09-16T12:09:51" u="1"/>
        <d v="2025-09-16T12:09:57" u="1"/>
        <d v="2025-09-16T12:10:45" u="1"/>
        <d v="2025-09-16T12:10:49" u="1"/>
        <d v="2025-09-16T12:10:53" u="1"/>
        <d v="2025-09-16T12:11:06" u="1"/>
        <d v="2025-09-16T12:11:33" u="1"/>
        <d v="2025-09-16T12:11:51" u="1"/>
        <d v="2025-09-16T12:11:56" u="1"/>
        <d v="2025-09-16T12:11:59" u="1"/>
        <d v="2025-09-16T12:12:01" u="1"/>
        <d v="2025-09-16T12:12:22" u="1"/>
        <d v="2025-09-15T23:32:14" u="1"/>
        <d v="2025-09-15T23:33:07" u="1"/>
        <d v="2025-09-15T23:33:17" u="1"/>
        <d v="2025-09-15T23:33:02" u="1"/>
        <d v="2025-09-15T23:32:57" u="1"/>
        <d v="2025-09-15T23:30:46" u="1"/>
        <d v="2025-09-15T23:35:08" u="1"/>
        <d v="2025-09-15T16:54:43" u="1"/>
        <d v="2025-09-15T23:34:22" u="1"/>
        <d v="2025-09-15T23:31:32" u="1"/>
        <d v="2025-09-16T09:33:22" u="1"/>
        <d v="2025-09-14T20:14:34" u="1"/>
        <d v="2025-09-16T12:35:05" u="1"/>
        <d v="2025-09-15T23:35:23" u="1"/>
        <d v="2025-09-15T15:20:34" u="1"/>
        <d v="2025-09-16T09:31:10" u="1"/>
        <d v="2025-09-15T23:32:07" u="1"/>
        <d v="2025-09-15T23:34:14" u="1"/>
        <d v="2025-09-16T09:26:01" u="1"/>
        <d v="2025-09-16T01:21:27" u="1"/>
        <d v="2025-09-16T02:18:03" u="1"/>
        <d v="2025-09-16T03:23:14" u="1"/>
        <d v="2025-09-16T04:21:57" u="1"/>
        <d v="2025-09-16T05:18:38" u="1"/>
        <d v="2025-09-16T06:22:26" u="1"/>
        <d v="2025-09-16T07:16:48" u="1"/>
        <d v="2025-09-16T08:11:27" u="1"/>
        <d v="2025-09-16T13:33:19" u="1"/>
        <d v="2025-09-16T14:29:59" u="1"/>
        <d v="2025-09-16T10:27:12" u="1"/>
        <d v="2025-09-16T00:25:11" u="1"/>
        <d v="2025-09-16T11:23:01" u="1"/>
        <d v="2025-09-16T12:27:51" u="1"/>
        <d v="2025-09-15T17:11:58" u="1"/>
        <d v="2025-09-15T18:25:45" u="1"/>
        <d v="2025-09-15T19:25:27" u="1"/>
        <d v="2025-09-15T20:18:46" u="1"/>
        <d v="2025-09-15T21:24:25" u="1"/>
        <d v="2025-09-15T22:23:28" u="1"/>
        <d v="2025-09-15T23:19:36" u="1"/>
        <d v="2025-09-15T16:12:19" u="1"/>
        <d v="2025-09-15T14:04:10" u="1"/>
        <d v="2025-09-15T15:11:45" u="1"/>
        <d v="2025-09-15T17:32:01" u="1"/>
        <d v="2025-09-15T12:08:45" u="1"/>
        <d v="2025-09-16T19:16:53" u="1"/>
        <d v="2025-09-16T19:19:13" u="1"/>
        <d v="2025-09-16T19:19:28" u="1"/>
        <d v="2025-09-17T19:16:42" u="1"/>
        <d v="2025-09-17T19:18:43" u="1"/>
        <d v="2025-09-17T19:18:55" u="1"/>
        <d v="2025-09-16T17:15:50" u="1"/>
        <d v="2025-09-16T17:15:52" u="1"/>
        <d v="2025-09-16T17:29:38" u="1"/>
        <d v="2025-09-17T12:32:54" u="1"/>
        <d v="2025-09-17T18:19:28" u="1"/>
        <d v="2025-09-17T12:11:13" u="1"/>
        <d v="2025-09-17T00:01:21" u="1"/>
        <d v="2025-09-17T18:18:05" u="1"/>
        <d v="2025-09-17T18:32:15" u="1"/>
        <d v="2025-09-16T18:38:54" u="1"/>
        <d v="2025-09-17T12:22:54" u="1"/>
        <d v="2025-09-16T18:39:21" u="1"/>
        <d v="2025-09-16T18:16:20" u="1"/>
        <d v="2025-09-17T14:36:49" u="1"/>
        <d v="2025-09-16T19:05:16" u="1"/>
        <d v="2025-09-17T00:23:56" u="1"/>
        <d v="2025-09-17T19:04:47" u="1"/>
        <d v="2025-09-17T19:04:58" u="1"/>
        <d v="2025-09-16T19:09:11" u="1"/>
        <d v="2025-09-17T12:36:11" u="1"/>
        <d v="2025-09-16T18:22:25" u="1"/>
        <d v="2025-09-17T12:21:41" u="1"/>
        <d v="2025-09-17T16:04:32" u="1"/>
        <d v="2025-09-16T18:52:29" u="1"/>
        <d v="2025-09-17T15:46:27" u="1"/>
        <d v="2025-09-17T11:35:17" u="1"/>
        <d v="2025-09-17T00:02:24" u="1"/>
        <d v="2025-09-17T12:21:59" u="1"/>
        <d v="2025-09-16T18:33:28" u="1"/>
        <d v="2025-09-17T18:29:07" u="1"/>
        <d v="2025-09-17T19:13:39" u="1"/>
        <d v="2025-09-16T18:34:51" u="1"/>
        <d v="2025-09-17T18:11:02" u="1"/>
        <d v="2025-09-17T00:08:33" u="1"/>
        <d v="2025-09-17T00:08:36" u="1"/>
        <d v="2025-09-17T18:34:45" u="1"/>
        <d v="2025-09-16T18:41:04" u="1"/>
        <d v="2025-09-17T00:19:32" u="1"/>
        <d v="2025-09-17T18:32:54" u="1"/>
        <d v="2025-09-17T12:25:30" u="1"/>
        <d v="2025-09-16T15:37:11" u="1"/>
        <d v="2025-09-17T12:32:31" u="1"/>
        <d v="2025-09-16T15:46:13" u="1"/>
        <d v="2025-09-16T21:34:11" u="1"/>
        <d v="2025-09-16T14:52:04" u="1"/>
        <d v="2025-09-16T14:51:25" u="1"/>
        <d v="2025-09-16T14:50:53" u="1"/>
        <d v="2025-09-16T14:51:08" u="1"/>
        <d v="2025-09-17T13:31:07" u="1"/>
        <d v="2025-09-17T16:44:57" u="1"/>
        <d v="2025-09-16T18:44:14" u="1"/>
        <d v="2025-09-16T18:44:15" u="1"/>
        <d v="2025-09-16T18:44:33" u="1"/>
        <d v="2025-09-16T18:44:34" u="1"/>
        <d v="2025-09-17T23:16:18" u="1"/>
        <d v="2025-09-18T00:20:00" u="1"/>
        <d v="2025-09-16T18:44:32" u="1"/>
        <d v="2025-09-16T18:44:13" u="1"/>
        <d v="2025-09-17T15:27:35" u="1"/>
        <d v="2025-09-17T16:46:47" u="1"/>
        <d v="2025-09-17T14:29:55" u="1"/>
        <d v="2025-09-17T13:25:36" u="1"/>
        <d v="2025-09-17T10:11:06" u="1"/>
        <d v="2025-09-17T11:14:44" u="1"/>
        <d v="2025-09-17T00:17:54" u="1"/>
        <d v="2025-09-17T12:16:27" u="1"/>
        <d v="2025-09-16T22:25:06" u="1"/>
        <d v="2025-09-16T23:22:17" u="1"/>
        <d v="2025-09-16T20:22:25" u="1"/>
        <d v="2025-09-16T21:16:47" u="1"/>
        <d v="2025-09-17T01:22:17" u="1"/>
        <d v="2025-09-17T02:17:40" u="1"/>
        <d v="2025-09-17T03:14:59" u="1"/>
        <d v="2025-09-17T04:23:24" u="1"/>
        <d v="2025-09-17T05:21:39" u="1"/>
        <d v="2025-09-17T06:17:12" u="1"/>
        <d v="2025-09-17T07:20:06" u="1"/>
        <d v="2025-09-17T08:13:42" u="1"/>
        <d v="2025-09-17T09:09:21" u="1"/>
        <d v="2025-09-16T19:19:30" u="1"/>
        <d v="2025-09-16T17:57:31" u="1"/>
        <d v="2025-09-16T16:53:12" u="1"/>
        <d v="2025-09-16T15:47:48" u="1"/>
        <d v="2025-09-17T17:58:16" u="1"/>
        <d v="2025-09-17T21:05:40" u="1"/>
        <d v="2025-09-17T22:00:16" u="1"/>
        <d v="2025-09-17T20:07:13" u="1"/>
        <d v="2025-09-17T18:57:25" u="1"/>
        <d v="2025-09-17T23:10:20" u="1"/>
        <d v="2025-09-18T00:08:36" u="1"/>
        <d v="2025-09-18T01:02:41" u="1"/>
        <d v="2025-09-18T02:08:41" u="1"/>
        <d v="2025-09-18T03:03:50" u="1"/>
        <d v="2025-09-18T04:00:48" u="1"/>
        <d v="2025-09-18T05:08:02" u="1"/>
        <d v="2025-09-16T16:50:28" u="1"/>
        <d v="2025-09-17T12:05:43" u="1"/>
        <d v="2025-09-17T16:57:27" u="1"/>
        <d v="2025-09-17T09:17:11" u="1"/>
        <d v="2025-09-16T18:24:59" u="1"/>
        <d v="2025-09-16T18:25:16" u="1"/>
        <d v="2025-09-16T14:51:42" u="1"/>
        <d v="2025-09-18T19:57:51" u="1"/>
        <d v="2025-09-18T20:00:35" u="1"/>
        <d v="2025-09-18T13:00:02" u="1"/>
        <d v="2025-09-18T12:47:17" u="1"/>
        <d v="2025-09-18T10:07:05" u="1"/>
        <d v="2025-09-18T10:15:29" u="1"/>
        <d v="2025-09-18T18:39:37" u="1"/>
        <d v="2025-09-18T19:14:40" u="1"/>
        <d v="2025-09-18T18:52:29" u="1"/>
        <d v="2025-09-18T12:28:52" u="1"/>
        <d v="2025-09-18T18:54:48" u="1"/>
        <d v="2025-09-19T06:10:14" u="1"/>
        <d v="2025-09-18T19:37:28" u="1"/>
        <d v="2025-09-18T12:52:40" u="1"/>
        <d v="2025-09-18T16:04:21" u="1"/>
        <d v="2025-09-18T16:04:22" u="1"/>
        <d v="2025-09-18T19:04:07" u="1"/>
        <d v="2025-09-18T12:29:28" u="1"/>
        <d v="2025-09-18T12:29:38" u="1"/>
        <d v="2025-09-18T12:30:11" u="1"/>
        <d v="2025-09-18T12:30:27" u="1"/>
        <d v="2025-09-18T18:45:40" u="1"/>
        <d v="2025-09-18T17:04:03" u="1"/>
        <d v="2025-09-18T14:35:13" u="1"/>
        <d v="2025-09-18T14:35:18" u="1"/>
        <d v="2025-09-18T12:07:40" u="1"/>
        <d v="2025-09-19T06:11:44" u="1"/>
        <d v="2025-09-18T18:48:41" u="1"/>
        <d v="2025-09-18T12:55:35" u="1"/>
        <d v="2025-09-18T12:55:38" u="1"/>
        <d v="2025-09-18T12:56:17" u="1"/>
        <d v="2025-09-18T12:56:45" u="1"/>
        <d v="2025-09-18T12:56:48" u="1"/>
        <d v="2025-09-18T12:56:57" u="1"/>
        <d v="2025-09-18T12:57:00" u="1"/>
        <d v="2025-09-18T12:57:03" u="1"/>
        <d v="2025-09-19T06:13:41" u="1"/>
        <d v="2025-09-19T06:13:44" u="1"/>
        <d v="2025-09-19T06:14:24" u="1"/>
        <d v="2025-09-18T12:57:19" u="1"/>
        <d v="2025-09-18T12:57:35" u="1"/>
        <d v="2025-09-18T18:56:33" u="1"/>
        <d v="2025-09-18T18:58:22" u="1"/>
        <d v="2025-09-18T12:34:35" u="1"/>
        <d v="2025-09-18T17:53:45" u="1"/>
        <d v="2025-09-18T17:52:29" u="1"/>
        <d v="2025-09-18T13:23:58" u="1"/>
        <d v="2025-09-18T16:36:06" u="1"/>
        <d v="2025-09-18T11:40:03" u="1"/>
        <d v="2025-09-18T16:28:05" u="1"/>
        <d v="2025-09-18T13:08:02" u="1"/>
        <d v="2025-09-18T16:24:04" u="1"/>
        <d v="2025-09-18T17:52:43" u="1"/>
        <d v="2025-09-18T18:51:08" u="1"/>
        <d v="2025-09-18T23:16:54" u="1"/>
        <d v="2025-09-18T19:14:13" u="1"/>
        <d v="2025-09-18T12:58:16" u="1"/>
        <d v="2025-09-18T17:51:45" u="1"/>
        <d v="2025-09-18T13:25:58" u="1"/>
        <d v="2025-09-18T23:17:06" u="1"/>
        <d v="2025-09-18T17:53:56" u="1"/>
        <d v="2025-09-18T21:19:51" u="1"/>
        <d v="2025-09-18T19:57:57" u="1"/>
        <d v="2025-09-18T08:59:58" u="1"/>
        <d v="2025-09-18T11:40:05" u="1"/>
        <d v="2025-09-18T14:34:49" u="1"/>
        <d v="2025-09-19T00:14:58" u="1"/>
        <d v="2025-09-18T20:19:38" u="1"/>
        <d v="2025-09-18T20:19:48" u="1"/>
        <d v="2025-09-18T15:33:36" u="1"/>
        <d v="2025-09-18T16:36:10" u="1"/>
        <d v="2025-09-18T17:44:47" u="1"/>
        <d v="2025-09-18T18:55:55" u="1"/>
        <d v="2025-09-18T09:59:15" u="1"/>
        <d v="2025-09-18T11:12:30" u="1"/>
        <d v="2025-09-18T09:01:33" u="1"/>
        <d v="2025-09-18T06:05:22" u="1"/>
        <d v="2025-09-18T07:00:24" u="1"/>
        <d v="2025-09-18T08:05:43" u="1"/>
        <d v="2025-09-18T12:15:21" u="1"/>
        <d v="2025-09-18T14:26:53" u="1"/>
        <d v="2025-09-18T13:18:52" u="1"/>
        <d v="2025-09-19T06:10:42" u="1"/>
        <d v="2025-09-19T01:22:07" u="1"/>
        <d v="2025-09-19T02:18:01" u="1"/>
        <d v="2025-09-19T03:14:37" u="1"/>
        <d v="2025-09-19T04:21:26" u="1"/>
        <d v="2025-09-18T22:11:32" u="1"/>
        <d v="2025-09-18T23:08:48" u="1"/>
        <d v="2025-09-18T19:54:45" u="1"/>
        <d v="2025-09-18T21:10:26" u="1"/>
        <d v="2025-09-19T05:16:19" u="1"/>
        <d v="2025-09-18T13:24:54" u="1"/>
        <d v="2025-09-18T20:19:19" u="1"/>
        <d v="2025-09-18T17:52:10" u="1"/>
        <d v="2025-09-18T17:52:04" u="1"/>
        <d v="2025-09-18T17:52:20" u="1"/>
        <d v="2025-09-18T17:55:15" u="1"/>
        <d v="2025-09-18T16:42:00" u="1"/>
        <d v="2025-09-18T14:16:14" u="1"/>
        <d v="2025-09-18T17:10:01" u="1"/>
        <d v="2025-09-18T15:52:02" u="1"/>
        <d v="2025-09-18T15:48:01" u="1"/>
        <d v="2025-09-18T15:54:33" u="1"/>
        <d v="2025-09-18T15:46:03" u="1"/>
        <d v="2025-09-18T10:58:12" u="1"/>
        <d v="2025-09-18T15:56:01" u="1"/>
        <d v="2025-09-18T13:08:03" u="1"/>
        <d v="2025-09-18T10:13:54" u="1"/>
        <d v="2025-09-18T21:18:19" u="1"/>
        <d v="2025-09-18T10:42:02" u="1"/>
        <d v="2025-09-19T04:56:16" u="1"/>
        <d v="2025-09-19T06:24:21" u="1"/>
        <d v="2025-09-19T06:24:38" u="1"/>
        <d v="2025-09-18T17:53:50" u="1"/>
        <d v="2025-09-18T16:49:15" u="1"/>
        <d v="2025-09-18T14:42:01" u="1"/>
        <d v="2025-09-01T21:26:28" u="1"/>
        <d v="2025-09-06T00:21:53" u="1"/>
        <d v="2025-09-10T22:50:58" u="1"/>
        <d v="2025-09-10T22:51:10" u="1"/>
        <d v="2025-09-10T22:51:19" u="1"/>
        <d v="2025-09-10T22:51:39" u="1"/>
        <d v="2025-09-10T22:51:43" u="1"/>
        <d v="2025-09-10T22:51:48" u="1"/>
        <d v="2025-09-08T10:32:39" u="1"/>
        <d v="2025-09-15T17:34:10" u="1"/>
        <d v="2025-09-15T17:32:25" u="1"/>
        <d v="2025-09-16T00:30:33" u="1"/>
        <d v="2025-09-16T00:30:41" u="1"/>
        <d v="2025-09-16T12:14:21" u="1"/>
        <d v="2025-09-15T12:12:19" u="1"/>
        <d v="2025-09-16T00:07:13" u="1"/>
        <d v="2025-09-15T23:33:34" u="1"/>
        <d v="2025-09-17T16:56:11" u="1"/>
        <d v="2025-09-17T16:56:15" u="1"/>
        <d v="2025-09-17T16:56:19" u="1"/>
        <d v="2025-09-17T16:56:23" u="1"/>
        <d v="2025-09-17T16:56:28" u="1"/>
        <d v="2025-09-16T12:35:54" u="1"/>
        <d v="2025-09-16T12:35:58" u="1"/>
        <d v="2025-09-16T12:36:03" u="1"/>
        <d v="2025-09-17T16:05:08" u="1"/>
        <d v="2025-09-17T16:05:10" u="1"/>
        <d v="2025-09-17T17:04:45" u="1"/>
        <d v="2025-09-17T17:04:50" u="1"/>
        <d v="2025-09-16T18:27:09" u="1"/>
        <d v="2025-09-16T19:32:08" u="1"/>
        <d v="2025-09-16T19:31:57" u="1"/>
        <d v="2025-09-17T10:20:04" u="1"/>
        <d v="2025-09-16T18:23:07" u="1"/>
        <d v="2025-09-16T18:23:25" u="1"/>
        <d v="2025-09-17T14:13:57" u="1"/>
        <d v="2025-09-17T16:57:21" u="1"/>
        <d v="2025-09-17T16:56:18" u="1"/>
        <d v="2025-09-17T15:31:59" u="1"/>
        <d v="2025-09-17T16:42:44" u="1"/>
        <d v="2025-09-17T16:44:13" u="1"/>
        <d v="2025-09-17T17:03:01" u="1"/>
        <d v="2025-09-17T16:42:09" u="1"/>
        <d v="2025-09-16T18:26:05" u="1"/>
        <d v="2025-09-16T14:52:28" u="1"/>
        <d v="2025-09-17T16:28:07" u="1"/>
        <d v="2025-09-17T12:02:19" u="1"/>
        <d v="2025-09-17T12:10:00" u="1"/>
        <d v="2025-09-17T14:34:03" u="1"/>
        <d v="2025-09-17T17:02:22" u="1"/>
        <d v="2025-09-17T16:57:15" u="1"/>
        <d v="2025-09-17T18:05:00" u="1"/>
        <d v="2025-09-17T18:05:01" u="1"/>
        <d v="2025-09-17T17:04:53" u="1"/>
        <d v="2025-09-17T17:04:54" u="1"/>
        <d v="2025-09-17T17:04:56" u="1"/>
        <d v="2025-09-17T17:04:57" u="1"/>
        <d v="2025-09-17T19:04:23" u="1"/>
        <d v="2025-09-17T19:04:24" u="1"/>
        <d v="2025-09-17T18:28:44" u="1"/>
        <d v="2025-09-17T18:43:28" u="1"/>
        <d v="2025-09-17T17:49:58" u="1"/>
        <d v="2025-09-17T18:25:55" u="1"/>
        <d v="2025-09-17T18:40:26" u="1"/>
        <d v="2025-09-17T17:48:30" u="1"/>
        <d v="2025-09-18T01:32:15" u="1"/>
        <d v="2025-09-17T19:21:54" u="1"/>
        <d v="2025-09-17T23:15:52" u="1"/>
        <d v="2025-09-17T20:12:14" u="1"/>
        <d v="2025-09-17T22:16:52" u="1"/>
        <d v="2025-09-17T22:18:11" u="1"/>
        <d v="2025-09-17T23:18:04" u="1"/>
        <d v="2025-09-17T23:16:13" u="1"/>
        <d v="2025-09-17T23:15:42" u="1"/>
        <d v="2025-09-17T22:19:00" u="1"/>
        <d v="2025-09-17T22:19:11" u="1"/>
        <d v="2025-09-17T17:13:51" u="1"/>
        <d v="2025-09-17T20:21:59" u="1"/>
        <d v="2025-09-18T03:03:25" u="1"/>
        <d v="2025-09-17T18:44:46" u="1"/>
        <d v="2025-09-04T18:18:38" u="1"/>
        <d v="2025-09-04T18:18:44" u="1"/>
        <d v="2025-09-04T18:18:50" u="1"/>
        <d v="2025-09-04T18:18:56" u="1"/>
        <d v="2025-09-10T21:15:40" u="1"/>
        <d v="2025-09-11T21:38:18" u="1"/>
        <d v="2025-09-16T12:01:04" u="1"/>
        <d v="2025-09-15T23:32:42" u="1"/>
        <d v="2025-09-15T23:34:03" u="1"/>
        <d v="2025-09-15T20:55:43" u="1"/>
        <d v="2025-09-16T10:02:24" u="1"/>
        <d v="2025-09-15T21:29:14" u="1"/>
        <d v="2025-09-15T21:29:19" u="1"/>
        <d v="2025-09-15T21:29:25" u="1"/>
        <d v="2025-09-15T21:29:30" u="1"/>
        <d v="2025-09-15T23:35:00" u="1"/>
        <d v="2025-09-16T11:34:08" u="1"/>
        <d v="2025-09-16T11:02:00" u="1"/>
        <d v="2025-09-16T09:36:27" u="1"/>
        <d v="2025-09-12T12:28:15" u="1"/>
        <d v="2025-09-13T00:22:13" u="1"/>
        <d v="2025-09-16T12:36:38" u="1"/>
        <d v="2025-09-16T12:36:42" u="1"/>
        <d v="2025-09-16T12:36:47" u="1"/>
        <d v="2025-09-16T12:36:53" u="1"/>
        <d v="2025-09-16T15:56:51" u="1"/>
        <d v="2025-09-16T15:57:02" u="1"/>
        <d v="2025-09-16T15:57:12" u="1"/>
        <d v="2025-09-16T14:50:27" u="1"/>
        <d v="2025-09-16T18:18:44" u="1"/>
        <d v="2025-09-16T18:03:55" u="1"/>
        <d v="2025-09-16T18:03:56" u="1"/>
        <d v="2025-09-16T12:36:45" u="1"/>
        <d v="2025-09-16T14:50:22" u="1"/>
        <d v="2025-09-16T16:59:59" u="1"/>
        <d v="2025-09-16T16:48:28" u="1"/>
        <d v="2025-09-16T18:46:00" u="1"/>
        <d v="2025-09-16T13:11:58" u="1"/>
        <d v="2025-09-16T17:26:02" u="1"/>
        <d v="2025-09-16T17:32:03" u="1"/>
        <d v="2025-09-16T15:04:00" u="1"/>
        <d v="2025-09-16T17:40:31" u="1"/>
        <d v="2025-09-16T18:53:54" u="1"/>
        <d v="2025-09-16T13:12:00" u="1"/>
        <d v="2025-09-16T12:32:38" u="1"/>
        <d v="2025-09-16T18:19:56" u="1"/>
        <d v="2025-09-16T13:46:12" u="1"/>
        <d v="2025-09-16T14:38:10" u="1"/>
        <d v="2025-09-17T05:14:12" u="1"/>
        <d v="2025-09-16T14:53:14" u="1"/>
        <d v="2025-09-16T18:16:45" u="1"/>
        <d v="2025-09-16T14:52:43" u="1"/>
        <d v="2025-09-16T18:29:37" u="1"/>
        <d v="2025-09-16T18:29:41" u="1"/>
        <d v="2025-09-16T18:24:13" u="1"/>
        <d v="2025-09-16T18:24:25" u="1"/>
        <d v="2025-09-16T18:24:41" u="1"/>
        <d v="2025-09-16T18:29:42" u="1"/>
        <d v="2025-09-16T18:29:25" u="1"/>
        <d v="2025-09-16T18:25:26" u="1"/>
        <d v="2025-09-16T18:46:12" u="1"/>
        <d v="2025-09-16T18:49:56" u="1"/>
        <d v="2025-09-16T18:50:03" u="1"/>
        <d v="2025-09-16T15:20:08" u="1"/>
        <d v="2025-09-16T15:22:00" u="1"/>
        <d v="2025-09-16T14:10:02" u="1"/>
        <d v="2025-09-16T19:25:52" u="1"/>
        <d v="2025-09-16T18:26:38" u="1"/>
        <d v="2025-09-16T18:23:45" u="1"/>
        <d v="2025-09-16T18:23:59" u="1"/>
        <d v="2025-09-16T13:39:48" u="1"/>
        <d v="2025-08-28T10:27:45" u="1"/>
        <d v="2025-08-28T15:18:48" u="1"/>
        <d v="2025-08-28T17:10:40" u="1"/>
        <d v="2025-09-02T10:46:56" u="1"/>
        <d v="2025-09-02T10:32:22" u="1"/>
        <d v="2025-09-02T10:33:02" u="1"/>
        <d v="2025-09-04T07:36:48" u="1"/>
        <d v="2025-09-03T13:35:11" u="1"/>
        <d v="2025-09-03T14:48:22" u="1"/>
        <d v="2025-09-10T09:57:01" u="1"/>
        <d v="2025-09-06T08:24:26" u="1"/>
        <d v="2025-09-11T16:16:15" u="1"/>
        <d v="2025-09-11T16:17:56" u="1"/>
        <d v="2025-09-08T17:32:29" u="1"/>
        <d v="2025-09-08T17:33:33" u="1"/>
        <d v="2025-09-10T21:13:04" u="1"/>
        <d v="2025-09-11T15:09:01" u="1"/>
        <d v="2025-09-11T18:41:20" u="1"/>
        <d v="2025-09-11T18:41:28" u="1"/>
        <d v="2025-09-09T17:00:52" u="1"/>
        <d v="2025-09-09T17:01:09" u="1"/>
        <d v="2025-09-08T09:01:04" u="1"/>
        <d v="2025-09-10T14:03:02" u="1"/>
        <d v="2025-09-10T16:01:33" u="1"/>
        <d v="2025-09-11T16:13:50" u="1"/>
        <d v="2025-09-11T16:13:46" u="1"/>
        <d v="2025-09-09T19:54:23" u="1"/>
        <d v="2025-09-08T15:18:26" u="1"/>
        <d v="2025-09-11T18:14:41" u="1"/>
        <d v="2025-09-11T18:14:05" u="1"/>
        <d v="2025-09-11T18:14:13" u="1"/>
        <d v="2025-09-11T18:14:28" u="1"/>
        <d v="2025-09-11T18:14:31" u="1"/>
        <d v="2025-09-11T18:14:55" u="1"/>
        <d v="2025-09-15T12:53:46" u="1"/>
        <d v="2025-09-15T12:54:50" u="1"/>
        <d v="2025-09-15T12:55:03" u="1"/>
        <d v="2025-09-12T19:25:46" u="1"/>
        <d v="2025-09-12T13:09:56" u="1"/>
        <d v="2025-09-12T00:40:14" u="1"/>
        <d v="2025-09-11T19:01:36" u="1"/>
        <d v="2025-09-12T18:55:39" u="1"/>
        <d v="2025-09-12T18:56:16" u="1"/>
        <d v="2025-09-14T12:02:44" u="1"/>
        <d v="2025-09-11T19:26:45" u="1"/>
        <d v="2025-09-15T12:51:01" u="1"/>
        <d v="2025-09-12T13:04:37" u="1"/>
        <d v="2025-09-15T11:30:36" u="1"/>
        <d v="2025-09-15T12:51:04" u="1"/>
        <d v="2025-09-12T19:20:38" u="1"/>
        <d v="2025-09-15T15:18:03" u="1"/>
        <d v="2025-09-12T12:59:40" u="1"/>
        <d v="2025-09-12T13:02:06" u="1"/>
        <d v="2025-09-12T19:11:19" u="1"/>
        <d v="2025-09-12T19:02:35" u="1"/>
        <d v="2025-09-12T19:17:20" u="1"/>
        <d v="2025-09-12T16:03:30" u="1"/>
        <d v="2025-09-12T18:37:15" u="1"/>
        <d v="2025-09-12T12:34:35" u="1"/>
        <d v="2025-09-12T12:35:04" u="1"/>
        <d v="2025-09-12T18:43:12" u="1"/>
        <d v="2025-09-12T18:43:26" u="1"/>
        <d v="2025-09-15T12:26:34" u="1"/>
        <d v="2025-09-15T12:26:41" u="1"/>
        <d v="2025-09-15T12:26:44" u="1"/>
        <d v="2025-09-11T18:47:22" u="1"/>
        <d v="2025-09-15T17:01:48" u="1"/>
        <d v="2025-09-15T17:01:52" u="1"/>
        <d v="2025-09-14T11:02:22" u="1"/>
        <d v="2025-09-14T11:02:40" u="1"/>
        <d v="2025-09-15T12:32:22" u="1"/>
        <d v="2025-09-12T12:47:36" u="1"/>
        <d v="2025-09-13T00:30:00" u="1"/>
        <d v="2025-09-15T12:31:42" u="1"/>
        <d v="2025-09-12T12:39:28" u="1"/>
        <d v="2025-09-12T12:35:33" u="1"/>
        <d v="2025-09-11T18:41:35" u="1"/>
        <d v="2025-09-11T18:41:50" u="1"/>
        <d v="2025-09-15T00:02:31" u="1"/>
        <d v="2025-09-12T18:39:14" u="1"/>
        <d v="2025-09-12T18:40:15" u="1"/>
        <d v="2025-09-15T12:25:17" u="1"/>
        <d v="2025-09-15T12:25:39" u="1"/>
        <d v="2025-09-12T18:41:25" u="1"/>
        <d v="2025-09-12T12:36:45" u="1"/>
        <d v="2025-09-11T18:42:42" u="1"/>
        <d v="2025-09-12T13:03:18" u="1"/>
        <d v="2025-09-12T13:03:23" u="1"/>
        <d v="2025-09-12T19:18:12" u="1"/>
        <d v="2025-09-13T00:39:26" u="1"/>
        <d v="2025-09-15T12:09:42" u="1"/>
        <d v="2025-09-15T12:09:35" u="1"/>
        <d v="2025-09-11T18:50:43" u="1"/>
        <d v="2025-09-11T18:51:28" u="1"/>
        <d v="2025-09-12T12:44:20" u="1"/>
        <d v="2025-09-11T18:53:38" u="1"/>
        <d v="2025-09-15T12:28:09" u="1"/>
        <d v="2025-09-15T12:28:35" u="1"/>
        <d v="2025-09-15T12:28:38" u="1"/>
        <d v="2025-09-11T18:51:50" u="1"/>
        <d v="2025-09-15T12:05:20" u="1"/>
        <d v="2025-09-15T16:23:59" u="1"/>
        <d v="2025-09-15T16:26:11" u="1"/>
        <d v="2025-09-15T16:29:57" u="1"/>
        <d v="2025-09-15T15:13:56" u="1"/>
        <d v="2025-09-15T15:30:02" u="1"/>
        <d v="2025-09-15T15:18:16" u="1"/>
        <d v="2025-09-15T12:09:36" u="1"/>
        <d v="2025-09-15T13:05:51" u="1"/>
        <d v="2025-09-15T13:06:01" u="1"/>
        <d v="2025-09-15T13:20:06" u="1"/>
        <d v="2025-09-15T15:18:51" u="1"/>
        <d v="2025-09-12T18:46:19" u="1"/>
        <d v="2025-09-12T18:45:43" u="1"/>
        <d v="2025-09-15T12:12:36" u="1"/>
        <d v="2025-09-15T19:17:57" u="1"/>
        <d v="2025-09-15T19:18:01" u="1"/>
        <d v="2025-09-15T19:18:23" u="1"/>
        <d v="2025-09-15T19:19:56" u="1"/>
        <d v="2025-09-15T19:19:59" u="1"/>
        <d v="2025-09-15T19:20:48" u="1"/>
        <d v="2025-09-15T19:16:05" u="1"/>
        <d v="2025-09-15T17:37:00" u="1"/>
        <d v="2025-09-15T23:41:07" u="1"/>
        <d v="2025-09-15T18:31:10" u="1"/>
        <d v="2025-09-15T18:31:17" u="1"/>
        <d v="2025-09-15T18:31:29" u="1"/>
        <d v="2025-09-15T18:31:36" u="1"/>
        <d v="2025-09-15T17:06:01" u="1"/>
        <d v="2025-09-15T17:06:03" u="1"/>
        <d v="2025-09-15T18:38:47" u="1"/>
        <d v="2025-09-15T18:38:58" u="1"/>
        <d v="2025-09-15T18:36:07" u="1"/>
        <d v="2025-09-15T19:02:07" u="1"/>
        <d v="2025-09-15T19:02:25" u="1"/>
        <d v="2025-09-15T19:02:27" u="1"/>
        <d v="2025-09-15T18:33:19" u="1"/>
        <d v="2025-09-15T18:33:38" u="1"/>
        <d v="2025-09-15T18:34:22" u="1"/>
        <d v="2025-09-15T18:37:04" u="1"/>
        <d v="2025-09-15T18:37:18" u="1"/>
        <d v="2025-09-15T17:36:30" u="1"/>
        <d v="2025-09-15T18:55:06" u="1"/>
        <d v="2025-09-15T18:05:20" u="1"/>
        <d v="2025-09-15T18:35:17" u="1"/>
        <d v="2025-09-15T18:33:29" u="1"/>
        <d v="2025-09-15T19:14:24" u="1"/>
        <d v="2025-09-15T19:14:51" u="1"/>
        <d v="2025-09-15T18:11:06" u="1"/>
        <d v="2025-09-15T18:42:24" u="1"/>
        <d v="2025-09-16T00:13:35" u="1"/>
        <d v="2025-09-16T06:03:33" u="1"/>
        <d v="2025-09-15T20:26:18" u="1"/>
        <d v="2025-09-15T19:04:08" u="1"/>
        <d v="2025-09-15T18:51:10" u="1"/>
        <d v="2025-09-15T17:02:57" u="1"/>
        <d v="2025-09-15T20:19:49" u="1"/>
        <d v="2025-09-15T21:13:47" u="1"/>
        <d v="2025-09-15T21:13:56" u="1"/>
        <d v="2025-09-15T21:35:50" u="1"/>
        <d v="2025-09-15T19:23:31" u="1"/>
        <d v="2025-09-15T18:56:45" u="1"/>
        <d v="2025-09-15T21:29:36" u="1"/>
        <d v="2025-09-15T23:31:56" u="1"/>
        <d v="2025-09-15T21:39:47" u="1"/>
        <d v="2025-09-15T21:41:48" u="1"/>
        <d v="2025-09-16T04:05:27" u="1"/>
        <d v="2025-09-16T05:58:17" u="1"/>
        <d v="2025-09-15T21:09:46" u="1"/>
        <d v="2025-09-15T21:11:46" u="1"/>
        <d v="2025-09-15T17:48:03" u="1"/>
        <d v="2025-08-23T12:01:42" u="1"/>
        <d v="2025-08-25T19:24:00" u="1"/>
        <d v="2025-08-26T12:02:26" u="1"/>
        <d v="2025-08-26T12:03:15" u="1"/>
        <d v="2025-08-26T19:36:29" u="1"/>
        <d v="2025-08-28T12:47:55" u="1"/>
        <d v="2025-08-28T12:49:33" u="1"/>
        <d v="2025-08-28T10:24:28" u="1"/>
        <d v="2025-08-28T10:26:08" u="1"/>
        <d v="2025-08-28T11:32:24" u="1"/>
        <d v="2025-08-28T13:27:47" u="1"/>
        <d v="2025-08-29T18:37:07" u="1"/>
        <d v="2025-08-30T00:07:47" u="1"/>
        <d v="2025-08-29T18:02:18" u="1"/>
        <d v="2025-08-29T18:50:46" u="1"/>
        <d v="2025-09-04T08:35:24" u="1"/>
        <d v="2025-09-04T07:34:50" u="1"/>
        <d v="2025-09-04T07:37:27" u="1"/>
        <d v="2025-09-04T07:33:45" u="1"/>
        <d v="2025-09-03T16:00:51" u="1"/>
        <d v="2025-09-04T15:04:47" u="1"/>
        <d v="2025-09-02T18:08:38" u="1"/>
        <d v="2025-09-01T18:39:44" u="1"/>
        <d v="2025-09-01T18:10:37" u="1"/>
        <d v="2025-09-03T00:22:49" u="1"/>
        <d v="2025-09-01T21:11:28" u="1"/>
        <d v="2025-09-01T21:11:39" u="1"/>
        <d v="2025-09-02T12:51:44" u="1"/>
        <d v="2025-09-02T19:20:51" u="1"/>
        <d v="2025-09-02T00:24:30" u="1"/>
        <d v="2025-09-02T00:24:38" u="1"/>
        <d v="2025-09-10T12:03:55" u="1"/>
        <d v="2025-09-08T15:03:16" u="1"/>
        <d v="2025-09-08T15:03:19" u="1"/>
        <d v="2025-09-08T14:02:19" u="1"/>
        <d v="2025-09-08T13:02:00" u="1"/>
        <d v="2025-09-08T13:02:02" u="1"/>
        <d v="2025-09-08T13:02:13" u="1"/>
        <d v="2025-09-09T19:01:23" u="1"/>
        <d v="2025-09-10T12:03:35" u="1"/>
        <d v="2025-09-09T14:02:48" u="1"/>
        <d v="2025-09-08T20:01:50" u="1"/>
        <d v="2025-09-09T10:02:54" u="1"/>
        <d v="2025-09-08T12:01:08" u="1"/>
        <d v="2025-09-09T14:02:21" u="1"/>
        <d v="2025-09-10T10:03:55" u="1"/>
        <d v="2025-09-10T11:03:02" u="1"/>
        <d v="2025-09-10T11:04:15" u="1"/>
        <d v="2025-09-10T11:04:16" u="1"/>
        <d v="2025-09-09T19:03:14" u="1"/>
        <d v="2025-09-10T17:10:18" u="1"/>
        <d v="2025-09-10T16:07:20" u="1"/>
        <d v="2025-09-04T15:17:33" u="1"/>
        <d v="2025-09-05T12:05:12" u="1"/>
        <d v="2025-09-05T11:06:08" u="1"/>
        <d v="2025-09-05T14:07:39" u="1"/>
        <d v="2025-09-08T15:03:36" u="1"/>
        <d v="2025-09-08T16:02:24" u="1"/>
        <d v="2025-09-08T17:01:34" u="1"/>
        <d v="2025-09-08T10:00:45" u="1"/>
        <d v="2025-09-08T10:02:18" u="1"/>
        <d v="2025-09-08T11:01:39" u="1"/>
        <d v="2025-09-10T00:35:11" u="1"/>
        <d v="2025-09-08T18:05:04" u="1"/>
        <d v="2025-09-08T18:06:08" u="1"/>
        <d v="2025-09-10T00:02:27" u="1"/>
        <d v="2025-09-06T00:13:29" u="1"/>
        <d v="2025-09-06T00:13:33" u="1"/>
        <d v="2025-09-09T18:58:52" u="1"/>
        <d v="2025-09-09T00:05:55" u="1"/>
        <d v="2025-09-09T12:39:54" u="1"/>
        <d v="2025-09-05T18:53:02" u="1"/>
        <d v="2025-09-05T18:53:31" u="1"/>
        <d v="2025-09-05T18:55:13" u="1"/>
        <d v="2025-09-11T19:35:50" u="1"/>
        <d v="2025-09-12T15:30:36" u="1"/>
        <d v="2025-09-11T10:45:33" u="1"/>
        <d v="2025-09-11T00:18:15" u="1"/>
        <d v="2025-09-11T00:27:40" u="1"/>
        <d v="2025-09-10T21:18:09" u="1"/>
        <d v="2025-09-12T08:40:33" u="1"/>
        <d v="2025-09-12T08:40:38" u="1"/>
        <d v="2025-09-12T08:42:22" u="1"/>
        <d v="2025-09-10T19:03:29" u="1"/>
        <d v="2025-09-10T19:04:31" u="1"/>
        <d v="2025-09-10T20:02:57" u="1"/>
        <d v="2025-09-11T18:24:34" u="1"/>
        <d v="2025-09-12T00:04:36" u="1"/>
        <d v="2025-09-11T18:10:21" u="1"/>
        <d v="2025-09-11T12:28:26" u="1"/>
        <d v="2025-09-12T06:59:34" u="1"/>
        <d v="2025-09-11T12:26:55" u="1"/>
        <d v="2025-09-11T18:52:09" u="1"/>
        <d v="2025-09-11T18:52:14" u="1"/>
        <d v="2025-09-12T12:44:07" u="1"/>
        <d v="2025-09-11T16:16:26" u="1"/>
        <d v="2025-09-12T15:45:03" u="1"/>
        <d v="2025-09-12T15:45:04" u="1"/>
        <d v="2025-09-12T15:44:37" u="1"/>
        <d v="2025-09-10T22:39:50" u="1"/>
        <d v="2025-09-10T22:39:57" u="1"/>
        <d v="2025-09-10T22:40:04" u="1"/>
        <d v="2025-09-10T22:41:29" u="1"/>
        <d v="2025-09-10T22:43:40" u="1"/>
        <d v="2025-09-10T22:43:33" u="1"/>
        <d v="2025-09-12T10:34:31" u="1"/>
        <d v="2025-09-12T15:14:01" u="1"/>
        <d v="2025-09-12T13:02:28" u="1"/>
        <d v="2025-09-12T13:45:59" u="1"/>
        <d v="2025-09-12T13:13:59" u="1"/>
        <d v="2025-09-12T13:17:57" u="1"/>
        <d v="2025-09-12T16:01:24" u="1"/>
        <d v="2025-09-10T22:43:25" u="1"/>
        <d v="2025-09-10T22:40:09" u="1"/>
        <d v="2025-09-10T22:43:09" u="1"/>
        <d v="2025-09-12T16:03:47" u="1"/>
        <d v="2025-09-12T06:55:30" u="1"/>
        <d v="2025-09-12T16:02:28" u="1"/>
        <d v="2025-09-12T12:48:48" u="1"/>
        <d v="2025-09-12T06:47:31" u="1"/>
        <d v="2025-09-10T22:40:35" u="1"/>
        <d v="2025-09-10T22:41:15" u="1"/>
        <d v="2025-09-12T11:42:22" u="1"/>
        <d v="2025-09-12T14:43:19" u="1"/>
        <d v="2025-09-12T15:43:52" u="1"/>
        <d v="2025-09-12T13:38:16" u="1"/>
        <d v="2025-09-10T22:41:22" u="1"/>
        <d v="2025-09-12T12:32:27" u="1"/>
        <d v="2025-09-12T10:38:56" u="1"/>
        <d v="2025-09-12T06:45:59" u="1"/>
        <d v="2025-09-12T15:44:06" u="1"/>
        <d v="2025-09-12T15:44:36" u="1"/>
        <d v="2025-09-12T13:48:00" u="1"/>
        <d v="2025-09-12T15:36:36" u="1"/>
        <d v="2025-09-12T15:44:56" u="1"/>
        <d v="2025-09-12T10:27:16" u="1"/>
        <d v="2025-09-12T11:48:49" u="1"/>
        <d v="2025-09-12T10:36:05" u="1"/>
        <d v="2025-09-12T19:17:17" u="1"/>
        <d v="2025-09-13T00:31:02" u="1"/>
        <d v="2025-09-12T18:43:00" u="1"/>
        <d v="2025-09-12T16:36:54" u="1"/>
        <d v="2025-09-12T19:17:36" u="1"/>
        <d v="2025-09-14T11:06:11" u="1"/>
        <d v="2025-09-14T11:02:31" u="1"/>
        <d v="2025-09-14T11:04:39" u="1"/>
        <d v="2025-09-14T11:04:59" u="1"/>
        <d v="2025-09-14T11:05:12" u="1"/>
        <d v="2025-09-14T11:01:57" u="1"/>
        <d v="2025-09-14T11:01:58" u="1"/>
        <d v="2025-09-14T11:00:54" u="1"/>
        <d v="2025-09-14T11:01:05" u="1"/>
        <d v="2025-09-14T11:01:06" u="1"/>
        <d v="2025-09-14T11:01:48" u="1"/>
        <d v="2025-09-14T11:01:49" u="1"/>
        <d v="2025-09-14T11:01:50" u="1"/>
        <d v="2025-09-14T11:01:51" u="1"/>
        <d v="2025-09-14T11:02:45" u="1"/>
        <d v="2025-09-14T11:02:48" u="1"/>
        <d v="2025-09-12T19:17:24" u="1"/>
        <d v="2025-09-14T11:03:20" u="1"/>
        <d v="2025-09-14T11:07:02" u="1"/>
        <d v="2025-09-12T18:52:58" u="1"/>
        <d v="2025-09-12T19:17:13" u="1"/>
        <d v="2025-09-12T18:11:23" u="1"/>
        <d v="2025-09-12T16:04:53" u="1"/>
        <d v="2025-09-12T20:19:35" u="1"/>
        <d v="2025-09-12T20:19:39" u="1"/>
        <d v="2025-09-12T20:19:53" u="1"/>
        <d v="2025-09-12T20:20:00" u="1"/>
        <d v="2025-09-12T18:39:19" u="1"/>
        <d v="2025-09-12T17:21:17" u="1"/>
        <d v="2025-09-12T17:24:18" u="1"/>
        <d v="2025-09-12T20:14:02" u="1"/>
        <d v="2025-09-12T21:31:51" u="1"/>
        <d v="2025-09-12T18:53:17" u="1"/>
        <d v="2025-09-14T13:10:43" u="1"/>
        <d v="2025-09-12T17:34:29" u="1"/>
        <d v="2025-09-15T03:52:20" u="1"/>
        <d v="2025-09-13T04:25:32" u="1"/>
        <d v="2025-09-13T15:46:57" u="1"/>
        <d v="2025-09-12T20:53:54" u="1"/>
        <d v="2025-09-13T10:17:55" u="1"/>
        <d v="2025-09-12T17:24:02" u="1"/>
        <d v="2025-09-12T17:55:41" u="1"/>
        <d v="2025-09-12T18:05:59" u="1"/>
        <d v="2025-09-13T15:55:53" u="1"/>
        <d v="2025-09-14T12:33:48" u="1"/>
        <d v="2025-09-12T17:21:19" u="1"/>
        <d v="2025-09-13T15:47:33" u="1"/>
        <d v="2025-09-12T18:40:38" u="1"/>
        <d v="2025-09-12T17:21:15" u="1"/>
        <d v="2025-09-12T19:19:49" u="1"/>
        <d v="2025-09-13T15:47:07" u="1"/>
        <d v="2025-09-13T06:03:11" u="1"/>
        <d v="2025-09-12T19:17:29" u="1"/>
        <d v="2025-09-12T19:17:00" u="1"/>
        <d v="2025-09-12T18:48:42" u="1"/>
        <d v="2025-09-12T16:59:40" u="1"/>
        <d v="2025-09-12T18:06:09" u="1"/>
        <d v="2025-09-12T19:02:43" u="1"/>
        <d v="2025-09-12T20:11:25" u="1"/>
        <d v="2025-09-13T05:08:35" u="1"/>
        <d v="2025-09-13T13:37:14" u="1"/>
        <d v="2025-09-13T14:32:10" u="1"/>
        <d v="2025-09-13T15:26:33" u="1"/>
        <d v="2025-09-13T16:35:32" u="1"/>
        <d v="2025-09-13T17:29:00" u="1"/>
        <d v="2025-09-13T20:14:45" u="1"/>
        <d v="2025-09-13T21:06:57" u="1"/>
        <d v="2025-09-13T22:05:39" u="1"/>
        <d v="2025-09-13T23:00:06" u="1"/>
        <d v="2025-09-13T23:53:21" u="1"/>
        <d v="2025-09-14T00:52:52" u="1"/>
        <d v="2025-09-14T01:48:09" u="1"/>
        <d v="2025-09-14T02:41:58" u="1"/>
        <d v="2025-09-14T03:49:40" u="1"/>
        <d v="2025-09-14T04:43:20" u="1"/>
        <d v="2025-09-14T05:39:53" u="1"/>
        <d v="2025-09-14T06:51:43" u="1"/>
        <d v="2025-09-14T07:45:44" u="1"/>
        <d v="2025-09-14T08:41:09" u="1"/>
        <d v="2025-09-14T09:51:18" u="1"/>
        <d v="2025-09-14T10:45:56" u="1"/>
        <d v="2025-09-12T21:10:50" u="1"/>
        <d v="2025-09-12T22:05:59" u="1"/>
        <d v="2025-09-12T23:08:04" u="1"/>
        <d v="2025-09-13T00:05:52" u="1"/>
        <d v="2025-09-13T01:04:52" u="1"/>
        <d v="2025-09-13T02:08:32" u="1"/>
        <d v="2025-09-13T03:07:23" u="1"/>
        <d v="2025-09-13T04:06:53" u="1"/>
        <d v="2025-09-13T10:51:03" u="1"/>
        <d v="2025-09-13T11:45:06" u="1"/>
        <d v="2025-09-13T12:38:10" u="1"/>
        <d v="2025-09-13T06:07:37" u="1"/>
        <d v="2025-09-13T07:02:58" u="1"/>
        <d v="2025-09-13T08:06:01" u="1"/>
        <d v="2025-09-13T08:59:27" u="1"/>
        <d v="2025-09-13T09:52:33" u="1"/>
        <d v="2025-09-14T21:06:54" u="1"/>
        <d v="2025-09-14T22:01:05" u="1"/>
        <d v="2025-09-14T22:55:06" u="1"/>
        <d v="2025-09-14T23:52:21" u="1"/>
        <d v="2025-09-15T00:48:18" u="1"/>
        <d v="2025-09-15T01:43:20" u="1"/>
        <d v="2025-09-15T02:53:44" u="1"/>
        <d v="2025-09-15T03:48:49" u="1"/>
        <d v="2025-09-14T12:35:13" u="1"/>
        <d v="2025-09-15T04:44:15" u="1"/>
        <d v="2025-09-15T05:53:38" u="1"/>
        <d v="2025-09-15T06:48:54" u="1"/>
        <d v="2025-09-14T11:39:30" u="1"/>
        <d v="2025-09-13T18:21:43" u="1"/>
        <d v="2025-09-13T19:20:47" u="1"/>
        <d v="2025-09-14T13:28:32" u="1"/>
        <d v="2025-09-14T14:20:30" u="1"/>
        <d v="2025-09-14T15:20:51" u="1"/>
        <d v="2025-09-14T16:14:50" u="1"/>
        <d v="2025-09-14T17:08:37" u="1"/>
        <d v="2025-09-14T18:07:47" u="1"/>
        <d v="2025-09-14T19:05:30" u="1"/>
        <d v="2025-09-14T19:59:20" u="1"/>
        <d v="2025-09-14T10:12:01" u="1"/>
        <d v="2025-09-14T10:13:48" u="1"/>
        <d v="2025-09-13T15:55:52" u="1"/>
        <d v="2025-09-12T18:08:02" u="1"/>
        <d v="2025-09-12T17:28:28" u="1"/>
        <d v="2025-09-14T10:21:49" u="1"/>
        <d v="2025-09-13T17:51:49" u="1"/>
        <d v="2025-09-12T17:26:03" u="1"/>
        <d v="2025-09-13T19:50:11" u="1"/>
        <d v="2025-09-13T13:29:51" u="1"/>
        <d v="2025-09-12T20:19:00" u="1"/>
        <d v="2025-09-04T18:25:54" u="1"/>
        <d v="2025-09-02T16:48:57" u="1"/>
        <d v="2025-09-11T17:05:29" u="1"/>
        <d v="2025-09-11T19:29:46" u="1"/>
        <d v="2025-09-11T19:29:58" u="1"/>
        <d v="2025-08-22T09:31:19" u="1"/>
        <d v="2025-09-10T21:12:49" u="1"/>
        <d v="2025-09-11T16:13:22" u="1"/>
        <d v="2025-09-02T10:31:59" u="1"/>
        <d v="2025-09-01T16:04:08" u="1"/>
        <d v="2025-09-10T21:02:40" u="1"/>
        <d v="2025-09-11T15:07:09" u="1"/>
        <d v="2025-09-11T15:08:45" u="1"/>
        <d v="2025-09-12T06:48:39" u="1"/>
        <d v="2025-09-11T15:04:00" u="1"/>
        <d v="2025-09-04T12:37:49" u="1"/>
        <d v="2025-09-01T16:01:24" u="1"/>
        <d v="2025-09-12T06:47:16" u="1"/>
        <d v="2025-09-12T06:47:34" u="1"/>
        <d v="2025-09-10T21:01:32" u="1"/>
        <d v="2025-09-10T21:03:09" u="1"/>
        <d v="2025-09-10T21:03:15" u="1"/>
        <d v="2025-09-09T18:57:01" u="1"/>
        <d v="2025-09-05T18:16:23" u="1"/>
        <d v="2025-09-11T19:33:45" u="1"/>
        <d v="2025-08-26T16:32:47" u="1"/>
        <d v="2025-09-11T19:34:05" u="1"/>
        <d v="2025-09-08T18:44:01" u="1"/>
        <d v="2025-08-29T12:49:47" u="1"/>
        <d v="2025-09-11T16:37:02" u="1"/>
        <d v="2025-09-11T16:37:04" u="1"/>
        <d v="2025-09-05T18:49:36" u="1"/>
        <d v="2025-09-11T18:24:37" u="1"/>
        <d v="2025-09-05T20:21:03" u="1"/>
        <d v="2025-09-11T15:15:57" u="1"/>
        <d v="2025-09-11T15:12:04" u="1"/>
        <d v="2025-09-11T22:50:27" u="1"/>
        <d v="2025-09-11T16:59:59" u="1"/>
        <d v="2025-09-11T17:10:30" u="1"/>
        <d v="2025-09-11T15:30:00" u="1"/>
        <d v="2025-09-11T20:05:21" u="1"/>
        <d v="2025-09-11T18:32:32" u="1"/>
        <d v="2025-09-02T19:38:17" u="1"/>
        <d v="2025-09-05T19:05:15" u="1"/>
        <d v="2025-09-03T14:38:46" u="1"/>
        <d v="2025-09-03T14:40:43" u="1"/>
        <d v="2025-09-03T17:26:57" u="1"/>
        <d v="2025-09-09T11:31:25" u="1"/>
        <d v="2025-09-05T19:05:23" u="1"/>
        <d v="2025-09-11T21:36:08" u="1"/>
        <d v="2025-08-26T09:01:56" u="1"/>
        <d v="2025-09-11T18:42:02" u="1"/>
        <d v="2025-08-28T15:49:49" u="1"/>
        <d v="2025-09-11T21:31:59" u="1"/>
        <d v="2025-09-11T21:37:27" u="1"/>
        <d v="2025-09-11T21:37:36" u="1"/>
        <d v="2025-09-11T21:37:41" u="1"/>
        <d v="2025-09-11T17:25:08" u="1"/>
        <d v="2025-09-08T13:06:43" u="1"/>
        <d v="2025-09-11T21:32:24" u="1"/>
        <d v="2025-09-10T22:29:07" u="1"/>
        <d v="2025-09-11T21:37:57" u="1"/>
        <d v="2025-09-11T21:37:22" u="1"/>
        <d v="2025-09-11T21:41:57" u="1"/>
        <d v="2025-09-11T21:04:16" u="1"/>
        <d v="2025-09-11T16:36:56" u="1"/>
        <d v="2025-09-11T16:36:59" u="1"/>
        <d v="2025-09-11T21:38:08" u="1"/>
        <d v="2025-09-10T22:29:16" u="1"/>
        <d v="2025-09-08T18:42:53" u="1"/>
        <d v="2025-09-08T18:42:56" u="1"/>
        <d v="2025-09-11T19:00:02" u="1"/>
        <d v="2025-09-10T12:12:04" u="1"/>
        <d v="2025-09-05T10:46:58" u="1"/>
        <d v="2025-09-11T18:44:52" u="1"/>
        <d v="2025-09-11T16:56:19" u="1"/>
        <d v="2025-09-11T20:24:47" u="1"/>
        <d v="2025-09-11T21:41:02" u="1"/>
        <d v="2025-09-11T19:50:30" u="1"/>
        <d v="2025-09-11T13:42:05" u="1"/>
        <d v="2025-09-11T14:49:54" u="1"/>
        <d v="2025-09-11T21:37:06" u="1"/>
        <d v="2025-09-11T21:38:46" u="1"/>
        <d v="2025-09-10T22:30:02" u="1"/>
        <d v="2025-09-11T17:50:23" u="1"/>
        <d v="2025-09-09T15:19:03" u="1"/>
        <d v="2025-09-08T13:07:49" u="1"/>
        <d v="2025-09-11T16:33:55" u="1"/>
        <d v="2025-09-11T17:36:07" u="1"/>
        <d v="2025-09-11T17:45:42" u="1"/>
        <d v="2025-09-10T21:16:09" u="1"/>
        <d v="2025-09-10T19:35:34" u="1"/>
        <d v="2025-09-12T06:45:40" u="1"/>
        <d v="2025-09-11T21:42:10" u="1"/>
        <d v="2025-09-11T21:38:14" u="1"/>
        <d v="2025-09-10T22:23:02" u="1"/>
        <d v="2025-09-11T21:42:20" u="1"/>
        <d v="2025-09-11T15:05:10" u="1"/>
        <d v="2025-09-11T21:38:28" u="1"/>
        <d v="2025-08-27T13:17:37" u="1"/>
        <d v="2025-09-11T21:38:50" u="1"/>
        <d v="2025-09-11T15:12:56" u="1"/>
        <d v="2025-08-27T19:36:37" u="1"/>
        <d v="2025-09-12T06:46:30" u="1"/>
        <d v="2025-09-12T06:48:46" u="1"/>
        <d v="2025-09-11T21:34:53" u="1"/>
        <d v="2025-09-11T15:01:21" u="1"/>
        <d v="2025-09-02T15:33:47" u="1"/>
        <d v="2025-09-11T15:05:51" u="1"/>
        <d v="2025-09-10T21:02:34" u="1"/>
        <d v="2025-09-11T21:36:36" u="1"/>
        <d v="2025-09-11T16:07:30" u="1"/>
        <d v="2025-09-10T16:26:07" u="1"/>
        <d v="2025-09-11T12:48:47" u="1"/>
        <d v="2025-08-25T11:48:05" u="1"/>
        <d v="2025-09-10T22:22:09" u="1"/>
        <d v="2025-09-09T18:43:54" u="1"/>
        <d v="2025-09-10T22:23:58" u="1"/>
        <d v="2025-09-04T18:53:39" u="1"/>
        <d v="2025-09-09T12:02:15" u="1"/>
        <d v="2025-09-08T13:08:25" u="1"/>
        <d v="2025-09-08T13:08:33" u="1"/>
        <d v="2025-09-08T13:08:17" u="1"/>
        <d v="2025-09-11T21:35:18" u="1"/>
        <d v="2025-09-11T17:41:51" u="1"/>
        <d v="2025-09-04T18:53:21" u="1"/>
        <d v="2025-09-11T21:35:13" u="1"/>
        <d v="2025-09-10T22:29:21" u="1"/>
        <d v="2025-09-11T15:05:27" u="1"/>
        <d v="2025-09-11T21:33:04" u="1"/>
        <d v="2025-09-11T21:35:31" u="1"/>
        <d v="2025-09-11T21:35:24" u="1"/>
        <d v="2025-09-10T22:23:23" u="1"/>
        <d v="2025-09-11T22:33:37" u="1"/>
        <d v="2025-09-11T16:07:03" u="1"/>
        <d v="2025-09-11T13:54:04" u="1"/>
        <d v="2025-09-11T14:51:09" u="1"/>
        <d v="2025-09-11T17:12:39" u="1"/>
        <d v="2025-09-11T18:11:32" u="1"/>
        <d v="2025-09-11T19:24:12" u="1"/>
        <d v="2025-09-11T20:24:45" u="1"/>
        <d v="2025-09-11T21:19:21" u="1"/>
        <d v="2025-09-12T00:25:38" u="1"/>
        <d v="2025-09-11T23:30:24" u="1"/>
        <d v="2025-09-12T01:38:13" u="1"/>
        <d v="2025-09-12T02:37:07" u="1"/>
        <d v="2025-09-12T03:36:23" u="1"/>
        <d v="2025-09-12T04:39:18" u="1"/>
        <d v="2025-09-12T05:39:36" u="1"/>
        <d v="2025-09-01T12:43:04" u="1"/>
        <d v="2025-08-21T19:15:41" u="1"/>
        <d v="2025-09-05T12:16:50" u="1"/>
        <d v="2025-09-10T22:23:06" u="1"/>
        <d v="2025-09-10T22:30:31" u="1"/>
        <d v="2025-09-08T12:40:00" u="1"/>
        <d v="2025-09-11T18:15:58" u="1"/>
        <d v="2025-09-11T14:47:57" u="1"/>
        <d v="2025-09-08T14:09:13" u="1"/>
        <d v="2025-09-03T09:49:08" u="1"/>
        <d v="2025-09-10T22:39:29" u="1"/>
        <d v="2025-09-11T16:13:04" u="1"/>
        <d v="2025-09-10T22:30:17" u="1"/>
        <d v="2025-09-08T13:03:31" u="1"/>
        <d v="2025-09-10T22:35:24" u="1"/>
        <d v="2025-08-29T14:58:02" u="1"/>
        <d v="2025-08-28T10:15:48" u="1"/>
        <d v="2025-09-11T21:38:22" u="1"/>
        <d v="2025-09-10T14:56:12" u="1"/>
        <d v="2025-08-29T11:57:23" u="1"/>
        <d v="2025-09-12T06:49:42" u="1"/>
        <d v="2025-09-03T10:16:36" u="1"/>
        <d v="2025-08-29T15:02:47" u="1"/>
        <d v="2025-08-29T17:43:52" u="1"/>
        <d v="2025-09-11T17:41:40" u="1"/>
        <d v="2025-08-29T11:57:24" u="1"/>
        <d v="2025-09-09T09:58:53" u="1"/>
        <d v="2025-09-10T21:07:14" u="1"/>
        <d v="2025-09-10T21:08:36" u="1"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19:20:23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3-31T11:32:44" u="1"/>
        <d v="2025-03-27T16:58:59" u="1"/>
        <d v="2025-03-21T16:34:18" u="1"/>
        <d v="2025-04-16T09:31:54" u="1"/>
        <d v="2025-04-07T10:01:54" u="1"/>
        <d v="2025-04-29T12:02:36" u="1"/>
        <d v="2025-04-29T12:16:47" u="1"/>
        <d v="2025-07-07T19:03:52" u="1"/>
        <d v="2025-06-30T15:34:39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</sharedItems>
      <fieldGroup par="47"/>
    </cacheField>
    <cacheField name="Data Alteração" uniqueList="1" numFmtId="0" sqlType="0" hierarchy="0" level="0" databaseField="1">
      <sharedItems count="0" containsBlank="1" containsDate="1" containsNonDate="0" containsString="0" minDate="2025-10-08T20:55:33" maxDate="2025-11-24T06:55:10"/>
    </cacheField>
    <cacheField name="Aging Alteração" uniqueList="1" numFmtId="0" sqlType="0" hierarchy="0" level="0" databaseField="1">
      <sharedItems count="0" containsBlank="1"/>
    </cacheField>
    <cacheField name="Aging Inclusão" uniqueList="1" numFmtId="0" sqlType="0" hierarchy="0" level="0" databaseField="1">
      <sharedItems count="0" containsBlank="1"/>
    </cacheField>
    <cacheField name="Localizadora" uniqueList="1" numFmtId="0" sqlType="0" hierarchy="0" level="0" databaseField="1">
      <sharedItems count="0" containsBlank="1" containsInteger="1" containsMixedTypes="1" containsNumber="1" minValue="3582" maxValue="218134842"/>
    </cacheField>
    <cacheField name="OBT" uniqueList="1" numFmtId="0" sqlType="0" hierarchy="0" level="0" databaseField="1">
      <sharedItems count="0" containsBlank="1"/>
    </cacheField>
    <cacheField name="Pax" uniqueList="1" numFmtId="0" sqlType="0" hierarchy="0" level="0" databaseField="1">
      <sharedItems count="0" containsBlank="1"/>
    </cacheField>
    <cacheField name="Agente Emissão" uniqueList="1" numFmtId="0" sqlType="0" hierarchy="0" level="0" databaseField="1">
      <sharedItems count="0" containsBlank="1"/>
    </cacheField>
    <cacheField name="Agente Criação" uniqueList="1" numFmtId="0" sqlType="0" hierarchy="0" level="0" databaseField="1">
      <sharedItems count="0" containsBlank="1"/>
    </cacheField>
    <cacheField name="Data Emissão" uniqueList="1" numFmtId="0" sqlType="0" hierarchy="0" level="0" databaseField="1">
      <sharedItems count="8000" containsBlank="1" containsDate="1" containsNonDate="0" containsString="0" minDate="2024-12-16T12:14:00" maxDate="2025-12-05T20:40:00">
        <d v="2025-12-05T20:40:00"/>
        <d v="2025-11-17T20:40:00"/>
        <d v="2025-11-07T11:41:00"/>
        <d v="2025-11-13T00:00:00"/>
        <d v="2025-11-15T07:35:00"/>
        <d v="2025-11-21T08:35:00"/>
        <d v="2025-11-21T08:46:00"/>
        <d v="2025-11-15T15:05:00"/>
        <d v="2025-11-21T20:52:00"/>
        <d v="2025-11-19T20:44:00"/>
        <d v="2025-11-22T00:20:00"/>
        <d v="2025-11-22T10:01:00"/>
        <d v="2025-11-22T10:02:00"/>
        <d v="2025-11-23T11:56:00"/>
        <d v="2025-11-23T12:19:00"/>
        <d v="2025-11-23T13:24:00"/>
        <d v="2025-11-23T13:25:00"/>
        <d v="2025-11-23T16:01:00"/>
        <d v="2025-11-23T18:01:00"/>
        <d v="2025-11-23T18:02:00"/>
        <d v="2025-11-21T20:44:00"/>
        <d v="2025-11-21T19:24:00"/>
        <d v="2025-11-21T19:25:00"/>
        <d v="2025-11-21T11:48:00"/>
        <d v="2025-11-21T14:06:00"/>
        <d v="2025-11-21T07:56:00"/>
        <d v="2025-11-15T06:49:00"/>
        <d v="2025-11-15T12:43:00"/>
        <d v="2025-11-16T18:35:00"/>
        <d v="2025-11-16T20:26:00"/>
        <d v="2025-11-15T22:00:00"/>
        <d v="2025-11-16T03:22:00"/>
        <d v="2025-11-16T18:47:00"/>
        <d v="2025-11-21T11:58:00"/>
        <d v="2025-11-18T10:53:00"/>
        <d v="2025-11-18T12:24:00"/>
        <d v="2025-11-18T10:00:00"/>
        <d v="2025-11-18T10:09:00"/>
        <d v="2025-11-18T01:39:00"/>
        <d v="2025-11-16T11:55:00"/>
        <d v="2025-11-16T11:44:00"/>
        <d v="2025-11-15T04:04:00"/>
        <d v="2025-11-16T03:40:00"/>
        <d v="2025-11-10T08:53:00"/>
        <d v="2025-11-11T09:14:00"/>
        <d v="2025-11-10T09:08:00"/>
        <d v="2025-11-10T09:15:00"/>
        <d v="2025-11-10T09:31:00"/>
        <d v="2025-11-11T08:38:00"/>
        <d v="2025-11-10T08:57:00"/>
        <d v="2025-11-10T08:15:00"/>
        <d v="2025-11-10T06:17:00"/>
        <d v="2025-11-06T08:18:00"/>
        <d v="2025-11-20T07:27:00"/>
        <d v="2025-11-20T07:34:00"/>
        <d v="2025-10-17T15:42:00"/>
        <d v="2025-10-15T16:18:00"/>
        <d v="2025-10-21T17:30:00"/>
        <d v="2025-11-03T16:15:00"/>
        <d v="2025-11-14T00:00:00"/>
        <d v="2025-11-18T07:59:00"/>
        <d v="2025-11-19T12:43:00"/>
        <d v="2025-11-14T11:09:00"/>
        <d v="2025-11-18T14:32:00"/>
        <d v="2025-11-19T10:38:00"/>
        <d v="2025-11-19T11:21:00"/>
        <d v="2025-11-11T08:10:00"/>
        <d v="2025-11-14T13:28:00"/>
        <d v="2025-11-14T13:30:00"/>
        <d v="2025-10-27T09:39:00"/>
        <d v="2025-11-15T08:11:00"/>
        <d v="2025-11-15T12:18:00"/>
        <d v="2025-10-30T17:56:00"/>
        <d v="2025-10-30T17:59:00"/>
        <d v="2025-11-05T09:57:00"/>
        <d v="2025-11-18T00:00:00"/>
        <d v="2025-11-15T00:00:00"/>
        <d v="2025-11-19T11:51:00"/>
        <d v="2025-10-27T00:00:00"/>
        <d v="2025-11-14T11:23:00"/>
        <d v="2025-11-21T11:03:00"/>
        <d v="2025-11-19T16:58:00"/>
        <d v="2025-11-19T10:48:00"/>
        <d v="2025-11-21T11:57:00"/>
        <d v="2025-11-23T19:11:00"/>
        <d v="2025-11-23T15:01:00"/>
        <d v="2025-11-19T17:04:00"/>
        <d v="2025-11-19T15:46:00"/>
        <d v="2025-11-18T16:04:00"/>
        <d v="2025-11-18T07:55:00"/>
        <d v="2025-11-17T12:16:00"/>
        <d v="2025-11-21T08:08:00"/>
        <d v="2025-11-21T08:22:00"/>
        <d v="2025-11-12T13:03:00"/>
        <d v="2025-11-08T06:19:00"/>
        <d v="2025-11-11T06:55:00"/>
        <d v="2025-11-21T06:23:00"/>
        <d v="2025-11-17T16:08:00"/>
        <d v="2025-11-17T09:40:00"/>
        <d v="2025-11-19T07:32:00"/>
        <d v="2025-11-12T17:30:00"/>
        <d v="2025-11-19T06:34:00"/>
        <d v="2025-11-17T17:06:00"/>
        <d v="2025-11-06T13:00:00"/>
        <d v="2025-11-19T17:39:00"/>
        <d v="2025-11-17T15:05:00"/>
        <d v="2025-10-28T16:51:00"/>
        <d v="2025-10-28T16:02:00"/>
        <d v="2025-11-21T14:13:00"/>
        <d v="2025-11-21T14:04:00"/>
        <d v="2025-11-20T14:32:00"/>
        <d v="2025-11-17T09:07:00"/>
        <d v="2025-11-21T11:11:00"/>
        <d v="2025-11-14T17:53:00"/>
        <d v="2025-10-24T09:00:00"/>
        <d v="2025-11-11T15:48:00"/>
        <d v="2025-11-11T15:49:00"/>
        <d v="2025-11-03T17:46:00"/>
        <d v="2025-11-17T00:00:00"/>
        <d v="2025-11-14T18:00:00"/>
        <d v="2025-11-14T19:00:00"/>
        <d v="2025-11-07T14:50:00"/>
        <d v="2025-11-19T10:09:00"/>
        <d v="2025-11-19T12:39:00"/>
        <d v="2025-03-10T15:52:00"/>
        <d v="2025-11-21T08:07:00"/>
        <d v="2025-11-19T04:22:00"/>
        <d v="2025-11-06T00:00:00"/>
        <d v="2025-11-13T07:44:00"/>
        <d v="2025-11-12T05:42:00"/>
        <d v="2025-11-12T07:31:00"/>
        <d v="2025-10-29T17:48:00"/>
        <d v="2025-10-21T09:09:00"/>
        <d v="2025-11-03T20:22:00"/>
        <d v="2025-11-05T21:48:00"/>
        <d v="2025-11-03T09:59:00"/>
        <d v="2025-11-14T11:17:00"/>
        <d v="2025-11-12T08:06:00"/>
        <d v="2025-11-11T17:41:00"/>
        <d v="2025-11-11T17:45:00"/>
        <d v="2025-11-04T17:19:00"/>
        <d v="2025-10-23T13:07:00"/>
        <d v="2025-11-04T13:48:00"/>
        <d v="2025-11-21T10:06:00"/>
        <d v="2025-11-06T16:50:00"/>
        <d v="2025-11-07T18:15:00"/>
        <d v="2025-11-11T17:08:00"/>
        <d v="2025-11-17T14:42:00"/>
        <d v="2025-11-18T11:41:00"/>
        <d v="2025-11-21T10:18:00"/>
        <d v="2025-11-17T14:56:00"/>
        <d v="2025-11-10T18:46:00"/>
        <d v="2025-11-10T18:50:00"/>
        <d v="2025-11-07T19:22:00"/>
        <d v="2025-11-04T15:53:00"/>
        <d v="2025-11-21T15:30:00"/>
        <d v="2025-11-21T15:37:00"/>
        <d v="2025-11-21T18:42:00"/>
        <d v="2025-11-21T16:44:00"/>
        <d v="2025-11-21T16:43:00"/>
        <d v="2025-11-21T15:09:00"/>
        <d v="2025-11-21T14:49:00"/>
        <d v="2025-11-21T12:45:00"/>
        <d v="2025-11-21T13:45:00"/>
        <d v="2025-11-21T12:33:00"/>
        <d v="2025-11-21T13:44:00"/>
        <d v="2025-11-21T13:46:00"/>
        <d v="2025-11-21T11:33:00"/>
        <d v="2025-11-18T18:01:00"/>
        <d v="2025-11-19T15:25:00"/>
        <d v="2025-11-21T17:52:00"/>
        <d v="2025-11-17T13:56:00"/>
        <d v="2025-10-20T19:49:00"/>
        <d v="2025-11-12T15:18:00"/>
        <d v="2025-11-12T17:12:00"/>
        <d v="2025-10-10T17:24:00"/>
        <d v="2025-10-10T17:22:00"/>
        <d v="2025-10-10T17:21:00"/>
        <d v="2025-11-18T17:31:00"/>
        <d v="2025-11-19T17:18:00"/>
        <d v="2025-11-19T17:32:00"/>
        <d v="2025-11-19T17:52:00"/>
        <d v="2025-11-21T12:03:00"/>
        <d v="2025-11-21T12:12:00"/>
        <d v="2025-11-21T12:23:00"/>
        <d v="2025-11-21T12:17:00"/>
        <d v="2025-11-21T12:09:00"/>
        <d v="2025-11-21T12:30:00"/>
        <d v="2025-11-14T17:34:00"/>
        <d v="2025-11-17T17:49:00"/>
        <d v="2025-11-17T16:49:00"/>
        <d v="2025-11-05T11:10:00"/>
        <d v="2025-11-05T11:51:00"/>
        <d v="2025-11-05T15:36:00"/>
        <d v="2025-10-27T09:09:00"/>
        <d v="2025-02-26T10:35:00"/>
        <d v="2025-11-18T19:05:00"/>
        <d v="2025-11-18T18:56:00"/>
        <d v="2025-11-18T18:49:00"/>
        <d v="2025-11-13T16:24:00"/>
        <d v="2025-04-09T18:16:00"/>
        <d v="2025-03-25T18:23:00"/>
        <d v="2025-11-07T18:01:00"/>
        <d v="2025-11-09T11:36:00"/>
        <d v="2025-11-11T13:29:00"/>
        <d v="2025-11-14T19:24:00"/>
        <d v="2025-11-21T08:26:00"/>
        <d v="2025-11-17T07:56:00"/>
        <d v="2025-11-04T09:28:00"/>
        <d v="2025-11-18T14:46:00"/>
        <d v="2025-11-19T00:00:00"/>
        <d v="2025-11-19T12:14:00"/>
        <d v="2025-11-21T15:18:00"/>
        <d v="2025-11-17T08:03:00"/>
        <d v="2025-11-19T07:35:00"/>
        <d v="2025-10-23T16:59:00"/>
        <d v="2025-10-23T17:08:00"/>
        <d v="2025-11-15T09:52:00"/>
        <d v="2025-10-20T11:55:00"/>
        <d v="2025-10-30T14:31:00"/>
        <d v="2025-10-17T16:47:00"/>
        <d v="2025-11-03T15:03:00"/>
        <d v="2025-11-04T05:54:00"/>
        <d v="2025-11-01T15:48:00"/>
        <d v="2025-11-02T16:27:00"/>
        <d v="2025-11-19T12:02:00"/>
        <d v="2025-11-19T12:08:00"/>
        <d v="2025-11-19T14:20:00"/>
        <d v="2025-11-21T13:35:00"/>
        <d v="2025-11-21T07:36:00"/>
        <d v="2025-11-20T07:31:00"/>
        <d v="2025-11-18T16:00:00"/>
        <d v="2025-11-19T16:43:00"/>
        <d v="2025-11-22T14:14:00"/>
        <d v="2025-10-20T09:36:00"/>
        <d v="2025-11-17T08:34:00"/>
        <d v="2025-11-17T08:54:00"/>
        <d v="2025-11-19T09:21:00"/>
        <d v="2025-11-21T15:29:00"/>
        <d v="2025-11-21T08:09:00"/>
        <d v="2025-10-28T19:11:00"/>
        <d v="2025-11-17T17:11:00"/>
        <d v="2025-11-19T19:07:00"/>
        <d v="2025-11-21T12:02:00"/>
        <d v="2025-11-21T08:15:00"/>
        <d v="2025-10-16T13:35:00"/>
        <d v="2025-11-11T19:53:00"/>
        <d v="2025-11-12T16:11:00"/>
        <d v="2025-11-17T11:36:00"/>
        <d v="2025-11-14T13:33:00"/>
        <d v="2025-11-07T11:40:00"/>
        <d v="2025-11-07T16:13:00"/>
        <d v="2025-11-06T15:17:00"/>
        <d v="2025-11-06T11:11:00"/>
        <d v="2025-11-17T19:46:00"/>
        <d v="2025-11-17T18:00:00"/>
        <d v="2025-11-18T18:00:00"/>
        <d v="2025-11-12T17:40:00"/>
        <d v="2025-10-17T17:35:00"/>
        <d v="2025-10-16T11:21:00"/>
        <d v="2025-10-28T11:37:00"/>
        <d v="2025-10-13T09:24:00"/>
        <d v="2025-11-21T11:53:00"/>
        <d v="2025-11-18T06:41:00"/>
        <d v="2025-11-17T12:12:00"/>
        <d v="2025-11-17T08:33:00"/>
        <d v="2025-11-06T12:26:00"/>
        <d v="2025-11-19T18:28:00"/>
        <d v="2025-11-17T11:24:00"/>
        <d v="2025-11-14T11:46:00"/>
        <d v="2025-11-19T16:30:00"/>
        <d v="2025-11-19T06:08:00"/>
        <d v="2025-11-19T06:21:00"/>
        <d v="2025-11-18T12:26:00"/>
        <d v="2025-11-19T15:18:00"/>
        <d v="2025-11-17T12:47:00"/>
        <d v="2025-11-17T13:18:00"/>
        <d v="2025-11-18T12:11:00"/>
        <d v="2025-11-11T06:28:00"/>
        <d v="2025-11-05T11:21:00"/>
        <d v="2025-11-06T13:49:00"/>
        <d v="2025-11-11T18:31:00"/>
        <d v="2025-10-28T11:26:00"/>
        <d v="2025-11-18T16:42:00"/>
        <d v="2025-10-28T10:24:00"/>
        <d v="2025-11-11T15:08:00"/>
        <d v="2025-10-28T15:29:00"/>
        <d v="2025-11-21T13:50:00"/>
        <d v="2025-11-06T13:44:00"/>
        <d v="2025-11-06T13:41:00"/>
        <d v="2025-11-19T14:16:00"/>
        <d v="2025-11-18T08:35:00"/>
        <d v="2025-11-18T13:30:00"/>
        <d v="2025-11-18T12:25:00"/>
        <d v="2025-11-17T13:05:00"/>
        <d v="2025-11-17T11:01:00"/>
        <d v="2025-11-17T15:02:00"/>
        <d v="2025-10-31T08:34:00"/>
        <d v="2025-11-12T00:00:00"/>
        <d v="2025-11-17T12:38:00"/>
        <d v="2025-11-17T08:46:00"/>
        <d v="2025-11-18T14:00:00"/>
        <d v="2025-11-18T16:30:00"/>
        <d v="2025-11-21T16:08:00"/>
        <d v="2025-11-21T09:51:00"/>
        <d v="2025-11-21T18:50:00"/>
        <d v="2025-11-14T10:58:00"/>
        <d v="2025-10-08T17:33:00"/>
        <d v="2025-11-19T11:48:00"/>
        <d v="2025-09-08T08:29:00"/>
        <d v="2025-11-13T14:11:00"/>
        <d v="2025-11-19T10:37:00"/>
        <d v="2025-11-19T14:38:00"/>
        <d v="2025-11-11T11:23:00"/>
        <d v="2025-11-06T16:09:00"/>
        <d v="2025-11-12T10:16:00"/>
        <d v="2025-11-18T14:49:00"/>
        <d v="2025-11-21T18:23:00"/>
        <d v="2025-11-18T13:59:00"/>
        <d v="2025-11-18T13:44:00"/>
        <d v="2025-11-18T13:25:00"/>
        <d v="2025-11-18T13:17:00"/>
        <d v="2025-11-22T09:42:00"/>
        <d v="2025-11-21T16:26:00"/>
        <d v="2025-11-21T15:38:00"/>
        <d v="2025-11-18T17:58:00"/>
        <d v="2025-11-18T17:33:00"/>
        <d v="2025-11-19T16:31:00"/>
        <d v="2025-11-19T11:13:00"/>
        <d v="2025-11-19T10:44:00"/>
        <d v="2025-11-18T17:07:00"/>
        <d v="2025-11-17T17:43:00"/>
        <d v="2025-11-17T16:16:00"/>
        <d v="2025-11-18T11:11:00"/>
        <d v="2025-11-18T09:21:00"/>
        <d v="2025-11-18T09:24:00"/>
        <d v="2025-11-19T12:01:00"/>
        <d v="2025-11-19T11:22:00"/>
        <d v="2025-11-19T11:12:00"/>
        <d v="2025-11-21T15:02:00"/>
        <d v="2025-11-21T15:22:00"/>
        <d v="2025-11-21T15:23:00"/>
        <d v="2025-11-21T11:02:00"/>
        <d v="2025-11-21T10:53:00"/>
        <d v="2025-11-21T13:36:00"/>
        <d v="2025-11-18T17:06:00"/>
        <d v="2025-11-18T17:00:00"/>
        <d v="2025-11-18T15:18:00"/>
        <d v="2025-11-19T15:51:00"/>
        <d v="2025-11-13T11:32:00"/>
        <d v="2025-11-14T07:49:00"/>
        <d v="2025-11-12T18:50:00"/>
        <d v="2025-10-22T11:27:00"/>
        <d v="2025-10-22T11:35:00"/>
        <d v="2025-11-18T13:42:00"/>
        <d v="2025-11-20T13:00:00"/>
        <d v="2025-11-18T14:07:00"/>
        <d v="2025-11-17T08:48:00"/>
        <d v="2025-11-19T12:53:00"/>
        <d v="2025-11-17T10:53:00"/>
        <d v="2025-11-05T18:18:00"/>
        <d v="2025-11-14T10:05:00"/>
        <d v="2025-11-12T18:58:00"/>
        <d v="2025-10-24T14:00:00"/>
        <d v="2025-11-21T16:15:00"/>
        <d v="2025-11-14T17:42:00"/>
        <d v="2025-11-05T12:09:00"/>
        <d v="2025-11-03T16:25:00"/>
        <d v="2025-10-24T12:52:00"/>
        <d v="2025-11-05T17:58:00"/>
        <d v="2025-11-18T16:54:00"/>
        <d v="2025-11-10T10:39:00"/>
        <d v="2025-10-30T11:24:00"/>
        <d v="2025-11-17T11:26:00"/>
        <d v="2025-11-17T10:58:00"/>
        <d v="2025-11-11T09:53:00"/>
        <d v="2025-11-11T09:54:00"/>
        <d v="2025-11-19T18:25:00"/>
        <d v="2025-11-19T18:10:00"/>
        <d v="2025-11-19T17:42:00"/>
        <d v="2025-11-19T17:41:00"/>
        <d v="2025-11-21T07:15:00"/>
        <d v="2025-11-21T12:24:00"/>
        <d v="2025-11-17T09:09:00"/>
        <d v="2025-11-19T09:48:00"/>
        <d v="2025-11-19T09:50:00"/>
        <d v="2025-11-15T13:09:00"/>
        <d v="2025-11-05T19:47:00"/>
        <d v="2025-10-30T09:09:00"/>
        <d v="2025-11-22T10:54:00"/>
        <d v="2025-11-21T18:03:00"/>
        <d v="2025-11-21T10:54:00"/>
        <d v="2025-11-17T17:21:00"/>
        <d v="2025-11-17T16:18:00"/>
        <d v="2025-11-18T13:39:00"/>
        <d v="2025-11-19T09:58:00"/>
        <d v="2025-11-17T09:16:00"/>
        <d v="2025-11-02T16:47:00"/>
        <d v="2025-11-14T17:00:00"/>
        <d v="2025-10-21T14:37:00"/>
        <d v="2025-10-21T00:00:00"/>
        <d v="2025-11-11T19:00:00"/>
        <d v="2025-11-17T19:00:00"/>
        <d v="2025-11-19T17:44:00"/>
        <d v="2025-11-18T09:18:00"/>
        <d v="2025-11-21T20:19:00"/>
        <d v="2025-11-17T13:15:00"/>
        <d v="2025-11-17T13:19:00"/>
        <d v="2025-11-17T13:48:00"/>
        <d v="2025-11-11T10:53:00"/>
        <d v="2025-11-19T10:29:00"/>
        <d v="2025-11-19T17:31:00"/>
        <d v="2025-11-21T00:00:00"/>
        <d v="2025-11-19T11:59:00"/>
        <d v="2025-11-19T17:30:00"/>
        <d v="2025-11-04T02:32:00"/>
        <d v="2025-11-14T07:04:00"/>
        <d v="2025-11-14T07:05:00"/>
        <d v="2025-11-14T07:06:00"/>
        <d v="2025-11-14T07:08:00"/>
        <d v="2025-11-14T07:11:00"/>
        <d v="2025-11-14T06:53:00"/>
        <d v="2025-11-14T06:51:00"/>
        <d v="2025-10-31T09:29:00"/>
        <d v="2025-10-15T17:17:00"/>
        <d v="2025-10-17T08:35:00"/>
        <d v="2025-10-30T00:00:00"/>
        <d v="2025-11-05T17:40:00"/>
        <d v="2025-11-21T13:16:00"/>
        <d v="2025-11-21T15:55:00"/>
        <d v="2025-11-21T14:52:00"/>
        <d v="2025-11-19T14:36:00"/>
        <d v="2025-11-16T21:03:00"/>
        <d v="2025-11-17T07:45:00"/>
        <d v="2025-11-10T14:33:00"/>
        <d v="2025-11-03T16:32:00"/>
        <d v="2025-11-04T07:00:00"/>
        <d v="2025-11-03T07:49:00"/>
        <d v="2025-11-03T06:53:00"/>
        <d v="2025-11-03T08:03:00"/>
        <d v="2025-11-05T08:17:00"/>
        <d v="2025-11-05T08:12:00"/>
        <d v="2025-11-03T06:43:00"/>
        <d v="2025-11-10T11:59:00"/>
        <d v="2025-11-11T06:13:00"/>
        <d v="2025-11-10T07:50:00"/>
        <d v="2025-11-10T14:25:00"/>
        <d v="2025-11-14T07:23:00"/>
        <d v="2025-11-18T06:31:00"/>
        <d v="2025-11-18T10:03:00"/>
        <d v="2025-11-18T16:49:00"/>
        <d v="2025-11-18T16:37:00"/>
        <d v="2025-11-21T08:50:00"/>
        <d v="2025-11-21T06:33:00"/>
        <d v="2025-11-21T06:55:00"/>
        <d v="2025-11-21T07:55:00"/>
        <d v="2025-11-18T08:20:00"/>
        <d v="2025-11-18T08:04:00"/>
        <d v="2025-11-18T07:07:00"/>
        <d v="2025-11-19T07:27:00"/>
        <d v="2025-11-19T08:08:00"/>
        <d v="2025-11-19T07:58:00"/>
        <d v="2025-11-19T07:50:00"/>
        <d v="2025-11-17T18:28:00"/>
        <d v="2025-11-18T05:36:00"/>
        <d v="2025-11-18T05:44:00"/>
        <d v="2025-11-17T10:24:00"/>
        <d v="2025-11-17T09:37:00"/>
        <d v="2025-11-17T13:52:00"/>
        <d v="2025-11-06T11:00:00"/>
        <d v="2025-11-21T16:55:00"/>
        <d v="2025-11-21T16:49:00"/>
        <d v="2025-11-14T10:18:00"/>
        <d v="2025-11-18T17:32:00"/>
        <d v="2025-11-21T17:58:00"/>
        <d v="2025-11-19T16:20:00"/>
        <d v="2025-11-19T14:43:00"/>
        <d v="2025-11-17T17:37:00"/>
        <d v="2025-11-14T16:45:00"/>
        <d v="2025-11-21T18:43:00"/>
        <d v="2025-11-21T18:39:00"/>
        <d v="2025-11-21T18:45:00"/>
        <d v="2025-11-11T17:07:00"/>
        <d v="2025-11-11T10:49:00"/>
        <d v="2025-11-11T10:48:00"/>
        <d v="2025-04-04T15:16:00"/>
        <d v="2025-11-20T16:05:00"/>
        <m/>
        <d v="2025-11-18T11:01:00" u="1"/>
        <d v="2025-11-18T11:13:00" u="1"/>
        <d v="2025-11-18T13:53:00" u="1"/>
        <d v="2025-11-12T13:06:00" u="1"/>
        <d v="2025-11-17T22:50:00" u="1"/>
        <d v="2025-11-17T22:51:00" u="1"/>
        <d v="2025-11-17T17:31:00" u="1"/>
        <d v="2025-11-17T15:40:00" u="1"/>
        <d v="2025-11-17T15:41:00" u="1"/>
        <d v="2025-11-18T19:41:00" u="1"/>
        <d v="2025-11-18T19:42:00" u="1"/>
        <d v="2025-11-18T11:10:00" u="1"/>
        <d v="2025-11-17T10:00:00" u="1"/>
        <d v="2025-11-12T04:45:00" u="1"/>
        <d v="2025-11-17T18:54:00" u="1"/>
        <d v="2025-11-17T11:12:00" u="1"/>
        <d v="2025-11-17T09:46:00" u="1"/>
        <d v="2025-11-10T12:59:00" u="1"/>
        <d v="2025-10-29T00:00:00" u="1"/>
        <d v="2025-11-06T09:22:00" u="1"/>
        <d v="2025-11-18T16:25:00" u="1"/>
        <d v="2025-11-14T14:32:00" u="1"/>
        <d v="2025-11-17T13:22:00" u="1"/>
        <d v="2025-11-17T13:16:00" u="1"/>
        <d v="2025-11-07T06:46:00" u="1"/>
        <d v="2025-11-18T10:34:00" u="1"/>
        <d v="2025-11-18T11:32:00" u="1"/>
        <d v="2025-11-17T19:07:00" u="1"/>
        <d v="2025-11-07T00:00:00" u="1"/>
        <d v="2025-10-31T10:29:00" u="1"/>
        <d v="2025-10-17T17:56:00" u="1"/>
        <d v="2025-10-23T17:32:00" u="1"/>
        <d v="2025-11-12T21:12:00" u="1"/>
        <d v="2025-11-12T21:10:00" u="1"/>
        <d v="2025-11-18T04:22:00" u="1"/>
        <d v="2025-11-18T05:27:00" u="1"/>
        <d v="2025-11-18T06:51:00" u="1"/>
        <d v="2025-11-12T16:19:00" u="1"/>
        <d v="2025-11-13T17:45:00" u="1"/>
        <d v="2025-11-13T17:40:00" u="1"/>
        <d v="2025-11-04T17:10:00" u="1"/>
        <d v="2025-10-09T16:45:00" u="1"/>
        <d v="2025-10-14T16:42:00" u="1"/>
        <d v="2025-10-13T16:20:00" u="1"/>
        <d v="2025-10-06T17:06:00" u="1"/>
        <d v="2025-10-16T17:50:00" u="1"/>
        <d v="2025-10-16T17:47:00" u="1"/>
        <d v="2025-10-14T08:40:00" u="1"/>
        <d v="2025-11-06T09:13:00" u="1"/>
        <d v="2025-11-18T08:45:00" u="1"/>
        <d v="2025-11-17T15:19:00" u="1"/>
        <d v="2025-11-18T09:40:00" u="1"/>
        <d v="2025-11-18T14:26:00" u="1"/>
        <d v="2025-11-18T18:02:00" u="1"/>
        <d v="2025-11-18T18:04:00" u="1"/>
        <d v="2025-11-18T16:57:00" u="1"/>
        <d v="2025-11-17T11:27:00" u="1"/>
        <d v="2025-11-17T14:04:00" u="1"/>
        <d v="2025-11-18T18:33:00" u="1"/>
        <d v="2025-11-18T17:09:00" u="1"/>
        <d v="2025-11-03T19:40:00" u="1"/>
        <d v="2025-10-31T19:03:00" u="1"/>
        <d v="2025-10-24T14:49:00" u="1"/>
        <d v="2025-11-14T19:48:00" u="1"/>
        <d v="2025-11-14T19:42:00" u="1"/>
        <d v="2025-11-17T14:11:00" u="1"/>
        <d v="2025-11-17T19:40:00" u="1"/>
        <d v="2025-11-17T19:44:00" u="1"/>
        <d v="2025-10-20T15:10:00" u="1"/>
        <d v="2025-10-13T17:18:00" u="1"/>
        <d v="2025-10-08T11:02:00" u="1"/>
        <d v="2025-10-20T16:01:00" u="1"/>
        <d v="2025-10-28T17:02:00" u="1"/>
        <d v="2025-10-28T17:20:00" u="1"/>
        <d v="2025-11-03T14:15:00" u="1"/>
        <d v="2025-10-22T18:06:00" u="1"/>
        <d v="2025-11-03T15:08:00" u="1"/>
        <d v="2025-11-03T14:23:00" u="1"/>
        <d v="2025-11-07T18:06:00" u="1"/>
        <d v="2025-11-03T10:00:00" u="1"/>
        <d v="2025-11-03T09:43:00" u="1"/>
        <d v="2025-10-30T10:12:00" u="1"/>
        <d v="2025-11-13T18:28:00" u="1"/>
        <d v="2025-11-06T10:36:00" u="1"/>
        <d v="2025-11-10T17:32:00" u="1"/>
        <d v="2025-11-06T14:39:00" u="1"/>
        <d v="2025-10-17T12:20:00" u="1"/>
        <d v="2025-10-23T17:04:00" u="1"/>
        <d v="2025-10-29T08:51:00" u="1"/>
        <d v="2025-10-24T16:33:00" u="1"/>
        <d v="2025-11-13T16:55:00" u="1"/>
        <d v="2025-11-13T17:19:00" u="1"/>
        <d v="2025-11-11T17:22:00" u="1"/>
        <d v="2025-11-13T10:26:00" u="1"/>
        <d v="2025-11-11T12:01:00" u="1"/>
        <d v="2025-11-18T15:07:00" u="1"/>
        <d v="2025-11-10T08:07:00" u="1"/>
        <d v="2025-11-14T15:07:00" u="1"/>
        <d v="2025-11-10T11:20:00" u="1"/>
        <d v="2025-11-12T15:57:00" u="1"/>
        <d v="2025-11-18T09:48:00" u="1"/>
        <d v="2025-11-17T16:41:00" u="1"/>
        <d v="2025-11-05T12:48:00" u="1"/>
        <d v="2025-11-05T12:38:00" u="1"/>
        <d v="2025-11-18T12:17:00" u="1"/>
        <d v="2025-11-05T14:19:00" u="1"/>
        <d v="2025-11-05T16:15:00" u="1"/>
        <d v="2025-11-12T14:11:00" u="1"/>
        <d v="2025-10-27T08:06:00" u="1"/>
        <d v="2025-11-06T11:46:00" u="1"/>
        <d v="2025-11-06T11:49:00" u="1"/>
        <d v="2025-11-12T08:53:00" u="1"/>
        <d v="2025-11-14T09:18:00" u="1"/>
        <d v="2025-11-13T16:51:00" u="1"/>
        <d v="2025-11-13T16:10:00" u="1"/>
        <d v="2025-10-16T17:13:00" u="1"/>
        <d v="2025-10-14T10:14:00" u="1"/>
        <d v="2025-11-05T21:00:00" u="1"/>
        <d v="2025-11-03T15:35:00" u="1"/>
        <d v="2025-11-07T21:29:00" u="1"/>
        <d v="2025-11-18T16:59:00" u="1"/>
        <d v="2025-11-11T15:15:00" u="1"/>
        <d v="2025-10-20T14:31:00" u="1"/>
        <d v="2025-11-17T17:27:00" u="1"/>
        <d v="2025-11-07T08:55:00" u="1"/>
        <d v="2025-10-06T16:55:00" u="1"/>
        <d v="2025-10-16T15:06:00" u="1"/>
        <d v="2025-11-18T17:17:00" u="1"/>
        <d v="2025-10-03T16:19:00" u="1"/>
        <d v="2025-10-20T20:30:00" u="1"/>
        <d v="2025-11-14T20:34:00" u="1"/>
        <d v="2025-11-14T20:06:00" u="1"/>
        <d v="2025-11-18T17:18:00" u="1"/>
        <d v="2025-10-30T13:11:00" u="1"/>
        <d v="2025-10-07T16:28:00" u="1"/>
        <d v="2025-10-14T08:29:00" u="1"/>
        <d v="2025-11-12T12:14:00" u="1"/>
        <d v="2025-11-18T12:46:00" u="1"/>
        <d v="2025-11-13T07:16:00" u="1"/>
        <d v="2025-11-18T07:37:00" u="1"/>
        <d v="2025-11-15T08:57:00" u="1"/>
        <d v="2025-11-17T13:30:00" u="1"/>
        <d v="2025-11-18T11:26:00" u="1"/>
        <d v="2025-11-17T16:48:00" u="1"/>
        <d v="2025-11-14T09:38:00" u="1"/>
        <d v="2025-10-21T11:15:00" u="1"/>
        <d v="2025-11-13T13:36:00" u="1"/>
        <d v="2025-11-17T10:12:00" u="1"/>
        <d v="2025-11-14T15:12:00" u="1"/>
        <d v="2025-10-27T16:05:00" u="1"/>
        <d v="2025-10-21T14:25:00" u="1"/>
        <d v="2025-10-08T14:37:00" u="1"/>
        <d v="2025-11-17T16:51:00" u="1"/>
        <d v="2025-11-17T16:39:00" u="1"/>
        <d v="2025-11-17T16:42:00" u="1"/>
        <d v="2025-11-18T15:33:00" u="1"/>
        <d v="2025-11-11T15:10:00" u="1"/>
        <d v="2025-11-11T14:56:00" u="1"/>
        <d v="2025-11-17T17:22:00" u="1"/>
        <d v="2025-10-16T11:47:00" u="1"/>
        <d v="2025-11-12T16:26:00" u="1"/>
        <d v="2025-11-05T09:25:00" u="1"/>
        <d v="2025-11-18T16:33:00" u="1"/>
        <d v="2025-10-10T12:04:00" u="1"/>
        <d v="2025-11-18T15:22:00" u="1"/>
        <d v="2025-11-13T16:04:00" u="1"/>
        <d v="2025-11-04T00:00:00" u="1"/>
        <d v="2025-11-10T13:07:00" u="1"/>
        <d v="2025-11-17T14:32:00" u="1"/>
        <d v="2025-11-18T06:19:00" u="1"/>
        <d v="2025-11-18T18:57:00" u="1"/>
        <d v="2025-11-13T11:39:00" u="1"/>
        <d v="2025-11-14T11:35:00" u="1"/>
        <d v="2025-11-13T12:24:00" u="1"/>
        <d v="2025-11-06T15:03:00" u="1"/>
        <d v="2025-10-15T14:50:00" u="1"/>
        <d v="2025-10-24T10:41:00" u="1"/>
        <d v="2025-11-13T18:22:00" u="1"/>
        <d v="2025-11-04T12:25:00" u="1"/>
        <d v="2025-10-28T16:56:00" u="1"/>
        <d v="2025-10-24T12:10:00" u="1"/>
        <d v="2025-10-03T17:45:00" u="1"/>
        <d v="2025-10-13T11:58:00" u="1"/>
        <d v="2025-11-07T10:42:00" u="1"/>
        <d v="2025-11-07T10:27:00" u="1"/>
        <d v="2025-11-12T16:44:00" u="1"/>
        <d v="2025-10-15T09:58:00" u="1"/>
        <d v="2025-10-08T16:28:00" u="1"/>
        <d v="2025-10-29T11:16:00" u="1"/>
        <d v="2025-11-06T10:31:00" u="1"/>
        <d v="2025-10-01T10:20:00" u="1"/>
        <d v="2025-11-10T13:42:00" u="1"/>
        <d v="2025-10-30T09:35:00" u="1"/>
        <d v="2025-11-18T10:10:00" u="1"/>
        <d v="2025-11-17T07:02:00" u="1"/>
        <d v="2025-10-13T09:30:00" u="1"/>
        <d v="2025-11-18T15:04:00" u="1"/>
        <d v="2025-11-11T15:59:00" u="1"/>
        <d v="2025-11-18T16:02:00" u="1"/>
        <d v="2025-11-18T15:59:00" u="1"/>
        <d v="2025-11-18T15:57:00" u="1"/>
        <d v="2025-11-18T15:56:00" u="1"/>
        <d v="2025-11-17T16:59:00" u="1"/>
        <d v="2025-11-18T14:02:00" u="1"/>
        <d v="2025-11-13T15:19:00" u="1"/>
        <d v="2025-11-13T15:26:00" u="1"/>
        <d v="2025-11-18T10:44:00" u="1"/>
        <d v="2025-11-18T17:05:00" u="1"/>
        <d v="2025-11-18T12:00:00" u="1"/>
        <d v="2025-11-07T10:59:00" u="1"/>
        <d v="2025-10-31T16:12:00" u="1"/>
        <d v="2025-11-10T12:35:00" u="1"/>
        <d v="2025-11-11T13:33:00" u="1"/>
        <d v="2025-11-06T14:38:00" u="1"/>
        <d v="2025-11-14T13:20:00" u="1"/>
        <d v="2025-11-10T11:50:00" u="1"/>
        <d v="2025-11-12T10:50:00" u="1"/>
        <d v="2025-11-11T13:30:00" u="1"/>
        <d v="2025-11-10T11:48:00" u="1"/>
        <d v="2025-11-14T16:49:00" u="1"/>
        <d v="2025-11-12T11:54:00" u="1"/>
        <d v="2025-11-12T09:34:00" u="1"/>
        <d v="2025-11-07T15:35:00" u="1"/>
        <d v="2025-11-14T12:00:00" u="1"/>
        <d v="2025-11-13T10:14:00" u="1"/>
        <d v="2025-11-06T11:30:00" u="1"/>
        <d v="2025-11-10T14:51:00" u="1"/>
        <d v="2025-11-10T11:38:00" u="1"/>
        <d v="2025-11-17T13:10:00" u="1"/>
        <d v="2025-11-17T13:09:00" u="1"/>
        <d v="2025-11-18T11:35:00" u="1"/>
        <d v="2025-11-18T11:37:00" u="1"/>
        <d v="2025-11-18T11:31:00" u="1"/>
        <d v="2025-11-18T16:26:00" u="1"/>
        <d v="2025-11-07T21:04:00" u="1"/>
        <d v="2025-10-15T15:33:00" u="1"/>
        <d v="2025-10-13T12:48:00" u="1"/>
        <d v="2025-10-21T09:26:00" u="1"/>
        <d v="2025-10-07T16:40:00" u="1"/>
        <d v="2025-11-18T10:25:00" u="1"/>
        <d v="2025-11-17T20:30:00" u="1"/>
        <d v="2025-11-18T21:39:00" u="1"/>
        <d v="2025-11-18T21:45:00" u="1"/>
        <d v="2025-11-18T10:36:00" u="1"/>
        <d v="2025-11-17T21:31:00" u="1"/>
        <d v="2025-10-06T23:22:00" u="1"/>
        <d v="2025-10-09T14:03:00" u="1"/>
        <d v="2025-11-03T09:17:00" u="1"/>
        <d v="2025-11-17T16:25:00" u="1"/>
        <d v="2025-11-18T18:28:00" u="1"/>
        <d v="2025-11-18T14:19:00" u="1"/>
        <d v="2025-11-17T20:54:00" u="1"/>
        <d v="2025-11-17T20:56:00" u="1"/>
        <d v="2025-11-17T14:28:00" u="1"/>
        <d v="2025-11-18T19:25:00" u="1"/>
        <d v="2025-11-17T14:16:00" u="1"/>
        <d v="2025-11-18T08:29:00" u="1"/>
        <d v="2025-11-10T16:36:00" u="1"/>
        <d v="2025-11-14T10:02:00" u="1"/>
        <d v="2025-11-04T09:09:00" u="1"/>
        <d v="2025-11-17T19:12:00" u="1"/>
        <d v="2025-11-17T19:11:00" u="1"/>
        <d v="2025-11-17T02:41:00" u="1"/>
        <d v="2025-11-17T03:52:00" u="1"/>
        <d v="2025-10-23T00:00:00" u="1"/>
        <d v="2025-11-17T21:34:00" u="1"/>
        <d v="2025-11-14T11:40:00" u="1"/>
        <d v="2025-11-14T02:07:00" u="1"/>
        <d v="2025-11-01T12:23:00" u="1"/>
        <d v="2025-10-30T21:01:00" u="1"/>
        <d v="2025-11-14T14:55:00" u="1"/>
        <d v="2025-11-14T15:26:00" u="1"/>
        <d v="2025-11-14T15:48:00" u="1"/>
        <d v="2025-11-14T16:22:00" u="1"/>
        <d v="2025-11-14T16:23:00" u="1"/>
        <d v="2025-11-14T15:02:00" u="1"/>
        <d v="2025-11-14T12:40:00" u="1"/>
        <d v="2025-11-14T13:44:00" u="1"/>
        <d v="2025-11-14T13:13:00" u="1"/>
        <d v="2025-11-14T12:28:00" u="1"/>
        <d v="2025-11-14T08:12:00" u="1"/>
        <d v="2025-11-14T10:38:00" u="1"/>
        <d v="2025-11-14T11:02:00" u="1"/>
        <d v="2025-11-14T08:33:00" u="1"/>
        <d v="2025-11-14T13:48:00" u="1"/>
        <d v="2025-11-14T13:53:00" u="1"/>
        <d v="2025-11-14T00:09:00" u="1"/>
        <d v="2025-11-14T00:14:00" u="1"/>
        <d v="2025-11-03T19:49:00" u="1"/>
        <d v="2025-11-08T07:27:00" u="1"/>
        <d v="2025-11-14T10:00:00" u="1"/>
        <d v="2025-11-17T14:54:00" u="1"/>
        <d v="2025-11-17T14:58:00" u="1"/>
        <d v="2025-11-17T14:59:00" u="1"/>
        <d v="2025-11-17T14:38:00" u="1"/>
        <d v="2025-11-17T14:39:00" u="1"/>
        <d v="2025-11-17T14:51:00" u="1"/>
        <d v="2025-11-17T14:52:00" u="1"/>
        <d v="2025-11-17T14:47:00" u="1"/>
        <d v="2025-11-17T14:46:00" u="1"/>
        <d v="2025-11-17T10:45:00" u="1"/>
        <d v="2025-11-17T14:33:00" u="1"/>
        <d v="2025-11-17T15:26:00" u="1"/>
        <d v="2025-11-17T15:28:00" u="1"/>
        <d v="2025-11-17T15:29:00" u="1"/>
        <d v="2025-11-17T15:30:00" u="1"/>
        <d v="2025-11-17T15:24:00" u="1"/>
        <d v="2025-11-17T15:01:00" u="1"/>
        <d v="2025-11-17T15:03:00" u="1"/>
        <d v="2025-11-17T15:04:00" u="1"/>
        <d v="2025-11-17T15:07:00" u="1"/>
        <d v="2025-11-17T15:08:00" u="1"/>
        <d v="2025-11-17T15:09:00" u="1"/>
        <d v="2025-11-17T15:10:00" u="1"/>
        <d v="2025-11-17T15:13:00" u="1"/>
        <d v="2025-11-17T15:14:00" u="1"/>
        <d v="2025-11-17T15:15:00" u="1"/>
        <d v="2025-11-17T15:20:00" u="1"/>
        <d v="2025-11-17T15:22:00" u="1"/>
        <d v="2025-11-17T15:23:00" u="1"/>
        <d v="2025-11-15T16:54:00" u="1"/>
        <d v="2025-11-15T16:55:00" u="1"/>
        <d v="2025-11-14T14:52:00" u="1"/>
        <d v="2025-11-14T14:53:00" u="1"/>
        <d v="2025-11-14T16:39:00" u="1"/>
        <d v="2025-11-14T16:42:00" u="1"/>
        <d v="2025-11-15T05:14:00" u="1"/>
        <d v="2025-11-15T05:44:00" u="1"/>
        <d v="2025-11-15T09:40:00" u="1"/>
        <d v="2025-11-15T09:41:00" u="1"/>
        <d v="2025-11-15T09:49:00" u="1"/>
        <d v="2025-11-15T13:12:00" u="1"/>
        <d v="2025-11-15T13:13:00" u="1"/>
        <d v="2025-11-15T00:35:00" u="1"/>
        <d v="2025-11-15T00:52:00" u="1"/>
        <d v="2025-11-15T22:06:00" u="1"/>
        <d v="2025-11-15T23:24:00" u="1"/>
        <d v="2025-11-16T00:14:00" u="1"/>
        <d v="2025-11-16T03:45:00" u="1"/>
        <d v="2025-11-16T07:41:00" u="1"/>
        <d v="2025-11-16T09:40:00" u="1"/>
        <d v="2025-11-17T14:20:00" u="1"/>
        <d v="2025-11-17T14:25:00" u="1"/>
        <d v="2025-11-17T14:27:00" u="1"/>
        <d v="2025-11-17T09:30:00" u="1"/>
        <d v="2025-11-16T18:54:00" u="1"/>
        <d v="2025-11-15T19:54:00" u="1"/>
        <d v="2025-11-15T21:55:00" u="1"/>
        <d v="2025-11-16T18:28:00" u="1"/>
        <d v="2025-11-16T14:32:00" u="1"/>
        <d v="2025-11-13T10:00:00" u="1"/>
        <d v="2025-11-16T09:56:00" u="1"/>
        <d v="2025-11-16T09:57:00" u="1"/>
        <d v="2025-11-16T10:20:00" u="1"/>
        <d v="2025-11-16T10:51:00" u="1"/>
        <d v="2025-11-16T11:02:00" u="1"/>
        <d v="2025-11-16T11:03:00" u="1"/>
        <d v="2025-11-16T13:38:00" u="1"/>
        <d v="2025-11-17T15:32:00" u="1"/>
        <d v="2025-11-17T15:33:00" u="1"/>
        <d v="2025-11-17T15:34:00" u="1"/>
        <d v="2025-11-17T15:35:00" u="1"/>
        <d v="2025-11-17T15:36:00" u="1"/>
        <d v="2025-11-17T15:42:00" u="1"/>
        <d v="2025-11-17T15:43:00" u="1"/>
        <d v="2025-11-17T15:44:00" u="1"/>
        <d v="2025-11-17T15:45:00" u="1"/>
        <d v="2025-11-17T15:46:00" u="1"/>
        <d v="2025-11-17T15:47:00" u="1"/>
        <d v="2025-11-17T15:49:00" u="1"/>
        <d v="2025-11-17T15:50:00" u="1"/>
        <d v="2025-11-17T16:02:00" u="1"/>
        <d v="2025-11-17T16:04:00" u="1"/>
        <d v="2025-11-17T16:05:00" u="1"/>
        <d v="2025-11-17T16:07:00" u="1"/>
        <d v="2025-11-17T16:09:00" u="1"/>
        <d v="2025-11-17T16:10:00" u="1"/>
        <d v="2025-11-17T16:11:00" u="1"/>
        <d v="2025-11-17T16:12:00" u="1"/>
        <d v="2025-11-17T16:13:00" u="1"/>
        <d v="2025-11-17T16:15:00" u="1"/>
        <d v="2025-11-17T16:38:00" u="1"/>
        <d v="2025-11-17T16:40:00" u="1"/>
        <d v="2025-11-17T16:26:00" u="1"/>
        <d v="2025-11-17T16:27:00" u="1"/>
        <d v="2025-11-17T16:30:00" u="1"/>
        <d v="2025-11-17T16:31:00" u="1"/>
        <d v="2025-11-17T16:32:00" u="1"/>
        <d v="2025-11-17T15:53:00" u="1"/>
        <d v="2025-11-17T15:54:00" u="1"/>
        <d v="2025-11-17T15:55:00" u="1"/>
        <d v="2025-11-17T15:52:00" u="1"/>
        <d v="2025-11-17T15:58:00" u="1"/>
        <d v="2025-11-17T16:23:00" u="1"/>
        <d v="2025-11-17T16:24:00" u="1"/>
        <d v="2025-11-17T17:36:00" u="1"/>
        <d v="2025-11-17T17:38:00" u="1"/>
        <d v="2025-11-17T17:41:00" u="1"/>
        <d v="2025-11-17T17:42:00" u="1"/>
        <d v="2025-11-17T17:44:00" u="1"/>
        <d v="2025-11-17T17:45:00" u="1"/>
        <d v="2025-11-17T17:46:00" u="1"/>
        <d v="2025-11-17T17:47:00" u="1"/>
        <d v="2025-11-17T17:48:00" u="1"/>
        <d v="2025-11-17T17:50:00" u="1"/>
        <d v="2025-11-17T17:51:00" u="1"/>
        <d v="2025-11-17T17:52:00" u="1"/>
        <d v="2025-11-17T17:25:00" u="1"/>
        <d v="2025-11-17T17:28:00" u="1"/>
        <d v="2025-11-17T17:30:00" u="1"/>
        <d v="2025-11-17T17:32:00" u="1"/>
        <d v="2025-11-17T17:34:00" u="1"/>
        <d v="2025-11-17T17:01:00" u="1"/>
        <d v="2025-11-17T17:02:00" u="1"/>
        <d v="2025-11-17T16:56:00" u="1"/>
        <d v="2025-11-17T16:58:00" u="1"/>
        <d v="2025-11-17T17:04:00" u="1"/>
        <d v="2025-11-17T17:05:00" u="1"/>
        <d v="2025-11-17T17:08:00" u="1"/>
        <d v="2025-11-17T17:09:00" u="1"/>
        <d v="2025-11-17T17:10:00" u="1"/>
        <d v="2025-11-17T17:15:00" u="1"/>
        <d v="2025-11-17T17:17:00" u="1"/>
        <d v="2025-11-17T17:18:00" u="1"/>
        <d v="2025-11-17T17:20:00" u="1"/>
        <d v="2025-11-17T16:34:00" u="1"/>
        <d v="2025-11-17T16:47:00" u="1"/>
        <d v="2025-11-17T16:50:00" u="1"/>
        <d v="2025-11-17T16:53:00" u="1"/>
        <d v="2025-11-17T16:54:00" u="1"/>
        <d v="2025-11-17T21:12:00" u="1"/>
        <d v="2025-11-17T21:14:00" u="1"/>
        <d v="2025-11-17T21:05:00" u="1"/>
        <d v="2025-11-17T21:06:00" u="1"/>
        <d v="2025-11-17T21:09:00" u="1"/>
        <d v="2025-11-17T21:10:00" u="1"/>
        <d v="2025-11-17T20:36:00" u="1"/>
        <d v="2025-11-17T21:17:00" u="1"/>
        <d v="2025-11-17T21:18:00" u="1"/>
        <d v="2025-11-17T21:19:00" u="1"/>
        <d v="2025-11-17T20:34:00" u="1"/>
        <d v="2025-11-17T20:55:00" u="1"/>
        <d v="2025-11-17T20:53:00" u="1"/>
        <d v="2025-11-17T20:58:00" u="1"/>
        <d v="2025-11-17T20:59:00" u="1"/>
        <d v="2025-11-17T21:00:00" u="1"/>
        <d v="2025-11-17T21:02:00" u="1"/>
        <d v="2025-11-17T21:03:00" u="1"/>
        <d v="2025-11-17T21:04:00" u="1"/>
        <d v="2025-11-17T21:36:00" u="1"/>
        <d v="2025-11-17T21:38:00" u="1"/>
        <d v="2025-11-17T21:39:00" u="1"/>
        <d v="2025-11-17T21:40:00" u="1"/>
        <d v="2025-11-17T21:41:00" u="1"/>
        <d v="2025-11-17T21:42:00" u="1"/>
        <d v="2025-11-17T21:44:00" u="1"/>
        <d v="2025-11-17T21:46:00" u="1"/>
        <d v="2025-11-17T21:47:00" u="1"/>
        <d v="2025-11-17T21:48:00" u="1"/>
        <d v="2025-11-17T21:49:00" u="1"/>
        <d v="2025-11-17T21:50:00" u="1"/>
        <d v="2025-11-17T21:52:00" u="1"/>
        <d v="2025-11-17T21:53:00" u="1"/>
        <d v="2025-11-17T21:54:00" u="1"/>
        <d v="2025-11-17T21:56:00" u="1"/>
        <d v="2025-11-17T21:58:00" u="1"/>
        <d v="2025-11-17T21:59:00" u="1"/>
        <d v="2025-11-17T22:00:00" u="1"/>
        <d v="2025-11-17T22:02:00" u="1"/>
        <d v="2025-11-17T22:03:00" u="1"/>
        <d v="2025-11-17T22:04:00" u="1"/>
        <d v="2025-11-17T22:06:00" u="1"/>
        <d v="2025-11-17T22:08:00" u="1"/>
        <d v="2025-11-17T22:09:00" u="1"/>
        <d v="2025-11-17T22:13:00" u="1"/>
        <d v="2025-11-17T22:14:00" u="1"/>
        <d v="2025-11-17T22:16:00" u="1"/>
        <d v="2025-11-17T22:20:00" u="1"/>
        <d v="2025-11-17T22:21:00" u="1"/>
        <d v="2025-11-17T22:22:00" u="1"/>
        <d v="2025-11-17T22:23:00" u="1"/>
        <d v="2025-11-17T22:25:00" u="1"/>
        <d v="2025-11-17T22:26:00" u="1"/>
        <d v="2025-11-17T22:27:00" u="1"/>
        <d v="2025-11-17T22:28:00" u="1"/>
        <d v="2025-11-17T22:29:00" u="1"/>
        <d v="2025-11-17T22:30:00" u="1"/>
        <d v="2025-11-17T22:31:00" u="1"/>
        <d v="2025-11-17T22:32:00" u="1"/>
        <d v="2025-11-17T22:33:00" u="1"/>
        <d v="2025-11-17T22:34:00" u="1"/>
        <d v="2025-11-17T22:35:00" u="1"/>
        <d v="2025-11-17T22:36:00" u="1"/>
        <d v="2025-11-17T22:37:00" u="1"/>
        <d v="2025-11-17T22:38:00" u="1"/>
        <d v="2025-11-17T22:40:00" u="1"/>
        <d v="2025-11-17T22:42:00" u="1"/>
        <d v="2025-11-17T22:46:00" u="1"/>
        <d v="2025-11-17T22:47:00" u="1"/>
        <d v="2025-11-17T22:48:00" u="1"/>
        <d v="2025-11-17T22:49:00" u="1"/>
        <d v="2025-11-17T22:52:00" u="1"/>
        <d v="2025-11-17T22:53:00" u="1"/>
        <d v="2025-11-17T22:54:00" u="1"/>
        <d v="2025-11-17T22:55:00" u="1"/>
        <d v="2025-11-17T22:56:00" u="1"/>
        <d v="2025-11-17T22:57:00" u="1"/>
        <d v="2025-11-17T22:58:00" u="1"/>
        <d v="2025-11-17T22:59:00" u="1"/>
        <d v="2025-11-17T21:20:00" u="1"/>
        <d v="2025-11-17T21:21:00" u="1"/>
        <d v="2025-11-17T21:22:00" u="1"/>
        <d v="2025-11-17T21:23:00" u="1"/>
        <d v="2025-11-17T21:24:00" u="1"/>
        <d v="2025-11-17T21:26:00" u="1"/>
        <d v="2025-11-17T21:27:00" u="1"/>
        <d v="2025-11-17T21:28:00" u="1"/>
        <d v="2025-11-17T21:30:00" u="1"/>
        <d v="2025-11-17T21:32:00" u="1"/>
        <d v="2025-11-17T21:33:00" u="1"/>
        <d v="2025-11-17T20:33:00" u="1"/>
        <d v="2025-11-17T23:04:00" u="1"/>
        <d v="2025-11-17T23:05:00" u="1"/>
        <d v="2025-11-17T23:06:00" u="1"/>
        <d v="2025-11-17T23:08:00" u="1"/>
        <d v="2025-11-17T23:09:00" u="1"/>
        <d v="2025-11-17T23:10:00" u="1"/>
        <d v="2025-11-17T23:12:00" u="1"/>
        <d v="2025-11-17T23:14:00" u="1"/>
        <d v="2025-11-17T19:45:00" u="1"/>
        <d v="2025-11-17T19:48:00" u="1"/>
        <d v="2025-11-17T19:49:00" u="1"/>
        <d v="2025-11-17T19:50:00" u="1"/>
        <d v="2025-11-17T19:52:00" u="1"/>
        <d v="2025-11-17T19:54:00" u="1"/>
        <d v="2025-11-17T19:55:00" u="1"/>
        <d v="2025-11-17T19:57:00" u="1"/>
        <d v="2025-11-17T19:58:00" u="1"/>
        <d v="2025-11-17T20:01:00" u="1"/>
        <d v="2025-11-17T20:02:00" u="1"/>
        <d v="2025-11-17T20:03:00" u="1"/>
        <d v="2025-11-17T19:23:00" u="1"/>
        <d v="2025-11-17T19:24:00" u="1"/>
        <d v="2025-11-17T19:26:00" u="1"/>
        <d v="2025-11-17T19:27:00" u="1"/>
        <d v="2025-11-17T19:28:00" u="1"/>
        <d v="2025-11-17T19:32:00" u="1"/>
        <d v="2025-11-17T19:33:00" u="1"/>
        <d v="2025-11-17T19:34:00" u="1"/>
        <d v="2025-11-17T19:36:00" u="1"/>
        <d v="2025-11-17T19:37:00" u="1"/>
        <d v="2025-11-17T19:38:00" u="1"/>
        <d v="2025-11-17T20:48:00" u="1"/>
        <d v="2025-11-17T20:50:00" u="1"/>
        <d v="2025-11-17T20:52:00" u="1"/>
        <d v="2025-11-17T20:23:00" u="1"/>
        <d v="2025-11-17T20:43:00" u="1"/>
        <d v="2025-11-17T20:44:00" u="1"/>
        <d v="2025-11-17T20:24:00" u="1"/>
        <d v="2025-11-17T20:42:00" u="1"/>
        <d v="2025-11-17T20:46:00" u="1"/>
        <d v="2025-11-17T20:06:00" u="1"/>
        <d v="2025-11-17T20:20:00" u="1"/>
        <d v="2025-11-17T20:22:00" u="1"/>
        <d v="2025-11-17T19:41:00" u="1"/>
        <d v="2025-11-17T19:42:00" u="1"/>
        <d v="2025-11-17T19:43:00" u="1"/>
        <d v="2025-11-17T20:07:00" u="1"/>
        <d v="2025-11-17T20:08:00" u="1"/>
        <d v="2025-11-17T20:09:00" u="1"/>
        <d v="2025-11-17T20:11:00" u="1"/>
        <d v="2025-11-17T20:12:00" u="1"/>
        <d v="2025-11-17T20:14:00" u="1"/>
        <d v="2025-11-17T20:15:00" u="1"/>
        <d v="2025-11-17T20:16:00" u="1"/>
        <d v="2025-11-17T17:54:00" u="1"/>
        <d v="2025-11-17T17:56:00" u="1"/>
        <d v="2025-11-17T17:58:00" u="1"/>
        <d v="2025-11-17T17:24:00" u="1"/>
        <d v="2025-11-17T18:01:00" u="1"/>
        <d v="2025-11-17T18:03:00" u="1"/>
        <d v="2025-11-17T18:04:00" u="1"/>
        <d v="2025-11-17T18:05:00" u="1"/>
        <d v="2025-11-17T18:06:00" u="1"/>
        <d v="2025-11-17T18:09:00" u="1"/>
        <d v="2025-11-17T18:12:00" u="1"/>
        <d v="2025-11-17T18:14:00" u="1"/>
        <d v="2025-11-17T18:26:00" u="1"/>
        <d v="2025-11-17T18:30:00" u="1"/>
        <d v="2025-11-17T18:31:00" u="1"/>
        <d v="2025-11-17T18:32:00" u="1"/>
        <d v="2025-11-17T18:15:00" u="1"/>
        <d v="2025-11-17T18:16:00" u="1"/>
        <d v="2025-11-17T18:17:00" u="1"/>
        <d v="2025-11-17T18:18:00" u="1"/>
        <d v="2025-11-17T18:19:00" u="1"/>
        <d v="2025-11-17T18:20:00" u="1"/>
        <d v="2025-11-17T18:24:00" u="1"/>
        <d v="2025-11-17T19:04:00" u="1"/>
        <d v="2025-11-17T19:05:00" u="1"/>
        <d v="2025-11-17T19:06:00" u="1"/>
        <d v="2025-11-17T19:08:00" u="1"/>
        <d v="2025-11-17T19:10:00" u="1"/>
        <d v="2025-11-17T19:16:00" u="1"/>
        <d v="2025-11-17T19:17:00" u="1"/>
        <d v="2025-11-17T19:18:00" u="1"/>
        <d v="2025-11-17T19:20:00" u="1"/>
        <d v="2025-11-17T19:21:00" u="1"/>
        <d v="2025-11-17T19:22:00" u="1"/>
        <d v="2025-11-17T18:56:00" u="1"/>
        <d v="2025-11-17T18:57:00" u="1"/>
        <d v="2025-11-17T18:58:00" u="1"/>
        <d v="2025-11-17T18:59:00" u="1"/>
        <d v="2025-11-17T19:01:00" u="1"/>
        <d v="2025-11-17T19:02:00" u="1"/>
        <d v="2025-11-17T18:44:00" u="1"/>
        <d v="2025-11-17T18:46:00" u="1"/>
        <d v="2025-11-17T18:47:00" u="1"/>
        <d v="2025-11-17T18:48:00" u="1"/>
        <d v="2025-11-17T18:50:00" u="1"/>
        <d v="2025-11-17T18:36:00" u="1"/>
        <d v="2025-11-17T18:37:00" u="1"/>
        <d v="2025-11-17T18:38:00" u="1"/>
        <d v="2025-11-17T18:39:00" u="1"/>
        <d v="2025-11-17T18:40:00" u="1"/>
        <d v="2025-11-17T18:41:00" u="1"/>
        <d v="2025-11-17T18:42:00" u="1"/>
        <d v="2025-11-17T18:43:00" u="1"/>
        <d v="2025-11-17T23:44:00" u="1"/>
        <d v="2025-11-17T23:45:00" u="1"/>
        <d v="2025-11-17T23:54:00" u="1"/>
        <d v="2025-11-17T23:56:00" u="1"/>
        <d v="2025-11-17T23:59:00" u="1"/>
        <d v="2025-11-18T00:02:00" u="1"/>
        <d v="2025-11-17T23:15:00" u="1"/>
        <d v="2025-11-17T23:16:00" u="1"/>
        <d v="2025-11-17T23:19:00" u="1"/>
        <d v="2025-11-17T23:36:00" u="1"/>
        <d v="2025-11-17T23:37:00" u="1"/>
        <d v="2025-11-17T23:38:00" u="1"/>
        <d v="2025-11-17T23:20:00" u="1"/>
        <d v="2025-11-17T23:21:00" u="1"/>
        <d v="2025-11-17T23:22:00" u="1"/>
        <d v="2025-11-17T23:23:00" u="1"/>
        <d v="2025-11-17T23:24:00" u="1"/>
        <d v="2025-11-17T23:25:00" u="1"/>
        <d v="2025-11-17T23:26:00" u="1"/>
        <d v="2025-11-17T23:28:00" u="1"/>
        <d v="2025-11-17T23:30:00" u="1"/>
        <d v="2025-11-17T23:31:00" u="1"/>
        <d v="2025-11-17T23:32:00" u="1"/>
        <d v="2025-11-18T00:34:00" u="1"/>
        <d v="2025-11-18T00:35:00" u="1"/>
        <d v="2025-11-18T00:36:00" u="1"/>
        <d v="2025-11-18T00:40:00" u="1"/>
        <d v="2025-11-18T00:42:00" u="1"/>
        <d v="2025-11-18T00:45:00" u="1"/>
        <d v="2025-11-18T00:48:00" u="1"/>
        <d v="2025-11-18T00:49:00" u="1"/>
        <d v="2025-11-18T00:50:00" u="1"/>
        <d v="2025-11-18T00:52:00" u="1"/>
        <d v="2025-11-18T00:54:00" u="1"/>
        <d v="2025-11-18T00:55:00" u="1"/>
        <d v="2025-11-18T00:56:00" u="1"/>
        <d v="2025-11-18T01:00:00" u="1"/>
        <d v="2025-11-18T01:03:00" u="1"/>
        <d v="2025-11-18T01:07:00" u="1"/>
        <d v="2025-11-18T01:08:00" u="1"/>
        <d v="2025-11-18T01:09:00" u="1"/>
        <d v="2025-11-18T01:14:00" u="1"/>
        <d v="2025-11-18T01:18:00" u="1"/>
        <d v="2025-11-18T01:22:00" u="1"/>
        <d v="2025-11-18T01:24:00" u="1"/>
        <d v="2025-11-18T01:28:00" u="1"/>
        <d v="2025-11-18T01:30:00" u="1"/>
        <d v="2025-11-18T01:32:00" u="1"/>
        <d v="2025-11-18T01:34:00" u="1"/>
        <d v="2025-11-18T01:50:00" u="1"/>
        <d v="2025-11-18T01:52:00" u="1"/>
        <d v="2025-11-18T02:16:00" u="1"/>
        <d v="2025-11-18T02:42:00" u="1"/>
        <d v="2025-11-18T02:43:00" u="1"/>
        <d v="2025-11-18T02:49:00" u="1"/>
        <d v="2025-11-18T02:59:00" u="1"/>
        <d v="2025-11-18T03:01:00" u="1"/>
        <d v="2025-11-18T03:08:00" u="1"/>
        <d v="2025-11-18T03:18:00" u="1"/>
        <d v="2025-11-18T03:19:00" u="1"/>
        <d v="2025-11-18T04:06:00" u="1"/>
        <d v="2025-11-18T04:11:00" u="1"/>
        <d v="2025-11-18T04:12:00" u="1"/>
        <d v="2025-11-18T04:13:00" u="1"/>
        <d v="2025-11-18T04:30:00" u="1"/>
        <d v="2025-11-18T04:57:00" u="1"/>
        <d v="2025-11-18T04:59:00" u="1"/>
        <d v="2025-11-18T05:17:00" u="1"/>
        <d v="2025-11-18T05:23:00" u="1"/>
        <d v="2025-11-18T05:24:00" u="1"/>
        <d v="2025-11-18T00:04:00" u="1"/>
        <d v="2025-11-18T00:06:00" u="1"/>
        <d v="2025-11-18T00:12:00" u="1"/>
        <d v="2025-11-18T00:18:00" u="1"/>
        <d v="2025-11-18T00:19:00" u="1"/>
        <d v="2025-11-18T00:26:00" u="1"/>
        <d v="2025-11-18T00:28:00" u="1"/>
        <d v="2025-11-18T02:28:00" u="1"/>
        <d v="2025-11-18T05:45:00" u="1"/>
        <d v="2025-11-18T05:46:00" u="1"/>
        <d v="2025-11-18T05:50:00" u="1"/>
        <d v="2025-11-18T05:52:00" u="1"/>
        <d v="2025-11-18T06:09:00" u="1"/>
        <d v="2025-11-18T06:30:00" u="1"/>
        <d v="2025-11-18T06:34:00" u="1"/>
        <d v="2025-11-18T06:37:00" u="1"/>
        <d v="2025-11-18T06:38:00" u="1"/>
        <d v="2025-11-18T06:44:00" u="1"/>
        <d v="2025-11-18T06:50:00" u="1"/>
        <d v="2025-11-18T06:54:00" u="1"/>
        <d v="2025-10-08T15:00:00" u="1"/>
        <d v="2025-10-08T15:30:00" u="1"/>
        <d v="2025-11-17T13:04:00" u="1"/>
        <d v="2025-11-17T10:52:00" u="1"/>
        <d v="2025-11-17T14:55:00" u="1"/>
        <d v="2025-11-17T14:53:00" u="1"/>
        <d v="2025-11-14T05:18:00" u="1"/>
        <d v="2025-11-17T06:19:00" u="1"/>
        <d v="2025-10-24T00:00:00" u="1"/>
        <d v="2025-11-14T17:14:00" u="1"/>
        <d v="2025-11-14T16:51:00" u="1"/>
        <d v="2025-11-14T09:37:00" u="1"/>
        <d v="2025-11-13T16:19:00" u="1"/>
        <d v="2025-02-28T19:00:00" u="1"/>
        <d v="2025-11-17T10:28:00" u="1"/>
        <d v="2025-11-17T08:59:00" u="1"/>
        <d v="2025-11-17T12:35:00" u="1"/>
        <d v="2025-11-17T09:01:00" u="1"/>
        <d v="2025-11-17T15:17:00" u="1"/>
        <d v="2025-11-12T18:49:00" u="1"/>
        <d v="2025-11-02T13:18:00" u="1"/>
        <d v="2025-11-06T13:29:00" u="1"/>
        <d v="2025-10-23T21:47:00" u="1"/>
        <d v="2025-11-13T14:05:00" u="1"/>
        <d v="2025-10-27T18:49:00" u="1"/>
        <d v="2025-11-17T14:41:00" u="1"/>
        <d v="2025-11-17T16:45:00" u="1"/>
        <d v="2025-11-06T09:27:00" u="1"/>
        <d v="2025-10-16T16:18:00" u="1"/>
        <d v="2025-11-17T04:33:00" u="1"/>
        <d v="2025-11-17T04:20:00" u="1"/>
        <d v="2025-11-17T09:49:00" u="1"/>
        <d v="2025-11-17T02:19:00" u="1"/>
        <d v="2025-11-17T04:14:00" u="1"/>
        <d v="2025-11-17T04:17:00" u="1"/>
        <d v="2025-11-17T02:42:00" u="1"/>
        <d v="2025-11-17T02:48:00" u="1"/>
        <d v="2025-11-17T02:58:00" u="1"/>
        <d v="2025-11-17T02:49:00" u="1"/>
        <d v="2025-11-17T07:59:00" u="1"/>
        <d v="2025-11-17T07:10:00" u="1"/>
        <d v="2025-11-17T06:55:00" u="1"/>
        <d v="2025-11-17T06:18:00" u="1"/>
        <d v="2025-11-17T06:29:00" u="1"/>
        <d v="2025-11-17T05:57:00" u="1"/>
        <d v="2025-11-17T07:03:00" u="1"/>
        <d v="2025-11-17T05:39:00" u="1"/>
        <d v="2025-11-17T05:34:00" u="1"/>
        <d v="2025-11-17T05:25:00" u="1"/>
        <d v="2025-11-15T12:30:00" u="1"/>
        <d v="2025-11-13T12:03:00" u="1"/>
        <d v="2025-11-13T06:44:00" u="1"/>
        <d v="2025-11-10T04:27:00" u="1"/>
        <d v="2025-11-11T08:21:00" u="1"/>
        <d v="2025-11-16T19:48:00" u="1"/>
        <d v="2025-11-17T06:08:00" u="1"/>
        <d v="2025-11-17T08:21:00" u="1"/>
        <d v="2025-11-16T19:21:00" u="1"/>
        <d v="2025-11-17T12:24:00" u="1"/>
        <d v="2025-11-17T11:39:00" u="1"/>
        <d v="2025-11-17T16:03:00" u="1"/>
        <d v="2025-11-17T10:15:00" u="1"/>
        <d v="2025-11-14T14:46:00" u="1"/>
        <d v="2025-11-17T12:15:00" u="1"/>
        <d v="2025-11-17T11:53:00" u="1"/>
        <d v="2025-10-20T00:00:00" u="1"/>
        <d v="2025-10-15T00:00:00" u="1"/>
        <d v="2025-11-17T11:52:00" u="1"/>
        <d v="2025-02-24T13:57:00" u="1"/>
        <d v="2025-11-13T16:29:00" u="1"/>
        <d v="2025-11-13T15:57:00" u="1"/>
        <d v="2025-11-13T15:54:00" u="1"/>
        <d v="2025-11-13T15:53:00" u="1"/>
        <d v="2025-11-17T11:45:00" u="1"/>
        <d v="2025-11-17T07:44:00" u="1"/>
        <d v="2025-11-17T14:23:00" u="1"/>
        <d v="2025-11-14T08:47:00" u="1"/>
        <d v="2025-11-03T11:33:00" u="1"/>
        <d v="2025-10-22T14:17:00" u="1"/>
        <d v="2025-11-17T08:06:00" u="1"/>
        <d v="2025-11-17T07:43:00" u="1"/>
        <d v="2025-11-06T08:58:00" u="1"/>
        <d v="2025-11-13T06:06:00" u="1"/>
        <d v="2025-11-12T16:29:00" u="1"/>
        <d v="2025-10-29T04:51:00" u="1"/>
        <d v="2025-09-29T13:52:00" u="1"/>
        <d v="2025-10-24T12:43:00" u="1"/>
        <d v="2025-11-01T21:20:00" u="1"/>
        <d v="2025-11-01T21:35:00" u="1"/>
        <d v="2025-11-01T21:05:00" u="1"/>
        <d v="2025-11-01T21:18:00" u="1"/>
        <d v="2025-11-01T21:15:00" u="1"/>
        <d v="2025-11-17T17:19:00" u="1"/>
        <d v="2025-11-14T08:00:00" u="1"/>
        <d v="2025-10-16T17:54:00" u="1"/>
        <d v="2025-11-17T12:42:00" u="1"/>
        <d v="2025-11-06T15:00:00" u="1"/>
        <d v="2025-11-17T08:18:00" u="1"/>
        <d v="2025-11-17T13:54:00" u="1"/>
        <d v="2025-11-17T14:06:00" u="1"/>
        <d v="2025-11-14T09:28:00" u="1"/>
        <d v="2025-10-31T13:51:00" u="1"/>
        <d v="2025-11-14T12:35:00" u="1"/>
        <d v="2025-11-04T13:41:00" u="1"/>
        <d v="2025-11-03T08:59:00" u="1"/>
        <d v="2025-11-13T19:06:00" u="1"/>
        <d v="2025-11-13T07:32:00" u="1"/>
        <d v="2025-11-10T08:32:00" u="1"/>
        <d v="2025-11-10T11:11:00" u="1"/>
        <d v="2025-11-10T03:38:00" u="1"/>
        <d v="2025-11-11T12:49:00" u="1"/>
        <d v="2025-11-12T08:45:00" u="1"/>
        <d v="2025-11-11T05:19:00" u="1"/>
        <d v="2025-11-11T05:57:00" u="1"/>
        <d v="2025-11-11T13:44:00" u="1"/>
        <d v="2025-11-11T12:41:00" u="1"/>
        <d v="2025-11-17T11:37:00" u="1"/>
        <d v="2025-11-17T11:25:00" u="1"/>
        <d v="2025-10-24T06:48:00" u="1"/>
        <d v="2025-10-27T19:29:00" u="1"/>
        <d v="2025-10-28T08:27:00" u="1"/>
        <d v="2025-10-29T07:56:00" u="1"/>
        <d v="2025-10-29T07:48:00" u="1"/>
        <d v="2025-10-30T10:38:00" u="1"/>
        <d v="2025-10-24T14:21:00" u="1"/>
        <d v="2025-10-30T11:43:00" u="1"/>
        <d v="2025-10-30T10:51:00" u="1"/>
        <d v="2025-10-30T10:59:00" u="1"/>
        <d v="2025-10-30T13:42:00" u="1"/>
        <d v="2025-11-06T15:19:00" u="1"/>
        <d v="2025-11-06T15:27:00" u="1"/>
        <d v="2025-11-07T06:37:00" u="1"/>
        <d v="2025-11-07T06:42:00" u="1"/>
        <d v="2025-10-23T14:25:00" u="1"/>
        <d v="2025-11-17T13:41:00" u="1"/>
        <d v="2025-11-17T11:48:00" u="1"/>
        <d v="2025-11-17T06:25:00" u="1"/>
        <d v="2025-11-17T12:56:00" u="1"/>
        <d v="2025-11-17T11:16:00" u="1"/>
        <d v="2025-10-30T08:03:00" u="1"/>
        <d v="2025-10-29T12:35:00" u="1"/>
        <d v="2025-11-13T07:27:00" u="1"/>
        <d v="2025-11-17T13:36:00" u="1"/>
        <d v="2025-11-17T15:38:00" u="1"/>
        <d v="2025-11-04T11:15:00" u="1"/>
        <d v="2025-11-07T12:17:00" u="1"/>
        <d v="2025-11-17T19:03:00" u="1"/>
        <d v="2025-11-14T11:31:00" u="1"/>
        <d v="2025-11-13T13:28:00" u="1"/>
        <d v="2025-11-11T00:00:00" u="1"/>
        <d v="2025-11-03T00:00:00" u="1"/>
        <d v="2025-11-17T12:21:00" u="1"/>
        <d v="2025-11-13T18:14:00" u="1"/>
        <d v="2025-11-07T15:45:00" u="1"/>
        <d v="2025-11-11T11:36:00" u="1"/>
        <d v="2025-11-05T10:48:00" u="1"/>
        <d v="2025-10-30T15:06:00" u="1"/>
        <d v="2025-11-17T18:23:00" u="1"/>
        <d v="2025-11-17T18:27:00" u="1"/>
        <d v="2025-11-06T09:29:00" u="1"/>
        <d v="2025-11-14T17:11:00" u="1"/>
        <d v="2025-11-17T17:39:00" u="1"/>
        <d v="2025-11-12T10:54:00" u="1"/>
        <d v="2025-11-13T13:06:00" u="1"/>
        <d v="2025-11-14T15:46:00" u="1"/>
        <d v="2025-11-14T14:12:00" u="1"/>
        <d v="2025-11-13T14:24:00" u="1"/>
        <d v="2025-11-13T13:50:00" u="1"/>
        <d v="2025-11-17T12:30:00" u="1"/>
        <d v="2025-11-13T11:33:00" u="1"/>
        <d v="2025-11-13T10:23:00" u="1"/>
        <d v="2025-11-17T17:23:00" u="1"/>
        <d v="2025-11-17T13:12:00" u="1"/>
        <d v="2025-11-17T09:19:00" u="1"/>
        <d v="2025-11-17T09:28:00" u="1"/>
        <d v="2025-11-14T22:56:00" u="1"/>
        <d v="2025-11-13T17:11:00" u="1"/>
        <d v="2025-11-13T20:16:00" u="1"/>
        <d v="2025-11-12T17:55:00" u="1"/>
        <d v="2025-11-12T17:24:00" u="1"/>
        <d v="2025-10-28T18:15:00" u="1"/>
        <d v="2025-11-10T15:37:00" u="1"/>
        <d v="2025-11-17T12:19:00" u="1"/>
        <d v="2025-11-12T15:16:00" u="1"/>
        <d v="2025-11-12T15:13:00" u="1"/>
        <d v="2025-11-12T11:05:00" u="1"/>
        <d v="2025-10-24T09:54:00" u="1"/>
        <d v="2025-11-17T14:05:00" u="1"/>
        <d v="2025-11-14T17:40:00" u="1"/>
        <d v="2025-11-06T14:26:00" u="1"/>
        <d v="2025-11-05T13:42:00" u="1"/>
        <d v="2025-11-17T13:46:00" u="1"/>
        <d v="2025-11-10T00:00:00" u="1"/>
        <d v="2025-11-05T12:45:00" u="1"/>
        <d v="2025-11-10T15:29:00" u="1"/>
        <d v="2025-11-17T12:27:00" u="1"/>
        <d v="2025-11-16T20:24:00" u="1"/>
        <d v="2025-11-16T20:57:00" u="1"/>
        <d v="2025-11-14T07:35:00" u="1"/>
        <d v="2025-11-14T08:22:00" u="1"/>
        <d v="2025-11-17T08:42:00" u="1"/>
        <d v="2025-11-17T08:55:00" u="1"/>
        <d v="2025-11-13T13:54:00" u="1"/>
        <d v="2025-11-15T10:15:00" u="1"/>
        <d v="2025-11-15T10:47:00" u="1"/>
        <d v="2025-11-14T07:54:00" u="1"/>
        <d v="2025-11-14T07:55:00" u="1"/>
        <d v="2025-11-17T06:36:00" u="1"/>
        <d v="2025-11-15T10:18:00" u="1"/>
        <d v="2025-11-17T07:50:00" u="1"/>
        <d v="2025-11-05T08:11:00" u="1"/>
        <d v="2025-11-05T08:15:00" u="1"/>
        <d v="2025-11-03T12:23:00" u="1"/>
        <d v="2025-11-03T08:41:00" u="1"/>
        <d v="2025-11-03T08:46:00" u="1"/>
        <d v="2025-11-03T08:52:00" u="1"/>
        <d v="2025-11-05T04:43:00" u="1"/>
        <d v="2025-11-05T08:16:00" u="1"/>
        <d v="2025-11-04T07:15:00" u="1"/>
        <d v="2025-11-06T07:29:00" u="1"/>
        <d v="2025-11-07T10:00:00" u="1"/>
        <d v="2025-11-07T12:07:00" u="1"/>
        <d v="2025-11-10T06:07:00" u="1"/>
        <d v="2025-11-10T08:30:00" u="1"/>
        <d v="2025-11-10T09:11:00" u="1"/>
        <d v="2025-11-13T11:58:00" u="1"/>
        <d v="2025-11-14T06:30:00" u="1"/>
        <d v="2025-11-13T08:13:00" u="1"/>
        <d v="2025-11-13T07:47:00" u="1"/>
        <d v="2025-11-13T11:43:00" u="1"/>
        <d v="2025-11-13T07:48:00" u="1"/>
        <d v="2025-11-13T13:58:00" u="1"/>
        <d v="2025-11-14T08:42:00" u="1"/>
        <d v="2025-11-14T12:08:00" u="1"/>
        <d v="2025-11-14T13:23:00" u="1"/>
        <d v="2025-11-14T14:04:00" u="1"/>
        <d v="2025-11-12T12:02:00" u="1"/>
        <d v="2025-11-14T12:39:00" u="1"/>
        <d v="2025-11-11T14:32:00" u="1"/>
        <d v="2025-11-11T06:41:00" u="1"/>
        <d v="2025-11-11T06:49:00" u="1"/>
        <d v="2025-11-12T08:15:00" u="1"/>
        <d v="2025-11-10T12:18:00" u="1"/>
        <d v="2025-11-10T09:19:00" u="1"/>
        <d v="2025-10-31T09:15:00" u="1"/>
        <d v="2025-10-23T13:31:00" u="1"/>
        <d v="2025-10-23T13:33:00" u="1"/>
        <d v="2025-10-08T22:29:00" u="1"/>
        <d v="2025-10-08T22:26:00" u="1"/>
        <d v="2025-10-02T22:26:00" u="1"/>
        <d v="2025-10-02T22:25:00" u="1"/>
        <d v="2025-10-02T22:23:00" u="1"/>
        <d v="2025-10-02T22:21:00" u="1"/>
        <d v="2025-11-17T15:00:00" u="1"/>
        <d v="2025-11-03T11:12:00" u="1"/>
        <d v="2025-11-14T09:02:00" u="1"/>
        <d v="2025-11-17T10:37:00" u="1"/>
        <d v="2025-01-10T14:43:00" u="1"/>
        <d v="2025-03-12T15:00:00" u="1"/>
        <d v="2025-08-21T13:45:00" u="1"/>
        <d v="2025-03-25T07:05:00" u="1"/>
        <d v="2024-12-18T16:23:00" u="1"/>
        <d v="2025-09-01T12:16:00" u="1"/>
        <d v="2025-09-02T12:45:00" u="1"/>
        <d v="2025-09-03T13:55:00" u="1"/>
        <d v="2025-08-29T17:06:00" u="1"/>
        <d v="2025-09-03T09:42:00" u="1"/>
        <d v="2025-09-02T12:01:00" u="1"/>
        <d v="2025-09-02T00:00:00" u="1"/>
        <d v="2025-09-04T17:36:00" u="1"/>
        <d v="2025-09-05T13:45:00" u="1"/>
        <d v="2025-09-04T16:23:00" u="1"/>
        <d v="2025-09-08T16:14:00" u="1"/>
        <d v="2025-09-05T07:57:00" u="1"/>
        <d v="2025-09-05T07:59:00" u="1"/>
        <d v="2025-09-05T08:06:00" u="1"/>
        <d v="2025-09-09T09:01:00" u="1"/>
        <d v="2025-09-10T00:00:00" u="1"/>
        <d v="2025-08-29T00:00:00" u="1"/>
        <d v="2025-09-09T00:00:00" u="1"/>
        <d v="2025-09-08T00:00:00" u="1"/>
        <d v="2025-09-05T14:17:00" u="1"/>
        <d v="2025-09-09T10:48:00" u="1"/>
        <d v="2025-09-09T13:45:00" u="1"/>
        <d v="2025-09-09T14:10:00" u="1"/>
        <d v="2025-09-09T14:21:00" u="1"/>
        <d v="2025-09-09T14:28:00" u="1"/>
        <d v="2025-09-09T14:30:00" u="1"/>
        <d v="2025-09-09T14:35:00" u="1"/>
        <d v="2025-09-09T14:46:00" u="1"/>
        <d v="2025-09-09T15:53:00" u="1"/>
        <d v="2025-09-10T12:56:00" u="1"/>
        <d v="2025-09-10T13:36:00" u="1"/>
        <d v="2025-09-10T14:50:00" u="1"/>
        <d v="2025-09-10T14:56:00" u="1"/>
        <d v="2025-09-11T20:01:00" u="1"/>
        <d v="2025-09-12T10:46:00" u="1"/>
        <d v="2025-09-10T08:43:00" u="1"/>
        <d v="2025-09-12T09:59:00" u="1"/>
        <d v="2025-09-12T07:28:00" u="1"/>
        <d v="2025-09-11T13:55:00" u="1"/>
        <d v="2025-09-11T14:40:00" u="1"/>
        <d v="2025-09-11T14:42:00" u="1"/>
        <d v="2025-09-11T15:09:00" u="1"/>
        <d v="2025-09-11T15:28:00" u="1"/>
        <d v="2025-09-09T09:26:00" u="1"/>
        <d v="2025-09-01T00:00:00" u="1"/>
        <d v="2025-09-16T13:40:00" u="1"/>
        <d v="2025-09-12T12:04:00" u="1"/>
        <d v="2025-09-15T13:59:00" u="1"/>
        <d v="2025-09-18T09:29:00" u="1"/>
        <d v="2025-07-03T08:23:00" u="1"/>
        <d v="2025-09-16T17:24:00" u="1"/>
        <d v="2025-09-17T15:06:00" u="1"/>
        <d v="2025-09-12T15:54:00" u="1"/>
        <d v="2025-09-12T15:11:00" u="1"/>
        <d v="2025-09-12T15:23:00" u="1"/>
        <d v="2025-09-19T14:13:00" u="1"/>
        <d v="2025-09-19T14:39:00" u="1"/>
        <d v="2025-09-18T13:12:00" u="1"/>
        <d v="2025-09-15T10:45:00" u="1"/>
        <d v="2025-09-15T10:44:00" u="1"/>
        <d v="2025-09-22T17:52:00" u="1"/>
        <d v="2025-09-17T09:36:00" u="1"/>
        <d v="2025-09-17T09:45:00" u="1"/>
        <d v="2025-09-17T10:40:00" u="1"/>
        <d v="2025-09-17T14:46:00" u="1"/>
        <d v="2025-09-18T13:39:00" u="1"/>
        <d v="2025-09-18T14:03:00" u="1"/>
        <d v="2025-09-18T14:37:00" u="1"/>
        <d v="2025-09-18T15:12:00" u="1"/>
        <d v="2025-09-18T15:14:00" u="1"/>
        <d v="2025-09-22T09:36:00" u="1"/>
        <d v="2025-09-22T09:39:00" u="1"/>
        <d v="2025-09-16T15:28:00" u="1"/>
        <d v="2025-09-15T14:16:00" u="1"/>
        <d v="2025-09-17T17:43:00" u="1"/>
        <d v="2025-09-12T14:32:00" u="1"/>
        <d v="2025-09-09T16:28:00" u="1"/>
        <d v="2025-09-15T10:32:00" u="1"/>
        <d v="2025-09-15T10:30:00" u="1"/>
        <d v="2025-09-16T15:12:00" u="1"/>
        <d v="2025-09-19T18:57:00" u="1"/>
        <d v="2025-09-19T18:59:00" u="1"/>
        <d v="2025-09-19T19:00:00" u="1"/>
        <d v="2025-09-19T14:09:00" u="1"/>
        <d v="2025-09-22T15:52:00" u="1"/>
        <d v="2025-09-22T18:25:00" u="1"/>
        <d v="2025-09-15T10:27:00" u="1"/>
        <d v="2025-09-16T13:13:00" u="1"/>
        <d v="2025-09-15T10:07:00" u="1"/>
        <d v="2025-09-12T15:28:00" u="1"/>
        <d v="2025-09-12T12:19:00" u="1"/>
        <d v="2025-09-12T11:23:00" u="1"/>
        <d v="2025-09-12T11:29:00" u="1"/>
        <d v="2025-09-12T11:33:00" u="1"/>
        <d v="2025-09-12T11:36:00" u="1"/>
        <d v="2025-09-21T14:18:00" u="1"/>
        <d v="2025-09-15T00:00:00" u="1"/>
        <d v="2025-09-16T14:56:00" u="1"/>
        <d v="2025-09-16T17:09:00" u="1"/>
        <d v="2025-09-16T18:09:00" u="1"/>
        <d v="2025-09-15T16:37:00" u="1"/>
        <d v="2025-09-15T16:31:00" u="1"/>
        <d v="2025-09-15T16:22:00" u="1"/>
        <d v="2025-10-03T08:20:00" u="1"/>
        <d v="2025-10-07T10:47:00" u="1"/>
        <d v="2025-10-01T18:41:00" u="1"/>
        <d v="2025-09-30T14:39:00" u="1"/>
        <d v="2025-10-07T14:02:00" u="1"/>
        <d v="2025-10-01T10:36:00" u="1"/>
        <d v="2025-10-03T15:31:00" u="1"/>
        <d v="2025-09-25T13:35:00" u="1"/>
        <d v="2025-09-30T16:36:00" u="1"/>
        <d v="2025-09-23T12:05:00" u="1"/>
        <d v="2025-09-23T17:11:00" u="1"/>
        <d v="2025-09-25T11:32:00" u="1"/>
        <d v="2025-09-25T11:39:00" u="1"/>
        <d v="2025-10-06T18:26:00" u="1"/>
        <d v="2025-10-03T12:39:00" u="1"/>
        <d v="2025-10-06T11:29:00" u="1"/>
        <d v="2025-10-06T11:36:00" u="1"/>
        <d v="2025-09-25T16:13:00" u="1"/>
        <d v="2025-09-26T17:57:00" u="1"/>
        <d v="2025-09-26T16:24:00" u="1"/>
        <d v="2025-09-30T10:34:00" u="1"/>
        <d v="2025-10-01T15:48:00" u="1"/>
        <d v="2025-10-01T15:52:00" u="1"/>
        <d v="2025-10-01T15:54:00" u="1"/>
        <d v="2025-10-06T10:33:00" u="1"/>
        <d v="2025-10-03T09:25:00" u="1"/>
        <d v="2025-10-03T08:35:00" u="1"/>
        <d v="2025-10-03T08:32:00" u="1"/>
        <d v="2025-10-01T17:25:00" u="1"/>
        <d v="2025-10-01T17:17:00" u="1"/>
        <d v="2025-09-23T16:19:00" u="1"/>
        <d v="2025-09-29T15:00:00" u="1"/>
        <d v="2025-09-25T11:33:00" u="1"/>
        <d v="2025-09-29T17:19:00" u="1"/>
        <d v="2025-10-03T17:34:00" u="1"/>
        <d v="2025-09-29T13:51:00" u="1"/>
        <d v="2025-09-30T15:08:00" u="1"/>
        <d v="2025-09-25T17:23:00" u="1"/>
        <d v="2025-10-02T18:42:00" u="1"/>
        <d v="2025-09-22T11:51:00" u="1"/>
        <d v="2025-09-30T17:28:00" u="1"/>
        <d v="2025-09-24T22:07:00" u="1"/>
        <d v="2025-09-24T18:38:00" u="1"/>
        <d v="2025-10-02T17:54:00" u="1"/>
        <d v="2025-09-25T17:33:00" u="1"/>
        <d v="2025-10-01T17:27:00" u="1"/>
        <d v="2025-10-01T17:30:00" u="1"/>
        <d v="2025-09-29T12:16:00" u="1"/>
        <d v="2025-09-29T00:00:00" u="1"/>
        <d v="2025-09-02T17:32:00" u="1"/>
        <d v="2025-10-07T00:00:00" u="1"/>
        <d v="2025-10-03T15:59:00" u="1"/>
        <d v="2025-10-01T18:30:00" u="1"/>
        <d v="2025-10-01T09:23:00" u="1"/>
        <d v="2025-10-02T07:50:00" u="1"/>
        <d v="2025-10-05T16:36:00" u="1"/>
        <d v="2025-10-03T07:31:00" u="1"/>
        <d v="2025-10-02T21:31:00" u="1"/>
        <d v="2025-10-02T22:18:00" u="1"/>
        <d v="2025-10-03T13:44:00" u="1"/>
        <d v="2025-09-26T10:16:00" u="1"/>
        <d v="2025-10-03T14:14:00" u="1"/>
        <d v="2025-10-03T14:26:00" u="1"/>
        <d v="2025-09-30T20:44:00" u="1"/>
        <d v="2025-09-29T13:50:00" u="1"/>
        <d v="2025-10-06T10:37:00" u="1"/>
        <d v="2025-10-06T10:43:00" u="1"/>
        <d v="2025-10-06T10:59:00" u="1"/>
        <d v="2025-10-06T11:22:00" u="1"/>
        <d v="2025-10-06T11:27:00" u="1"/>
        <d v="2025-10-06T13:33:00" u="1"/>
        <d v="2025-10-06T14:19:00" u="1"/>
        <d v="2025-10-06T14:22:00" u="1"/>
        <d v="2025-10-06T21:27:00" u="1"/>
        <d v="2025-10-06T21:42:00" u="1"/>
        <d v="2025-09-29T11:00:00" u="1"/>
        <d v="2025-09-25T14:14:00" u="1"/>
        <d v="2025-09-24T13:18:00" u="1"/>
        <d v="2025-09-24T13:24:00" u="1"/>
        <d v="2025-09-24T13:32:00" u="1"/>
        <d v="2025-09-24T13:35:00" u="1"/>
        <d v="2025-09-24T13:37:00" u="1"/>
        <d v="2025-09-25T09:01:00" u="1"/>
        <d v="2025-09-23T12:53:00" u="1"/>
        <d v="2025-10-01T12:49:00" u="1"/>
        <d v="2025-10-01T23:02:00" u="1"/>
        <d v="2025-10-01T23:05:00" u="1"/>
        <d v="2025-10-01T23:17:00" u="1"/>
        <d v="2025-09-30T13:30:00" u="1"/>
        <d v="2025-09-30T13:33:00" u="1"/>
        <d v="2025-09-30T13:51:00" u="1"/>
        <d v="2025-09-30T13:54:00" u="1"/>
        <d v="2025-09-30T14:06:00" u="1"/>
        <d v="2025-09-30T14:14:00" u="1"/>
        <d v="2025-09-30T14:30:00" u="1"/>
        <d v="2025-10-03T17:05:00" u="1"/>
        <d v="2025-09-29T08:46:00" u="1"/>
        <d v="2025-09-24T12:50:00" u="1"/>
        <d v="2025-10-02T00:00:00" u="1"/>
        <d v="2025-10-03T00:00:00" u="1"/>
        <d v="2025-10-06T00:00:00" u="1"/>
        <d v="2025-09-26T16:57:00" u="1"/>
        <d v="2025-09-25T00:00:00" u="1"/>
        <d v="2025-09-24T00:00:00" u="1"/>
        <d v="2025-10-15T09:19:00" u="1"/>
        <d v="2025-10-10T16:59:00" u="1"/>
        <d v="2025-10-13T11:30:00" u="1"/>
        <d v="2025-10-13T00:00:00" u="1"/>
        <d v="2025-10-09T18:34:00" u="1"/>
        <d v="2025-10-07T22:51:00" u="1"/>
        <d v="2025-10-15T11:04:00" u="1"/>
        <d v="2025-10-17T08:20:00" u="1"/>
        <d v="2025-10-15T14:59:00" u="1"/>
        <d v="2025-10-15T15:41:00" u="1"/>
        <d v="2025-10-16T14:57:00" u="1"/>
        <d v="2025-10-09T13:35:00" u="1"/>
        <d v="2025-10-10T13:05:00" u="1"/>
        <d v="2025-10-13T14:14:00" u="1"/>
        <d v="2025-10-16T14:31:00" u="1"/>
        <d v="2025-10-07T15:58:00" u="1"/>
        <d v="2025-10-16T14:07:00" u="1"/>
        <d v="2025-10-15T17:38:00" u="1"/>
        <d v="2025-10-15T17:42:00" u="1"/>
        <d v="2025-10-15T17:45:00" u="1"/>
        <d v="2025-10-15T17:54:00" u="1"/>
        <d v="2025-10-13T15:17:00" u="1"/>
        <d v="2025-10-10T16:51:00" u="1"/>
        <d v="2025-10-13T16:01:00" u="1"/>
        <d v="2025-10-09T19:26:00" u="1"/>
        <d v="2025-10-09T18:27:00" u="1"/>
        <d v="2025-10-09T18:17:00" u="1"/>
        <d v="2025-10-09T18:56:00" u="1"/>
        <d v="2025-10-09T18:51:00" u="1"/>
        <d v="2025-10-09T17:55:00" u="1"/>
        <d v="2025-10-08T16:19:00" u="1"/>
        <d v="2025-10-15T10:19:00" u="1"/>
        <d v="2025-10-08T17:30:00" u="1"/>
        <d v="2025-10-08T11:46:00" u="1"/>
        <d v="2025-10-09T10:38:00" u="1"/>
        <d v="2025-10-08T17:37:00" u="1"/>
        <d v="2025-10-15T11:57:00" u="1"/>
        <d v="2025-10-07T14:48:00" u="1"/>
        <d v="2025-10-08T10:12:00" u="1"/>
        <d v="2025-10-08T10:11:00" u="1"/>
        <d v="2025-10-14T11:04:00" u="1"/>
        <d v="2025-10-14T00:42:00" u="1"/>
        <d v="2025-10-14T06:00:00" u="1"/>
        <d v="2025-10-13T11:17:00" u="1"/>
        <d v="2025-10-08T12:15:00" u="1"/>
        <d v="2025-10-09T16:47:00" u="1"/>
        <d v="2025-10-09T16:50:00" u="1"/>
        <d v="2025-10-10T12:31:00" u="1"/>
        <d v="2025-10-10T19:57:00" u="1"/>
        <d v="2025-10-14T15:03:00" u="1"/>
        <d v="2025-10-14T14:40:00" u="1"/>
        <d v="2025-10-14T16:15:00" u="1"/>
        <d v="2025-10-16T16:00:00" u="1"/>
        <d v="2025-10-08T14:11:00" u="1"/>
        <d v="2025-10-20T12:51:00" u="1"/>
        <d v="2025-10-07T21:05:00" u="1"/>
        <d v="2025-10-10T16:00:00" u="1"/>
        <d v="2025-10-15T11:38:00" u="1"/>
        <d v="2025-10-15T16:56:00" u="1"/>
        <d v="2025-10-09T00:00:00" u="1"/>
        <d v="2025-10-14T12:03:00" u="1"/>
        <d v="2025-10-14T16:45:00" u="1"/>
        <d v="2025-10-14T16:48:00" u="1"/>
        <d v="2025-10-15T13:52:00" u="1"/>
        <d v="2025-10-16T00:00:00" u="1"/>
        <d v="2025-10-14T08:53:00" u="1"/>
        <d v="2025-10-09T21:48:00" u="1"/>
        <d v="2025-10-10T19:15:00" u="1"/>
        <d v="2025-10-13T10:49:00" u="1"/>
        <d v="2025-10-13T16:14:00" u="1"/>
        <d v="2025-10-14T11:42:00" u="1"/>
        <d v="2025-10-14T00:00:00" u="1"/>
        <d v="2025-10-10T13:37:00" u="1"/>
        <d v="2025-10-09T11:48:00" u="1"/>
        <d v="2025-10-10T11:13:00" u="1"/>
        <d v="2025-10-09T08:42:00" u="1"/>
        <d v="2025-10-17T09:14:00" u="1"/>
        <d v="2025-10-16T15:31:00" u="1"/>
        <d v="2025-10-16T14:21:00" u="1"/>
        <d v="2025-10-09T12:29:00" u="1"/>
        <d v="2025-10-08T14:21:00" u="1"/>
        <d v="2025-10-14T15:39:00" u="1"/>
        <d v="2025-10-14T17:54:00" u="1"/>
        <d v="2025-10-13T17:32:00" u="1"/>
        <d v="2025-10-15T14:33:00" u="1"/>
        <d v="2025-10-15T14:34:00" u="1"/>
        <d v="2025-10-15T18:53:00" u="1"/>
        <d v="2025-10-15T18:56:00" u="1"/>
        <d v="2025-10-09T19:31:00" u="1"/>
        <d v="2025-10-07T16:23:00" u="1"/>
        <d v="2025-10-09T07:36:00" u="1"/>
        <d v="2025-10-14T09:03:00" u="1"/>
        <d v="2025-10-10T18:29:00" u="1"/>
        <d v="2025-10-08T22:55:00" u="1"/>
        <d v="2025-10-08T23:21:00" u="1"/>
        <d v="2025-10-08T23:35:00" u="1"/>
        <d v="2025-10-09T13:01:00" u="1"/>
        <d v="2025-10-09T13:32:00" u="1"/>
        <d v="2025-10-10T15:34:00" u="1"/>
        <d v="2025-10-07T15:32:00" u="1"/>
        <d v="2025-10-08T08:42:00" u="1"/>
        <d v="2025-10-08T08:46:00" u="1"/>
        <d v="2025-10-14T13:57:00" u="1"/>
        <d v="2025-10-14T13:27:00" u="1"/>
        <d v="2025-10-13T21:33:00" u="1"/>
        <d v="2025-10-13T21:37:00" u="1"/>
        <d v="2025-10-13T21:39:00" u="1"/>
        <d v="2025-10-13T21:42:00" u="1"/>
        <d v="2025-10-13T21:44:00" u="1"/>
        <d v="2025-10-13T23:51:00" u="1"/>
        <d v="2025-10-08T13:23:00" u="1"/>
        <d v="2025-10-17T07:12:00" u="1"/>
        <d v="2025-10-16T14:09:00" u="1"/>
        <d v="2025-10-16T09:58:00" u="1"/>
        <d v="2025-10-17T07:53:00" u="1"/>
        <d v="2025-10-17T07:55:00" u="1"/>
        <d v="2025-10-17T07:57:00" u="1"/>
        <d v="2025-10-14T15:32:00" u="1"/>
        <d v="2025-10-10T18:16:00" u="1"/>
        <d v="2025-10-08T11:03:00" u="1"/>
        <d v="2025-10-16T16:28:00" u="1"/>
        <d v="2025-10-10T15:14:00" u="1"/>
        <d v="2025-10-08T18:05:00" u="1"/>
        <d v="2025-10-08T08:59:00" u="1"/>
        <d v="2025-10-08T11:06:00" u="1"/>
        <d v="2025-10-08T13:52:00" u="1"/>
        <d v="2025-10-08T13:56:00" u="1"/>
        <d v="2025-10-08T14:01:00" u="1"/>
        <d v="2025-10-08T14:05:00" u="1"/>
        <d v="2025-10-09T10:36:00" u="1"/>
        <d v="2025-10-09T10:37:00" u="1"/>
        <d v="2025-10-09T10:48:00" u="1"/>
        <d v="2025-10-09T10:58:00" u="1"/>
        <d v="2025-10-09T11:02:00" u="1"/>
        <d v="2025-10-09T11:07:00" u="1"/>
        <d v="2025-10-09T11:11:00" u="1"/>
        <d v="2025-10-09T11:13:00" u="1"/>
        <d v="2025-10-15T07:42:00" u="1"/>
        <d v="2025-10-10T12:12:00" u="1"/>
        <d v="2025-10-09T09:52:00" u="1"/>
        <d v="2025-10-10T00:00:00" u="1"/>
        <d v="2025-10-20T05:02:00" u="1"/>
        <d v="2025-10-14T20:37:00" u="1"/>
        <d v="2025-10-08T00:00:00" u="1"/>
        <d v="2025-10-08T18:01:00" u="1"/>
        <d v="2025-10-15T09:06:00" u="1"/>
        <d v="2025-10-13T16:42:00" u="1"/>
        <d v="2025-10-17T12:01:00" u="1"/>
        <d v="2025-10-21T16:24:00" u="1"/>
        <d v="2025-10-21T10:25:00" u="1"/>
        <d v="2025-10-21T08:36:00" u="1"/>
        <d v="2025-10-20T14:18:00" u="1"/>
        <d v="2025-10-20T09:40:00" u="1"/>
        <d v="2025-10-20T17:52:00" u="1"/>
        <d v="2025-10-17T15:10:00" u="1"/>
        <d v="2025-10-21T17:43:00" u="1"/>
        <d v="2025-10-21T07:33:00" u="1"/>
        <d v="2025-10-20T16:32:00" u="1"/>
        <d v="2025-10-19T16:11:00" u="1"/>
        <d v="2025-10-20T17:16:00" u="1"/>
        <d v="2025-10-19T20:06:00" u="1"/>
        <d v="2025-10-19T14:12:00" u="1"/>
        <d v="2025-10-20T09:11:00" u="1"/>
        <d v="2025-10-21T13:20:00" u="1"/>
        <d v="2025-10-21T12:28:00" u="1"/>
        <d v="2025-10-21T10:57:00" u="1"/>
        <d v="2025-10-17T17:00:00" u="1"/>
        <d v="2025-10-20T14:01:00" u="1"/>
        <d v="2025-10-21T11:05:00" u="1"/>
        <d v="2025-10-21T19:57:00" u="1"/>
        <d v="2025-10-20T16:38:00" u="1"/>
        <d v="2025-10-07T15:47:00" u="1"/>
        <d v="2025-10-17T19:15:00" u="1"/>
        <d v="2025-06-12T09:47:00" u="1"/>
        <d v="2025-10-17T13:01:00" u="1"/>
        <d v="2025-10-16T10:01:00" u="1"/>
        <d v="2025-10-17T07:42:00" u="1"/>
        <d v="2025-10-20T09:01:00" u="1"/>
        <d v="2025-10-14T16:06:00" u="1"/>
        <d v="2025-10-20T14:41:00" u="1"/>
        <d v="2025-10-21T13:39:00" u="1"/>
        <d v="2025-10-21T13:44:00" u="1"/>
        <d v="2025-10-21T09:19:00" u="1"/>
        <d v="2025-10-20T12:47:00" u="1"/>
        <d v="2025-10-20T13:36:00" u="1"/>
        <d v="2025-10-17T13:25:00" u="1"/>
        <d v="2025-10-17T14:42:00" u="1"/>
        <d v="2025-10-17T14:37:00" u="1"/>
        <d v="2025-10-20T17:03:00" u="1"/>
        <d v="2025-10-21T13:53:00" u="1"/>
        <d v="2025-10-21T15:03:00" u="1"/>
        <d v="2025-10-21T14:43:00" u="1"/>
        <d v="2025-10-21T15:11:00" u="1"/>
        <d v="2025-10-21T13:47:00" u="1"/>
        <d v="2025-10-13T10:07:00" u="1"/>
        <d v="2025-10-17T00:00:00" u="1"/>
        <d v="2025-10-21T08:47:00" u="1"/>
        <d v="2025-10-20T17:43:00" u="1"/>
        <d v="2025-10-17T17:23:00" u="1"/>
        <d v="2025-10-21T14:46:00" u="1"/>
        <d v="2025-10-21T13:19:00" u="1"/>
        <d v="2025-10-14T16:37:00" u="1"/>
        <d v="2025-10-20T15:45:00" u="1"/>
        <d v="2025-10-21T17:49:00" u="1"/>
        <d v="2025-10-21T14:41:00" u="1"/>
        <d v="2025-10-17T16:10:00" u="1"/>
        <d v="2025-10-17T16:08:00" u="1"/>
        <d v="2025-10-17T13:19:00" u="1"/>
        <d v="2025-10-20T10:43:00" u="1"/>
        <d v="2025-10-20T12:06:00" u="1"/>
        <d v="2025-10-20T13:23:00" u="1"/>
        <d v="2025-10-07T12:27:00" u="1"/>
        <d v="2025-10-20T16:20:00" u="1"/>
        <d v="2025-10-20T16:36:00" u="1"/>
        <d v="2025-10-21T10:30:00" u="1"/>
        <d v="2025-10-21T14:38:00" u="1"/>
        <d v="2025-10-20T22:47:00" u="1"/>
        <d v="2025-10-17T09:19:00" u="1"/>
        <d v="2025-10-21T14:26:00" u="1"/>
        <d v="2025-10-21T10:51:00" u="1"/>
        <d v="2025-10-20T14:58:00" u="1"/>
        <d v="2025-10-20T15:47:00" u="1"/>
        <d v="2025-10-20T15:49:00" u="1"/>
        <d v="2025-10-17T13:14:00" u="1"/>
        <d v="2025-10-17T13:26:00" u="1"/>
        <d v="2025-10-17T10:10:00" u="1"/>
        <d v="2025-10-17T10:15:00" u="1"/>
        <d v="2025-10-17T10:17:00" u="1"/>
        <d v="2025-10-17T08:24:00" u="1"/>
        <d v="2025-10-20T13:11:00" u="1"/>
        <d v="2025-10-20T13:16:00" u="1"/>
        <d v="2025-10-21T13:23:00" u="1"/>
        <d v="2025-10-21T16:50:00" u="1"/>
        <d v="2025-10-21T19:00:00" u="1"/>
        <d v="2025-10-17T10:53:00" u="1"/>
        <d v="2025-10-20T17:02:00" u="1"/>
        <d v="2025-10-21T08:28:00" u="1"/>
        <d v="2025-10-21T16:06:00" u="1"/>
        <d v="2025-10-21T09:18:00" u="1"/>
        <d v="2025-10-21T14:48:00" u="1"/>
        <d v="2025-10-21T11:34:00" u="1"/>
        <d v="2025-10-17T14:43:00" u="1"/>
        <d v="2025-10-20T10:39:00" u="1"/>
        <d v="2025-10-21T02:15:00" u="1"/>
        <d v="2025-10-14T04:35:00" u="1"/>
        <d v="2025-10-21T08:43:00" u="1"/>
        <d v="2025-10-21T14:57:00" u="1"/>
        <d v="2025-10-21T09:27:00" u="1"/>
        <d v="2025-10-21T09:32:00" u="1"/>
        <d v="2025-10-21T09:35:00" u="1"/>
        <d v="2025-10-21T09:08:00" u="1"/>
        <d v="2025-10-21T09:12:00" u="1"/>
        <d v="2025-10-21T01:36:00" u="1"/>
        <d v="2025-10-21T12:12:00" u="1"/>
        <d v="2025-10-21T04:30:00" u="1"/>
        <d v="2025-10-21T04:34:00" u="1"/>
        <d v="2025-10-21T02:48:00" u="1"/>
        <d v="2025-10-21T01:53:00" u="1"/>
        <d v="2025-10-21T10:54:00" u="1"/>
        <d v="2025-10-21T12:54:00" u="1"/>
        <d v="2025-10-21T14:11:00" u="1"/>
        <d v="2025-10-21T14:16:00" u="1"/>
        <d v="2025-10-21T08:01:00" u="1"/>
        <d v="2025-10-21T12:49:00" u="1"/>
        <d v="2025-10-17T14:54:00" u="1"/>
        <d v="2025-10-20T10:19:00" u="1"/>
        <d v="2025-10-21T15:39:00" u="1"/>
        <d v="2025-10-21T13:45:00" u="1"/>
        <d v="2025-10-21T13:48:00" u="1"/>
        <d v="2025-10-21T09:59:00" u="1"/>
        <d v="2025-10-20T16:10:00" u="1"/>
        <d v="2025-10-21T03:19:00" u="1"/>
        <d v="2025-10-21T04:33:00" u="1"/>
        <d v="2025-10-21T09:15:00" u="1"/>
        <d v="2025-10-21T09:23:00" u="1"/>
        <d v="2025-10-21T17:05:00" u="1"/>
        <d v="2025-10-21T15:10:00" u="1"/>
        <d v="2025-10-21T18:18:00" u="1"/>
        <d v="2025-10-20T16:09:00" u="1"/>
        <d v="2025-10-21T11:27:00" u="1"/>
        <d v="2025-10-21T11:12:00" u="1"/>
        <d v="2025-10-21T02:47:00" u="1"/>
        <d v="2025-10-21T02:42:00" u="1"/>
        <d v="2025-10-21T11:10:00" u="1"/>
        <d v="2025-10-20T15:55:00" u="1"/>
        <d v="2025-10-21T11:17:00" u="1"/>
        <d v="2025-10-20T13:19:00" u="1"/>
        <d v="2025-10-20T15:19:00" u="1"/>
        <d v="2025-10-17T12:18:00" u="1"/>
        <d v="2025-10-21T09:37:00" u="1"/>
        <d v="2025-10-20T10:47:00" u="1"/>
        <d v="2025-10-20T10:51:00" u="1"/>
        <d v="2025-10-21T07:47:00" u="1"/>
        <d v="2025-10-21T07:50:00" u="1"/>
        <d v="2025-10-21T07:37:00" u="1"/>
        <d v="2025-10-08T11:21:00" u="1"/>
        <d v="2025-10-21T18:29:00" u="1"/>
        <d v="2025-10-21T17:04:00" u="1"/>
        <d v="2025-10-21T20:05:00" u="1"/>
        <d v="2025-10-21T14:53:00" u="1"/>
        <d v="2025-10-21T13:51:00" u="1"/>
        <d v="2025-10-21T16:08:00" u="1"/>
        <d v="2025-09-17T09:55:00" u="1"/>
        <d v="2025-10-21T18:23:00" u="1"/>
        <d v="2025-10-21T18:47:00" u="1"/>
        <d v="2025-10-21T18:46:00" u="1"/>
        <d v="2025-10-21T17:27:00" u="1"/>
        <d v="2025-10-21T17:56:00" u="1"/>
        <d v="2025-10-21T17:55:00" u="1"/>
        <d v="2025-10-21T17:54:00" u="1"/>
        <d v="2025-10-21T17:53:00" u="1"/>
        <d v="2025-10-21T18:08:00" u="1"/>
        <d v="2025-10-21T21:02:00" u="1"/>
        <d v="2025-10-22T01:16:00" u="1"/>
        <d v="2025-10-21T06:36:00" u="1"/>
        <d v="2025-10-21T17:59:00" u="1"/>
        <d v="2025-10-21T18:10:00" u="1"/>
        <d v="2025-10-22T01:33:00" u="1"/>
        <d v="2025-10-22T01:45:00" u="1"/>
        <d v="2025-10-21T04:48:00" u="1"/>
        <d v="2025-10-21T17:52:00" u="1"/>
        <d v="2025-10-21T06:55:00" u="1"/>
        <d v="2025-10-21T07:11:00" u="1"/>
        <d v="2025-10-21T11:52:00" u="1"/>
        <d v="2025-09-02T18:17:00" u="1"/>
        <d v="2025-09-04T08:34:00" u="1"/>
        <d v="2025-09-04T08:47:00" u="1"/>
        <d v="2025-09-05T14:03:00" u="1"/>
        <d v="2025-09-04T15:41:00" u="1"/>
        <d v="2025-09-11T00:00:00" u="1"/>
        <d v="2025-09-17T10:54:00" u="1"/>
        <d v="2025-09-12T07:19:00" u="1"/>
        <d v="2025-09-12T10:21:00" u="1"/>
        <d v="2025-09-18T16:51:00" u="1"/>
        <d v="2025-09-19T00:00:00" u="1"/>
        <d v="2025-09-30T15:00:00" u="1"/>
        <d v="2025-09-19T14:57:00" u="1"/>
        <d v="2025-09-19T17:47:00" u="1"/>
        <d v="2025-10-02T09:48:00" u="1"/>
        <d v="2025-09-30T13:22:00" u="1"/>
        <d v="2025-09-26T00:00:00" u="1"/>
        <d v="2025-10-01T00:00:00" u="1"/>
        <d v="2025-10-10T13:02:00" u="1"/>
        <d v="2025-10-10T11:10:00" u="1"/>
        <d v="2025-10-09T14:16:00" u="1"/>
        <d v="2025-10-09T15:04:00" u="1"/>
        <d v="2025-10-06T16:15:00" u="1"/>
        <d v="2025-10-13T16:08:00" u="1"/>
        <d v="2025-10-13T16:16:00" u="1"/>
        <d v="2025-10-10T11:06:00" u="1"/>
        <d v="2025-10-09T16:46:00" u="1"/>
        <d v="2025-10-06T19:25:00" u="1"/>
        <d v="2025-10-08T14:44:00" u="1"/>
        <d v="2025-10-09T14:50:00" u="1"/>
        <d v="2025-10-09T15:21:00" u="1"/>
        <d v="2025-10-13T11:10:00" u="1"/>
        <d v="2025-10-10T19:14:00" u="1"/>
        <d v="2025-10-09T17:26:00" u="1"/>
        <d v="2025-10-09T16:32:00" u="1"/>
        <d v="2025-10-13T17:01:00" u="1"/>
        <d v="2025-10-13T17:11:00" u="1"/>
        <d v="2025-10-08T13:25:00" u="1"/>
        <d v="2025-10-08T12:31:00" u="1"/>
        <d v="2025-10-13T15:43:00" u="1"/>
        <d v="2025-10-13T08:27:00" u="1"/>
        <d v="2025-10-13T14:42:00" u="1"/>
        <d v="2025-10-13T08:32:00" u="1"/>
        <d v="2025-10-08T15:32:00" u="1"/>
        <d v="2025-10-13T18:57:00" u="1"/>
        <d v="2025-10-09T18:57:00" u="1"/>
        <d v="2025-10-09T19:10:00" u="1"/>
        <d v="2025-10-10T11:49:00" u="1"/>
        <d v="2025-10-10T11:57:00" u="1"/>
        <d v="2025-10-09T11:51:00" u="1"/>
        <d v="2025-10-09T19:11:00" u="1"/>
        <d v="2025-10-08T16:07:00" u="1"/>
        <d v="2025-10-08T14:40:00" u="1"/>
        <d v="2025-10-07T10:41:00" u="1"/>
        <d v="2025-10-06T19:26:00" u="1"/>
        <d v="2025-10-07T15:13:00" u="1"/>
        <d v="2025-10-09T11:00:00" u="1"/>
        <d v="2025-10-10T18:38:00" u="1"/>
        <d v="2025-10-16T15:34:00" u="1"/>
        <d v="2025-10-08T09:32:00" u="1"/>
        <d v="2025-10-08T16:57:00" u="1"/>
        <d v="2025-10-09T18:47:00" u="1"/>
        <d v="2025-10-09T15:55:00" u="1"/>
        <d v="2025-10-10T13:46:00" u="1"/>
        <d v="2025-10-13T23:06:00" u="1"/>
        <d v="2025-10-06T15:51:00" u="1"/>
        <d v="2025-10-10T18:56:00" u="1"/>
        <d v="2025-10-14T15:01:00" u="1"/>
        <d v="2025-10-15T16:01:00" u="1"/>
        <d v="2025-10-16T14:54:00" u="1"/>
        <d v="2025-10-15T11:03:00" u="1"/>
        <d v="2025-10-14T16:51:00" u="1"/>
        <d v="2025-10-15T15:01:00" u="1"/>
        <d v="2025-10-17T16:25:00" u="1"/>
        <d v="2025-10-17T15:59:00" u="1"/>
        <d v="2025-10-17T15:37:00" u="1"/>
        <d v="2025-10-17T15:06:00" u="1"/>
        <d v="2025-10-17T16:11:00" u="1"/>
        <d v="2025-10-17T19:04:00" u="1"/>
        <d v="2025-10-18T09:31:00" u="1"/>
        <d v="2025-10-18T09:05:00" u="1"/>
        <d v="2025-10-17T13:39:00" u="1"/>
        <d v="2025-10-17T09:48:00" u="1"/>
        <d v="2025-10-17T09:06:00" u="1"/>
        <d v="2025-10-14T14:15:00" u="1"/>
        <d v="2025-10-15T20:17:00" u="1"/>
        <d v="2025-10-15T14:00:00" u="1"/>
        <d v="2025-10-15T14:03:00" u="1"/>
        <d v="2025-10-15T13:48:00" u="1"/>
        <d v="2025-10-17T16:15:00" u="1"/>
        <d v="2025-10-17T15:31:00" u="1"/>
        <d v="2025-10-10T12:08:00" u="1"/>
        <d v="2025-10-17T11:33:00" u="1"/>
        <d v="2025-10-16T12:49:00" u="1"/>
        <d v="2025-10-17T12:06:00" u="1"/>
        <d v="2025-10-17T12:39:00" u="1"/>
        <d v="2025-10-17T09:05:00" u="1"/>
        <d v="2025-10-14T10:33:00" u="1"/>
        <d v="2025-10-14T15:46:00" u="1"/>
        <d v="2025-10-14T15:43:00" u="1"/>
        <d v="2025-10-15T14:48:00" u="1"/>
        <d v="2025-10-15T15:40:00" u="1"/>
        <d v="2025-10-15T15:47:00" u="1"/>
        <d v="2025-10-16T09:03:00" u="1"/>
        <d v="2025-10-17T14:09:00" u="1"/>
        <d v="2025-10-17T11:27:00" u="1"/>
        <d v="2025-10-17T10:16:00" u="1"/>
        <d v="2025-10-17T10:27:00" u="1"/>
        <d v="2025-10-16T11:45:00" u="1"/>
        <d v="2025-10-17T14:12:00" u="1"/>
        <d v="2025-10-16T16:59:00" u="1"/>
        <d v="2025-10-14T16:31:00" u="1"/>
        <d v="2025-10-17T13:00:00" u="1"/>
        <d v="2025-10-16T11:53:00" u="1"/>
        <d v="2025-10-16T12:24:00" u="1"/>
        <d v="2025-10-17T14:53:00" u="1"/>
        <d v="2025-10-17T14:46:00" u="1"/>
        <d v="2025-10-15T12:02:00" u="1"/>
        <d v="2025-10-17T17:03:00" u="1"/>
        <d v="2025-10-17T13:15:00" u="1"/>
        <d v="2025-10-14T10:34:00" u="1"/>
        <d v="2025-10-14T16:28:00" u="1"/>
        <d v="2025-10-17T15:01:00" u="1"/>
        <d v="2025-10-17T15:36:00" u="1"/>
        <d v="2025-10-15T15:25:00" u="1"/>
        <d v="2025-10-13T11:23:00" u="1"/>
        <d v="2025-10-17T14:07:00" u="1"/>
        <d v="2025-10-17T09:47:00" u="1"/>
        <d v="2025-08-13T18:06:00" u="1"/>
        <d v="2025-10-17T14:20:00" u="1"/>
        <d v="2025-10-17T14:03:00" u="1"/>
        <d v="2025-10-17T09:30:00" u="1"/>
        <d v="2025-10-17T08:14:00" u="1"/>
        <d v="2025-10-17T08:25:00" u="1"/>
        <d v="2025-10-17T10:47:00" u="1"/>
        <d v="2025-10-17T06:17:00" u="1"/>
        <d v="2025-10-17T04:19:00" u="1"/>
        <d v="2025-10-16T14:26:00" u="1"/>
        <d v="2025-10-15T12:18:00" u="1"/>
        <d v="2025-10-16T05:28:00" u="1"/>
        <d v="2025-10-17T07:37:00" u="1"/>
        <d v="2025-10-15T12:51:00" u="1"/>
        <d v="2025-10-14T04:45:00" u="1"/>
        <d v="2025-10-10T17:14:00" u="1"/>
        <d v="2025-10-17T14:16:00" u="1"/>
        <d v="2025-10-15T17:04:00" u="1"/>
        <d v="2025-10-16T18:34:00" u="1"/>
        <d v="2025-10-16T15:46:00" u="1"/>
        <d v="2025-10-14T19:22:00" u="1"/>
        <d v="2025-10-15T11:10:00" u="1"/>
        <d v="2025-10-17T15:44:00" u="1"/>
        <d v="2025-10-17T15:51:00" u="1"/>
        <d v="2025-10-17T06:11:00" u="1"/>
        <d v="2025-10-17T10:30:00" u="1"/>
        <d v="2025-10-15T16:42:00" u="1"/>
        <d v="2025-10-13T14:36:00" u="1"/>
        <d v="2025-10-17T15:52:00" u="1"/>
        <d v="2025-10-17T17:31:00" u="1"/>
        <d v="2025-10-17T18:07:00" u="1"/>
        <d v="2025-10-17T20:29:00" u="1"/>
        <d v="2025-10-17T20:34:00" u="1"/>
        <d v="2025-10-17T20:37:00" u="1"/>
        <d v="2025-10-17T22:47:00" u="1"/>
        <d v="2025-10-17T16:07:00" u="1"/>
        <d v="2025-10-18T11:56:00" u="1"/>
        <d v="2025-10-16T15:44:00" u="1"/>
        <d v="2025-10-19T20:42:00" u="1"/>
        <d v="2025-10-19T19:31:00" u="1"/>
        <d v="2025-10-17T19:18:00" u="1"/>
        <d v="2025-10-18T20:37:00" u="1"/>
        <d v="2025-10-18T20:49:00" u="1"/>
        <d v="2025-10-17T16:33:00" u="1"/>
        <d v="2025-10-17T17:05:00" u="1"/>
        <d v="2025-10-17T17:46:00" u="1"/>
        <d v="2025-10-17T16:27:00" u="1"/>
        <d v="2025-10-18T11:31:00" u="1"/>
        <d v="2025-10-18T12:20:00" u="1"/>
        <d v="2025-10-19T18:43:00" u="1"/>
        <d v="2025-10-19T12:40:00" u="1"/>
        <d v="2025-10-18T22:22:00" u="1"/>
        <d v="2025-10-17T19:40:00" u="1"/>
        <d v="2025-10-18T12:25:00" u="1"/>
        <d v="2025-10-16T14:42:00" u="1"/>
        <d v="2025-10-19T15:11:00" u="1"/>
        <d v="2025-10-18T05:24:00" u="1"/>
        <d v="2025-10-17T04:57:00" u="1"/>
        <d v="2025-10-17T06:14:00" u="1"/>
        <d v="2025-10-17T03:56:00" u="1"/>
        <d v="2025-10-17T05:22:00" u="1"/>
        <d v="2025-10-17T08:18:00" u="1"/>
        <d v="2025-10-18T03:17:00" u="1"/>
        <d v="2025-10-17T02:54:00" u="1"/>
        <d v="2025-10-18T12:33:00" u="1"/>
        <d v="2025-10-17T18:22:00" u="1"/>
        <d v="2025-10-02T17:59:00" u="1"/>
        <d v="2025-10-17T12:26:00" u="1"/>
        <d v="2025-10-18T12:49:00" u="1"/>
        <d v="2025-10-18T11:17:00" u="1"/>
        <d v="2025-10-19T09:04:00" u="1"/>
        <d v="2025-10-18T09:35:00" u="1"/>
        <d v="2025-10-17T11:43:00" u="1"/>
        <d v="2025-10-16T02:01:00" u="1"/>
        <d v="2025-10-17T22:55:00" u="1"/>
        <d v="2025-10-19T12:13:00" u="1"/>
        <d v="2025-10-18T00:49:00" u="1"/>
        <d v="2025-10-18T17:29:00" u="1"/>
        <d v="2025-10-18T18:01:00" u="1"/>
        <d v="2025-10-18T20:45:00" u="1"/>
        <d v="2025-10-18T23:20:00" u="1"/>
        <d v="2025-10-15T17:09:00" u="1"/>
        <d v="2025-10-17T13:02:00" u="1"/>
        <d v="2025-10-16T02:51:00" u="1"/>
        <d v="2025-10-17T00:10:00" u="1"/>
        <d v="2025-10-17T00:37:00" u="1"/>
        <d v="2025-10-16T18:57:00" u="1"/>
        <d v="2025-10-16T20:42:00" u="1"/>
        <d v="2025-10-16T20:43:00" u="1"/>
        <d v="2025-10-16T20:47:00" u="1"/>
        <d v="2025-10-16T15:45:00" u="1"/>
        <d v="2025-10-16T14:39:00" u="1"/>
        <d v="2025-10-16T15:01:00" u="1"/>
        <d v="2025-10-16T15:02:00" u="1"/>
        <d v="2025-10-16T11:55:00" u="1"/>
        <d v="2025-10-16T11:23:00" u="1"/>
        <d v="2025-10-16T11:32:00" u="1"/>
        <d v="2025-10-16T11:34:00" u="1"/>
        <d v="2025-10-16T12:26:00" u="1"/>
        <d v="2025-10-16T12:27:00" u="1"/>
        <d v="2025-10-09T01:53:00" u="1"/>
        <d v="2025-10-09T01:58:00" u="1"/>
        <d v="2025-10-09T02:08:00" u="1"/>
        <d v="2025-10-08T10:02:00" u="1"/>
        <d v="2025-10-08T10:08:00" u="1"/>
        <d v="2025-10-02T13:07:00" u="1"/>
        <d v="2025-10-15T12:32:00" u="1"/>
        <d v="2025-10-15T12:25:00" u="1"/>
        <d v="2025-10-15T18:35:00" u="1"/>
        <d v="2025-10-16T14:36:00" u="1"/>
        <d v="2025-10-10T20:15:00" u="1"/>
        <d v="2025-10-15T11:58:00" u="1"/>
        <d v="2025-10-16T09:53:00" u="1"/>
        <d v="2025-10-16T10:54:00" u="1"/>
        <d v="2025-10-16T02:46:00" u="1"/>
        <d v="2025-10-16T10:22:00" u="1"/>
        <d v="2025-10-16T05:17:24" u="1"/>
        <d v="2025-10-16T06:56:00" u="1"/>
        <d v="2025-10-16T06:24:00" u="1"/>
        <d v="2025-10-16T06:32:00" u="1"/>
        <d v="2025-10-16T03:31:00" u="1"/>
        <d v="2025-10-16T12:59:00" u="1"/>
        <d v="2025-10-16T03:12:00" u="1"/>
        <d v="2025-10-16T03:32:00" u="1"/>
        <d v="2025-10-16T03:25:00" u="1"/>
        <d v="2025-10-16T07:51:00" u="1"/>
        <d v="2025-10-16T07:39:00" u="1"/>
        <d v="2025-10-16T05:32:00" u="1"/>
        <d v="2025-10-16T02:30:00" u="1"/>
        <d v="2025-10-16T02:27:00" u="1"/>
        <d v="2025-10-16T05:12:00" u="1"/>
        <d v="2025-10-16T02:18:00" u="1"/>
        <d v="2025-10-16T04:52:00" u="1"/>
        <d v="2025-10-16T04:31:00" u="1"/>
        <d v="2025-10-16T17:51:00" u="1"/>
        <d v="2025-10-16T22:53:00" u="1"/>
        <d v="2025-10-16T14:51:00" u="1"/>
        <d v="2025-10-15T14:20:00" u="1"/>
        <d v="2025-10-08T08:49:00" u="1"/>
        <d v="2025-10-02T14:45:00" u="1"/>
        <d v="2025-10-15T08:41:00" u="1"/>
        <d v="2025-10-16T15:26:00" u="1"/>
        <d v="2025-10-16T09:46:00" u="1"/>
        <d v="2025-10-15T14:29:00" u="1"/>
        <d v="2025-10-16T09:23:00" u="1"/>
        <d v="2025-10-16T08:05:00" u="1"/>
        <d v="2025-10-16T08:08:00" u="1"/>
        <d v="2025-10-16T16:30:00" u="1"/>
        <d v="2025-10-15T14:23:00" u="1"/>
        <d v="2025-10-15T14:19:00" u="1"/>
        <d v="2025-10-15T14:11:00" u="1"/>
        <d v="2025-10-16T07:04:00" u="1"/>
        <d v="2025-10-16T16:11:00" u="1"/>
        <d v="2025-10-16T08:23:00" u="1"/>
        <d v="2025-10-16T11:58:00" u="1"/>
        <d v="2025-10-15T10:53:00" u="1"/>
        <d v="2025-10-15T18:45:00" u="1"/>
        <d v="2025-10-15T10:55:00" u="1"/>
        <d v="2025-10-16T14:40:00" u="1"/>
        <d v="2025-10-16T09:44:00" u="1"/>
        <d v="2025-10-16T14:25:00" u="1"/>
        <d v="2025-10-01T15:35:00" u="1"/>
        <d v="2025-09-08T08:15:00" u="1"/>
        <d v="2025-10-16T15:37:00" u="1"/>
        <d v="2025-10-06T15:26:00" u="1"/>
        <d v="2025-10-16T18:14:00" u="1"/>
        <d v="2025-10-14T14:54:00" u="1"/>
        <d v="2025-10-15T16:19:00" u="1"/>
        <d v="2025-10-15T17:13:00" u="1"/>
        <d v="2025-10-15T17:12:00" u="1"/>
        <d v="2025-10-16T18:21:00" u="1"/>
        <d v="2025-10-16T18:22:00" u="1"/>
        <d v="2025-10-16T12:31:00" u="1"/>
        <d v="2025-10-16T10:20:00" u="1"/>
        <d v="2025-10-16T13:48:00" u="1"/>
        <d v="2025-10-09T15:34:00" u="1"/>
        <d v="2025-10-16T17:55:00" u="1"/>
        <d v="2025-10-16T21:10:00" u="1"/>
        <d v="2025-10-16T21:09:00" u="1"/>
        <d v="2025-10-16T21:08:00" u="1"/>
        <d v="2025-10-15T14:47:00" u="1"/>
        <d v="2025-10-15T09:57:00" u="1"/>
        <d v="2025-10-15T15:20:00" u="1"/>
        <d v="2025-10-15T16:48:00" u="1"/>
        <d v="2025-10-16T07:40:00" u="1"/>
        <d v="2025-10-16T08:55:00" u="1"/>
        <d v="2025-10-16T17:19:00" u="1"/>
        <d v="2025-10-16T12:28:00" u="1"/>
        <d v="2025-10-15T11:18:00" u="1"/>
        <d v="2025-10-15T01:18:00" u="1"/>
        <d v="2025-10-15T02:03:00" u="1"/>
        <d v="2025-10-15T02:08:00" u="1"/>
        <d v="2025-10-14T20:29:00" u="1"/>
        <d v="2025-10-14T21:10:00" u="1"/>
        <d v="2025-10-14T14:51:00" u="1"/>
        <d v="2025-10-14T07:13:00" u="1"/>
        <d v="2025-10-15T09:00:00" u="1"/>
        <d v="2025-10-15T10:13:00" u="1"/>
        <d v="2025-10-15T21:46:00" u="1"/>
        <d v="2025-10-15T22:01:00" u="1"/>
        <d v="2025-10-15T23:22:00" u="1"/>
        <d v="2025-10-15T23:23:00" u="1"/>
        <d v="2025-10-16T01:55:00" u="1"/>
        <d v="2025-10-15T20:33:00" u="1"/>
        <d v="2025-10-14T10:04:00" u="1"/>
        <d v="2025-10-10T17:05:00" u="1"/>
        <d v="2025-10-11T17:09:00" u="1"/>
        <d v="2025-10-14T17:14:00" u="1"/>
        <d v="2025-10-14T17:19:00" u="1"/>
        <d v="2025-10-12T13:21:00" u="1"/>
        <d v="2025-10-15T07:58:00" u="1"/>
        <d v="2025-10-15T06:00:00" u="1"/>
        <d v="2025-10-15T07:25:00" u="1"/>
        <d v="2025-10-15T05:00:00" u="1"/>
        <d v="2025-10-15T05:15:00" u="1"/>
        <d v="2025-10-07T13:02:00" u="1"/>
        <d v="2025-10-07T13:07:00" u="1"/>
        <d v="2025-10-08T15:24:00" u="1"/>
        <d v="2025-10-08T07:49:00" u="1"/>
        <d v="2025-10-10T13:21:00" u="1"/>
        <d v="2025-10-10T08:59:00" u="1"/>
        <d v="2025-09-18T07:29:00" u="1"/>
        <d v="2025-09-17T07:21:00" u="1"/>
        <d v="2025-10-07T07:47:00" u="1"/>
        <d v="2025-10-15T09:28:00" u="1"/>
        <d v="2025-10-08T14:52:00" u="1"/>
        <d v="2025-10-08T14:57:00" u="1"/>
        <d v="2025-10-08T15:07:00" u="1"/>
        <d v="2025-10-08T14:25:00" u="1"/>
        <d v="2025-10-08T14:31:00" u="1"/>
        <d v="2025-10-10T13:06:00" u="1"/>
        <d v="2025-10-10T10:53:00" u="1"/>
        <d v="2025-10-08T14:58:00" u="1"/>
        <d v="2025-10-03T13:59:00" u="1"/>
        <d v="2025-09-22T08:39:00" u="1"/>
        <d v="2025-10-15T08:54:00" u="1"/>
        <d v="2025-10-07T10:00:00" u="1"/>
        <d v="2025-10-07T10:13:00" u="1"/>
        <d v="2025-10-07T10:46:00" u="1"/>
        <d v="2025-10-10T17:06:00" u="1"/>
        <d v="2025-10-13T14:03:00" u="1"/>
        <d v="2025-10-13T14:32:00" u="1"/>
        <d v="2025-10-13T14:38:00" u="1"/>
        <d v="2025-10-13T14:41:00" u="1"/>
        <d v="2025-10-14T08:34:00" u="1"/>
        <d v="2025-10-14T08:44:00" u="1"/>
        <d v="2025-10-15T08:17:00" u="1"/>
        <d v="2025-10-03T16:46:00" u="1"/>
        <d v="2025-10-13T11:06:00" u="1"/>
        <d v="2025-10-15T12:03:00" u="1"/>
        <d v="2025-10-10T15:40:00" u="1"/>
        <d v="2025-10-08T06:41:00" u="1"/>
        <d v="2025-10-11T16:38:00" u="1"/>
        <d v="2025-10-09T13:18:00" u="1"/>
        <d v="2025-10-10T10:01:00" u="1"/>
        <d v="2025-10-14T05:41:00" u="1"/>
        <d v="2025-10-15T14:12:00" u="1"/>
        <d v="2025-10-15T08:06:00" u="1"/>
        <d v="2025-10-09T15:45:00" u="1"/>
        <d v="2025-10-08T17:52:00" u="1"/>
        <d v="2025-10-09T08:00:00" u="1"/>
        <d v="2025-10-07T10:02:00" u="1"/>
        <d v="2025-10-08T10:14:00" u="1"/>
        <d v="2025-09-18T07:50:00" u="1"/>
        <d v="2025-10-15T11:55:00" u="1"/>
        <d v="2025-10-15T09:15:00" u="1"/>
        <d v="2025-10-15T15:32:00" u="1"/>
        <d v="2025-10-14T12:45:00" u="1"/>
        <d v="2025-10-15T15:34:00" u="1"/>
        <d v="2025-10-15T11:15:00" u="1"/>
        <d v="2025-10-15T08:09:00" u="1"/>
        <d v="2025-10-13T06:41:00" u="1"/>
        <d v="2025-10-15T11:22:00" u="1"/>
        <d v="2025-09-09T06:58:00" u="1"/>
        <d v="2025-10-06T07:05:00" u="1"/>
        <d v="2025-10-06T07:06:00" u="1"/>
        <d v="2025-10-09T09:45:00" u="1"/>
        <d v="2025-10-13T16:50:00" u="1"/>
        <d v="2025-10-06T02:29:00" u="1"/>
        <d v="2025-09-22T06:59:00" u="1"/>
        <d v="2025-10-15T09:08:00" u="1"/>
        <d v="2025-10-15T13:30:00" u="1"/>
        <d v="2025-10-15T09:54:00" u="1"/>
        <d v="2025-10-13T19:32:00" u="1"/>
        <d v="2025-07-31T00:00:00" u="1"/>
        <d v="2025-09-24T13:41:00" u="1"/>
        <d v="2025-09-24T15:15:00" u="1"/>
        <d v="2025-09-24T15:16:00" u="1"/>
        <d v="2025-09-24T15:34:00" u="1"/>
        <d v="2025-10-03T15:04:00" u="1"/>
        <d v="2025-10-06T09:05:00" u="1"/>
        <d v="2025-10-06T09:06:00" u="1"/>
        <d v="2025-10-06T09:07:00" u="1"/>
        <d v="2025-10-06T09:08:00" u="1"/>
        <d v="2025-10-07T08:16:00" u="1"/>
        <d v="2025-08-06T00:00:00" u="1"/>
        <d v="2025-10-08T10:00:00" u="1"/>
        <d v="2025-10-06T16:27:00" u="1"/>
        <d v="2025-10-06T16:28:00" u="1"/>
        <d v="2025-10-09T12:45:00" u="1"/>
        <d v="2025-10-13T10:37:00" u="1"/>
        <d v="2025-10-13T14:52:00" u="1"/>
        <d v="2025-10-14T09:46:00" u="1"/>
        <d v="2025-10-07T15:55:00" u="1"/>
        <d v="2025-09-25T14:36:00" u="1"/>
        <d v="2025-09-15T09:08:00" u="1"/>
        <d v="2025-10-13T10:13:00" u="1"/>
        <d v="2025-10-09T11:36:00" u="1"/>
        <d v="2025-10-13T10:12:00" u="1"/>
        <d v="2025-10-03T13:09:00" u="1"/>
        <d v="2025-10-08T10:16:00" u="1"/>
        <d v="2025-10-15T14:31:00" u="1"/>
        <d v="2025-10-15T11:48:00" u="1"/>
        <d v="2025-10-09T19:41:00" u="1"/>
        <d v="2025-10-09T17:21:00" u="1"/>
        <d v="2025-10-09T15:54:00" u="1"/>
        <d v="2025-10-09T15:33:00" u="1"/>
        <d v="2025-10-09T13:51:00" u="1"/>
        <d v="2025-10-15T17:52:00" u="1"/>
        <d v="2025-10-15T21:06:00" u="1"/>
        <d v="2025-10-15T16:13:00" u="1"/>
        <d v="2025-10-15T15:28:00" u="1"/>
        <d v="2025-10-13T14:07:00" u="1"/>
        <d v="2025-10-13T09:11:00" u="1"/>
        <d v="2025-10-08T09:11:00" u="1"/>
        <d v="2025-10-08T16:34:00" u="1"/>
        <d v="2025-10-08T20:46:00" u="1"/>
        <d v="2025-10-14T18:27:00" u="1"/>
        <d v="2025-10-08T19:26:00" u="1"/>
        <d v="2025-10-12T21:05:00" u="1"/>
        <d v="2025-10-14T16:23:00" u="1"/>
        <d v="2025-06-10T11:01:00" u="1"/>
        <d v="2025-10-14T22:13:00" u="1"/>
        <d v="2025-10-14T11:44:00" u="1"/>
        <d v="2025-10-14T17:34:00" u="1"/>
        <d v="2025-10-14T12:34:00" u="1"/>
        <d v="2025-10-14T19:09:00" u="1"/>
        <d v="2025-10-10T10:18:00" u="1"/>
        <d v="2025-10-14T16:39:00" u="1"/>
        <d v="2025-10-10T16:48:00" u="1"/>
        <d v="2025-10-03T17:47:00" u="1"/>
        <d v="2025-10-09T06:13:00" u="1"/>
        <d v="2025-10-14T10:57:00" u="1"/>
        <d v="2025-10-14T10:54:00" u="1"/>
        <d v="2025-10-14T11:14:00" u="1"/>
        <d v="2025-10-14T10:16:00" u="1"/>
        <d v="2025-10-14T10:29:00" u="1"/>
        <d v="2025-10-14T10:02:00" u="1"/>
        <d v="2025-10-14T03:47:00" u="1"/>
        <d v="2025-10-14T03:20:00" u="1"/>
        <d v="2025-10-13T03:23:00" u="1"/>
        <d v="2025-10-14T01:30:00" u="1"/>
        <d v="2025-10-14T04:04:00" u="1"/>
        <d v="2025-10-14T12:20:00" u="1"/>
        <d v="2025-10-14T03:48:00" u="1"/>
        <d v="2025-10-13T04:40:00" u="1"/>
        <d v="2025-10-14T02:55:00" u="1"/>
        <d v="2025-10-14T02:52:00" u="1"/>
        <d v="2025-10-14T05:11:00" u="1"/>
        <d v="2025-09-02T13:40:00" u="1"/>
        <d v="2025-09-17T10:56:00" u="1"/>
        <d v="2025-10-14T11:37:00" u="1"/>
        <d v="2025-10-02T09:19:00" u="1"/>
        <d v="2025-09-17T17:01:00" u="1"/>
        <d v="2025-10-13T15:52:00" u="1"/>
        <d v="2025-10-14T13:31:00" u="1"/>
        <d v="2025-10-02T14:19:00" u="1"/>
        <d v="2025-10-03T14:01:00" u="1"/>
        <d v="2025-10-08T06:30:00" u="1"/>
        <d v="2025-10-08T07:52:00" u="1"/>
        <d v="2025-10-14T07:27:00" u="1"/>
        <d v="2025-10-06T08:49:00" u="1"/>
        <d v="2025-10-14T10:49:00" u="1"/>
        <d v="2025-10-14T14:31:00" u="1"/>
        <d v="2025-10-14T14:32:00" u="1"/>
        <d v="2025-10-14T10:07:00" u="1"/>
        <d v="2025-10-14T16:20:00" u="1"/>
        <d v="2025-10-14T09:18:00" u="1"/>
        <d v="2025-10-07T09:22:00" u="1"/>
        <d v="2025-10-14T11:17:00" u="1"/>
        <d v="2025-10-06T12:33:00" u="1"/>
        <d v="2025-10-14T08:58:00" u="1"/>
        <d v="2025-10-13T09:32:00" u="1"/>
        <d v="2025-10-14T14:16:00" u="1"/>
        <d v="2025-10-13T15:25:00" u="1"/>
        <d v="2025-10-14T11:40:00" u="1"/>
        <d v="2025-10-14T09:01:00" u="1"/>
        <d v="2025-10-14T11:26:00" u="1"/>
        <d v="2025-10-14T08:12:00" u="1"/>
        <d v="2025-10-14T12:44:00" u="1"/>
        <d v="2025-10-14T17:52:00" u="1"/>
        <d v="2025-10-14T15:26:00" u="1"/>
        <d v="2025-10-14T13:09:00" u="1"/>
        <d v="2025-10-14T06:37:00" u="1"/>
        <d v="2025-10-06T15:47:00" u="1"/>
        <d v="2025-10-14T15:19:00" u="1"/>
        <d v="2025-10-14T10:24:00" u="1"/>
        <d v="2025-10-03T12:25:00" u="1"/>
        <d v="2025-10-13T12:55:00" u="1"/>
        <d v="2025-10-14T16:46:00" u="1"/>
        <d v="2025-10-14T16:14:00" u="1"/>
        <d v="2025-10-14T17:25:00" u="1"/>
        <d v="2025-10-09T16:57:00" u="1"/>
        <d v="2025-10-13T09:40:00" u="1"/>
        <d v="2025-10-11T07:56:00" u="1"/>
        <d v="2025-10-13T10:26:00" u="1"/>
        <d v="2025-10-13T18:30:00" u="1"/>
        <d v="2025-10-13T20:52:00" u="1"/>
        <d v="2025-10-13T18:22:00" u="1"/>
        <d v="2025-10-13T18:37:00" u="1"/>
        <d v="2025-10-13T16:45:00" u="1"/>
        <d v="2025-10-12T10:00:00" u="1"/>
        <d v="2025-10-10T16:18:00" u="1"/>
        <d v="2025-10-10T15:46:00" u="1"/>
        <d v="2025-10-03T15:50:00" u="1"/>
        <d v="2025-09-26T08:03:00" u="1"/>
        <d v="2025-09-26T11:36:00" u="1"/>
        <d v="2025-10-13T17:53:00" u="1"/>
        <d v="2025-09-16T14:14:00" u="1"/>
        <d v="2025-10-10T16:37:00" u="1"/>
        <d v="2025-10-03T12:46:00" u="1"/>
        <d v="2025-10-13T08:25:00" u="1"/>
        <d v="2025-10-13T16:38:00" u="1"/>
        <d v="2025-10-09T11:10:00" u="1"/>
        <d v="2025-10-13T10:27:00" u="1"/>
        <d v="2025-10-12T06:07:00" u="1"/>
        <d v="2025-10-12T08:33:00" u="1"/>
        <d v="2025-10-09T04:47:00" u="1"/>
        <d v="2025-10-10T11:09:00" u="1"/>
        <d v="2025-10-10T11:23:00" u="1"/>
        <d v="2025-10-10T02:09:00" u="1"/>
        <d v="2025-10-10T05:44:00" u="1"/>
        <d v="2025-10-10T03:11:00" u="1"/>
        <d v="2025-10-11T02:36:00" u="1"/>
        <d v="2025-10-13T01:42:00" u="1"/>
        <d v="2025-10-13T01:51:00" u="1"/>
        <d v="2025-10-13T01:05:00" u="1"/>
        <d v="2025-10-13T11:07:00" u="1"/>
        <d v="2025-10-13T16:44:00" u="1"/>
        <d v="2025-10-13T03:33:00" u="1"/>
        <d v="2025-10-13T02:46:00" u="1"/>
        <d v="2025-10-13T12:24:00" u="1"/>
        <d v="2025-10-13T05:26:00" u="1"/>
        <d v="2025-10-13T05:44:00" u="1"/>
        <d v="2025-10-13T02:49:00" u="1"/>
        <d v="2025-10-13T04:51:00" u="1"/>
        <d v="2025-10-13T04:00:00" u="1"/>
        <d v="2025-10-13T05:28:00" u="1"/>
        <d v="2025-10-13T02:52:00" u="1"/>
        <d v="2025-10-13T08:12:00" u="1"/>
        <d v="2025-10-09T17:13:00" u="1"/>
        <d v="2025-10-07T16:12:00" u="1"/>
        <d v="2025-10-13T16:23:00" u="1"/>
        <d v="2025-10-13T10:52:00" u="1"/>
        <d v="2025-10-13T10:53:00" u="1"/>
        <d v="2025-10-13T19:07:00" u="1"/>
        <d v="2025-10-13T09:39:00" u="1"/>
        <d v="2025-10-13T06:56:00" u="1"/>
        <d v="2025-10-13T14:26:00" u="1"/>
        <d v="2025-10-13T15:12:00" u="1"/>
        <d v="2025-10-13T12:35:00" u="1"/>
        <d v="2025-10-07T17:21:00" u="1"/>
        <d v="2025-10-10T09:06:00" u="1"/>
        <d v="2025-10-10T17:19:00" u="1"/>
        <d v="2025-10-13T16:55:00" u="1"/>
        <d v="2025-10-13T15:09:00" u="1"/>
        <d v="2025-10-01T09:24:00" u="1"/>
        <d v="2025-10-10T14:03:00" u="1"/>
        <d v="2025-10-13T12:23:00" u="1"/>
        <d v="2025-10-09T08:11:00" u="1"/>
        <d v="2025-10-09T07:06:00" u="1"/>
        <d v="2025-10-09T11:01:00" u="1"/>
        <d v="2025-10-07T11:57:00" u="1"/>
        <d v="2025-10-07T12:07:00" u="1"/>
        <d v="2025-10-07T07:21:00" u="1"/>
        <d v="2025-10-07T14:32:00" u="1"/>
        <d v="2025-10-07T14:44:00" u="1"/>
        <d v="2025-10-09T12:27:00" u="1"/>
        <d v="2025-10-09T16:06:00" u="1"/>
        <d v="2025-10-09T16:04:00" u="1"/>
        <d v="2025-10-09T13:56:00" u="1"/>
        <d v="2025-10-09T14:39:00" u="1"/>
        <d v="2025-10-10T07:01:00" u="1"/>
        <d v="2025-10-10T08:09:00" u="1"/>
        <d v="2025-10-10T14:33:00" u="1"/>
        <d v="2025-10-06T11:48:00" u="1"/>
        <d v="2025-10-07T13:53:00" u="1"/>
        <d v="2025-10-06T16:00:00" u="1"/>
        <d v="2025-10-06T14:15:00" u="1"/>
        <d v="2025-10-06T15:06:00" u="1"/>
        <d v="2025-10-08T15:05:00" u="1"/>
        <d v="2025-10-07T11:33:00" u="1"/>
        <d v="2025-10-07T11:39:00" u="1"/>
        <d v="2025-10-08T13:15:00" u="1"/>
        <d v="2025-10-07T08:54:00" u="1"/>
        <d v="2025-10-09T12:39:00" u="1"/>
        <d v="2025-10-10T13:24:00" u="1"/>
        <d v="2025-10-10T14:15:00" u="1"/>
        <d v="2025-10-13T13:53:00" u="1"/>
        <d v="2025-10-13T16:05:00" u="1"/>
        <d v="2025-10-13T14:24:00" u="1"/>
        <d v="2025-10-13T14:49:00" u="1"/>
        <d v="2025-10-13T09:55:00" u="1"/>
        <d v="2025-10-11T00:00:00" u="1"/>
        <d v="2025-10-12T00:00:00" u="1"/>
        <d v="2025-10-06T14:28:00" u="1"/>
        <d v="2025-10-06T14:31:00" u="1"/>
        <d v="2025-10-06T16:30:00" u="1"/>
        <d v="2025-10-13T12:34:00" u="1"/>
        <d v="2025-10-13T14:00:00" u="1"/>
        <d v="2025-10-03T16:03:00" u="1"/>
        <d v="2025-10-13T20:16:00" u="1"/>
        <d v="2025-10-13T18:49:00" u="1"/>
        <d v="2025-10-13T10:20:00" u="1"/>
        <d v="2025-10-13T14:02:00" u="1"/>
        <d v="2025-10-13T14:01:00" u="1"/>
        <d v="2025-10-13T10:04:00" u="1"/>
        <d v="2025-10-13T18:54:00" u="1"/>
        <d v="2025-10-13T06:57:00" u="1"/>
        <d v="2025-09-29T15:09:00" u="1"/>
        <d v="2025-10-06T09:36:00" u="1"/>
        <d v="2025-10-06T11:09:00" u="1"/>
        <d v="2025-10-14T00:09:00" u="1"/>
        <d v="2025-08-05T10:04:00" u="1"/>
        <d v="2025-10-13T17:23:00" u="1"/>
        <d v="2025-10-13T08:58:00" u="1"/>
        <d v="2025-10-13T10:29:00" u="1"/>
        <d v="2025-10-13T18:56:00" u="1"/>
        <d v="2025-10-13T18:58:00" u="1"/>
        <d v="2025-10-10T23:49:00" u="1"/>
        <d v="2025-10-13T18:23:00" u="1"/>
        <d v="2025-10-13T17:50:00" u="1"/>
        <d v="2025-10-13T19:08:00" u="1"/>
        <d v="2025-10-10T07:57:00" u="1"/>
        <d v="2025-10-10T08:37:00" u="1"/>
        <d v="2025-10-10T12:47:00" u="1"/>
        <d v="2025-10-10T12:48:00" u="1"/>
        <d v="2025-10-10T22:31:00" u="1"/>
        <d v="2025-10-11T11:01:00" u="1"/>
        <d v="2025-10-11T12:47:00" u="1"/>
        <d v="2025-10-11T13:27:00" u="1"/>
        <d v="2025-10-11T18:42:00" u="1"/>
        <d v="2025-10-11T19:44:00" u="1"/>
        <d v="2025-10-11T20:07:00" u="1"/>
        <d v="2025-10-11T23:14:00" u="1"/>
        <d v="2025-10-12T10:25:00" u="1"/>
        <d v="2025-10-12T10:59:00" u="1"/>
        <d v="2025-10-10T16:32:00" u="1"/>
        <d v="2025-10-12T21:00:00" u="1"/>
        <d v="2025-10-12T21:08:00" u="1"/>
        <d v="2025-10-12T22:25:00" u="1"/>
        <d v="2025-10-07T10:58:00" u="1"/>
        <d v="2025-10-09T10:05:00" u="1"/>
        <d v="2025-10-08T18:45:00" u="1"/>
        <d v="2025-10-07T17:58:00" u="1"/>
        <d v="2025-10-06T15:11:00" u="1"/>
        <d v="2025-10-06T12:01:00" u="1"/>
        <d v="2025-10-03T14:45:00" u="1"/>
        <d v="2025-10-10T09:09:00" u="1"/>
        <d v="2025-10-03T16:49:00" u="1"/>
        <d v="2025-10-03T18:08:00" u="1"/>
        <d v="2025-09-19T10:52:00" u="1"/>
        <d v="2025-10-10T17:11:00" u="1"/>
        <d v="2025-10-10T16:42:00" u="1"/>
        <d v="2025-10-10T16:41:00" u="1"/>
        <d v="2025-10-10T09:46:00" u="1"/>
        <d v="2025-09-16T14:57:00" u="1"/>
        <d v="2025-09-15T16:18:00" u="1"/>
        <d v="2025-09-15T16:08:00" u="1"/>
        <d v="2025-10-10T09:45:00" u="1"/>
        <d v="2025-10-09T18:44:00" u="1"/>
        <d v="2025-10-10T11:32:00" u="1"/>
        <d v="2025-10-10T21:47:00" u="1"/>
        <d v="2025-10-10T14:34:00" u="1"/>
        <d v="2025-10-11T02:09:19" u="1"/>
        <d v="2025-10-10T05:33:00" u="1"/>
        <d v="2025-10-10T07:14:00" u="1"/>
        <d v="2025-10-10T07:51:00" u="1"/>
        <d v="2025-10-11T01:19:00" u="1"/>
        <d v="2025-10-10T09:08:00" u="1"/>
        <d v="2025-10-10T09:12:00" u="1"/>
        <d v="2025-10-09T01:29:00" u="1"/>
        <d v="2025-10-09T01:36:00" u="1"/>
        <d v="2025-10-11T10:21:00" u="1"/>
        <d v="2025-10-12T10:50:00" u="1"/>
        <d v="2025-10-12T10:24:00" u="1"/>
        <d v="2025-10-10T02:41:00" u="1"/>
        <d v="2025-10-10T02:19:00" u="1"/>
        <d v="2025-10-10T03:06:00" u="1"/>
        <d v="2025-10-10T10:47:00" u="1"/>
        <d v="2025-10-09T06:09:00" u="1"/>
        <d v="2025-10-10T04:27:00" u="1"/>
        <d v="2025-10-10T03:46:00" u="1"/>
        <d v="2025-10-10T04:12:00" u="1"/>
        <d v="2025-10-09T03:32:00" u="1"/>
        <d v="2025-10-09T02:37:00" u="1"/>
        <d v="2025-10-09T11:20:00" u="1"/>
        <d v="2025-10-09T06:35:00" u="1"/>
        <d v="2025-10-09T07:40:00" u="1"/>
        <d v="2025-10-10T18:45:00" u="1"/>
        <d v="2025-10-07T19:58:00" u="1"/>
        <d v="2025-10-07T18:19:00" u="1"/>
        <d v="2025-10-08T19:33:00" u="1"/>
        <d v="2025-10-08T19:41:00" u="1"/>
        <d v="2025-10-06T11:07:00" u="1"/>
        <d v="2025-10-07T10:25:00" u="1"/>
        <d v="2025-10-07T10:33:00" u="1"/>
        <d v="2025-10-10T13:33:00" u="1"/>
        <d v="2025-10-08T13:21:00" u="1"/>
        <d v="2025-10-07T17:08:00" u="1"/>
        <d v="2025-10-07T17:02:00" u="1"/>
        <d v="2025-10-07T16:54:00" u="1"/>
        <d v="2025-10-03T13:21:00" u="1"/>
        <d v="2025-10-10T09:19:00" u="1"/>
        <d v="2025-10-09T14:11:00" u="1"/>
        <d v="2025-10-10T10:21:00" u="1"/>
        <d v="2025-10-08T14:33:00" u="1"/>
        <d v="2025-10-12T17:33:00" u="1"/>
        <d v="2025-10-10T12:23:00" u="1"/>
        <d v="2025-10-10T11:42:00" u="1"/>
        <d v="2025-10-10T08:00:00" u="1"/>
        <d v="2025-10-10T08:01:00" u="1"/>
        <d v="2025-10-12T19:47:00" u="1"/>
        <d v="2025-10-11T11:42:00" u="1"/>
        <d v="2025-10-09T17:00:00" u="1"/>
        <d v="2025-10-09T22:09:00" u="1"/>
        <d v="2025-10-10T12:41:00" u="1"/>
        <d v="2025-10-09T10:43:00" u="1"/>
        <d v="2025-10-10T12:54:00" u="1"/>
        <d v="2025-10-10T13:18:00" u="1"/>
        <d v="2025-10-10T08:39:00" u="1"/>
        <d v="2025-09-12T16:25:00" u="1"/>
        <d v="2025-10-06T23:56:00" u="1"/>
        <d v="2025-10-10T13:50:00" u="1"/>
        <d v="2025-10-03T17:25:00" u="1"/>
        <d v="2025-10-08T17:16:00" u="1"/>
        <d v="2025-10-05T17:01:00" u="1"/>
        <d v="2025-10-05T18:42:00" u="1"/>
        <d v="2025-10-10T07:38:00" u="1"/>
        <d v="2025-10-03T12:59:00" u="1"/>
        <d v="2025-10-06T17:08:00" u="1"/>
        <d v="2025-10-02T11:09:00" u="1"/>
        <d v="2025-10-10T15:08:00" u="1"/>
        <d v="2025-10-10T15:10:00" u="1"/>
        <d v="2025-10-10T07:34:00" u="1"/>
        <d v="2025-10-10T10:34:00" u="1"/>
        <d v="2025-10-10T19:23:00" u="1"/>
        <d v="2025-10-03T18:04:00" u="1"/>
        <d v="2025-10-03T19:34:00" u="1"/>
        <d v="2025-10-10T18:47:00" u="1"/>
        <d v="2025-10-10T16:07:00" u="1"/>
        <d v="2025-10-01T13:16:00" u="1"/>
        <d v="2025-10-10T18:39:00" u="1"/>
        <d v="2025-10-09T08:58:00" u="1"/>
        <d v="2025-09-26T14:23:00" u="1"/>
        <d v="2025-09-30T14:12:00" u="1"/>
        <d v="2025-10-03T19:15:00" u="1"/>
        <d v="2025-10-03T19:14:00" u="1"/>
        <d v="2025-10-07T08:58:00" u="1"/>
        <d v="2025-10-10T14:37:00" u="1"/>
        <d v="2025-10-10T23:48:00" u="1"/>
        <d v="2025-10-10T23:50:00" u="1"/>
        <d v="2025-10-10T08:48:00" u="1"/>
        <d v="2025-10-10T17:37:00" u="1"/>
        <d v="2025-10-10T16:02:00" u="1"/>
        <d v="2025-10-10T16:19:00" u="1"/>
        <d v="2025-10-09T16:23:00" u="1"/>
        <d v="2025-10-09T19:54:00" u="1"/>
        <d v="2025-10-08T08:52:00" u="1"/>
        <d v="2025-10-07T16:00:00" u="1"/>
        <d v="2025-10-09T18:03:00" u="1"/>
        <d v="2025-10-09T09:53:00" u="1"/>
        <d v="2025-10-09T12:15:00" u="1"/>
        <d v="2025-10-09T21:43:00" u="1"/>
        <d v="2025-10-09T16:09:00" u="1"/>
        <d v="2025-10-06T13:36:00" u="1"/>
        <d v="2025-10-07T13:46:00" u="1"/>
        <d v="2025-09-27T16:12:00" u="1"/>
        <d v="2025-10-09T09:34:00" u="1"/>
        <d v="2025-10-09T09:33:00" u="1"/>
        <d v="2025-10-09T14:54:00" u="1"/>
        <d v="2025-10-03T16:51:00" u="1"/>
        <d v="2025-09-29T12:41:00" u="1"/>
        <d v="2025-10-09T05:42:00" u="1"/>
        <d v="2025-10-09T10:50:00" u="1"/>
        <d v="2025-10-09T02:43:00" u="1"/>
        <d v="2025-10-09T04:43:00" u="1"/>
        <d v="2025-10-08T14:41:00" u="1"/>
        <d v="2025-10-09T09:29:00" u="1"/>
        <d v="2025-10-09T07:28:00" u="1"/>
        <d v="2025-10-07T12:52:00" u="1"/>
        <d v="2025-10-05T00:00:00" u="1"/>
        <d v="2025-09-26T16:20:00" u="1"/>
        <d v="2025-10-09T16:56:00" u="1"/>
        <d v="2025-10-09T16:58:00" u="1"/>
        <d v="2025-10-09T11:23:00" u="1"/>
        <d v="2025-10-09T09:54:00" u="1"/>
        <d v="2025-10-09T21:28:00" u="1"/>
        <d v="2025-10-09T16:26:00" u="1"/>
        <d v="2025-10-03T14:52:00" u="1"/>
        <d v="2025-10-07T06:32:00" u="1"/>
        <d v="2025-10-03T07:15:00" u="1"/>
        <d v="2025-10-08T15:26:00" u="1"/>
        <d v="2025-10-07T14:03:00" u="1"/>
        <d v="2025-10-02T15:29:00" u="1"/>
        <d v="2025-10-09T07:39:00" u="1"/>
        <d v="2025-10-09T15:10:00" u="1"/>
        <d v="2025-10-09T08:14:00" u="1"/>
        <d v="2025-10-09T18:10:00" u="1"/>
        <d v="2025-10-09T18:00:00" u="1"/>
        <d v="2025-10-09T15:19:00" u="1"/>
        <d v="2025-10-07T15:17:00" u="1"/>
        <d v="2025-10-08T16:30:00" u="1"/>
        <d v="2025-10-09T14:36:00" u="1"/>
        <d v="2025-10-09T12:58:00" u="1"/>
        <d v="2025-10-08T13:51:00" u="1"/>
        <d v="2025-10-08T13:18:00" u="1"/>
        <d v="2025-10-07T14:59:00" u="1"/>
        <d v="2025-10-09T14:53:00" u="1"/>
        <d v="2025-10-09T07:54:00" u="1"/>
        <d v="2025-09-15T15:37:00" u="1"/>
        <d v="2025-10-09T07:38:00" u="1"/>
        <d v="2025-10-06T06:48:00" u="1"/>
        <d v="2025-10-09T14:52:00" u="1"/>
        <d v="2025-10-09T10:33:00" u="1"/>
        <d v="2025-10-09T17:31:00" u="1"/>
        <d v="2025-10-09T15:50:00" u="1"/>
        <d v="2025-10-09T15:32:00" u="1"/>
        <d v="2025-09-22T14:50:00" u="1"/>
        <d v="2025-10-09T09:20:00" u="1"/>
        <d v="2025-10-07T12:48:00" u="1"/>
        <d v="2025-10-09T15:20:00" u="1"/>
        <d v="2025-10-09T15:01:00" u="1"/>
        <d v="2025-10-09T09:59:00" u="1"/>
        <d v="2025-10-08T11:04:00" u="1"/>
        <d v="2025-10-09T09:47:00" u="1"/>
        <d v="2025-10-09T18:46:00" u="1"/>
        <d v="2025-10-09T17:06:00" u="1"/>
        <d v="2025-10-03T10:40:00" u="1"/>
        <d v="2025-10-01T23:11:00" u="1"/>
        <d v="2025-10-09T08:18:00" u="1"/>
        <d v="2025-10-09T08:41:00" u="1"/>
        <d v="2025-10-09T12:00:00" u="1"/>
        <d v="2025-10-08T11:07:00" u="1"/>
        <d v="2025-10-09T23:57:00" u="1"/>
        <d v="2025-10-08T15:57:00" u="1"/>
        <d v="2025-10-08T17:02:00" u="1"/>
        <d v="2025-10-08T17:04:00" u="1"/>
        <d v="2025-10-08T14:47:00" u="1"/>
        <d v="2025-10-08T14:49:00" u="1"/>
        <d v="2025-10-08T18:02:00" u="1"/>
        <d v="2025-10-08T17:20:00" u="1"/>
        <d v="2025-10-08T12:46:00" u="1"/>
        <d v="2025-10-08T14:50:00" u="1"/>
        <d v="2025-10-08T15:09:00" u="1"/>
        <d v="2025-10-08T21:11:00" u="1"/>
        <d v="2025-10-08T21:12:00" u="1"/>
        <d v="2025-10-08T18:48:00" u="1"/>
        <d v="2025-10-08T08:41:00" u="1"/>
        <d v="2025-10-08T07:45:00" u="1"/>
        <d v="2025-10-08T14:51:00" u="1"/>
        <d v="2025-10-08T02:07:00" u="1"/>
        <d v="2025-10-08T10:03:00" u="1"/>
        <d v="2025-10-08T02:17:00" u="1"/>
        <d v="2025-10-08T02:18:00" u="1"/>
        <d v="2025-10-08T09:31:00" u="1"/>
        <d v="2025-10-08T09:36:00" u="1"/>
        <d v="2025-10-08T01:40:00" u="1"/>
        <d v="2025-10-08T12:00:00" u="1"/>
        <d v="2025-10-08T12:53:00" u="1"/>
        <d v="2025-10-08T10:10:00" u="1"/>
        <d v="2025-09-05T10:37:00" u="1"/>
        <d v="2025-10-08T03:37:00" u="1"/>
        <d v="2025-10-08T02:45:00" u="1"/>
        <d v="2025-10-08T04:43:00" u="1"/>
        <d v="2025-10-08T04:41:00" u="1"/>
        <d v="2025-10-08T04:39:00" u="1"/>
        <d v="2025-10-07T07:01:00" u="1"/>
        <d v="2025-10-08T05:32:00" u="1"/>
        <d v="2025-10-08T04:57:00" u="1"/>
        <d v="2025-10-08T03:43:00" u="1"/>
        <d v="2025-10-08T02:05:00" u="1"/>
        <d v="2025-10-08T02:11:00" u="1"/>
        <d v="2025-10-08T11:12:00" u="1"/>
        <d v="2025-10-08T07:05:00" u="1"/>
        <d v="2025-10-08T04:23:00" u="1"/>
        <d v="2025-10-08T02:06:00" u="1"/>
        <d v="2025-10-08T09:22:00" u="1"/>
        <d v="2025-10-08T09:41:00" u="1"/>
        <d v="2025-10-07T16:06:00" u="1"/>
        <d v="2025-10-08T10:05:00" u="1"/>
        <d v="2025-10-07T16:09:00" u="1"/>
        <d v="2025-10-06T10:53:00" u="1"/>
        <d v="2025-10-08T09:54:00" u="1"/>
        <d v="2025-10-08T11:15:00" u="1"/>
        <d v="2025-10-08T07:54:00" u="1"/>
        <d v="2025-10-08T19:59:00" u="1"/>
        <d v="2025-10-08T07:13:00" u="1"/>
        <d v="2025-10-07T01:58:00" u="1"/>
        <d v="2025-10-08T02:42:00" u="1"/>
        <d v="2025-10-08T09:29:00" u="1"/>
        <d v="2025-10-08T11:51:00" u="1"/>
        <d v="2025-10-07T07:29:00" u="1"/>
        <d v="2025-10-08T08:31:00" u="1"/>
        <d v="2025-10-06T17:12:00" u="1"/>
        <d v="2025-10-07T16:35:00" u="1"/>
        <d v="2025-10-07T17:18:00" u="1"/>
        <d v="2025-10-07T17:17:00" u="1"/>
        <d v="2025-10-07T14:34:00" u="1"/>
        <d v="2025-10-07T16:11:00" u="1"/>
        <d v="2025-10-08T09:24:00" u="1"/>
        <d v="2025-10-07T18:08:00" u="1"/>
        <d v="2025-10-08T14:23:00" u="1"/>
        <d v="2025-10-07T08:24:00" u="1"/>
        <d v="2025-10-08T16:16:00" u="1"/>
        <d v="2025-10-08T15:20:00" u="1"/>
        <d v="2025-10-08T13:47:00" u="1"/>
        <d v="2025-10-08T08:57:00" u="1"/>
        <d v="2025-10-07T20:53:00" u="1"/>
        <d v="2025-10-08T13:31:00" u="1"/>
        <d v="2025-10-08T10:45:00" u="1"/>
        <d v="2025-10-06T15:39:00" u="1"/>
        <d v="2025-10-07T16:04:00" u="1"/>
        <d v="2025-10-08T16:12:00" u="1"/>
        <d v="2025-10-06T16:47:00" u="1"/>
        <d v="2025-10-07T09:35:00" u="1"/>
        <d v="2025-10-08T08:25:00" u="1"/>
        <d v="2025-09-05T17:16:00" u="1"/>
        <d v="2025-10-07T12:01:00" u="1"/>
        <d v="2025-10-07T15:59:00" u="1"/>
        <d v="2025-10-07T14:45:00" u="1"/>
        <d v="2025-10-08T11:23:00" u="1"/>
        <d v="2025-10-08T09:23:00" u="1"/>
        <d v="2025-10-08T15:43:00" u="1"/>
        <d v="2025-10-08T14:34:00" u="1"/>
        <d v="2025-10-07T11:18:00" u="1"/>
        <d v="2025-10-07T09:53:00" u="1"/>
        <d v="2025-10-08T13:03:00" u="1"/>
        <d v="2025-10-08T09:08:00" u="1"/>
        <d v="2025-09-24T18:10:00" u="1"/>
        <d v="2025-10-07T17:57:00" u="1"/>
        <d v="2025-10-08T18:10:00" u="1"/>
        <d v="2025-10-08T14:46:00" u="1"/>
        <d v="2025-10-08T20:45:00" u="1"/>
        <d v="2025-10-03T17:03:00" u="1"/>
        <d v="2025-10-03T17:06:00" u="1"/>
        <d v="2025-10-03T17:11:00" u="1"/>
        <d v="2025-09-25T15:57:00" u="1"/>
        <d v="2025-09-25T16:00:00" u="1"/>
        <d v="2025-09-25T16:07:00" u="1"/>
        <d v="2025-09-25T16:09:00" u="1"/>
        <d v="2025-09-25T16:10:00" u="1"/>
        <d v="2025-09-25T16:12:00" u="1"/>
        <d v="2025-09-25T16:08:00" u="1"/>
        <d v="2025-09-29T19:34:00" u="1"/>
        <d v="2025-09-29T19:08:00" u="1"/>
        <d v="2025-09-29T19:06:00" u="1"/>
        <d v="2025-09-29T19:10:00" u="1"/>
        <d v="2025-09-29T19:32:00" u="1"/>
        <d v="2025-09-29T19:30:00" u="1"/>
        <d v="2025-09-29T19:21:00" u="1"/>
        <d v="2025-09-29T19:19:00" u="1"/>
        <d v="2025-09-29T15:48:00" u="1"/>
        <d v="2025-09-29T15:47:00" u="1"/>
        <d v="2025-09-29T15:46:00" u="1"/>
        <d v="2025-10-07T11:32:00" u="1"/>
        <d v="2025-10-07T11:31:00" u="1"/>
        <d v="2025-10-07T11:30:00" u="1"/>
        <d v="2025-10-08T13:05:00" u="1"/>
        <d v="2025-10-08T20:34:00" u="1"/>
        <d v="2025-10-07T16:55:00" u="1"/>
        <d v="2025-10-07T17:41:00" u="1"/>
        <d v="2025-10-07T17:11:00" u="1"/>
        <d v="2025-10-07T10:08:00" u="1"/>
        <d v="2025-10-07T21:17:00" u="1"/>
        <d v="2025-10-07T23:47:00" u="1"/>
        <d v="2025-10-07T16:34:00" u="1"/>
        <d v="2025-04-07T12:07:00" u="1"/>
        <d v="2025-10-06T11:25:00" u="1"/>
        <d v="2025-10-07T09:03:00" u="1"/>
        <d v="2025-10-07T09:12:00" u="1"/>
        <d v="2025-09-17T16:53:00" u="1"/>
        <d v="2025-09-16T09:34:00" u="1"/>
        <d v="2025-10-07T08:50:00" u="1"/>
        <d v="2025-10-07T08:48:00" u="1"/>
        <d v="2025-10-01T14:30:00" u="1"/>
        <d v="2025-10-07T05:39:00" u="1"/>
        <d v="2025-10-07T06:03:00" u="1"/>
        <d v="2025-10-06T10:44:00" u="1"/>
        <d v="2025-10-07T04:11:00" u="1"/>
        <d v="2025-10-07T07:10:00" u="1"/>
        <d v="2025-10-07T06:54:00" u="1"/>
        <d v="2025-10-07T03:00:00" u="1"/>
        <d v="2025-10-07T07:54:00" u="1"/>
        <d v="2025-10-07T06:30:00" u="1"/>
        <d v="2025-09-09T14:13:00" u="1"/>
        <d v="2025-10-06T07:54:00" u="1"/>
        <d v="2025-10-04T10:16:00" u="1"/>
        <d v="2025-10-07T16:20:00" u="1"/>
        <d v="2025-10-06T18:14:00" u="1"/>
        <d v="2025-10-06T15:13:00" u="1"/>
        <d v="2025-10-06T14:00:00" u="1"/>
        <d v="2025-10-06T12:59:00" u="1"/>
        <d v="2025-09-17T10:30:00" u="1"/>
        <d v="2025-10-06T12:13:00" u="1"/>
        <d v="2025-10-06T12:16:00" u="1"/>
        <d v="2025-10-06T12:28:00" u="1"/>
        <d v="2025-10-03T12:13:00" u="1"/>
        <d v="2025-10-01T15:15:00" u="1"/>
        <d v="2025-10-01T15:18:00" u="1"/>
        <d v="2025-10-01T15:19:00" u="1"/>
        <d v="2025-10-01T15:22:00" u="1"/>
        <d v="2025-10-01T15:24:00" u="1"/>
        <d v="2025-10-01T15:11:00" u="1"/>
        <d v="2025-09-19T17:39:00" u="1"/>
        <d v="2025-09-19T17:42:00" u="1"/>
        <d v="2025-09-19T09:49:00" u="1"/>
        <d v="2025-09-19T10:01:00" u="1"/>
        <d v="2025-09-19T07:29:00" u="1"/>
        <d v="2025-09-16T09:31:00" u="1"/>
        <d v="2025-10-07T11:01:00" u="1"/>
        <d v="2025-10-07T07:08:00" u="1"/>
        <d v="2025-10-07T06:45:00" u="1"/>
        <d v="2025-09-29T12:06:00" u="1"/>
        <d v="2025-09-09T17:55:00" u="1"/>
        <d v="2025-09-17T16:13:00" u="1"/>
        <d v="2025-10-02T09:25:00" u="1"/>
        <d v="2025-09-10T10:06:00" u="1"/>
        <d v="2025-09-08T10:30:00" u="1"/>
        <d v="2025-09-30T18:08:00" u="1"/>
        <d v="2025-09-19T18:02:00" u="1"/>
        <d v="2025-10-07T13:22:00" u="1"/>
        <d v="2025-10-07T12:02:00" u="1"/>
        <d v="2025-10-07T17:22:00" u="1"/>
        <d v="2025-10-07T08:32:00" u="1"/>
        <d v="2025-10-07T10:36:00" u="1"/>
        <d v="2025-10-07T17:42:00" u="1"/>
        <d v="2025-10-07T12:38:00" u="1"/>
        <d v="2025-10-07T12:43:00" u="1"/>
        <d v="2025-10-07T12:53:00" u="1"/>
        <d v="2025-10-07T12:57:00" u="1"/>
        <d v="2025-10-06T09:35:00" u="1"/>
        <d v="2025-10-03T17:31:00" u="1"/>
        <d v="2025-09-05T11:19:00" u="1"/>
        <d v="2025-09-05T11:21:00" u="1"/>
        <d v="2025-09-29T16:18:00" u="1"/>
        <d v="2025-09-16T00:00:00" u="1"/>
        <d v="2025-10-07T15:08:00" u="1"/>
        <d v="2025-10-06T19:05:00" u="1"/>
        <d v="2025-10-06T19:13:00" u="1"/>
        <d v="2025-10-07T16:39:00" u="1"/>
        <d v="2025-10-07T11:23:00" u="1"/>
        <d v="2025-10-07T13:36:00" u="1"/>
        <d v="2025-10-07T13:32:00" u="1"/>
        <d v="2025-09-30T14:02:00" u="1"/>
        <d v="2025-09-29T18:27:00" u="1"/>
        <d v="2025-09-30T11:43:00" u="1"/>
        <d v="2025-09-26T15:47:00" u="1"/>
        <d v="2025-10-06T10:17:00" u="1"/>
        <d v="2025-10-06T09:19:00" u="1"/>
        <d v="2025-09-24T11:58:00" u="1"/>
        <d v="2025-09-11T17:08:00" u="1"/>
        <d v="2025-09-05T17:11:00" u="1"/>
        <d v="2025-09-24T12:23:00" u="1"/>
        <d v="2025-10-02T10:29:00" u="1"/>
        <d v="2025-10-01T15:30:00" u="1"/>
        <d v="2025-10-02T17:33:00" u="1"/>
        <d v="2025-10-03T12:44:00" u="1"/>
        <d v="2025-10-02T13:20:00" u="1"/>
        <d v="2025-10-02T07:07:00" u="1"/>
        <d v="2025-10-02T08:37:00" u="1"/>
        <d v="2025-10-02T07:31:00" u="1"/>
        <d v="2025-10-04T14:17:00" u="1"/>
        <d v="2025-10-03T16:47:00" u="1"/>
        <d v="2025-10-03T17:13:00" u="1"/>
        <d v="2025-10-03T14:05:00" u="1"/>
        <d v="2025-10-03T11:38:00" u="1"/>
        <d v="2025-10-03T18:06:00" u="1"/>
        <d v="2025-10-03T17:57:00" u="1"/>
        <d v="2025-10-03T18:15:00" u="1"/>
        <d v="2025-10-05T09:53:00" u="1"/>
        <d v="2025-10-05T17:47:00" u="1"/>
        <d v="2025-10-04T21:23:00" u="1"/>
        <d v="2025-10-04T21:30:00" u="1"/>
        <d v="2025-10-04T13:21:00" u="1"/>
        <d v="2025-10-05T19:48:00" u="1"/>
        <d v="2025-10-05T20:06:00" u="1"/>
        <d v="2025-10-02T15:51:00" u="1"/>
        <d v="2025-09-22T09:47:00" u="1"/>
        <d v="2025-09-05T00:00:00" u="1"/>
        <d v="2025-10-05T17:44:00" u="1"/>
        <d v="2025-10-03T08:48:00" u="1"/>
        <d v="2025-10-03T11:46:00" u="1"/>
        <d v="2025-09-29T08:25:00" u="1"/>
        <d v="2025-10-01T10:01:00" u="1"/>
        <d v="2025-10-03T15:58:00" u="1"/>
        <d v="2025-09-16T13:58:00" u="1"/>
        <d v="2025-10-01T13:25:00" u="1"/>
        <d v="2025-10-02T10:24:00" u="1"/>
        <d v="2025-10-01T09:42:00" u="1"/>
        <d v="2025-09-29T10:25:00" u="1"/>
        <d v="2025-09-30T09:39:00" u="1"/>
        <d v="2025-09-18T08:36:00" u="1"/>
        <d v="2025-09-24T09:15:00" u="1"/>
        <d v="2025-10-04T18:31:00" u="1"/>
        <d v="2025-10-03T09:26:00" u="1"/>
        <d v="2025-10-03T09:03:00" u="1"/>
        <d v="2025-10-03T01:26:00" u="1"/>
        <d v="2025-10-04T04:13:00" u="1"/>
        <d v="2025-10-03T01:18:00" u="1"/>
        <d v="2025-10-04T10:14:00" u="1"/>
        <d v="2025-10-03T05:05:00" u="1"/>
        <d v="2025-10-03T05:26:00" u="1"/>
        <d v="2025-10-03T06:04:00" u="1"/>
        <d v="2025-10-03T07:36:00" u="1"/>
        <d v="2025-10-03T08:00:00" u="1"/>
        <d v="2025-10-03T08:31:00" u="1"/>
        <d v="2025-10-03T12:03:00" u="1"/>
        <d v="2025-10-02T05:00:00" u="1"/>
        <d v="2025-10-04T04:11:00" u="1"/>
        <d v="2025-10-04T04:59:00" u="1"/>
        <d v="2025-10-03T05:57:00" u="1"/>
        <d v="2025-10-03T02:01:00" u="1"/>
        <d v="2025-10-04T08:34:00" u="1"/>
        <d v="2025-10-04T02:24:00" u="1"/>
        <d v="2025-10-04T03:32:00" u="1"/>
        <d v="2025-10-05T02:26:00" u="1"/>
        <d v="2025-10-03T10:10:00" u="1"/>
        <d v="2025-10-03T02:50:00" u="1"/>
        <d v="2025-10-03T03:06:00" u="1"/>
        <d v="2025-10-03T16:45:00" u="1"/>
        <d v="2025-10-03T04:30:00" u="1"/>
        <d v="2025-10-03T04:07:00" u="1"/>
        <d v="2025-10-03T10:33:00" u="1"/>
        <d v="2025-10-03T10:46:00" u="1"/>
        <d v="2025-10-02T10:09:00" u="1"/>
        <d v="2025-10-02T10:04:00" u="1"/>
        <d v="2025-10-02T09:38:00" u="1"/>
        <d v="2025-10-02T10:31:00" u="1"/>
        <d v="2025-10-02T10:25:00" u="1"/>
        <d v="2025-10-02T09:50:00" u="1"/>
        <d v="2025-10-02T10:14:00" u="1"/>
        <d v="2025-10-03T01:13:00" u="1"/>
        <d v="2025-10-03T03:30:00" u="1"/>
        <d v="2025-10-03T02:16:00" u="1"/>
        <d v="2025-09-29T13:33:00" u="1"/>
        <d v="2025-09-30T07:55:00" u="1"/>
        <d v="2025-06-30T12:48:00" u="1"/>
        <d v="2025-09-18T17:30:00" u="1"/>
        <d v="2025-09-18T17:33:00" u="1"/>
        <d v="2025-10-03T15:49:00" u="1"/>
        <d v="2025-09-22T00:00:00" u="1"/>
        <d v="2025-09-25T17:35:00" u="1"/>
        <d v="2025-09-29T10:03:00" u="1"/>
        <d v="2025-10-02T16:10:00" u="1"/>
        <d v="2025-10-01T17:26:00" u="1"/>
        <d v="2025-09-29T09:49:00" u="1"/>
        <d v="2025-10-03T14:58:00" u="1"/>
        <d v="2025-10-03T14:54:00" u="1"/>
        <d v="2025-10-03T17:09:00" u="1"/>
        <d v="2025-10-02T14:23:00" u="1"/>
        <d v="2025-09-26T15:22:00" u="1"/>
        <d v="2025-10-03T22:13:00" u="1"/>
        <d v="2025-10-03T13:24:00" u="1"/>
        <d v="2025-10-03T12:40:00" u="1"/>
        <d v="2025-10-03T16:09:00" u="1"/>
        <d v="2025-10-04T11:58:00" u="1"/>
        <d v="2025-09-16T17:25:00" u="1"/>
        <d v="2025-10-03T12:51:00" u="1"/>
        <d v="2025-10-03T16:42:00" u="1"/>
        <d v="2025-09-17T18:28:00" u="1"/>
        <d v="2025-09-26T15:13:00" u="1"/>
        <d v="2025-09-24T15:18:00" u="1"/>
        <d v="2025-10-01T10:53:00" u="1"/>
        <d v="2025-10-03T17:37:00" u="1"/>
        <d v="2025-10-05T18:21:00" u="1"/>
        <d v="2025-09-17T18:26:00" u="1"/>
        <d v="2025-09-25T14:59:00" u="1"/>
        <d v="2025-09-25T11:20:00" u="1"/>
        <d v="2025-09-26T15:52:00" u="1"/>
        <d v="2025-10-03T13:05:00" u="1"/>
        <d v="2025-10-03T12:57:00" u="1"/>
        <d v="2025-10-03T14:31:00" u="1"/>
        <d v="2025-09-29T07:34:00" u="1"/>
        <d v="2025-10-01T06:17:00" u="1"/>
        <d v="2025-09-29T15:25:00" u="1"/>
        <d v="2025-10-03T14:09:00" u="1"/>
        <d v="2025-10-03T14:13:00" u="1"/>
        <d v="2025-10-03T08:50:00" u="1"/>
        <d v="2025-10-01T06:51:00" u="1"/>
        <d v="2025-10-02T14:58:00" u="1"/>
        <d v="2025-09-02T12:35:00" u="1"/>
        <d v="2025-09-17T12:37:00" u="1"/>
        <d v="2025-09-17T12:33:00" u="1"/>
        <d v="2025-09-17T13:37:00" u="1"/>
        <d v="2025-09-17T13:55:00" u="1"/>
        <d v="2025-10-02T21:12:00" u="1"/>
        <d v="2025-10-03T09:47:00" u="1"/>
        <d v="2025-10-03T10:27:00" u="1"/>
        <d v="2025-10-03T10:02:00" u="1"/>
        <d v="2025-10-03T17:04:00" u="1"/>
        <d v="2025-09-22T11:54:00" u="1"/>
        <d v="2025-09-29T17:22:00" u="1"/>
        <d v="2025-02-20T16:33:00" u="1"/>
        <d v="2025-09-22T10:03:00" u="1"/>
        <d v="2025-10-02T16:00:00" u="1"/>
        <d v="2025-08-14T10:04:00" u="1"/>
        <d v="2025-09-26T14:48:00" u="1"/>
        <d v="2025-09-26T14:45:00" u="1"/>
        <d v="2025-09-26T14:43:00" u="1"/>
        <d v="2025-09-26T14:58:00" u="1"/>
        <d v="2025-09-26T14:52:00" u="1"/>
        <d v="2025-09-26T14:55:00" u="1"/>
        <d v="2025-09-26T14:40:00" u="1"/>
        <d v="2025-10-02T10:12:00" u="1"/>
        <d v="2025-09-22T15:03:00" u="1"/>
        <d v="2025-09-22T10:12:00" u="1"/>
        <d v="2025-10-01T17:15:00" u="1"/>
        <d v="2025-10-01T10:46:00" u="1"/>
        <d v="2025-10-03T11:35:00" u="1"/>
        <d v="2025-10-03T09:17:00" u="1"/>
        <d v="2025-10-03T10:50:00" u="1"/>
        <d v="2025-10-03T13:00:00" u="1"/>
        <d v="2025-10-03T14:00:00" u="1"/>
        <d v="2025-10-03T17:10:00" u="1"/>
        <d v="2025-10-03T16:07:00" u="1"/>
        <d v="2025-10-01T19:15:00" u="1"/>
        <d v="2025-10-03T16:13:00" u="1"/>
        <d v="2025-10-03T18:45:00" u="1"/>
        <d v="2025-10-03T18:35:00" u="1"/>
        <d v="2025-09-29T07:14:00" u="1"/>
        <d v="2025-10-03T16:34:00" u="1"/>
        <d v="2025-09-09T12:38:00" u="1"/>
        <d v="2025-10-03T15:47:00" u="1"/>
        <d v="2025-10-02T12:33:00" u="1"/>
        <d v="2025-10-03T11:04:00" u="1"/>
        <d v="2025-10-02T08:58:00" u="1"/>
        <d v="2025-09-03T19:38:00" u="1"/>
        <d v="2025-10-03T15:45:00" u="1"/>
        <d v="2025-10-03T14:41:00" u="1"/>
        <d v="2025-09-25T09:10:00" u="1"/>
        <d v="2025-09-30T09:27:00" u="1"/>
        <d v="2025-10-03T11:24:00" u="1"/>
        <d v="2025-09-09T20:02:00" u="1"/>
        <d v="2025-10-03T11:06:00" u="1"/>
        <d v="2025-09-19T17:37:00" u="1"/>
        <d v="2025-10-03T18:52:00" u="1"/>
        <d v="2025-09-26T11:28:00" u="1"/>
        <d v="2025-10-03T16:40:00" u="1"/>
        <d v="2025-10-03T16:32:00" u="1"/>
        <d v="2025-10-04T14:56:00" u="1"/>
        <d v="2025-10-02T13:10:00" u="1"/>
        <d v="2025-10-03T15:56:00" u="1"/>
        <d v="2025-10-04T16:10:00" u="1"/>
        <d v="2025-09-30T12:02:00" u="1"/>
        <d v="2025-10-01T16:16:00" u="1"/>
        <d v="2025-09-29T11:59:00" u="1"/>
        <d v="2025-09-24T19:31:00" u="1"/>
        <d v="2025-09-29T11:01:00" u="1"/>
        <d v="2025-09-29T11:12:00" u="1"/>
        <d v="2025-09-25T09:37:00" u="1"/>
        <d v="2025-09-22T08:16:00" u="1"/>
        <d v="2025-09-18T13:22:00" u="1"/>
        <d v="2025-09-30T09:05:00" u="1"/>
        <d v="2025-10-03T12:00:00" u="1"/>
        <d v="2025-10-01T15:23:00" u="1"/>
        <d v="2025-10-02T11:31:00" u="1"/>
        <d v="2025-10-02T11:35:00" u="1"/>
        <d v="2025-10-02T13:59:00" u="1"/>
        <d v="2025-09-30T11:42:00" u="1"/>
        <d v="2025-09-30T09:03:00" u="1"/>
        <d v="2025-10-02T08:29:00" u="1"/>
        <d v="2025-09-25T16:31:00" u="1"/>
        <d v="2025-09-30T08:45:00" u="1"/>
        <d v="2025-09-30T18:02:00" u="1"/>
        <d v="2025-10-03T15:13:00" u="1"/>
        <d v="2025-10-03T15:51:00" u="1"/>
        <d v="2025-10-01T18:22:00" u="1"/>
        <d v="2025-10-03T12:24:00" u="1"/>
        <d v="2025-10-03T12:41:00" u="1"/>
        <d v="2025-10-01T15:46:00" u="1"/>
        <d v="2025-09-30T13:16:00" u="1"/>
        <d v="2025-09-29T12:10:00" u="1"/>
        <d v="2025-09-24T11:17:00" u="1"/>
        <d v="2025-10-01T22:38:00" u="1"/>
        <d v="2025-10-01T07:09:00" u="1"/>
        <d v="2025-10-01T07:10:00" u="1"/>
        <d v="2025-09-30T08:40:00" u="1"/>
        <d v="2025-09-18T08:16:00" u="1"/>
        <d v="2025-10-01T15:39:00" u="1"/>
        <d v="2025-10-01T15:33:00" u="1"/>
        <d v="2025-09-25T08:51:00" u="1"/>
        <d v="2025-08-29T07:29:00" u="1"/>
        <d v="2025-09-19T21:19:00" u="1"/>
        <d v="2025-09-24T10:00:00" u="1"/>
        <d v="2025-10-01T08:49:00" u="1"/>
        <d v="2025-09-17T11:31:00" u="1"/>
        <d v="2025-09-30T10:11:00" u="1"/>
        <d v="2025-10-01T08:00:00" u="1"/>
        <d v="2025-10-01T15:55:00" u="1"/>
        <d v="2025-10-01T10:04:00" u="1"/>
        <d v="2025-10-01T04:16:00" u="1"/>
        <d v="2025-10-01T04:52:00" u="1"/>
        <d v="2025-10-01T05:16:00" u="1"/>
        <d v="2025-10-01T18:14:00" u="1"/>
        <d v="2025-10-01T01:44:00" u="1"/>
        <d v="2025-10-01T02:36:00" u="1"/>
        <d v="2025-10-01T02:19:00" u="1"/>
        <d v="2025-10-01T09:17:00" u="1"/>
        <d v="2025-09-25T03:50:00" u="1"/>
        <d v="2025-09-30T17:56:00" u="1"/>
        <d v="2025-09-30T17:49:00" u="1"/>
        <d v="2025-09-02T16:08:00" u="1"/>
        <d v="2025-09-17T09:11:00" u="1"/>
        <d v="2025-09-15T06:52:00" u="1"/>
        <d v="2025-09-25T15:47:00" u="1"/>
        <d v="2025-09-23T10:09:00" u="1"/>
        <d v="2025-09-25T11:10:00" u="1"/>
        <d v="2025-09-26T11:00:00" u="1"/>
        <d v="2025-10-01T13:14:00" u="1"/>
        <d v="2025-09-30T20:15:00" u="1"/>
        <d v="2025-09-26T13:31:00" u="1"/>
        <d v="2025-09-26T13:28:00" u="1"/>
        <d v="2025-10-01T10:12:00" u="1"/>
        <d v="2025-09-17T12:26:00" u="1"/>
        <d v="2025-10-01T08:22:00" u="1"/>
        <d v="2025-10-01T18:45:00" u="1"/>
        <d v="2025-09-12T00:00:00" u="1"/>
        <d v="2025-09-04T00:00:00" u="1"/>
        <d v="2025-09-17T00:00:00" u="1"/>
        <d v="2025-09-30T00:00:00" u="1"/>
        <d v="2025-10-01T17:09:00" u="1"/>
        <d v="2025-09-09T20:03:00" u="1"/>
        <d v="2025-09-22T15:16:00" u="1"/>
        <d v="2025-10-01T13:22:00" u="1"/>
        <d v="2025-09-17T19:16:00" u="1"/>
        <d v="2025-09-23T14:52:00" u="1"/>
        <d v="2025-10-01T16:52:00" u="1"/>
        <d v="2025-10-01T16:55:00" u="1"/>
        <d v="2025-10-01T14:55:00" u="1"/>
        <d v="2025-09-11T08:36:00" u="1"/>
        <d v="2025-09-11T09:49:00" u="1"/>
        <d v="2025-09-11T12:18:00" u="1"/>
        <d v="2025-09-11T13:18:00" u="1"/>
        <d v="2025-09-30T16:20:00" u="1"/>
        <d v="2025-10-01T15:07:00" u="1"/>
        <d v="2025-09-17T17:12:00" u="1"/>
        <d v="2025-09-16T10:43:00" u="1"/>
        <d v="2025-09-12T09:43:00" u="1"/>
        <d v="2025-09-30T11:29:00" u="1"/>
        <d v="2025-09-11T17:03:00" u="1"/>
        <d v="2025-10-01T12:14:00" u="1"/>
        <d v="2025-09-30T17:40:00" u="1"/>
        <d v="2025-09-12T18:02:00" u="1"/>
        <d v="2025-09-30T17:27:00" u="1"/>
        <d v="2025-10-01T10:35:00" u="1"/>
        <d v="2025-10-01T11:29:00" u="1"/>
        <d v="2025-10-01T11:23:00" u="1"/>
        <d v="2025-10-01T20:00:00" u="1"/>
        <d v="2025-10-01T18:35:00" u="1"/>
        <d v="2025-10-01T10:34:00" u="1"/>
        <d v="2025-10-01T10:08:00" u="1"/>
        <d v="2025-09-30T10:10:00" u="1"/>
        <d v="2025-09-30T16:56:00" u="1"/>
        <d v="2025-09-29T14:35:00" u="1"/>
        <d v="2025-09-18T16:47:00" u="1"/>
        <d v="2025-09-15T17:53:00" u="1"/>
        <d v="2025-09-29T18:24:00" u="1"/>
        <d v="2025-09-29T18:25:00" u="1"/>
        <d v="2025-09-29T18:22:00" u="1"/>
        <d v="2025-09-29T18:23:00" u="1"/>
        <d v="2025-09-30T14:34:00" u="1"/>
        <d v="2025-09-30T14:31:00" u="1"/>
        <d v="2025-09-26T12:55:00" u="1"/>
        <d v="2025-09-26T12:52:00" u="1"/>
        <d v="2025-09-26T12:58:00" u="1"/>
        <d v="2025-09-29T14:38:00" u="1"/>
        <d v="2025-09-29T14:36:00" u="1"/>
        <d v="2025-09-29T14:39:00" u="1"/>
        <d v="2025-09-29T14:40:00" u="1"/>
        <d v="2025-09-29T16:26:00" u="1"/>
        <d v="2025-09-30T16:01:00" u="1"/>
        <d v="2025-09-30T17:37:00" u="1"/>
        <d v="2025-10-01T13:32:00" u="1"/>
        <d v="2025-10-01T13:39:00" u="1"/>
        <d v="2025-10-01T14:22:00" u="1"/>
        <d v="2025-10-01T10:06:00" u="1"/>
        <d v="2025-09-18T00:00:00" u="1"/>
        <d v="2025-09-26T14:49:00" u="1"/>
        <d v="2025-09-08T16:09:00" u="1"/>
        <d v="2025-09-21T00:00:00" u="1"/>
        <d v="2025-09-23T00:00:00" u="1"/>
        <d v="2025-09-30T17:12:00" u="1"/>
        <d v="2025-10-01T11:03:00" u="1"/>
        <d v="2025-09-30T19:06:00" u="1"/>
        <d v="2025-09-30T19:58:00" u="1"/>
        <d v="2025-10-01T12:17:00" u="1"/>
        <d v="2025-10-01T13:37:00" u="1"/>
        <d v="2025-10-01T12:22:00" u="1"/>
        <d v="2025-10-01T14:02:00" u="1"/>
        <d v="2025-09-25T08:03:00" u="1"/>
        <d v="2025-09-18T13:38:00" u="1"/>
        <d v="2025-09-12T09:33:00" u="1"/>
        <d v="2025-08-20T13:39:00" u="1"/>
        <d v="2025-09-15T07:49:00" u="1"/>
        <d v="2025-09-03T14:00:00" u="1"/>
        <d v="2025-09-11T16:07:00" u="1"/>
        <d v="2025-09-11T14:05:00" u="1"/>
        <d v="2025-09-03T17:17:00" u="1"/>
        <d v="2025-09-02T21:19:00" u="1"/>
        <d v="2025-09-12T09:17:00" u="1"/>
        <d v="2025-09-12T12:09:00" u="1"/>
        <d v="2025-09-11T08:51:00" u="1"/>
        <d v="2025-09-11T07:25:00" u="1"/>
        <d v="2025-09-11T12:34:00" u="1"/>
        <d v="2025-09-09T13:46:00" u="1"/>
        <d v="2025-09-11T09:47:00" u="1"/>
        <d v="2025-09-22T10:26:00" u="1"/>
        <d v="2025-09-18T04:45:00" u="1"/>
        <d v="2025-09-19T08:42:00" u="1"/>
        <d v="2025-09-12T05:19:00" u="1"/>
        <d v="2025-09-12T09:45:00" u="1"/>
        <d v="2025-09-18T09:11:00" u="1"/>
        <d v="2025-09-18T12:54:00" u="1"/>
        <d v="2025-09-15T11:49:00" u="1"/>
        <d v="2025-09-10T08:00:00" u="1"/>
        <d v="2025-09-15T14:01:00" u="1"/>
        <d v="2025-09-16T11:59:00" u="1"/>
        <d v="2025-09-16T10:33:00" u="1"/>
        <d v="2025-09-24T16:41:00" u="1"/>
        <d v="2025-09-16T09:40:00" u="1"/>
        <d v="2025-09-29T10:51:00" u="1"/>
        <d v="2025-09-29T15:26:00" u="1"/>
        <d v="2025-10-01T09:51:00" u="1"/>
        <d v="2025-09-30T14:42:00" u="1"/>
        <d v="2025-09-30T15:11:00" u="1"/>
        <d v="2025-10-01T08:32:00" u="1"/>
        <d v="2025-09-22T20:57:00" u="1"/>
        <d v="2025-09-26T14:34:00" u="1"/>
        <d v="2025-09-26T13:12:00" u="1"/>
        <d v="2025-09-12T11:06:00" u="1"/>
        <d v="2025-09-30T11:30:00" u="1"/>
        <d v="2025-09-30T11:06:00" u="1"/>
        <d v="2025-09-30T11:08:00" u="1"/>
        <d v="2025-09-30T11:10:00" u="1"/>
        <d v="2025-09-30T11:11:00" u="1"/>
        <d v="2025-09-30T10:59:00" u="1"/>
        <d v="2024-12-23T10:17:00" u="1"/>
        <d v="2025-09-22T15:06:00" u="1"/>
        <d v="2025-09-30T08:32:00" u="1"/>
        <d v="2025-10-01T15:51:00" u="1"/>
        <d v="2025-10-01T09:45:00" u="1"/>
        <d v="2025-10-01T12:38:00" u="1"/>
        <d v="2025-09-22T18:56:00" u="1"/>
        <d v="2025-10-01T14:28:00" u="1"/>
        <d v="2025-10-01T18:32:00" u="1"/>
        <d v="2025-09-22T16:47:00" u="1"/>
        <d v="2025-10-01T12:12:00" u="1"/>
        <d v="2025-09-24T13:09:00" u="1"/>
        <d v="2025-09-29T18:04:00" u="1"/>
        <d v="2025-09-29T18:07:00" u="1"/>
        <d v="2025-10-01T14:38:00" u="1"/>
        <d v="2025-10-01T12:11:00" u="1"/>
        <d v="2025-10-01T18:00:00" u="1"/>
        <d v="2025-10-01T17:38:00" u="1"/>
        <d v="2025-10-01T17:46:00" u="1"/>
        <d v="2025-10-01T17:56:00" u="1"/>
        <d v="2025-10-01T09:32:00" u="1"/>
        <d v="2025-08-11T19:00:00" u="1"/>
        <d v="2025-09-24T13:17:00" u="1"/>
        <d v="2025-09-30T12:16:00" u="1"/>
        <d v="2025-09-30T16:08:00" u="1"/>
        <d v="2025-09-05T13:51:00" u="1"/>
        <d v="2025-10-01T12:15:00" u="1"/>
        <d v="2025-10-01T11:54:00" u="1"/>
        <d v="2025-09-30T11:50:00" u="1"/>
        <d v="2025-09-17T16:02:00" u="1"/>
        <d v="2025-09-29T15:16:00" u="1"/>
        <d v="2025-09-30T13:48:00" u="1"/>
        <d v="2025-09-30T13:53:00" u="1"/>
        <d v="2025-09-30T22:12:00" u="1"/>
        <d v="2025-09-30T15:35:00" u="1"/>
        <d v="2025-09-30T15:44:00" u="1"/>
        <d v="2025-09-30T16:59:00" u="1"/>
        <d v="2025-09-30T22:38:00" u="1"/>
        <d v="2025-09-30T09:18:00" u="1"/>
        <d v="2025-09-29T13:15:00" u="1"/>
        <d v="2025-09-10T16:28:00" u="1"/>
        <d v="2025-09-30T15:55:00" u="1"/>
        <d v="2025-09-30T10:45:00" u="1"/>
        <d v="2025-09-29T02:37:00" u="1"/>
        <d v="2025-09-30T12:05:00" u="1"/>
        <d v="2025-09-30T11:04:00" u="1"/>
        <d v="2025-09-30T01:57:00" u="1"/>
        <d v="2025-09-30T11:24:00" u="1"/>
        <d v="2025-09-30T01:16:00" u="1"/>
        <d v="2025-09-30T01:39:00" u="1"/>
        <d v="2025-09-30T06:48:00" u="1"/>
        <d v="2025-09-30T08:08:00" u="1"/>
        <d v="2025-09-30T05:50:00" u="1"/>
        <d v="2025-09-30T03:59:00" u="1"/>
        <d v="2025-09-30T02:57:00" u="1"/>
        <d v="2025-09-30T05:21:00" u="1"/>
        <d v="2025-09-30T03:50:00" u="1"/>
        <d v="2025-09-30T05:17:00" u="1"/>
        <d v="2025-09-30T04:37:00" u="1"/>
        <d v="2025-09-30T02:41:00" u="1"/>
        <d v="2025-09-30T07:57:00" u="1"/>
        <d v="2025-09-30T04:54:00" u="1"/>
        <d v="2025-09-30T03:54:00" u="1"/>
        <d v="2025-09-29T10:23:00" u="1"/>
        <d v="2025-09-30T09:49:00" u="1"/>
        <d v="2025-09-30T10:04:00" u="1"/>
        <d v="2025-09-22T12:11:00" u="1"/>
        <d v="2025-09-11T11:43:00" u="1"/>
        <d v="2025-09-30T10:26:00" u="1"/>
        <d v="2025-09-30T10:55:00" u="1"/>
        <d v="2025-09-25T09:07:00" u="1"/>
        <d v="2025-09-27T18:09:00" u="1"/>
        <d v="2025-09-27T18:16:00" u="1"/>
        <d v="2025-09-30T17:23:00" u="1"/>
        <d v="2025-09-30T17:32:00" u="1"/>
        <d v="2025-09-30T17:35:00" u="1"/>
        <d v="2025-09-30T17:36:00" u="1"/>
        <d v="2025-09-30T17:39:00" u="1"/>
        <d v="2025-09-29T17:45:00" u="1"/>
        <d v="2025-09-29T08:23:00" u="1"/>
        <d v="2025-09-30T09:22:00" u="1"/>
        <d v="2025-09-30T08:21:00" u="1"/>
        <d v="2025-09-30T17:16:00" u="1"/>
        <d v="2025-09-30T15:10:00" u="1"/>
        <d v="2025-09-30T13:49:00" u="1"/>
        <d v="2025-09-30T15:24:00" u="1"/>
        <d v="2025-09-30T13:28:00" u="1"/>
        <d v="2025-09-30T08:55:00" u="1"/>
        <d v="2025-09-30T06:40:00" u="1"/>
        <d v="2025-09-26T11:44:00" u="1"/>
        <d v="2025-09-26T10:30:00" u="1"/>
        <d v="2025-09-19T10:11:00" u="1"/>
        <d v="2025-09-17T10:12:00" u="1"/>
        <d v="2025-09-30T11:52:00" u="1"/>
        <d v="2025-09-29T16:48:00" u="1"/>
        <d v="2025-09-29T15:35:00" u="1"/>
        <d v="2025-09-26T13:16:00" u="1"/>
        <d v="2025-09-30T13:57:00" u="1"/>
        <d v="2025-09-30T11:45:00" u="1"/>
        <d v="2025-09-30T15:21:00" u="1"/>
        <d v="2025-09-30T15:34:00" u="1"/>
        <d v="2025-09-30T06:12:00" u="1"/>
        <d v="2025-09-30T13:07:00" u="1"/>
        <d v="2025-09-30T14:53:00" u="1"/>
        <d v="2025-09-30T17:00:00" u="1"/>
        <d v="2025-09-30T14:11:00" u="1"/>
        <d v="2025-09-05T10:18:00" u="1"/>
        <d v="2025-09-16T14:49:00" u="1"/>
        <d v="2025-09-30T11:34:00" u="1"/>
        <d v="2025-09-30T13:38:00" u="1"/>
        <d v="2025-09-30T16:22:00" u="1"/>
        <d v="2025-09-30T10:19:00" u="1"/>
        <d v="2025-09-29T16:24:00" u="1"/>
        <d v="2025-09-30T14:04:00" u="1"/>
        <d v="2025-09-24T15:53:00" u="1"/>
        <d v="2025-09-19T15:34:00" u="1"/>
        <d v="2025-09-30T14:46:00" u="1"/>
        <d v="2025-09-30T10:32:00" u="1"/>
        <d v="2025-09-30T16:34:00" u="1"/>
        <d v="2025-09-30T13:19:00" u="1"/>
        <d v="2025-09-30T18:19:00" u="1"/>
        <d v="2025-09-29T07:55:00" u="1"/>
        <d v="2025-09-26T12:26:00" u="1"/>
        <d v="2025-09-26T13:26:00" u="1"/>
        <d v="2025-09-10T16:19:00" u="1"/>
        <d v="2025-09-30T09:52:00" u="1"/>
        <d v="2025-09-30T12:39:00" u="1"/>
        <d v="2025-09-24T13:33:00" u="1"/>
        <d v="2025-09-29T08:11:00" u="1"/>
        <d v="2025-09-30T08:42:00" u="1"/>
        <d v="2025-09-30T11:46:00" u="1"/>
        <d v="2025-09-30T17:14:00" u="1"/>
        <d v="2025-09-30T14:18:00" u="1"/>
        <d v="2025-09-30T16:54:00" u="1"/>
        <d v="2025-09-24T18:11:00" u="1"/>
        <d v="2025-09-30T09:33:00" u="1"/>
        <d v="2025-09-30T10:20:00" u="1"/>
        <d v="2025-09-29T17:44:00" u="1"/>
        <d v="2025-09-29T10:22:00" u="1"/>
        <d v="2025-09-29T14:07:00" u="1"/>
        <d v="2025-09-30T17:45:00" u="1"/>
        <d v="2025-09-30T17:44:00" u="1"/>
        <d v="2025-09-30T17:43:00" u="1"/>
        <d v="2025-09-22T11:07:00" u="1"/>
        <d v="2025-09-05T08:37:00" u="1"/>
        <d v="2025-09-05T08:49:00" u="1"/>
        <d v="2025-09-05T13:55:00" u="1"/>
        <d v="2025-09-05T07:26:00" u="1"/>
        <d v="2025-09-05T07:29:00" u="1"/>
        <d v="2025-09-05T07:39:00" u="1"/>
        <d v="2025-09-05T07:48:00" u="1"/>
        <d v="2025-09-05T07:54:00" u="1"/>
        <d v="2025-09-29T15:44:00" u="1"/>
        <d v="2025-09-30T13:10:00" u="1"/>
        <d v="2025-09-30T12:09:00" u="1"/>
        <d v="2025-09-29T09:48:00" u="1"/>
        <d v="2025-09-30T14:33:00" u="1"/>
        <d v="2025-09-30T18:31:00" u="1"/>
        <d v="2025-09-30T18:01:00" u="1"/>
        <d v="2025-09-11T15:12:00" u="1"/>
        <d v="2025-09-29T17:01:00" u="1"/>
        <d v="2025-09-29T10:49:00" u="1"/>
        <d v="2025-09-29T11:56:00" u="1"/>
        <d v="2025-09-29T13:37:00" u="1"/>
        <d v="2025-09-30T00:55:00" u="1"/>
        <d v="2025-09-30T02:54:00" u="1"/>
        <d v="2025-09-29T10:56:00" u="1"/>
        <d v="2025-09-29T11:08:00" u="1"/>
        <d v="2025-09-29T11:18:00" u="1"/>
        <d v="2025-09-29T04:54:00" u="1"/>
        <d v="2025-09-29T02:54:00" u="1"/>
        <d v="2025-09-29T12:36:00" u="1"/>
        <d v="2025-09-29T03:28:00" u="1"/>
        <d v="2025-09-29T03:05:00" u="1"/>
        <d v="2025-09-28T04:27:00" u="1"/>
        <d v="2025-09-29T01:01:00" u="1"/>
        <d v="2025-09-29T11:06:00" u="1"/>
        <d v="2025-09-29T11:48:00" u="1"/>
        <d v="2025-09-29T10:50:00" u="1"/>
        <d v="2025-09-24T14:34:00" u="1"/>
        <d v="2025-09-12T17:38:00" u="1"/>
        <d v="2025-08-11T18:03:00" u="1"/>
        <d v="2025-09-24T14:45:00" u="1"/>
        <d v="2025-09-06T12:50:00" u="1"/>
        <d v="2025-09-29T15:33:00" u="1"/>
        <d v="2025-09-29T11:09:00" u="1"/>
        <d v="2025-09-29T14:46:00" u="1"/>
        <d v="2025-09-29T17:15:00" u="1"/>
        <d v="2025-09-26T12:22:00" u="1"/>
        <d v="2025-09-26T12:20:00" u="1"/>
        <d v="2025-09-26T12:14:00" u="1"/>
        <d v="2025-09-29T14:13:00" u="1"/>
        <d v="2025-09-29T14:33:00" u="1"/>
        <d v="2025-09-29T13:07:00" u="1"/>
        <d v="2025-09-19T11:41:00" u="1"/>
        <d v="2025-09-22T17:34:00" u="1"/>
        <d v="2025-09-16T17:42:00" u="1"/>
        <d v="2025-09-16T17:08:00" u="1"/>
        <d v="2025-09-16T14:28:00" u="1"/>
        <d v="2025-09-16T12:12:00" u="1"/>
        <d v="2025-09-16T17:17:00" u="1"/>
        <d v="2025-09-17T10:21:00" u="1"/>
        <d v="2025-09-16T11:00:00" u="1"/>
        <d v="2025-09-29T13:29:00" u="1"/>
        <d v="2025-09-29T13:25:00" u="1"/>
        <d v="2025-09-29T13:22:00" u="1"/>
        <d v="2025-09-29T13:32:00" u="1"/>
        <d v="2025-09-29T13:34:00" u="1"/>
        <d v="2025-09-29T13:39:00" u="1"/>
        <d v="2025-09-29T13:44:00" u="1"/>
        <d v="2025-09-29T13:47:00" u="1"/>
        <d v="2025-09-29T14:34:00" u="1"/>
        <d v="2025-09-29T14:17:00" u="1"/>
        <d v="2025-09-03T18:04:00" u="1"/>
        <d v="2025-09-24T15:23:00" u="1"/>
        <d v="2025-05-11T20:21:00" u="1"/>
        <d v="2025-09-28T09:40:00" u="1"/>
        <d v="2025-09-29T11:42:00" u="1"/>
        <d v="2025-09-24T06:15:00" u="1"/>
        <d v="2025-09-27T08:30:00" u="1"/>
        <d v="2025-09-29T12:25:00" u="1"/>
        <d v="2025-09-19T17:53:00" u="1"/>
        <d v="2025-09-29T10:47:00" u="1"/>
        <d v="2025-09-29T17:56:00" u="1"/>
        <d v="2025-09-11T09:04:00" u="1"/>
        <d v="2025-09-26T10:00:00" u="1"/>
        <d v="2025-09-23T14:15:00" u="1"/>
        <d v="2025-09-15T14:48:00" u="1"/>
        <d v="2025-09-02T10:55:00" u="1"/>
        <d v="2025-09-09T11:15:00" u="1"/>
        <d v="2025-09-15T19:02:00" u="1"/>
        <d v="2025-09-15T10:00:00" u="1"/>
        <d v="2025-09-18T12:14:00" u="1"/>
        <d v="2025-09-23T16:33:00" u="1"/>
        <d v="2025-09-24T11:08:00" u="1"/>
        <d v="2025-09-24T11:06:00" u="1"/>
        <d v="2025-09-24T11:04:00" u="1"/>
        <d v="2025-09-29T17:55:00" u="1"/>
        <d v="2025-09-29T17:59:00" u="1"/>
        <d v="2025-09-23T10:10:00" u="1"/>
        <d v="2025-09-23T10:08:00" u="1"/>
        <d v="2025-09-26T16:00:00" u="1"/>
        <d v="2025-09-05T10:36:00" u="1"/>
        <d v="2025-09-04T09:57:00" u="1"/>
        <d v="2025-09-29T17:24:00" u="1"/>
        <d v="2025-09-29T14:18:00" u="1"/>
        <d v="2025-09-24T08:38:00" u="1"/>
        <d v="2025-09-29T09:02:00" u="1"/>
        <d v="2025-09-29T09:05:00" u="1"/>
        <d v="2025-09-29T11:44:00" u="1"/>
        <d v="2025-09-29T10:24:00" u="1"/>
        <d v="2025-09-29T16:39:00" u="1"/>
        <d v="2025-09-19T17:22:00" u="1"/>
        <d v="2025-09-29T15:15:00" u="1"/>
        <d v="2025-09-18T17:02:00" u="1"/>
        <d v="2025-09-18T15:07:00" u="1"/>
        <d v="2025-09-29T15:18:00" u="1"/>
        <d v="2025-09-29T09:55:00" u="1"/>
        <d v="2025-09-25T10:58:00" u="1"/>
        <d v="2025-09-22T13:20:00" u="1"/>
        <d v="2025-09-22T13:01:00" u="1"/>
        <d v="2025-09-15T12:03:00" u="1"/>
        <d v="2025-09-25T09:26:00" u="1"/>
        <d v="2025-09-29T10:18:00" u="1"/>
        <d v="2025-09-29T11:26:00" u="1"/>
        <d v="2025-09-16T18:07:00" u="1"/>
        <d v="2025-09-15T19:21:00" u="1"/>
        <d v="2025-09-16T17:23:00" u="1"/>
        <d v="2025-09-03T17:24:00" u="1"/>
        <d v="2025-09-12T15:36:00" u="1"/>
        <d v="2025-09-26T21:40:00" u="1"/>
        <d v="2025-09-29T17:10:00" u="1"/>
        <d v="2025-09-29T17:09:00" u="1"/>
        <d v="2025-09-24T14:04:00" u="1"/>
        <d v="2025-09-29T11:25:00" u="1"/>
        <d v="2025-09-24T00:40:00" u="1"/>
        <d v="2025-09-25T17:25:00" u="1"/>
        <d v="2025-09-25T20:05:00" u="1"/>
        <d v="2025-09-26T00:32:00" u="1"/>
        <d v="2025-09-05T15:16:00" u="1"/>
        <d v="2025-09-22T09:01:00" u="1"/>
        <d v="2025-09-24T09:04:00" u="1"/>
        <d v="2025-09-24T07:24:00" u="1"/>
        <d v="2025-09-18T09:43:00" u="1"/>
        <d v="2025-09-23T18:46:00" u="1"/>
        <d v="2025-09-25T12:44:00" u="1"/>
        <d v="2025-09-25T09:40:00" u="1"/>
        <d v="2025-09-25T14:02:00" u="1"/>
        <d v="2025-09-16T07:28:00" u="1"/>
        <d v="2025-09-25T13:46:00" u="1"/>
        <d v="2025-09-25T14:09:00" u="1"/>
        <d v="2025-09-22T16:20:00" u="1"/>
        <d v="2025-09-22T16:28:00" u="1"/>
        <d v="2025-09-24T05:58:00" u="1"/>
        <d v="2025-09-25T03:36:00" u="1"/>
        <d v="2025-09-25T01:48:00" u="1"/>
        <d v="2025-09-24T07:27:00" u="1"/>
        <d v="2025-09-25T10:54:00" u="1"/>
        <d v="2025-09-25T11:49:00" u="1"/>
        <d v="2025-09-24T05:01:00" u="1"/>
        <d v="2025-09-24T08:16:00" u="1"/>
        <d v="2025-09-24T05:09:00" u="1"/>
        <d v="2025-09-25T10:01:00" u="1"/>
        <d v="2025-09-25T09:48:00" u="1"/>
        <d v="2025-09-25T09:41:00" u="1"/>
        <d v="2025-09-24T01:19:00" u="1"/>
        <d v="2025-09-25T05:46:00" u="1"/>
        <d v="2025-09-25T20:25:00" u="1"/>
        <d v="2025-09-25T04:48:00" u="1"/>
        <d v="2025-09-25T07:20:00" u="1"/>
        <d v="2025-09-25T04:35:00" u="1"/>
        <d v="2025-09-25T03:43:00" u="1"/>
        <d v="2025-09-25T04:46:00" u="1"/>
        <d v="2025-09-25T02:55:00" u="1"/>
        <d v="2025-09-25T16:38:00" u="1"/>
        <d v="2025-09-25T02:51:00" u="1"/>
        <d v="2025-09-25T06:11:00" u="1"/>
        <d v="2025-09-25T02:57:00" u="1"/>
        <d v="2025-09-22T09:59:00" u="1"/>
        <d v="2025-09-17T19:11:00" u="1"/>
        <d v="2025-09-18T14:10:00" u="1"/>
        <d v="2025-09-18T14:20:00" u="1"/>
        <d v="2025-09-09T12:57:00" u="1"/>
        <d v="2025-09-09T13:09:00" u="1"/>
        <d v="2025-09-25T08:10:00" u="1"/>
        <d v="2025-09-25T08:15:00" u="1"/>
        <d v="2025-09-19T06:35:00" u="1"/>
        <d v="2025-09-19T06:46:00" u="1"/>
        <d v="2025-09-25T15:41:00" u="1"/>
        <d v="2025-09-25T17:31:00" u="1"/>
        <d v="2025-09-23T13:33:00" u="1"/>
        <d v="2025-09-23T11:26:00" u="1"/>
        <d v="2025-09-23T10:56:00" u="1"/>
        <d v="2025-09-23T10:28:00" u="1"/>
        <d v="2025-09-24T16:19:00" u="1"/>
        <d v="2025-09-23T17:19:00" u="1"/>
        <d v="2025-09-22T22:10:00" u="1"/>
        <d v="2025-09-22T16:00:00" u="1"/>
        <d v="2025-09-19T12:21:00" u="1"/>
        <d v="2025-09-18T17:35:00" u="1"/>
        <d v="2025-09-22T16:50:00" u="1"/>
        <d v="2025-09-22T16:53:00" u="1"/>
        <d v="2025-09-22T16:54:00" u="1"/>
        <d v="2025-09-22T16:58:00" u="1"/>
        <d v="2025-09-22T17:05:00" u="1"/>
        <d v="2025-09-22T16:56:00" u="1"/>
        <d v="2025-09-22T17:00:00" u="1"/>
        <d v="2025-09-22T17:03:00" u="1"/>
        <d v="2025-09-25T16:28:00" u="1"/>
        <d v="2025-09-23T17:23:00" u="1"/>
        <d v="2025-09-22T09:48:00" u="1"/>
        <d v="2025-09-24T17:08:00" u="1"/>
        <d v="2025-09-25T11:17:00" u="1"/>
        <d v="2025-09-22T11:50:00" u="1"/>
        <d v="2025-09-22T11:01:00" u="1"/>
        <d v="2025-09-24T17:05:00" u="1"/>
        <d v="2025-09-23T12:33:00" u="1"/>
        <d v="2025-09-23T11:47:00" u="1"/>
        <d v="2025-09-25T11:36:00" u="1"/>
        <d v="2025-09-25T18:05:00" u="1"/>
        <d v="2025-09-25T12:27:00" u="1"/>
        <d v="2025-09-24T19:14:00" u="1"/>
        <d v="2025-09-22T16:59:00" u="1"/>
        <d v="2025-09-24T16:39:00" u="1"/>
        <d v="2025-09-24T15:55:00" u="1"/>
        <d v="2025-09-25T17:28:00" u="1"/>
        <d v="2025-09-25T17:26:00" u="1"/>
        <d v="2025-09-25T17:45:00" u="1"/>
        <d v="2025-09-23T14:33:00" u="1"/>
        <d v="2025-09-22T10:55:00" u="1"/>
        <d v="2025-09-23T09:50:00" u="1"/>
        <d v="2025-09-24T12:49:00" u="1"/>
        <d v="2025-09-24T18:03:00" u="1"/>
        <d v="2025-09-25T18:15:00" u="1"/>
        <d v="2025-09-25T13:59:00" u="1"/>
        <d v="2025-09-25T13:26:00" u="1"/>
        <d v="2025-09-25T19:00:00" u="1"/>
        <d v="2025-09-25T10:40:00" u="1"/>
        <d v="2025-09-25T08:39:00" u="1"/>
        <d v="2025-09-19T15:00:00" u="1"/>
        <d v="2025-09-15T18:00:00" u="1"/>
        <d v="2025-09-24T07:33:00" u="1"/>
        <d v="2025-09-25T06:41:00" u="1"/>
        <d v="2025-09-25T09:15:00" u="1"/>
        <d v="2025-09-25T14:45:00" u="1"/>
        <d v="2025-09-25T13:43:00" u="1"/>
        <d v="2025-09-25T13:47:00" u="1"/>
        <d v="2025-09-25T15:26:00" u="1"/>
        <d v="2025-09-25T15:30:00" u="1"/>
        <d v="2025-09-11T18:25:00" u="1"/>
        <d v="2025-09-18T19:37:00" u="1"/>
        <d v="2025-09-25T09:52:00" u="1"/>
        <d v="2025-09-25T17:39:00" u="1"/>
        <d v="2025-09-08T17:19:00" u="1"/>
        <d v="2025-09-22T20:22:00" u="1"/>
        <d v="2025-09-23T20:04:00" u="1"/>
        <d v="2025-09-24T11:03:00" u="1"/>
        <d v="2025-09-24T11:02:00" u="1"/>
        <d v="2025-09-24T11:01:00" u="1"/>
        <d v="2025-09-24T10:58:00" u="1"/>
        <d v="2025-09-25T15:37:00" u="1"/>
        <d v="2025-09-25T14:58:00" u="1"/>
        <d v="2025-09-25T11:54:00" u="1"/>
        <d v="2025-09-25T09:28:00" u="1"/>
        <d v="2025-09-24T16:03:00" u="1"/>
        <d v="2025-09-24T11:09:00" u="1"/>
        <d v="2025-09-24T10:28:00" u="1"/>
        <d v="2025-09-24T09:00:00" u="1"/>
        <d v="2025-09-23T15:04:00" u="1"/>
        <d v="2025-09-23T14:08:00" u="1"/>
        <d v="2025-09-23T11:33:00" u="1"/>
        <d v="2025-09-23T06:52:00" u="1"/>
        <d v="2025-09-22T15:57:00" u="1"/>
        <d v="2025-09-22T15:07:00" u="1"/>
        <d v="2025-09-22T12:30:00" u="1"/>
        <d v="2025-09-22T16:12:00" u="1"/>
        <d v="2025-09-24T16:34:00" u="1"/>
        <d v="2025-09-24T13:46:00" u="1"/>
        <d v="2025-09-25T13:44:00" u="1"/>
        <d v="2025-09-23T10:48:00" u="1"/>
        <d v="2025-09-24T16:40:00" u="1"/>
        <d v="2025-09-15T16:29:00" u="1"/>
        <d v="2025-09-15T16:33:00" u="1"/>
        <d v="2025-09-22T14:43:00" u="1"/>
        <d v="2025-09-22T14:45:00" u="1"/>
        <d v="2025-09-23T12:13:00" u="1"/>
        <d v="2025-09-22T17:48:00" u="1"/>
        <d v="2025-09-15T17:00:00" u="1"/>
        <d v="2025-09-15T17:02:00" u="1"/>
        <d v="2025-09-22T13:13:00" u="1"/>
        <d v="2025-09-24T13:08:00" u="1"/>
        <d v="2025-09-22T09:52:00" u="1"/>
        <d v="2025-09-22T09:45:00" u="1"/>
        <d v="2025-09-18T12:48:00" u="1"/>
        <d v="2025-09-18T13:27:00" u="1"/>
        <d v="2025-09-18T13:30:00" u="1"/>
        <d v="2025-09-18T13:51:00" u="1"/>
        <d v="2025-09-16T16:05:00" u="1"/>
        <d v="2025-09-23T10:34:00" u="1"/>
        <d v="2025-09-23T13:02:00" u="1"/>
        <d v="2025-09-18T12:11:00" u="1"/>
        <d v="2025-09-19T18:36:00" u="1"/>
        <d v="2025-09-22T03:49:00" u="1"/>
        <d v="2025-09-22T07:57:00" u="1"/>
        <d v="2025-09-12T14:07:00" u="1"/>
        <d v="2025-09-12T14:06:00" u="1"/>
        <d v="2025-09-18T14:23:00" u="1"/>
        <d v="2025-09-19T14:32:00" u="1"/>
        <d v="2025-09-17T14:17:00" u="1"/>
        <d v="2025-09-17T15:04:00" u="1"/>
        <d v="2025-09-17T14:33:00" u="1"/>
        <d v="2025-09-17T14:50:00" u="1"/>
        <d v="2025-09-24T14:39:00" u="1"/>
        <d v="2025-09-24T08:18:00" u="1"/>
        <d v="2025-09-17T18:05:00" u="1"/>
        <d v="2025-09-25T14:54:00" u="1"/>
        <d v="2025-09-23T15:12:00" u="1"/>
        <d v="2025-09-22T12:54:00" u="1"/>
        <d v="2025-09-22T08:43:00" u="1"/>
        <d v="2025-09-23T11:22:00" u="1"/>
        <d v="2025-09-19T14:50:00" u="1"/>
        <d v="2025-09-25T11:07:00" u="1"/>
        <d v="2025-09-25T13:53:00" u="1"/>
        <d v="2025-09-25T13:50:00" u="1"/>
        <d v="2025-09-25T13:57:00" u="1"/>
        <d v="2025-09-23T11:57:00" u="1"/>
        <d v="2025-09-25T09:53:00" u="1"/>
        <d v="2025-09-24T08:32:00" u="1"/>
        <d v="2025-09-25T13:18:00" u="1"/>
        <d v="2025-09-25T14:25:00" u="1"/>
        <d v="2025-09-18T07:36:00" u="1"/>
        <d v="2025-09-23T07:36:00" u="1"/>
        <d v="2025-09-22T04:58:00" u="1"/>
        <d v="2025-09-11T12:56:00" u="1"/>
        <d v="2025-09-11T09:52:00" u="1"/>
        <d v="2025-09-02T12:17:00" u="1"/>
        <d v="2025-09-16T09:42:00" u="1"/>
        <d v="2025-09-15T05:32:00" u="1"/>
        <d v="2025-09-15T08:41:00" u="1"/>
        <d v="2025-09-15T13:24:00" u="1"/>
        <d v="2025-09-24T09:40:00" u="1"/>
        <d v="2025-09-09T07:28:00" u="1"/>
        <d v="2025-09-11T09:33:00" u="1"/>
        <d v="2025-09-11T09:28:00" u="1"/>
        <d v="2025-09-09T14:09:00" u="1"/>
        <d v="2025-09-10T08:42:00" u="1"/>
        <d v="2025-09-11T18:06:00" u="1"/>
        <d v="2025-09-23T16:14:00" u="1"/>
        <d v="2025-09-23T14:07:00" u="1"/>
        <d v="2025-09-22T14:06:00" u="1"/>
        <d v="2025-09-22T20:54:00" u="1"/>
        <d v="2025-09-25T10:57:00" u="1"/>
        <d v="2025-09-25T10:49:00" u="1"/>
        <d v="2025-09-24T14:52:00" u="1"/>
        <d v="2025-09-24T14:40:00" u="1"/>
        <d v="2025-09-24T15:24:00" u="1"/>
        <d v="2025-09-22T16:17:00" u="1"/>
        <d v="2025-09-23T11:08:00" u="1"/>
        <d v="2025-09-23T11:07:00" u="1"/>
        <d v="2025-09-25T21:44:00" u="1"/>
        <d v="2025-09-24T18:34:00" u="1"/>
        <d v="2025-09-24T13:58:00" u="1"/>
        <d v="2025-09-22T13:46:00" u="1"/>
        <d v="2025-09-25T10:26:00" u="1"/>
        <d v="2025-09-25T09:09:00" u="1"/>
        <d v="2025-09-25T16:42:00" u="1"/>
        <d v="2025-09-24T14:30:00" u="1"/>
        <d v="2025-09-23T08:54:00" u="1"/>
        <d v="2025-09-24T08:54:00" u="1"/>
        <d v="2025-09-22T17:47:00" u="1"/>
        <d v="2025-09-22T17:35:00" u="1"/>
        <d v="2025-09-23T15:22:00" u="1"/>
        <d v="2025-09-23T14:35:00" u="1"/>
        <d v="2025-09-22T10:58:00" u="1"/>
        <d v="2025-09-22T11:00:00" u="1"/>
        <d v="2025-09-22T09:05:00" u="1"/>
        <d v="2025-09-25T11:57:00" u="1"/>
        <d v="2025-09-25T14:56:00" u="1"/>
        <d v="2025-09-24T19:17:00" u="1"/>
        <d v="2025-09-23T15:11:00" u="1"/>
        <d v="2025-09-23T18:57:00" u="1"/>
        <d v="2025-09-22T13:41:00" u="1"/>
        <d v="2025-09-22T12:03:00" u="1"/>
        <d v="2025-09-22T15:28:00" u="1"/>
        <d v="2025-09-24T12:24:00" u="1"/>
        <d v="2025-09-12T15:48:00" u="1"/>
        <d v="2025-09-12T15:41:00" u="1"/>
        <d v="2025-09-12T15:39:00" u="1"/>
        <d v="2025-09-25T15:40:00" u="1"/>
        <d v="2025-09-25T16:15:00" u="1"/>
        <d v="2025-09-25T16:20:00" u="1"/>
        <d v="2025-08-14T07:16:00" u="1"/>
        <d v="2025-09-24T18:42:00" u="1"/>
        <d v="2025-09-25T10:12:00" u="1"/>
        <d v="2025-09-15T12:28:00" u="1"/>
        <d v="2025-09-17T17:29:00" u="1"/>
        <d v="2025-09-16T17:16:00" u="1"/>
        <d v="2025-09-25T11:11:00" u="1"/>
        <d v="2025-09-24T14:58:00" u="1"/>
        <d v="2025-09-22T08:27:00" u="1"/>
        <d v="2025-09-24T08:42:00" u="1"/>
        <d v="2025-09-22T15:21:00" u="1"/>
        <d v="2025-09-23T20:41:00" u="1"/>
        <d v="2025-09-24T12:43:00" u="1"/>
        <d v="2025-09-22T17:44:00" u="1"/>
        <d v="2025-09-22T17:32:00" u="1"/>
        <d v="2025-09-22T17:21:00" u="1"/>
        <d v="2025-09-22T14:46:00" u="1"/>
        <d v="2025-09-24T15:29:00" u="1"/>
        <d v="2025-09-23T15:21:00" u="1"/>
        <d v="2025-09-25T09:22:00" u="1"/>
        <d v="2025-09-25T09:20:00" u="1"/>
        <d v="2025-09-25T09:18:00" u="1"/>
        <d v="2025-09-25T11:27:00" u="1"/>
        <d v="2025-09-25T19:32:00" u="1"/>
        <d v="2025-09-25T16:46:00" u="1"/>
        <d v="2025-09-25T15:48:00" u="1"/>
        <d v="2025-09-24T10:37:00" u="1"/>
        <d v="2025-09-24T20:00:00" u="1"/>
        <d v="2025-09-23T13:51:00" u="1"/>
        <d v="2025-09-15T04:27:00" u="1"/>
        <d v="2025-09-22T15:24:00" u="1"/>
        <d v="2025-09-22T15:30:00" u="1"/>
        <d v="2025-09-24T15:39:00" u="1"/>
        <d v="2025-09-23T08:55:00" u="1"/>
        <d v="2025-09-24T12:01:00" u="1"/>
        <d v="2025-09-23T09:14:00" u="1"/>
        <d v="2025-09-23T08:34:00" u="1"/>
        <d v="2025-09-22T11:36:00" u="1"/>
        <d v="2025-09-24T02:08:00" u="1"/>
        <d v="2025-09-24T01:52:00" u="1"/>
        <d v="2025-09-24T07:49:00" u="1"/>
        <d v="2025-09-24T06:34:00" u="1"/>
        <d v="2025-09-24T04:49:00" u="1"/>
        <d v="2025-09-24T07:05:00" u="1"/>
        <d v="2025-09-22T04:36:00" u="1"/>
        <d v="2025-09-22T04:21:00" u="1"/>
        <d v="2025-09-22T11:19:00" u="1"/>
        <d v="2025-09-23T09:36:00" u="1"/>
        <d v="2025-09-23T07:52:00" u="1"/>
        <d v="2025-09-23T03:48:00" u="1"/>
        <d v="2025-09-23T03:25:00" u="1"/>
        <d v="2025-09-23T03:59:00" u="1"/>
        <d v="2025-09-23T04:49:00" u="1"/>
        <d v="2025-09-23T04:37:00" u="1"/>
        <d v="2025-09-23T08:28:00" u="1"/>
        <d v="2025-09-23T01:31:00" u="1"/>
        <d v="2025-09-23T11:42:00" u="1"/>
        <d v="2025-09-23T04:23:00" u="1"/>
        <d v="2025-09-23T05:29:00" u="1"/>
        <d v="2025-09-23T05:33:00" u="1"/>
        <d v="2025-09-23T05:57:00" u="1"/>
        <d v="2025-09-23T05:59:00" u="1"/>
        <d v="2025-09-23T09:37:00" u="1"/>
        <d v="2025-09-23T09:39:00" u="1"/>
        <d v="2025-09-23T05:23:00" u="1"/>
        <d v="2025-09-23T09:25:00" u="1"/>
        <d v="2025-09-24T01:02:00" u="1"/>
        <d v="2025-09-24T01:04:00" u="1"/>
        <d v="2025-09-24T11:44:00" u="1"/>
        <d v="2025-09-24T11:14:00" u="1"/>
        <d v="2025-09-23T05:42:00" u="1"/>
        <d v="2025-09-12T15:02:00" u="1"/>
        <d v="2025-09-15T19:07:00" u="1"/>
        <d v="2025-09-24T11:11:00" u="1"/>
        <d v="2025-09-24T10:56:00" u="1"/>
        <d v="2025-09-23T18:11:00" u="1"/>
        <d v="2025-09-18T15:29:00" u="1"/>
        <d v="2025-09-22T12:57:00" u="1"/>
        <d v="2025-09-19T08:13:00" u="1"/>
        <d v="2025-09-24T16:14:00" u="1"/>
        <d v="2025-09-22T10:41:00" u="1"/>
        <d v="2025-09-22T09:14:00" u="1"/>
        <d v="2025-09-22T09:26:00" u="1"/>
        <d v="2025-09-22T09:16:00" u="1"/>
        <d v="2025-09-22T10:10:00" u="1"/>
        <d v="2025-09-19T10:23:00" u="1"/>
        <d v="2025-09-23T16:20:00" u="1"/>
        <d v="2025-09-19T09:26:00" u="1"/>
        <d v="2025-09-19T09:27:00" u="1"/>
        <d v="2025-09-24T10:45:00" u="1"/>
        <d v="2025-09-12T18:49:00" u="1"/>
        <d v="2025-09-24T14:51:00" u="1"/>
        <d v="2025-09-23T12:40:00" u="1"/>
        <d v="2025-09-24T14:01:00" u="1"/>
        <d v="2025-09-24T14:05:00" u="1"/>
        <d v="2025-09-24T14:11:00" u="1"/>
        <d v="2025-09-24T14:17:00" u="1"/>
        <d v="2025-09-24T14:19:00" u="1"/>
        <d v="2025-09-24T14:44:00" u="1"/>
        <d v="2025-09-24T14:46:00" u="1"/>
        <d v="2025-09-24T14:48:00" u="1"/>
        <d v="2025-09-24T14:50:00" u="1"/>
        <d v="2025-09-24T14:54:00" u="1"/>
        <d v="2025-09-24T14:55:00" u="1"/>
        <d v="2025-09-24T14:56:00" u="1"/>
        <d v="2025-09-24T15:03:00" u="1"/>
        <d v="2025-09-24T15:09:00" u="1"/>
        <d v="2025-09-24T06:02:00" u="1"/>
        <d v="2025-09-24T06:07:00" u="1"/>
        <d v="2025-09-24T05:57:00" u="1"/>
        <d v="2025-09-15T16:40:00" u="1"/>
        <d v="2025-09-24T15:25:00" u="1"/>
        <d v="2025-09-24T11:32:00" u="1"/>
        <d v="2025-09-24T14:35:00" u="1"/>
        <d v="2025-09-12T15:44:00" u="1"/>
        <d v="2025-09-12T15:25:00" u="1"/>
        <d v="2025-09-22T12:39:00" u="1"/>
        <d v="2025-09-12T08:41:00" u="1"/>
        <d v="2025-09-14T19:59:00" u="1"/>
        <d v="2025-09-16T22:21:00" u="1"/>
        <d v="2025-09-22T06:10:28" u="1"/>
        <d v="2025-09-22T14:25:00" u="1"/>
        <d v="2025-09-24T00:05:00" u="1"/>
        <d v="2025-09-24T00:06:00" u="1"/>
        <d v="2025-09-23T22:19:00" u="1"/>
        <d v="2025-09-23T22:20:00" u="1"/>
        <d v="2025-09-23T18:42:00" u="1"/>
        <d v="2025-09-23T18:54:00" u="1"/>
        <d v="2025-09-23T19:16:00" u="1"/>
        <d v="2025-09-23T19:21:00" u="1"/>
        <d v="2025-09-22T23:28:00" u="1"/>
        <d v="2025-09-23T13:23:00" u="1"/>
        <d v="2025-09-22T21:08:00" u="1"/>
        <d v="2025-09-23T16:53:00" u="1"/>
        <d v="2025-09-08T07:40:00" u="1"/>
        <d v="2025-09-23T11:29:00" u="1"/>
        <d v="2025-09-22T12:46:00" u="1"/>
        <d v="2025-09-22T12:28:00" u="1"/>
        <d v="2025-09-23T12:10:00" u="1"/>
        <d v="2025-09-23T11:39:00" u="1"/>
        <d v="2025-09-23T11:52:00" u="1"/>
        <d v="2025-09-22T04:41:00" u="1"/>
        <d v="2025-09-22T04:57:00" u="1"/>
        <d v="2025-09-22T04:08:00" u="1"/>
        <d v="2025-09-15T09:29:00" u="1"/>
        <d v="2025-09-15T09:31:00" u="1"/>
        <d v="2025-09-22T02:30:00" u="1"/>
        <d v="2025-09-19T10:16:00" u="1"/>
        <d v="2025-09-19T12:12:00" u="1"/>
        <d v="2025-09-19T12:00:00" u="1"/>
        <d v="2025-09-19T11:50:00" u="1"/>
        <d v="2025-09-19T10:29:00" u="1"/>
        <d v="2025-09-19T12:04:00" u="1"/>
        <d v="2025-09-19T02:38:00" u="1"/>
        <d v="2025-09-21T10:21:00" u="1"/>
        <d v="2025-09-21T10:16:00" u="1"/>
        <d v="2025-09-22T08:08:00" u="1"/>
        <d v="2025-09-19T06:11:00" u="1"/>
        <d v="2025-09-19T03:51:00" u="1"/>
        <d v="2025-09-19T04:41:00" u="1"/>
        <d v="2025-09-23T07:43:00" u="1"/>
        <d v="2025-09-23T11:06:00" u="1"/>
        <d v="2025-09-23T05:24:00" u="1"/>
        <d v="2025-09-23T02:49:00" u="1"/>
        <d v="2025-09-23T05:55:00" u="1"/>
        <d v="2025-09-23T01:34:00" u="1"/>
        <d v="2025-09-23T05:52:00" u="1"/>
        <d v="2025-09-23T10:03:00" u="1"/>
        <d v="2025-09-22T03:12:00" u="1"/>
        <d v="2025-09-23T11:48:00" u="1"/>
        <d v="2025-09-23T16:28:00" u="1"/>
        <d v="2025-09-19T10:20:00" u="1"/>
        <d v="2025-09-19T10:41:00" u="1"/>
        <d v="2025-09-19T11:00:00" u="1"/>
        <d v="2025-09-19T10:50:00" u="1"/>
        <d v="2025-09-19T10:51:00" u="1"/>
        <d v="2025-09-17T14:05:00" u="1"/>
        <d v="2025-09-18T13:36:00" u="1"/>
        <d v="2025-09-03T00:00:00" u="1"/>
        <d v="2025-09-04T14:31:00" u="1"/>
        <d v="2025-09-03T10:01:00" u="1"/>
        <d v="2025-09-04T09:08:00" u="1"/>
        <d v="2025-09-12T08:29:00" u="1"/>
        <d v="2025-09-16T08:03:00" u="1"/>
        <d v="2025-09-15T16:13:00" u="1"/>
        <d v="2025-09-15T17:46:00" u="1"/>
        <d v="2025-09-16T14:27:00" u="1"/>
        <d v="2025-09-22T13:09:00" u="1"/>
        <d v="2025-09-23T17:04:00" u="1"/>
        <d v="2025-09-12T16:49:00" u="1"/>
        <d v="2025-09-23T08:15:00" u="1"/>
        <d v="2025-09-22T17:24:00" u="1"/>
        <d v="2025-09-19T14:02:00" u="1"/>
        <d v="2025-09-19T17:41:00" u="1"/>
        <d v="2025-09-19T15:47:00" u="1"/>
        <d v="2025-09-23T18:59:00" u="1"/>
        <d v="2025-09-19T11:47:00" u="1"/>
        <d v="2025-09-19T13:52:00" u="1"/>
        <d v="2025-09-23T13:32:00" u="1"/>
        <d v="2025-09-23T08:50:00" u="1"/>
        <d v="2025-09-19T08:35:00" u="1"/>
        <d v="2025-09-19T08:34:00" u="1"/>
        <d v="2025-09-22T11:39:00" u="1"/>
        <d v="2025-09-23T08:03:00" u="1"/>
        <d v="2025-09-23T09:11:00" u="1"/>
        <d v="2025-09-22T12:21:00" u="1"/>
        <d v="2025-09-22T20:21:00" u="1"/>
        <d v="2025-09-23T09:41:00" u="1"/>
        <d v="2025-09-23T09:40:00" u="1"/>
        <d v="2025-09-22T07:50:00" u="1"/>
        <d v="2025-09-23T13:54:00" u="1"/>
        <d v="2025-09-23T14:00:00" u="1"/>
        <d v="2025-09-22T15:12:00" u="1"/>
        <d v="2025-09-23T21:00:00" u="1"/>
        <d v="2025-09-19T21:33:00" u="1"/>
        <d v="2025-09-19T11:17:00" u="1"/>
        <d v="2025-09-23T15:44:00" u="1"/>
        <d v="2025-09-19T14:22:00" u="1"/>
        <d v="2025-09-04T15:04:00" u="1"/>
        <d v="2025-09-15T16:34:00" u="1"/>
        <d v="2025-09-22T16:57:00" u="1"/>
        <d v="2025-09-23T12:02:00" u="1"/>
        <d v="2025-09-23T06:44:00" u="1"/>
        <d v="2025-09-23T08:37:00" u="1"/>
        <d v="2025-09-22T12:18:00" u="1"/>
        <d v="2025-09-19T15:36:00" u="1"/>
        <d v="2025-09-19T06:53:00" u="1"/>
        <d v="2025-09-19T06:55:00" u="1"/>
        <d v="2025-09-17T08:13:00" u="1"/>
        <d v="2025-09-17T11:56:00" u="1"/>
        <d v="2025-09-17T15:55:00" u="1"/>
        <d v="2025-09-17T12:51:00" u="1"/>
        <d v="2025-09-22T17:16:00" u="1"/>
        <d v="2025-09-23T09:47:00" u="1"/>
        <d v="2025-09-23T12:50:00" u="1"/>
        <d v="2025-09-22T10:05:00" u="1"/>
        <d v="2025-09-16T10:58:00" u="1"/>
        <d v="2025-09-23T20:18:00" u="1"/>
        <d v="2025-09-19T09:15:00" u="1"/>
        <d v="2025-09-19T18:10:00" u="1"/>
        <d v="2025-09-23T17:29:00" u="1"/>
        <d v="2025-09-22T14:51:00" u="1"/>
        <d v="2025-09-18T11:21:00" u="1"/>
        <d v="2025-09-19T13:56:00" u="1"/>
        <d v="2025-09-23T09:04:00" u="1"/>
        <d v="2025-09-17T14:54:00" u="1"/>
        <d v="2025-09-17T12:35:00" u="1"/>
        <d v="2025-09-23T10:37:00" u="1"/>
        <d v="2025-09-23T12:51:00" u="1"/>
        <d v="2025-09-22T15:44:00" u="1"/>
        <d v="2025-08-15T08:14:00" u="1"/>
        <d v="2025-09-02T08:41:00" u="1"/>
        <d v="2025-09-23T01:05:00" u="1"/>
        <d v="2025-08-18T00:00:00" u="1"/>
        <d v="2025-08-28T00:00:00" u="1"/>
        <d v="2025-07-28T09:43:00" u="1"/>
        <d v="2025-07-28T09:48:00" u="1"/>
        <d v="2025-07-28T09:50:00" u="1"/>
        <d v="2025-08-05T00:00:00" u="1"/>
        <d v="2025-08-05T15:18:00" u="1"/>
        <d v="2025-01-01T00:00:00" u="1"/>
        <d v="2025-09-19T16:40:00" u="1"/>
        <d v="2025-09-22T13:57:00" u="1"/>
        <d v="2025-09-22T14:01:00" u="1"/>
        <d v="2025-09-22T08:50:00" u="1"/>
        <d v="2025-09-19T07:53:00" u="1"/>
        <d v="2025-09-19T06:14:00" u="1"/>
        <d v="2025-09-22T14:17:00" u="1"/>
        <d v="2025-09-17T07:24:00" u="1"/>
        <d v="2025-09-17T07:27:00" u="1"/>
        <d v="2025-09-18T10:21:00" u="1"/>
        <d v="2025-09-22T12:53:00" u="1"/>
        <d v="2025-09-19T06:15:00" u="1"/>
        <d v="2025-09-19T12:26:00" u="1"/>
        <d v="2025-09-22T17:51:00" u="1"/>
        <d v="2025-09-19T03:32:00" u="1"/>
        <d v="2025-09-15T11:19:00" u="1"/>
        <d v="2025-09-22T06:34:00" u="1"/>
        <d v="2025-09-22T05:40:00" u="1"/>
        <d v="2025-09-22T02:51:00" u="1"/>
        <d v="2025-09-22T10:32:00" u="1"/>
        <d v="2025-09-22T04:00:00" u="1"/>
        <d v="2025-09-19T09:57:00" u="1"/>
        <d v="2025-09-19T06:42:00" u="1"/>
        <d v="2025-09-19T10:47:00" u="1"/>
        <d v="2025-09-19T07:33:00" u="1"/>
        <d v="2025-09-19T12:28:00" u="1"/>
        <d v="2025-09-19T04:59:00" u="1"/>
        <d v="2025-09-19T05:02:00" u="1"/>
        <d v="2025-09-19T03:33:00" u="1"/>
        <d v="2025-09-18T07:02:00" u="1"/>
        <d v="2025-09-19T04:24:00" u="1"/>
        <d v="2025-09-19T03:50:00" u="1"/>
        <d v="2025-09-20T11:57:00" u="1"/>
        <d v="2025-09-19T06:49:00" u="1"/>
        <d v="2025-09-19T06:54:00" u="1"/>
        <d v="2025-09-19T12:58:00" u="1"/>
        <d v="2025-09-19T01:51:00" u="1"/>
        <d v="2025-09-19T02:02:00" u="1"/>
        <d v="2025-09-19T11:53:00" u="1"/>
        <d v="2025-09-19T03:20:00" u="1"/>
        <d v="2025-09-18T10:31:00" u="1"/>
        <d v="2025-09-19T11:34:00" u="1"/>
        <d v="2025-09-18T07:58:00" u="1"/>
        <d v="2025-09-22T10:29:00" u="1"/>
        <d v="2025-09-11T16:17:00" u="1"/>
        <d v="2025-09-22T13:15:00" u="1"/>
        <d v="2025-09-18T08:44:00" u="1"/>
        <d v="2025-09-19T09:28:00" u="1"/>
        <d v="2025-04-01T00:00:00" u="1"/>
        <d v="2025-03-24T10:26:00" u="1"/>
        <d v="2025-09-22T09:11:00" u="1"/>
        <d v="2025-09-19T15:15:00" u="1"/>
        <d v="2025-09-19T15:14:00" u="1"/>
        <d v="2025-09-19T13:22:00" u="1"/>
        <d v="2025-09-19T13:20:00" u="1"/>
        <d v="2025-09-18T14:42:00" u="1"/>
        <d v="2025-09-09T18:16:00" u="1"/>
        <d v="2025-09-19T09:01:00" u="1"/>
        <d v="2025-09-19T09:00:00" u="1"/>
        <d v="2025-09-19T13:38:00" u="1"/>
        <d v="2025-09-19T13:37:00" u="1"/>
        <d v="2025-09-19T14:46:00" u="1"/>
        <d v="2025-09-19T14:26:00" u="1"/>
        <d v="2025-09-12T18:40:00" u="1"/>
        <d v="2025-09-18T15:34:00" u="1"/>
        <d v="2025-09-12T14:21:00" u="1"/>
        <d v="2025-09-22T09:13:00" u="1"/>
        <d v="2025-09-18T10:18:00" u="1"/>
        <d v="2025-09-18T12:16:00" u="1"/>
        <d v="2025-09-15T13:25:00" u="1"/>
        <d v="2025-09-02T08:19:00" u="1"/>
        <d v="2025-09-10T07:40:00" u="1"/>
        <d v="2025-09-10T07:41:00" u="1"/>
        <d v="2025-09-10T07:37:00" u="1"/>
        <d v="2025-09-22T11:27:00" u="1"/>
        <d v="2025-09-19T07:14:00" u="1"/>
        <d v="2025-09-19T07:17:00" u="1"/>
        <d v="2025-09-19T09:02:00" u="1"/>
        <d v="2025-09-19T09:32:00" u="1"/>
        <d v="2025-09-22T10:59:00" u="1"/>
        <d v="2025-09-22T07:47:00" u="1"/>
        <d v="2025-09-22T07:49:00" u="1"/>
        <d v="2025-09-22T11:52:00" u="1"/>
        <d v="2025-09-22T13:07:00" u="1"/>
        <d v="2025-09-18T10:35:00" u="1"/>
        <d v="2025-09-19T05:33:00" u="1"/>
        <d v="2025-09-19T11:59:00" u="1"/>
        <d v="2025-09-19T10:57:00" u="1"/>
        <d v="2025-09-22T13:18:00" u="1"/>
        <d v="2025-09-12T13:27:00" u="1"/>
        <d v="2025-09-10T11:35:00" u="1"/>
        <d v="2025-09-15T16:01:00" u="1"/>
        <d v="2025-09-16T09:10:00" u="1"/>
        <d v="2025-09-16T08:49:00" u="1"/>
        <d v="2025-09-12T12:11:00" u="1"/>
        <d v="2025-09-19T05:56:00" u="1"/>
        <d v="2025-06-03T11:47:00" u="1"/>
        <d v="2025-09-17T12:21:00" u="1"/>
        <d v="2025-09-16T06:27:00" u="1"/>
        <d v="2025-09-17T14:41:00" u="1"/>
        <d v="2025-08-05T13:05:00" u="1"/>
        <d v="2025-06-17T00:00:00" u="1"/>
        <d v="2025-09-18T15:20:00" u="1"/>
        <d v="2025-09-18T10:49:00" u="1"/>
        <d v="2025-09-17T09:40:00" u="1"/>
        <d v="2025-09-12T11:28:00" u="1"/>
        <d v="2025-09-12T20:15:00" u="1"/>
        <d v="2025-09-15T07:05:00" u="1"/>
        <d v="2025-09-11T11:54:00" u="1"/>
        <d v="2025-09-11T11:49:00" u="1"/>
        <d v="2025-09-11T13:48:00" u="1"/>
        <d v="2025-04-24T13:17:00" u="1"/>
        <d v="2025-09-17T06:38:00" u="1"/>
        <d v="2025-09-18T15:22:00" u="1"/>
        <d v="2025-09-18T11:47:00" u="1"/>
        <d v="2025-09-15T13:36:00" u="1"/>
        <d v="2025-09-17T06:50:00" u="1"/>
        <d v="2025-09-17T13:46:00" u="1"/>
        <d v="2025-09-18T13:50:00" u="1"/>
        <d v="2025-09-19T10:10:00" u="1"/>
        <d v="2025-09-18T10:58:00" u="1"/>
        <d v="2025-09-22T17:14:00" u="1"/>
        <d v="2025-09-22T17:02:00" u="1"/>
        <d v="2025-09-22T09:32:00" u="1"/>
        <d v="2025-09-19T13:29:00" u="1"/>
        <d v="2025-09-18T09:38:00" u="1"/>
        <d v="2025-09-22T00:01:00" u="1"/>
        <d v="2025-09-22T11:05:00" u="1"/>
        <d v="2025-09-22T11:55:00" u="1"/>
        <d v="2025-09-17T05:03:00" u="1"/>
        <d v="2025-09-22T13:55:00" u="1"/>
        <d v="2025-09-17T14:15:00" u="1"/>
        <d v="2025-09-17T14:56:00" u="1"/>
        <d v="2025-09-17T14:43:00" u="1"/>
        <d v="2025-09-17T07:08:00" u="1"/>
        <d v="2025-09-18T14:00:00" u="1"/>
        <d v="2025-09-19T08:46:00" u="1"/>
        <d v="2024-12-23T14:17:00" u="1"/>
        <d v="2025-09-22T14:53:00" u="1"/>
        <d v="2025-09-22T15:22:00" u="1"/>
        <d v="2025-09-22T13:30:00" u="1"/>
        <d v="2025-09-22T13:59:00" u="1"/>
        <d v="2025-09-22T08:47:00" u="1"/>
        <d v="2025-09-17T13:34:00" u="1"/>
        <d v="2025-09-18T07:24:00" u="1"/>
        <d v="2025-09-19T15:57:00" u="1"/>
        <d v="2025-09-19T08:08:00" u="1"/>
        <d v="2025-09-21T17:36:00" u="1"/>
        <d v="2025-09-17T13:50:00" u="1"/>
        <d v="2025-09-22T12:16:00" u="1"/>
        <d v="2025-09-22T13:58:00" u="1"/>
        <d v="2025-09-19T16:10:00" u="1"/>
        <d v="2025-09-11T13:46:00" u="1"/>
        <d v="2025-09-22T12:17:00" u="1"/>
        <d v="2025-09-19T16:16:00" u="1"/>
        <d v="2025-09-19T09:06:00" u="1"/>
        <d v="2025-09-19T09:07:00" u="1"/>
        <d v="2025-09-22T09:53:00" u="1"/>
        <d v="2025-09-22T08:36:00" u="1"/>
        <d v="2025-09-18T21:11:00" u="1"/>
        <d v="2025-09-20T18:29:00" u="1"/>
        <d v="2025-09-21T03:48:00" u="1"/>
        <d v="2025-09-19T21:10:00" u="1"/>
        <d v="2025-09-19T20:55:00" u="1"/>
        <d v="2025-09-19T20:53:00" u="1"/>
        <d v="2025-09-20T01:48:00" u="1"/>
        <d v="2025-09-19T11:54:00" u="1"/>
        <d v="2025-09-20T02:06:00" u="1"/>
        <d v="2025-09-19T10:15:00" u="1"/>
        <d v="2025-09-19T08:47:00" u="1"/>
        <d v="2025-09-19T08:33:00" u="1"/>
        <d v="2025-09-19T15:32:00" u="1"/>
        <d v="2025-09-19T06:41:00" u="1"/>
        <d v="2025-09-19T07:00:00" u="1"/>
        <d v="2025-09-19T11:56:00" u="1"/>
        <d v="2025-08-07T16:12:00" u="1"/>
        <d v="2025-09-05T15:29:00" u="1"/>
        <d v="2025-09-05T15:33:00" u="1"/>
        <d v="2025-09-04T18:54:00" u="1"/>
        <d v="2025-09-04T18:58:00" u="1"/>
        <d v="2025-09-19T09:45:00" u="1"/>
        <d v="2025-09-12T10:13:00" u="1"/>
        <d v="2025-09-18T17:54:00" u="1"/>
        <d v="2025-09-11T15:29:00" u="1"/>
        <d v="2025-09-19T13:34:00" u="1"/>
        <d v="2025-09-19T13:32:00" u="1"/>
        <d v="2025-09-19T13:41:00" u="1"/>
        <d v="2025-09-19T13:42:00" u="1"/>
        <d v="2025-09-16T07:30:00" u="1"/>
        <d v="2025-09-13T21:59:00" u="1"/>
        <d v="2025-09-12T16:16:00" u="1"/>
        <d v="2025-09-12T15:51:00" u="1"/>
        <d v="2025-09-15T10:55:00" u="1"/>
        <d v="2025-09-15T11:16:00" u="1"/>
        <d v="2025-09-19T12:42:00" u="1"/>
        <d v="2025-09-19T22:20:00" u="1"/>
        <d v="2025-09-20T12:10:00" u="1"/>
        <d v="2025-09-19T11:31:00" u="1"/>
        <d v="2025-09-19T09:13:00" u="1"/>
        <d v="2025-09-12T17:33:00" u="1"/>
        <d v="2025-09-19T13:13:00" u="1"/>
        <d v="2025-09-19T16:02:00" u="1"/>
        <d v="2025-09-19T15:44:00" u="1"/>
        <d v="2025-09-19T19:15:00" u="1"/>
        <d v="2025-09-12T17:04:00" u="1"/>
        <d v="2025-09-16T12:13:00" u="1"/>
        <d v="2025-09-12T16:02:00" u="1"/>
        <d v="2025-09-19T16:09:00" u="1"/>
        <d v="2025-09-19T08:18:00" u="1"/>
        <d v="2025-09-19T08:14:00" u="1"/>
        <d v="2025-09-19T18:50:00" u="1"/>
        <d v="2025-09-19T11:57:00" u="1"/>
        <d v="2025-09-19T17:31:00" u="1"/>
        <d v="2025-09-18T11:09:00" u="1"/>
        <d v="2025-09-18T18:39:00" u="1"/>
        <d v="2025-09-18T18:41:00" u="1"/>
        <d v="2025-09-17T21:59:00" u="1"/>
        <d v="2025-09-19T12:19:00" u="1"/>
        <d v="2025-09-19T11:35:00" u="1"/>
        <d v="2025-09-11T14:46:00" u="1"/>
        <d v="2025-09-16T11:53:00" u="1"/>
        <d v="2025-09-19T10:54:00" u="1"/>
        <d v="2025-09-17T19:50:00" u="1"/>
        <d v="2025-09-03T15:14:00" u="1"/>
        <d v="2025-09-18T10:11:00" u="1"/>
        <d v="2025-09-18T10:15:00" u="1"/>
        <d v="2025-09-18T10:20:00" u="1"/>
        <d v="2025-09-18T10:23:00" u="1"/>
        <d v="2025-09-18T10:27:00" u="1"/>
        <d v="2025-09-18T10:33:00" u="1"/>
        <d v="2025-09-18T10:39:00" u="1"/>
        <d v="2025-09-18T10:42:00" u="1"/>
        <d v="2025-09-08T10:13:00" u="1"/>
        <d v="2025-09-09T16:53:00" u="1"/>
        <d v="2025-09-15T16:25:00" u="1"/>
        <d v="2025-09-15T16:03:00" u="1"/>
        <d v="2025-09-19T10:43:00" u="1"/>
        <d v="2025-09-09T12:53:00" u="1"/>
        <d v="2025-09-15T09:44:00" u="1"/>
        <d v="2025-09-19T11:18:00" u="1"/>
        <d v="2025-09-19T11:24:00" u="1"/>
        <d v="2025-09-16T10:52:00" u="1"/>
        <d v="2025-09-19T15:42:00" u="1"/>
        <d v="2025-09-19T19:37:00" u="1"/>
        <d v="2025-09-21T09:05:00" u="1"/>
        <d v="2025-08-26T14:27:00" u="1"/>
        <d v="2025-08-29T17:15:00" u="1"/>
        <d v="2025-09-18T09:12:00" u="1"/>
        <d v="2025-09-17T13:52:00" u="1"/>
        <d v="2025-09-17T14:10:00" u="1"/>
        <d v="2025-09-19T12:53:00" u="1"/>
        <d v="2025-09-19T12:38:00" u="1"/>
        <d v="2025-09-19T09:35:00" u="1"/>
        <d v="2025-09-19T12:36:00" u="1"/>
        <d v="2025-09-19T11:55:00" u="1"/>
        <d v="2025-08-14T16:05:00" u="1"/>
        <d v="2025-09-19T15:40:00" u="1"/>
        <d v="2025-09-19T15:52:00" u="1"/>
        <d v="2025-09-18T08:03:00" u="1"/>
        <d v="2025-09-15T09:21:00" u="1"/>
        <d v="2025-09-18T10:14:00" u="1"/>
        <d v="2025-09-18T09:32:00" u="1"/>
        <d v="2025-09-18T08:46:00" u="1"/>
        <d v="2025-09-16T12:57:00" u="1"/>
        <d v="2025-09-21T22:31:00" u="1"/>
        <d v="2025-09-15T11:32:00" u="1"/>
        <d v="2025-09-19T11:05:00" u="1"/>
        <d v="2025-09-21T14:39:00" u="1"/>
        <d v="2025-09-19T13:55:00" u="1"/>
        <d v="2025-09-19T12:31:00" u="1"/>
        <d v="2025-09-19T12:29:00" u="1"/>
        <d v="2025-09-12T18:45:00" u="1"/>
        <d v="2025-09-18T15:25:00" u="1"/>
        <d v="2025-09-19T19:57:00" u="1"/>
        <d v="2025-09-19T17:30:00" u="1"/>
        <d v="2025-09-19T15:13:00" u="1"/>
        <d v="2025-09-15T09:17:00" u="1"/>
        <d v="2025-09-17T16:34:00" u="1"/>
        <d v="2025-09-10T15:42:00" u="1"/>
        <d v="2025-09-10T15:45:00" u="1"/>
        <d v="2025-09-15T14:54:00" u="1"/>
        <d v="2025-09-10T11:14:00" u="1"/>
        <d v="2025-09-09T16:43:00" u="1"/>
        <d v="2025-09-15T09:14:00" u="1"/>
        <d v="2025-09-17T15:30:00" u="1"/>
        <d v="2025-09-10T17:55:00" u="1"/>
        <d v="2025-09-10T16:18:00" u="1"/>
        <d v="2025-09-19T08:45:00" u="1"/>
        <d v="2025-09-19T08:49:00" u="1"/>
        <d v="2025-09-18T16:11:00" u="1"/>
        <d v="2025-09-18T07:40:00" u="1"/>
        <d v="2025-09-18T15:10:00" u="1"/>
        <d v="2025-09-17T15:32:00" u="1"/>
        <d v="2025-09-15T13:03:00" u="1"/>
        <d v="2025-09-12T12:22:00" u="1"/>
        <d v="2025-09-19T16:24:00" u="1"/>
        <d v="2025-09-16T09:48:00" u="1"/>
        <d v="2025-09-15T08:49:00" u="1"/>
        <d v="2025-09-17T17:17:00" u="1"/>
        <d v="2025-09-19T15:20:00" u="1"/>
        <d v="2025-09-19T15:19:00" u="1"/>
        <d v="2025-09-11T17:42:00" u="1"/>
        <d v="2025-09-11T17:11:00" u="1"/>
        <d v="2025-09-02T20:29:00" u="1"/>
        <d v="2025-09-19T11:16:00" u="1"/>
        <d v="2025-02-14T13:52:00" u="1"/>
        <d v="2025-07-20T19:34:00" u="1"/>
        <d v="2025-08-21T12:42:00" u="1"/>
        <d v="2025-08-20T14:26:00" u="1"/>
        <d v="2025-08-14T16:12:00" u="1"/>
        <d v="2025-08-22T15:45:00" u="1"/>
        <d v="2025-08-26T16:00:00" u="1"/>
        <d v="2025-08-21T17:57:00" u="1"/>
        <d v="2025-08-25T19:06:00" u="1"/>
        <d v="2025-08-21T15:38:00" u="1"/>
        <d v="2025-08-25T09:19:00" u="1"/>
        <d v="2025-08-25T17:21:00" u="1"/>
        <d v="2025-08-21T20:56:00" u="1"/>
        <d v="2025-08-28T16:14:00" u="1"/>
        <d v="2025-08-27T23:33:00" u="1"/>
        <d v="2025-08-26T23:12:00" u="1"/>
        <d v="2025-08-22T11:32:00" u="1"/>
        <d v="2025-08-28T15:10:00" u="1"/>
        <d v="2025-08-28T08:20:00" u="1"/>
        <d v="2025-08-28T09:53:00" u="1"/>
        <d v="2025-08-27T00:00:00" u="1"/>
        <d v="2025-08-28T13:38:00" u="1"/>
        <d v="2025-08-27T12:13:00" u="1"/>
        <d v="2025-08-26T17:45:00" u="1"/>
        <d v="2025-08-28T16:41:00" u="1"/>
        <d v="2025-09-01T12:50:00" u="1"/>
        <d v="2025-08-29T16:28:00" u="1"/>
        <d v="2025-09-01T06:57:00" u="1"/>
        <d v="2025-08-28T15:29:00" u="1"/>
        <d v="2025-08-29T07:30:00" u="1"/>
        <d v="2025-09-01T11:43:00" u="1"/>
        <d v="2025-08-26T10:35:00" u="1"/>
        <d v="2025-08-29T18:16:00" u="1"/>
        <d v="2025-09-01T13:07:00" u="1"/>
        <d v="2025-09-01T12:26:00" u="1"/>
        <d v="2025-09-01T11:15:00" u="1"/>
        <d v="2025-09-01T10:46:00" u="1"/>
        <d v="2025-08-29T13:07:00" u="1"/>
        <d v="2025-09-01T13:10:00" u="1"/>
        <d v="2025-08-29T14:30:00" u="1"/>
        <d v="2025-09-01T12:36:00" u="1"/>
        <d v="2025-09-01T12:39:00" u="1"/>
        <d v="2025-04-22T15:07:00" u="1"/>
        <d v="2025-09-01T08:16:00" u="1"/>
        <d v="2025-09-01T03:21:00" u="1"/>
        <d v="2025-09-01T10:01:00" u="1"/>
        <d v="2025-09-03T18:00:00" u="1"/>
        <d v="2025-09-04T10:55:00" u="1"/>
        <d v="2025-09-12T09:44:00" u="1"/>
        <d v="2025-09-09T15:25:00" u="1"/>
        <d v="2025-09-11T12:33:00" u="1"/>
        <d v="2025-09-11T13:10:00" u="1"/>
        <d v="2025-09-05T13:37:00" u="1"/>
        <d v="2025-09-08T15:22:00" u="1"/>
        <d v="2025-09-08T15:31:00" u="1"/>
        <d v="2025-09-08T15:49:00" u="1"/>
        <d v="2025-09-10T13:21:00" u="1"/>
        <d v="2025-09-09T09:11:00" u="1"/>
        <d v="2025-09-16T09:18:00" u="1"/>
        <d v="2025-09-16T12:27:00" u="1"/>
        <d v="2025-09-16T09:09:00" u="1"/>
        <d v="2025-09-16T11:54:00" u="1"/>
        <d v="2025-09-16T09:25:00" u="1"/>
        <d v="2025-09-16T12:01:00" u="1"/>
        <d v="2025-09-16T09:47:00" u="1"/>
        <d v="2025-09-16T11:04:00" u="1"/>
        <d v="2025-09-16T09:49:00" u="1"/>
        <d v="2025-09-12T08:14:00" u="1"/>
        <d v="2025-09-12T09:42:00" u="1"/>
        <d v="2025-09-12T12:49:00" u="1"/>
        <d v="2025-09-12T10:48:00" u="1"/>
        <d v="2025-09-12T10:45:00" u="1"/>
        <d v="2025-09-12T10:27:00" u="1"/>
        <d v="2025-09-12T14:29:00" u="1"/>
        <d v="2025-09-15T04:48:00" u="1"/>
        <d v="2025-09-12T13:46:00" u="1"/>
        <d v="2025-09-12T09:34:00" u="1"/>
        <d v="2025-09-15T09:51:00" u="1"/>
        <d v="2025-09-14T19:30:00" u="1"/>
        <d v="2025-09-12T12:37:00" u="1"/>
        <d v="2025-09-02T08:11:00" u="1"/>
        <d v="2025-09-12T09:22:00" u="1"/>
        <d v="2025-07-23T12:48:00" u="1"/>
        <d v="2025-09-15T12:25:00" u="1"/>
        <d v="2025-09-10T12:09:00" u="1"/>
        <d v="2025-09-16T17:26:00" u="1"/>
        <d v="2025-09-16T18:56:00" u="1"/>
        <d v="2025-09-16T15:15:00" u="1"/>
        <d v="2025-09-17T19:02:00" u="1"/>
        <d v="2025-09-17T14:52:00" u="1"/>
        <d v="2025-09-17T13:43:00" u="1"/>
        <d v="2025-09-16T17:10:00" u="1"/>
        <d v="2025-09-16T17:01:00" u="1"/>
        <d v="2025-09-16T17:14:00" u="1"/>
        <d v="2025-09-17T10:41:00" u="1"/>
        <d v="2025-09-17T13:59:00" u="1"/>
        <d v="2025-09-17T10:05:00" u="1"/>
        <d v="2025-09-16T19:44:00" u="1"/>
        <d v="2025-09-17T15:03:00" u="1"/>
        <d v="2025-09-16T17:34:00" u="1"/>
        <d v="2025-09-16T13:18:00" u="1"/>
        <d v="2025-09-16T15:06:00" u="1"/>
        <d v="2025-09-17T12:04:00" u="1"/>
        <d v="2025-09-16T15:57:00" u="1"/>
        <d v="2025-09-16T18:19:00" u="1"/>
        <d v="2025-09-16T12:11:00" u="1"/>
        <d v="2025-09-17T09:23:00" u="1"/>
        <d v="2025-09-16T11:02:00" u="1"/>
        <d v="2025-09-17T06:27:00" u="1"/>
        <d v="2025-09-17T10:31:00" u="1"/>
        <d v="2025-09-17T15:39:00" u="1"/>
        <d v="2025-09-17T11:22:00" u="1"/>
        <d v="2025-09-16T18:10:00" u="1"/>
        <d v="2025-09-17T07:53:00" u="1"/>
        <d v="2025-09-16T16:41:00" u="1"/>
        <d v="2025-09-17T16:18:00" u="1"/>
        <d v="2025-09-17T16:58:00" u="1"/>
        <d v="2025-09-16T15:07:00" u="1"/>
        <d v="2025-09-16T22:54:00" u="1"/>
        <d v="2025-09-16T22:55:00" u="1"/>
        <d v="2025-09-17T17:50:00" u="1"/>
        <d v="2025-09-16T15:17:00" u="1"/>
        <d v="2025-09-16T18:11:00" u="1"/>
        <d v="2025-09-17T16:54:00" u="1"/>
        <d v="2025-09-17T08:26:00" u="1"/>
        <d v="2025-09-16T15:31:00" u="1"/>
        <d v="2025-09-17T03:29:00" u="1"/>
        <d v="2025-09-16T15:35:00" u="1"/>
        <d v="2025-09-16T11:27:00" u="1"/>
        <d v="2025-09-09T14:38:00" u="1"/>
        <d v="2025-09-15T10:39:00" u="1"/>
        <d v="2025-09-15T06:14:00" u="1"/>
        <d v="2025-09-15T08:02:00" u="1"/>
        <d v="2025-09-16T07:31:00" u="1"/>
        <d v="2025-09-12T08:11:00" u="1"/>
        <d v="2025-09-17T13:53:00" u="1"/>
        <d v="2025-09-17T18:25:00" u="1"/>
        <d v="2025-02-25T14:49:00" u="1"/>
        <d v="2025-08-21T10:39:00" u="1"/>
        <d v="2025-09-02T12:47:00" u="1"/>
        <d v="2025-09-17T03:40:00" u="1"/>
        <d v="2025-09-15T15:29:00" u="1"/>
        <d v="2025-09-15T07:42:00" u="1"/>
        <d v="2025-09-18T17:55:00" u="1"/>
        <d v="2025-09-18T13:42:00" u="1"/>
        <d v="2025-09-18T11:41:00" u="1"/>
        <d v="2025-09-18T10:00:00" u="1"/>
        <d v="2025-09-18T10:01:00" u="1"/>
        <d v="2025-09-18T17:32:00" u="1"/>
        <d v="2025-09-18T15:32:00" u="1"/>
        <d v="2025-09-18T15:01:00" u="1"/>
        <d v="2025-09-18T10:46:00" u="1"/>
        <d v="2025-09-18T12:32:00" u="1"/>
        <d v="2025-09-18T14:51:00" u="1"/>
        <d v="2025-09-18T15:16:00" u="1"/>
        <d v="2025-09-18T17:37:00" u="1"/>
        <d v="2025-09-18T11:26:00" u="1"/>
        <d v="2025-09-18T11:27:00" u="1"/>
        <d v="2025-09-18T11:39:00" u="1"/>
        <d v="2025-09-18T08:04:00" u="1"/>
        <d v="2025-09-18T16:09:00" u="1"/>
        <d v="2025-09-18T14:48:00" u="1"/>
        <d v="2025-09-18T09:44:00" u="1"/>
        <d v="2025-09-18T09:46:00" u="1"/>
        <d v="2025-09-18T11:53:00" u="1"/>
        <d v="2025-09-18T17:13:00" u="1"/>
        <d v="2025-09-18T17:29:00" u="1"/>
        <d v="2025-09-18T09:37:00" u="1"/>
        <d v="2025-09-18T09:41:00" u="1"/>
        <d v="2025-09-18T11:23:00" u="1"/>
        <d v="2025-09-18T18:22:00" u="1"/>
        <d v="2025-09-18T18:21:00" u="1"/>
        <d v="2025-09-18T09:42:00" u="1"/>
        <d v="2025-09-18T16:48:00" u="1"/>
        <d v="2025-09-18T15:04:00" u="1"/>
        <d v="2025-09-18T11:06:00" u="1"/>
        <d v="2025-09-18T15:05:00" u="1"/>
        <d v="2025-09-15T05:40:00" u="1"/>
        <d v="2025-09-18T02:32:00" u="1"/>
        <d v="2025-09-17T05:55:00" u="1"/>
        <d v="2025-09-18T04:26:00" u="1"/>
        <d v="2025-09-18T01:01:00" u="1"/>
        <d v="2025-09-18T04:21:00" u="1"/>
        <d v="2025-09-18T12:03:00" u="1"/>
        <d v="2025-09-18T13:26:00" u="1"/>
        <d v="2025-09-18T09:52:00" u="1"/>
        <d v="2025-09-17T07:06:00" u="1"/>
        <d v="2025-09-17T06:39:00" u="1"/>
        <d v="2025-09-18T16:07:00" u="1"/>
        <d v="2025-09-18T05:52:00" u="1"/>
        <d v="2025-08-04T11:43:00" u="1"/>
        <d v="2025-09-18T07:56:00" u="1"/>
        <d v="2025-09-17T10:00:00" u="1"/>
        <d v="2025-09-18T08:50:00" u="1"/>
        <d v="2025-09-18T15:39:00" u="1"/>
        <d v="2025-09-17T04:58:00" u="1"/>
        <d v="2025-09-16T08:23:00" u="1"/>
        <d v="2025-09-18T10:22:00" u="1"/>
        <d v="2025-09-18T12:55:00" u="1"/>
        <d v="2025-09-18T02:55:00" u="1"/>
        <d v="2025-09-18T11:13:00" u="1"/>
        <d v="2025-09-18T03:47:00" u="1"/>
        <d v="2025-09-18T02:21:00" u="1"/>
        <d v="2025-09-18T02:04:00" u="1"/>
        <d v="2025-09-18T02:24:00" u="1"/>
        <d v="2025-09-17T05:43:00" u="1"/>
        <d v="2025-09-18T10:55:00" u="1"/>
        <d v="2025-09-18T03:02:00" u="1"/>
        <d v="2025-09-18T09:35:00" u="1"/>
        <d v="2025-09-18T09:24:00" u="1"/>
        <d v="2025-09-17T06:33:00" u="1"/>
        <d v="2025-09-19T04:54:00" u="1"/>
        <d v="2025-09-19T06:22:00" u="1"/>
        <d v="2025-09-18T10:13:00" u="1"/>
        <d v="2025-09-17T14:42:00" u="1"/>
        <d v="2025-08-30T00:00:00" u="1"/>
        <d v="2025-09-05T17:03:00" u="1"/>
        <d v="2025-09-08T15:46:00" u="1"/>
        <d v="2025-09-08T16:39:00" u="1"/>
        <d v="2025-09-08T16:12:00" u="1"/>
        <d v="2025-09-10T09:52:00" u="1"/>
        <d v="2025-09-10T10:00:00" u="1"/>
        <d v="2025-09-10T10:11:00" u="1"/>
        <d v="2025-09-05T21:54:00" u="1"/>
        <d v="2025-09-15T15:15:00" u="1"/>
        <d v="2025-09-15T14:18:00" u="1"/>
        <d v="2025-09-15T10:18:00" u="1"/>
        <d v="2025-09-12T12:14:00" u="1"/>
        <d v="2025-09-15T09:05:00" u="1"/>
        <d v="2025-09-15T18:07:00" u="1"/>
        <d v="2025-09-17T12:11:00" u="1"/>
        <d v="2025-09-17T12:15:00" u="1"/>
        <d v="2025-09-17T12:20:00" u="1"/>
        <d v="2025-09-17T12:27:00" u="1"/>
        <d v="2025-09-17T12:32:00" u="1"/>
        <d v="2025-09-12T13:24:00" u="1"/>
        <d v="2025-09-12T13:26:00" u="1"/>
        <d v="2025-09-12T13:29:00" u="1"/>
        <d v="2025-09-17T15:46:00" u="1"/>
        <d v="2025-09-17T16:06:00" u="1"/>
        <d v="2025-09-17T16:36:00" u="1"/>
        <d v="2025-09-17T16:35:00" u="1"/>
        <d v="2025-09-09T12:37:00" u="1"/>
        <d v="2025-09-16T11:45:00" u="1"/>
        <d v="2025-09-16T10:35:00" u="1"/>
        <d v="2025-09-04T14:22:00" u="1"/>
        <d v="2025-09-04T14:27:00" u="1"/>
        <d v="2025-09-16T10:32:00" u="1"/>
        <d v="2025-09-16T07:26:00" u="1"/>
        <d v="2025-09-17T04:53:00" u="1"/>
        <d v="2025-09-17T03:30:00" u="1"/>
        <d v="2025-09-17T03:18:00" u="1"/>
        <d v="2025-09-17T03:25:00" u="1"/>
        <d v="2025-09-17T06:32:00" u="1"/>
        <d v="2025-09-17T04:41:00" u="1"/>
        <d v="2025-09-15T14:17:00" u="1"/>
        <d v="2025-09-17T04:26:00" u="1"/>
        <d v="2025-09-16T12:02:00" u="1"/>
        <d v="2025-09-17T10:19:00" u="1"/>
        <d v="2025-09-17T01:03:00" u="1"/>
        <d v="2025-09-17T04:34:00" u="1"/>
        <d v="2025-09-17T17:02:00" u="1"/>
        <d v="2025-09-17T16:48:00" u="1"/>
        <d v="2025-09-17T16:49:00" u="1"/>
        <d v="2025-09-17T16:55:00" u="1"/>
        <d v="2025-09-17T15:58:00" u="1"/>
        <d v="2025-09-17T17:46:00" u="1"/>
        <d v="2025-09-17T05:47:00" u="1"/>
        <d v="2025-09-17T11:47:00" u="1"/>
        <d v="2025-09-17T05:46:00" u="1"/>
        <d v="2025-09-18T01:30:00" u="1"/>
        <d v="2025-09-17T02:28:00" u="1"/>
        <d v="2025-08-26T00:00:00" u="1"/>
        <d v="2025-09-17T11:54:00" u="1"/>
        <d v="2025-09-17T09:44:00" u="1"/>
        <d v="2025-07-03T00:00:00" u="1"/>
        <d v="2025-09-09T07:46:00" u="1"/>
        <d v="2025-09-17T16:25:00" u="1"/>
        <d v="2025-09-17T04:35:00" u="1"/>
        <d v="2025-09-16T11:44:00" u="1"/>
        <d v="2025-09-18T03:01:00" u="1"/>
        <d v="2025-09-17T16:07:00" u="1"/>
        <d v="2025-09-04T13:18:00" u="1"/>
        <d v="2025-09-04T12:54:00" u="1"/>
        <d v="2025-09-04T12:49:00" u="1"/>
        <d v="2025-09-04T12:42:00" u="1"/>
        <d v="2025-09-09T15:22:00" u="1"/>
        <d v="2025-09-16T10:56:00" u="1"/>
        <d v="2025-09-12T12:52:00" u="1"/>
        <d v="2025-09-15T08:54:00" u="1"/>
        <d v="2025-09-16T09:43:00" u="1"/>
        <d v="2025-09-15T08:53:00" u="1"/>
        <d v="2025-09-15T12:08:00" u="1"/>
        <d v="2025-09-15T11:54:00" u="1"/>
        <d v="2025-09-09T11:34:00" u="1"/>
        <d v="2025-09-16T10:30:00" u="1"/>
        <d v="2025-09-16T08:41:00" u="1"/>
        <d v="2025-09-12T20:09:00" u="1"/>
        <d v="2025-09-16T07:48:00" u="1"/>
        <d v="2025-09-15T15:05:00" u="1"/>
        <d v="2025-09-16T08:39:00" u="1"/>
        <d v="2025-09-16T07:54:00" u="1"/>
        <d v="2025-09-16T11:22:00" u="1"/>
        <d v="2025-09-16T11:21:00" u="1"/>
        <d v="2025-09-16T11:20:00" u="1"/>
        <d v="2025-09-15T15:09:00" u="1"/>
        <d v="2025-09-16T11:58:00" u="1"/>
        <d v="2025-09-16T14:59:00" u="1"/>
        <d v="2025-09-16T14:54:00" u="1"/>
        <d v="2025-09-16T11:10:00" u="1"/>
        <d v="2025-09-15T15:36:00" u="1"/>
        <d v="2025-09-16T04:59:00" u="1"/>
        <d v="2025-09-16T04:46:00" u="1"/>
        <d v="2025-09-16T06:44:00" u="1"/>
        <d v="2025-09-16T11:16:00" u="1"/>
        <d v="2025-09-16T05:24:00" u="1"/>
        <d v="2025-09-16T05:31:00" u="1"/>
        <d v="2025-09-16T11:12:00" u="1"/>
        <d v="2025-09-16T05:38:00" u="1"/>
        <d v="2025-09-16T06:23:00" u="1"/>
        <d v="2025-09-16T11:47:00" u="1"/>
        <d v="2025-09-16T06:18:00" u="1"/>
        <d v="2025-09-16T01:44:00" u="1"/>
        <d v="2025-09-16T09:56:00" u="1"/>
        <d v="2025-09-17T05:12:00" u="1"/>
        <d v="2025-09-15T09:59:00" u="1"/>
        <d v="2025-09-16T14:36:00" u="1"/>
        <d v="2025-09-15T08:55:00" u="1"/>
        <d v="2025-09-15T08:58:00" u="1"/>
        <d v="2025-09-15T09:01:00" u="1"/>
        <d v="2025-09-16T14:38:00" u="1"/>
        <d v="2025-09-16T06:37:00" u="1"/>
        <d v="2025-09-16T18:45:00" u="1"/>
        <d v="2025-09-16T06:17:00" u="1"/>
        <d v="2025-09-16T06:20:00" u="1"/>
        <d v="2025-09-16T03:02:00" u="1"/>
        <d v="2025-09-16T02:52:00" u="1"/>
        <d v="2025-09-09T14:03:00" u="1"/>
        <d v="2025-09-11T14:21:00" u="1"/>
        <d v="2025-09-15T08:28:00" u="1"/>
        <d v="2025-09-15T08:34:00" u="1"/>
        <d v="2025-09-16T13:39:00" u="1"/>
        <d v="2025-08-27T15:03:00" u="1"/>
        <d v="2025-08-28T14:20:00" u="1"/>
        <d v="2025-08-28T10:15:00" u="1"/>
        <d v="2025-09-02T10:36:00" u="1"/>
        <d v="2025-09-01T18:51:00" u="1"/>
        <d v="2025-09-01T18:57:00" u="1"/>
        <d v="2025-09-03T12:10:00" u="1"/>
        <d v="2025-09-03T13:26:00" u="1"/>
        <d v="2025-09-02T09:04:00" u="1"/>
        <d v="2025-09-10T09:48:00" u="1"/>
        <d v="2025-09-06T08:12:00" u="1"/>
        <d v="2025-09-11T16:03:00" u="1"/>
        <d v="2025-09-11T13:41:00" u="1"/>
        <d v="2025-09-08T09:24:00" u="1"/>
        <d v="2025-09-08T09:35:00" u="1"/>
        <d v="2025-09-09T07:12:00" u="1"/>
        <d v="2025-09-11T16:00:00" u="1"/>
        <d v="2025-09-11T16:59:00" u="1"/>
        <d v="2025-08-25T12:02:00" u="1"/>
        <d v="2025-09-02T11:05:00" u="1"/>
        <d v="2025-09-04T16:35:00" u="1"/>
        <d v="2025-09-10T10:13:00" u="1"/>
        <d v="2025-09-01T10:15:00" u="1"/>
        <d v="2025-09-11T13:08:00" u="1"/>
        <d v="2025-09-09T14:29:00" u="1"/>
        <d v="2025-09-08T09:14:00" u="1"/>
        <d v="2025-09-11T12:51:00" u="1"/>
        <d v="2025-09-11T12:50:00" u="1"/>
        <d v="2025-09-15T10:37:00" u="1"/>
        <d v="2025-09-15T10:43:00" u="1"/>
        <d v="2025-09-12T16:34:00" u="1"/>
        <d v="2025-09-12T08:57:00" u="1"/>
        <d v="2025-09-11T20:28:00" u="1"/>
        <d v="2025-09-11T13:53:00" u="1"/>
        <d v="2025-09-12T16:53:00" u="1"/>
        <d v="2025-09-12T16:42:00" u="1"/>
        <d v="2025-09-14T10:38:00" u="1"/>
        <d v="2025-09-15T12:21:00" u="1"/>
        <d v="2025-09-12T11:40:00" u="1"/>
        <d v="2025-09-15T11:26:00" u="1"/>
        <d v="2025-09-15T12:01:00" u="1"/>
        <d v="2025-09-12T17:56:00" u="1"/>
        <d v="2025-09-15T11:47:00" u="1"/>
        <d v="2025-09-12T10:16:00" u="1"/>
        <d v="2025-09-12T16:47:00" u="1"/>
        <d v="2025-09-12T17:52:00" u="1"/>
        <d v="2025-09-12T13:01:00" u="1"/>
        <d v="2025-09-12T15:08:00" u="1"/>
        <d v="2025-09-12T08:08:00" u="1"/>
        <d v="2025-09-12T08:09:00" u="1"/>
        <d v="2025-09-12T17:09:00" u="1"/>
        <d v="2025-09-12T13:36:00" u="1"/>
        <d v="2025-09-15T11:14:00" u="1"/>
        <d v="2025-09-11T16:58:00" u="1"/>
        <d v="2025-09-15T10:47:00" u="1"/>
        <d v="2025-09-15T11:10:00" u="1"/>
        <d v="2025-09-15T07:00:00" u="1"/>
        <d v="2025-09-12T18:55:00" u="1"/>
        <d v="2025-09-15T09:49:00" u="1"/>
        <d v="2025-09-12T11:15:00" u="1"/>
        <d v="2025-09-12T08:44:00" u="1"/>
        <d v="2025-09-11T12:39:00" u="1"/>
        <d v="2025-09-11T14:12:00" u="1"/>
        <d v="2025-09-14T19:55:00" u="1"/>
        <d v="2025-09-12T16:21:00" u="1"/>
        <d v="2025-09-12T12:59:00" u="1"/>
        <d v="2025-09-15T11:12:00" u="1"/>
        <d v="2025-09-12T16:32:00" u="1"/>
        <d v="2025-09-12T08:10:00" u="1"/>
        <d v="2025-09-11T12:28:00" u="1"/>
        <d v="2025-09-12T09:28:00" u="1"/>
        <d v="2025-09-12T11:35:00" u="1"/>
        <d v="2025-09-12T16:55:00" u="1"/>
        <d v="2025-09-12T19:04:00" u="1"/>
        <d v="2025-09-15T08:50:00" u="1"/>
        <d v="2025-09-15T11:02:00" u="1"/>
        <d v="2025-09-11T16:40:00" u="1"/>
        <d v="2025-09-11T16:04:00" u="1"/>
        <d v="2025-09-12T10:07:00" u="1"/>
        <d v="2025-09-11T13:38:00" u="1"/>
        <d v="2025-09-15T09:34:00" u="1"/>
        <d v="2025-09-11T13:49:00" u="1"/>
        <d v="2025-09-12T12:05:00" u="1"/>
        <d v="2025-09-15T06:08:00" u="1"/>
        <d v="2025-09-15T06:09:00" u="1"/>
        <d v="2025-09-15T06:11:00" u="1"/>
        <d v="2025-09-15T03:12:00" u="1"/>
        <d v="2025-09-15T03:28:00" u="1"/>
        <d v="2025-09-15T12:39:00" u="1"/>
        <d v="2025-09-12T13:58:00" u="1"/>
        <d v="2025-09-14T01:19:00" u="1"/>
        <d v="2025-09-15T11:11:00" u="1"/>
        <d v="2025-09-15T12:51:00" u="1"/>
        <d v="2025-09-15T11:18:00" u="1"/>
        <d v="2025-09-12T15:53:00" u="1"/>
        <d v="2025-09-12T17:43:00" u="1"/>
        <d v="2025-09-15T09:42:00" u="1"/>
        <d v="2025-09-15T17:25:00" u="1"/>
        <d v="2025-09-15T16:52:00" u="1"/>
        <d v="2025-09-15T18:40:00" u="1"/>
        <d v="2025-09-15T16:53:00" u="1"/>
        <d v="2025-09-15T17:24:00" u="1"/>
        <d v="2025-09-15T16:12:00" u="1"/>
        <d v="2025-09-15T18:09:00" u="1"/>
        <d v="2025-09-15T13:50:00" u="1"/>
        <d v="2025-09-15T19:54:00" u="1"/>
        <d v="2025-09-15T13:54:00" u="1"/>
        <d v="2025-09-15T14:25:00" u="1"/>
        <d v="2025-09-15T14:44:00" u="1"/>
        <d v="2025-09-15T13:20:00" u="1"/>
        <d v="2025-09-14T17:48:00" u="1"/>
        <d v="2025-09-14T17:53:00" u="1"/>
        <d v="2025-09-15T14:39:00" u="1"/>
        <d v="2025-09-15T13:48:00" u="1"/>
        <d v="2025-09-15T18:26:00" u="1"/>
        <d v="2025-09-15T16:04:00" u="1"/>
        <d v="2025-09-15T17:01:00" u="1"/>
        <d v="2025-09-15T17:21:00" u="1"/>
        <d v="2025-09-15T14:35:00" u="1"/>
        <d v="2025-09-15T13:05:00" u="1"/>
        <d v="2025-09-15T16:46:00" u="1"/>
        <d v="2025-09-15T17:27:00" u="1"/>
        <d v="2025-09-15T18:43:00" u="1"/>
        <d v="2025-09-15T17:59:00" u="1"/>
        <d v="2025-09-15T16:48:00" u="1"/>
        <d v="2025-09-15T13:42:00" u="1"/>
        <d v="2025-09-15T14:51:00" u="1"/>
        <d v="2025-09-15T20:09:00" u="1"/>
        <d v="2025-09-16T00:20:00" u="1"/>
        <d v="2025-09-15T05:31:00" u="1"/>
        <d v="2025-09-15T19:04:00" u="1"/>
        <d v="2025-09-15T18:51:00" u="1"/>
        <d v="2025-09-11T17:02:00" u="1"/>
        <d v="2025-09-14T08:14:00" u="1"/>
        <d v="2025-09-15T08:00:00" u="1"/>
        <d v="2025-09-15T08:08:00" u="1"/>
        <d v="2025-09-15T03:55:00" u="1"/>
        <d v="2025-09-15T19:23:00" u="1"/>
        <d v="2025-09-15T18:56:00" u="1"/>
        <d v="2025-09-15T09:16:00" u="1"/>
        <d v="2025-09-15T05:59:00" u="1"/>
        <d v="2025-09-15T05:58:00" u="1"/>
        <d v="2025-09-16T04:03:00" u="1"/>
        <d v="2025-09-16T05:56:00" u="1"/>
        <d v="2025-09-15T08:04:00" u="1"/>
        <d v="2025-09-15T08:05:00" u="1"/>
        <d v="2025-09-15T04:38:00" u="1"/>
        <d v="2025-08-23T07:53:00" u="1"/>
        <d v="2025-08-25T15:41:00" u="1"/>
        <d v="2025-08-26T07:52:00" u="1"/>
        <d v="2025-08-26T17:59:00" u="1"/>
        <d v="2025-08-28T09:36:00" u="1"/>
        <d v="2025-08-28T11:24:00" u="1"/>
        <d v="2025-08-27T18:55:00" u="1"/>
        <d v="2025-08-29T13:05:00" u="1"/>
        <d v="2025-08-29T16:21:00" u="1"/>
        <d v="2025-08-29T15:31:00" u="1"/>
        <d v="2025-09-02T17:56:00" u="1"/>
        <d v="2025-09-01T17:05:00" u="1"/>
        <d v="2025-09-01T17:20:00" u="1"/>
        <d v="2025-09-01T14:56:00" u="1"/>
        <d v="2025-09-01T16:59:00" u="1"/>
        <d v="2025-09-02T07:38:00" u="1"/>
        <d v="2025-09-02T13:56:00" u="1"/>
        <d v="2025-09-01T18:09:00" u="1"/>
        <d v="2025-09-01T18:10:00" u="1"/>
        <d v="2025-09-09T13:52:00" u="1"/>
        <d v="2025-09-08T15:48:00" u="1"/>
        <d v="2025-09-09T20:18:00" u="1"/>
        <d v="2025-09-05T09:49:00" u="1"/>
        <d v="2025-09-05T09:33:00" u="1"/>
        <d v="2025-09-09T13:40:00" u="1"/>
        <d v="2025-09-08T19:01:00" u="1"/>
        <d v="2025-09-09T10:31:00" u="1"/>
        <d v="2025-09-05T15:53:00" u="1"/>
        <d v="2025-09-05T15:50:00" u="1"/>
        <d v="2025-09-05T15:44:00" u="1"/>
        <d v="2025-09-11T16:43:00" u="1"/>
        <d v="2025-09-12T15:30:00" u="1"/>
        <d v="2025-09-09T15:01:00" u="1"/>
        <d v="2025-09-10T16:39:00" u="1"/>
        <d v="2025-09-10T19:12:00" u="1"/>
        <d v="2025-09-10T13:22:00" u="1"/>
        <d v="2025-09-10T12:20:00" u="1"/>
        <d v="2025-09-10T12:15:00" u="1"/>
        <d v="2025-09-11T18:20:00" u="1"/>
        <d v="2025-09-11T18:44:00" u="1"/>
        <d v="2025-09-11T12:57:00" u="1"/>
        <d v="2025-09-11T10:32:00" u="1"/>
        <d v="2025-09-11T08:35:00" u="1"/>
        <d v="2025-09-11T10:25:00" u="1"/>
        <d v="2025-09-11T15:03:00" u="1"/>
        <d v="2025-09-11T15:06:00" u="1"/>
        <d v="2025-09-12T09:57:00" u="1"/>
        <d v="2025-09-10T07:38:00" u="1"/>
        <d v="2025-09-12T03:21:00" u="1"/>
        <d v="2025-09-12T03:14:00" u="1"/>
        <d v="2025-09-08T07:06:00" u="1"/>
        <d v="2025-09-08T07:59:00" u="1"/>
        <d v="2025-09-08T09:18:00" u="1"/>
        <d v="2025-09-08T13:54:00" u="1"/>
        <d v="2025-09-09T14:37:00" u="1"/>
        <d v="2025-09-09T14:16:00" u="1"/>
        <d v="2025-09-12T03:07:00" u="1"/>
        <d v="2025-09-12T12:00:00" u="1"/>
        <d v="2025-09-12T01:44:00" u="1"/>
        <d v="2025-09-12T11:43:00" u="1"/>
        <d v="2025-09-12T09:10:00" u="1"/>
        <d v="2025-04-29T08:15:00" u="1"/>
        <d v="2025-09-08T08:49:00" u="1"/>
        <d v="2025-09-09T12:44:00" u="1"/>
        <d v="2025-09-12T10:02:00" u="1"/>
        <d v="2025-09-10T14:16:00" u="1"/>
        <d v="2025-06-25T09:05:00" u="1"/>
        <d v="2025-09-10T15:16:00" u="1"/>
        <d v="2025-09-08T08:00:00" u="1"/>
        <d v="2025-09-08T13:10:00" u="1"/>
        <d v="2025-09-12T07:03:00" u="1"/>
        <d v="2025-09-12T07:49:00" u="1"/>
        <d v="2025-09-10T10:54:00" u="1"/>
        <d v="2025-09-12T03:08:00" u="1"/>
        <d v="2025-09-12T12:54:00" u="1"/>
        <d v="2025-09-12T12:30:00" u="1"/>
        <d v="2025-09-12T03:01:00" u="1"/>
        <d v="2025-09-12T11:42:00" u="1"/>
        <d v="2025-09-12T09:27:00" u="1"/>
        <d v="2025-09-12T15:35:00" u="1"/>
        <d v="2025-09-12T15:27:00" u="1"/>
        <d v="2025-09-12T16:46:00" u="1"/>
        <d v="2025-09-12T15:52:00" u="1"/>
        <d v="2025-09-12T14:46:00" u="1"/>
        <d v="2025-09-12T09:04:00" u="1"/>
        <d v="2025-09-08T15:23:00" u="1"/>
        <d v="2025-09-09T15:03:00" u="1"/>
        <d v="2025-09-09T15:02:00" u="1"/>
        <d v="2025-09-10T17:19:00" u="1"/>
        <d v="2025-09-10T17:18:00" u="1"/>
        <d v="2025-09-10T17:20:00" u="1"/>
        <d v="2025-09-10T17:14:00" u="1"/>
        <d v="2025-09-11T11:40:00" u="1"/>
        <d v="2025-09-11T12:26:00" u="1"/>
        <d v="2025-09-12T15:34:00" u="1"/>
        <d v="2025-09-12T15:06:00" u="1"/>
        <d v="2025-09-12T14:58:00" u="1"/>
        <d v="2025-09-12T12:03:00" u="1"/>
        <d v="2025-09-12T08:49:00" u="1"/>
        <d v="2025-09-12T09:24:00" u="1"/>
        <d v="2025-09-04T18:39:00" u="1"/>
        <d v="2025-09-11T03:43:00" u="1"/>
        <d v="2025-09-11T03:36:00" u="1"/>
        <d v="2025-09-12T09:30:00" u="1"/>
        <d v="2025-09-12T18:53:00" u="1"/>
        <d v="2025-09-09T09:06:00" u="1"/>
        <d v="2025-09-12T01:51:00" u="1"/>
        <d v="2025-09-15T03:50:00" u="1"/>
        <d v="2025-09-13T04:23:00" u="1"/>
        <d v="2025-09-12T08:59:00" u="1"/>
        <d v="2025-09-12T08:53:00" u="1"/>
        <d v="2025-09-13T07:54:00" u="1"/>
        <d v="2025-09-12T02:31:00" u="1"/>
        <d v="2025-09-12T17:47:00" u="1"/>
        <d v="2025-09-12T04:55:00" u="1"/>
        <d v="2025-09-13T03:01:00" u="1"/>
        <d v="2025-09-14T11:31:00" u="1"/>
        <d v="2025-09-12T09:31:00" u="1"/>
        <d v="2025-09-12T17:28:00" u="1"/>
        <d v="2025-09-12T19:01:00" u="1"/>
        <d v="2025-09-12T14:54:00" u="1"/>
        <d v="2025-09-12T17:02:00" u="1"/>
        <d v="2025-09-13T10:05:00" u="1"/>
        <d v="2025-09-13T08:59:00" u="1"/>
        <d v="2025-09-12T05:42:00" u="1"/>
        <d v="2025-09-13T12:50:00" u="1"/>
        <d v="2025-09-13T05:50:00" u="1"/>
        <d v="2025-09-12T05:04:00" u="1"/>
        <d v="2025-09-13T19:49:00" u="1"/>
        <d v="2025-09-13T01:28:00" u="1"/>
        <d v="2025-08-28T06:36:00" u="1"/>
        <d v="2025-08-28T09:48:00" u="1"/>
        <d v="2025-09-02T14:29:00" u="1"/>
        <d v="2025-09-11T16:53:00" u="1"/>
        <d v="2025-09-11T14:19:00" u="1"/>
        <d v="2025-09-11T15:46:00" u="1"/>
        <d v="2025-08-21T17:49:00" u="1"/>
        <d v="2025-09-08T18:29:00" u="1"/>
        <d v="2025-09-11T10:03:00" u="1"/>
        <d v="2025-09-01T18:47:00" u="1"/>
        <d v="2025-08-28T13:36:00" u="1"/>
        <d v="2025-07-01T08:49:00" u="1"/>
        <d v="2025-09-10T08:56:00" u="1"/>
        <d v="2025-09-10T13:10:00" u="1"/>
        <d v="2025-09-11T07:48:00" u="1"/>
        <d v="2025-09-08T16:55:00" u="1"/>
        <d v="2025-08-08T07:48:00" u="1"/>
        <d v="2025-09-01T08:55:00" u="1"/>
        <d v="2025-09-09T12:20:00" u="1"/>
        <d v="2025-09-08T11:43:00" u="1"/>
        <d v="2025-09-08T13:14:00" u="1"/>
        <d v="2025-09-08T13:19:00" u="1"/>
        <d v="2025-09-09T15:07:00" u="1"/>
        <d v="2025-09-05T14:29:00" u="1"/>
        <d v="2025-09-11T15:07:00" u="1"/>
        <d v="2025-08-26T14:24:00" u="1"/>
        <d v="2025-09-11T07:44:00" u="1"/>
        <d v="2025-08-13T10:37:00" u="1"/>
        <d v="2025-08-28T09:18:00" u="1"/>
        <d v="2025-09-11T16:22:00" u="1"/>
        <d v="2025-09-05T16:00:00" u="1"/>
        <d v="2025-09-11T18:14:00" u="1"/>
        <d v="2025-09-05T20:12:00" u="1"/>
        <d v="2025-09-11T12:05:00" u="1"/>
        <d v="2025-09-11T12:03:00" u="1"/>
        <d v="2025-09-11T10:43:00" u="1"/>
        <d v="2025-09-11T04:59:00" u="1"/>
        <d v="2025-09-11T05:07:00" u="1"/>
        <d v="2025-09-11T02:53:00" u="1"/>
        <d v="2025-09-11T19:59:00" u="1"/>
        <d v="2025-09-11T16:13:00" u="1"/>
        <d v="2025-09-05T08:28:00" u="1"/>
        <d v="2025-09-03T12:25:00" u="1"/>
        <d v="2025-09-03T12:22:00" u="1"/>
        <d v="2025-09-03T05:01:00" u="1"/>
        <d v="2025-09-09T11:31:00" u="1"/>
        <d v="2025-09-05T09:41:00" u="1"/>
        <d v="2025-08-22T00:00:00" u="1"/>
        <d v="2025-09-11T12:52:00" u="1"/>
        <d v="2025-09-11T12:15:00" u="1"/>
        <d v="2025-09-02T07:42:00" u="1"/>
        <d v="2025-08-28T08:11:00" u="1"/>
        <d v="2025-09-11T16:09:00" u="1"/>
        <d v="2025-09-05T20:44:00" u="1"/>
        <d v="2025-09-11T11:27:00" u="1"/>
        <d v="2025-09-11T16:11:00" u="1"/>
        <d v="2025-09-11T13:35:00" u="1"/>
        <d v="2025-09-09T16:45:00" u="1"/>
        <d v="2025-09-08T17:23:00" u="1"/>
        <d v="2025-09-08T17:13:00" u="1"/>
        <d v="2025-09-11T17:26:00" u="1"/>
        <d v="2025-09-09T12:12:00" u="1"/>
        <d v="2025-09-11T18:35:00" u="1"/>
        <d v="2025-09-11T16:49:00" u="1"/>
        <d v="2025-09-10T17:57:00" u="1"/>
        <d v="2025-09-11T07:33:00" u="1"/>
        <d v="2025-09-11T01:40:00" u="1"/>
        <d v="2025-09-10T10:42:00" u="1"/>
        <d v="2025-09-11T07:26:00" u="1"/>
        <d v="2025-09-05T14:16:00" u="1"/>
        <d v="2025-09-10T17:50:00" u="1"/>
        <d v="2025-09-08T15:19:00" u="1"/>
        <d v="2025-09-02T05:45:00" u="1"/>
        <d v="2025-09-11T10:16:00" u="1"/>
        <d v="2025-09-10T15:15:00" u="1"/>
        <d v="2025-09-10T19:29:00" u="1"/>
        <d v="2025-09-09T14:05:00" u="1"/>
        <d v="2025-09-10T17:53:00" u="1"/>
        <d v="2025-09-10T14:34:00" u="1"/>
        <d v="2025-09-03T12:48:00" u="1"/>
        <d v="2025-09-11T09:24:00" u="1"/>
        <d v="2025-09-08T14:28:00" u="1"/>
        <d v="2025-09-11T15:35:00" u="1"/>
        <d v="2025-08-29T10:58:00" u="1"/>
        <d v="2025-09-04T13:27:00" u="1"/>
        <d v="2025-04-07T07:30:00" u="1"/>
        <d v="2025-08-28T11:48:00" u="1"/>
        <d v="2025-08-27T14:44:00" u="1"/>
        <d v="2025-08-18T08:15:00" u="1"/>
        <d v="2025-08-22T14:07:00" u="1"/>
        <d v="2025-09-01T08:11:00" u="1"/>
        <d v="2025-08-06T14:43:00" u="1"/>
        <d v="2025-09-09T14:19:00" u="1"/>
        <d v="2025-09-11T11:47:00" u="1"/>
        <d v="2025-07-07T17:00:00" u="1"/>
        <d v="2025-09-05T16:26:00" u="1"/>
        <d v="2025-09-11T10:41:00" u="1"/>
        <d v="2025-01-23T08:27:00" u="1"/>
        <d v="2025-09-03T11:57:00" u="1"/>
        <d v="2025-09-09T13:44:00" u="1"/>
        <d v="2025-09-04T07:09:00" u="1"/>
        <d v="2025-09-04T14:50:00" u="1"/>
        <d v="2025-09-05T12:02:00" u="1"/>
        <d v="2025-09-11T12:44:00" u="1"/>
        <d v="2025-09-10T17:41:00" u="1"/>
        <d v="2025-09-04T15:07:00" u="1"/>
        <d v="2025-09-09T16:54:00" u="1"/>
        <d v="2025-08-29T11:21:00" u="1"/>
        <d v="2025-09-11T14:01:00" u="1"/>
        <d v="2025-08-15T14:53:00" u="1"/>
        <d v="2025-09-08T13:09:00" u="1"/>
        <d v="2025-08-21T17:07:00" u="1"/>
        <d v="2025-09-05T10:26:00" u="1"/>
        <d v="2025-09-08T09:20:00" u="1"/>
        <d v="2025-09-11T06:13:00" u="1"/>
        <d v="2025-09-11T12:53:00" u="1"/>
        <d v="2025-09-08T07:20:00" u="1"/>
        <d v="2025-09-02T17:20:00" u="1"/>
        <d v="2025-07-14T17:51:00" u="1"/>
        <d v="2025-09-11T13:31:00" u="1"/>
        <d v="2025-09-01T15:16:00" u="1"/>
        <d v="2025-09-09T17:00:00" u="1"/>
        <d v="2025-08-28T13:06:00" u="1"/>
        <d v="2025-08-27T13:06:00" u="1"/>
        <d v="2025-09-10T13:12:00" u="1"/>
        <d v="2025-09-10T14:41:00" u="1"/>
        <d v="2025-08-29T11:44:00" u="1"/>
        <d v="2025-09-11T09:23:00" u="1"/>
        <d v="2025-09-03T10:04:00" u="1"/>
        <d v="2025-09-09T13:06:00" u="1"/>
        <d v="2025-08-29T11:49:00" u="1"/>
        <d v="2025-09-09T09:45:00" u="1"/>
        <d v="2025-09-08T08:33:00" u="1"/>
        <d v="2025-07-16T18:39:00" u="1"/>
        <d v="2025-07-16T16:53:00" u="1"/>
        <d v="2025-07-17T19:29:00" u="1"/>
        <d v="2025-09-04T14:55:00" u="1"/>
        <d v="2025-09-05T08:47:00" u="1"/>
        <d v="2025-09-04T13:58:00" u="1"/>
        <d v="2025-09-10T08:04:00" u="1"/>
        <d v="2025-07-15T12:50:00" u="1"/>
        <d v="2025-09-04T13:41:00" u="1"/>
        <d v="2025-09-08T11:11:00" u="1"/>
        <d v="2025-09-08T11:07:00" u="1"/>
        <d v="2025-09-10T18:06:00" u="1"/>
        <d v="2025-09-10T16:02:00" u="1"/>
        <d v="2025-09-10T14:43:00" u="1"/>
        <d v="2025-09-08T14:54:00" u="1"/>
        <d v="2025-09-09T18:42:00" u="1"/>
        <d v="2025-09-09T18:34:00" u="1"/>
        <d v="2025-09-09T18:17:00" u="1"/>
        <d v="2025-09-09T17:30:00" u="1"/>
        <d v="2025-09-10T10:16:00" u="1"/>
        <d v="2025-08-22T17:45:00" u="1"/>
        <d v="2025-09-10T10:58:00" u="1"/>
        <d v="2025-09-10T10:25:00" u="1"/>
        <d v="2025-09-09T09:46:00" u="1"/>
        <d v="2025-09-09T09:07:00" u="1"/>
        <d v="2025-09-05T16:44:00" u="1"/>
        <d v="2025-09-10T10:34:00" u="1"/>
        <d v="2025-09-08T12:40:00" u="1"/>
        <d v="2025-09-10T16:29:00" u="1"/>
        <d v="2025-09-10T13:40:00" u="1"/>
        <d v="2025-09-10T12:16:00" u="1"/>
        <d v="2025-09-10T13:04:00" u="1"/>
        <d v="2025-09-09T16:11:00" u="1"/>
        <d v="2025-09-09T16:23:00" u="1"/>
        <d v="2025-09-05T16:36:00" u="1"/>
        <d v="2025-09-09T16:14:00" u="1"/>
        <d v="2025-09-08T17:53:00" u="1"/>
        <d v="2025-09-09T11:49:00" u="1"/>
        <d v="2025-08-07T16:04:00" u="1"/>
        <d v="2025-09-05T10:29:00" u="1"/>
        <d v="2025-09-10T15:13:00" u="1"/>
        <d v="2025-08-27T09:48:00" u="1"/>
        <d v="2025-09-09T18:38:00" u="1"/>
        <d v="2025-09-08T10:20:00" u="1"/>
        <d v="2025-08-26T11:12:00" u="1"/>
        <d v="2025-08-11T15:01:00" u="1"/>
        <d v="2025-08-13T08:13:00" u="1"/>
        <d v="2025-08-11T14:59:00" u="1"/>
        <d v="2025-08-11T14:55:00" u="1"/>
        <d v="2025-09-10T11:01:00" u="1"/>
        <d v="2025-09-10T22:11:00" u="1"/>
        <d v="2025-09-08T17:15:00" u="1"/>
        <d v="2025-09-10T15:48:00" u="1"/>
        <d v="2025-09-09T08:06:00" u="1"/>
        <d v="2025-09-09T12:27:00" u="1"/>
        <d v="2025-09-09T14:15:00" u="1"/>
        <d v="2025-09-09T14:31:00" u="1"/>
        <d v="2025-09-10T10:45:00" u="1"/>
        <d v="2025-09-10T11:00:00" u="1"/>
        <d v="2025-09-10T10:57:00" u="1"/>
        <d v="2025-09-09T18:50:00" u="1"/>
        <d v="2025-07-15T11:00:00" u="1"/>
        <d v="2025-09-04T08:24:00" u="1"/>
        <d v="2025-09-04T08:26:00" u="1"/>
        <d v="2025-09-04T08:28:00" u="1"/>
        <d v="2025-08-21T16:35:00" u="1"/>
        <d v="2025-09-10T09:01:00" u="1"/>
        <d v="2025-09-08T13:55:00" u="1"/>
        <d v="2025-09-03T15:11:00" u="1"/>
        <d v="2025-09-10T10:47:00" u="1"/>
        <d v="2025-08-15T01:36:00" u="1"/>
        <d v="2025-08-18T14:16:00" u="1"/>
        <d v="2025-08-20T14:19:00" u="1"/>
        <d v="2025-09-08T19:51:00" u="1"/>
        <d v="2025-09-08T14:05:00" u="1"/>
        <d v="2025-09-04T21:12:00" u="1"/>
        <d v="2025-09-10T16:20:00" u="1"/>
        <d v="2025-08-14T10:56:00" u="1"/>
        <d v="2025-08-11T21:34:00" u="1"/>
        <d v="2025-08-19T11:08:00" u="1"/>
        <d v="2025-09-10T20:51:00" u="1"/>
        <d v="2025-09-08T13:47:00" u="1"/>
        <d v="2025-09-08T13:44:00" u="1"/>
        <d v="2025-09-08T13:46:00" u="1"/>
        <d v="2025-09-08T13:48:00" u="1"/>
        <d v="2025-09-05T15:59:00" u="1"/>
        <d v="2025-09-06T10:17:00" u="1"/>
        <d v="2025-09-04T14:21:00" u="1"/>
        <d v="2025-09-05T11:01:00" u="1"/>
        <d v="2025-09-10T13:31:00" u="1"/>
        <d v="2025-09-08T20:38:00" u="1"/>
        <d v="2025-08-26T16:42:00" u="1"/>
        <d v="2025-09-08T21:50:00" u="1"/>
        <d v="2025-09-10T15:18:00" u="1"/>
        <d v="2025-07-23T14:28:00" u="1"/>
        <d v="2025-09-09T16:15:00" u="1"/>
        <d v="2025-09-03T11:30:00" u="1"/>
        <d v="2025-09-03T11:24:00" u="1"/>
        <d v="2025-09-05T16:16:00" u="1"/>
        <d v="2025-09-09T09:25:00" u="1"/>
        <d v="2025-09-02T07:33:00" u="1"/>
        <d v="2025-09-03T17:09:00" u="1"/>
        <d v="2025-09-08T09:37:00" u="1"/>
        <d v="2025-09-10T11:09:00" u="1"/>
        <d v="2025-08-11T00:00:00" u="1"/>
        <d v="2025-08-15T00:00:00" u="1"/>
        <d v="2025-09-03T14:17:00" u="1"/>
        <d v="2025-08-20T12:56:00" u="1"/>
        <d v="2025-08-29T13:41:00" u="1"/>
        <d v="2025-09-05T17:47:00" u="1"/>
        <d v="2025-09-08T10:11:00" u="1"/>
        <d v="2025-09-10T15:50:00" u="1"/>
        <d v="2025-09-09T14:08:00" u="1"/>
        <d v="2025-09-05T09:12:00" u="1"/>
        <d v="2025-08-18T10:07:00" u="1"/>
        <d v="2025-07-30T00:00:00" u="1"/>
        <d v="2025-09-05T15:05:00" u="1"/>
        <d v="2025-09-04T16:28:00" u="1"/>
        <d v="2025-09-08T14:43:00" u="1"/>
        <d v="2025-09-08T20:28:00" u="1"/>
        <d v="2025-09-09T13:26:00" u="1"/>
        <d v="2025-09-08T09:54:00" u="1"/>
        <d v="2025-08-08T10:30:00" u="1"/>
        <d v="2025-08-08T12:00:00" u="1"/>
        <d v="2025-08-08T12:12:00" u="1"/>
        <d v="2025-08-08T12:23:00" u="1"/>
        <d v="2025-08-15T09:26:00" u="1"/>
        <d v="2025-09-04T17:50:00" u="1"/>
        <d v="2025-08-04T11:30:00" u="1"/>
        <d v="2025-09-05T17:58:00" u="1"/>
        <d v="2025-09-05T18:31:00" u="1"/>
        <d v="2025-08-28T17:10:00" u="1"/>
        <d v="2025-09-06T14:20:00" u="1"/>
        <d v="2025-09-05T15:15:00" u="1"/>
        <d v="2025-09-05T07:40:00" u="1"/>
        <d v="2025-09-04T17:54:00" u="1"/>
        <d v="2025-09-10T19:46:00" u="1"/>
        <d v="2025-09-02T14:16:00" u="1"/>
        <d v="2025-09-10T17:22:00" u="1"/>
        <d v="2025-09-10T15:09:00" u="1"/>
        <d v="2025-09-08T18:32:00" u="1"/>
        <d v="2025-09-09T10:18:00" u="1"/>
        <d v="2025-09-08T16:13:00" u="1"/>
        <d v="2025-09-08T15:51:00" u="1"/>
        <d v="2025-08-23T13:06:00" u="1"/>
        <d v="2025-09-10T20:32:00" u="1"/>
        <d v="2025-09-10T19:05:00" u="1"/>
        <d v="2025-09-05T15:08:00" u="1"/>
        <d v="2025-09-08T14:29:00" u="1"/>
        <d v="2025-09-05T16:33:00" u="1"/>
        <d v="2025-08-15T10:46:00" u="1"/>
        <d v="2025-08-15T10:47:00" u="1"/>
        <d v="2025-09-04T14:00:00" u="1"/>
        <d v="2025-09-08T08:36:00" u="1"/>
        <d v="2025-09-08T10:00:00" u="1"/>
        <d v="2025-09-10T19:20:00" u="1"/>
        <d v="2025-09-10T09:57:00" u="1"/>
        <d v="2025-09-09T16:24:00" u="1"/>
        <d v="2025-09-08T11:29:00" u="1"/>
        <d v="2025-08-27T16:54:00" u="1"/>
        <d v="2025-09-09T18:06:00" u="1"/>
        <d v="2025-09-09T18:02:00" u="1"/>
        <d v="2025-09-05T09:48:00" u="1"/>
        <d v="2025-09-03T19:07:00" u="1"/>
        <d v="2025-09-08T09:05:00" u="1"/>
        <d v="2025-09-08T08:51:00" u="1"/>
        <d v="2025-09-09T08:38:00" u="1"/>
        <d v="2025-09-08T22:35:00" u="1"/>
        <d v="2025-09-08T11:32:00" u="1"/>
        <d v="2025-09-05T18:27:00" u="1"/>
        <d v="2025-09-09T18:56:00" u="1"/>
        <d v="2025-09-02T20:24:00" u="1"/>
        <d v="2025-09-09T16:55:00" u="1"/>
        <d v="2025-09-10T16:10:00" u="1"/>
        <d v="2025-09-09T13:38:00" u="1"/>
        <d v="2025-09-05T17:19:00" u="1"/>
        <d v="2025-09-05T16:54:00" u="1"/>
        <d v="2025-09-08T17:49:00" u="1"/>
        <d v="2025-09-08T17:39:00" u="1"/>
        <d v="2025-09-08T15:56:00" u="1"/>
        <d v="2025-09-08T14:45:00" u="1"/>
        <d v="2025-09-08T09:55:00" u="1"/>
        <d v="2025-09-10T09:31:00" u="1"/>
        <d v="2025-09-05T18:44:00" u="1"/>
        <d v="2025-09-10T11:40:00" u="1"/>
        <d v="2025-09-04T17:12:00" u="1"/>
        <d v="2025-08-11T10:57:00" u="1"/>
        <d v="2025-09-05T18:59:00" u="1"/>
        <d v="2025-08-08T12:08:00" u="1"/>
        <d v="2025-08-12T15:11:00" u="1"/>
        <d v="2025-09-08T18:51:00" u="1"/>
        <d v="2025-09-08T18:53:00" u="1"/>
        <d v="2025-09-08T17:42:00" u="1"/>
        <d v="2025-09-08T13:59:00" u="1"/>
        <d v="2025-09-05T15:42:00" u="1"/>
        <d v="2025-09-02T20:28:00" u="1"/>
        <d v="2025-09-09T18:27:00" u="1"/>
        <d v="2025-09-10T10:55:00" u="1"/>
        <d v="2025-09-01T08:17:00" u="1"/>
        <d v="2025-09-08T19:00:00" u="1"/>
        <d v="2025-09-08T19:02:00" u="1"/>
        <d v="2025-09-08T19:03:00" u="1"/>
        <d v="2025-09-08T17:32:00" u="1"/>
        <d v="2025-09-08T18:56:00" u="1"/>
        <d v="2025-09-10T10:49:00" u="1"/>
        <d v="2025-09-09T18:26:00" u="1"/>
        <d v="2025-08-19T12:10:00" u="1"/>
        <d v="2025-08-12T10:07:00" u="1"/>
        <d v="2025-09-05T08:16:00" u="1"/>
        <d v="2025-09-09T13:22:00" u="1"/>
        <d v="2025-09-09T08:07:00" u="1"/>
        <d v="2025-09-09T15:37:00" u="1"/>
        <d v="2025-09-08T17:31:00" u="1"/>
        <d v="2025-09-03T15:28:00" u="1"/>
        <d v="2025-09-10T10:19:00" u="1"/>
        <d v="2025-09-08T08:39:00" u="1"/>
        <d v="2025-09-08T08:31:00" u="1"/>
        <d v="2025-09-05T11:08:00" u="1"/>
        <d v="2025-09-10T14:23:00" u="1"/>
        <d v="2025-09-10T12:23:00" u="1"/>
        <d v="2025-09-09T09:18:00" u="1"/>
        <d v="2025-08-26T18:57:00" u="1"/>
        <d v="2025-08-28T08:08:00" u="1"/>
        <d v="2025-09-09T14:59:00" u="1"/>
        <d v="2025-09-10T20:41:00" u="1"/>
        <d v="2025-09-09T17:48:00" u="1"/>
        <d v="2025-09-08T11:36:00" u="1"/>
        <d v="2025-09-09T19:04:00" u="1"/>
        <d v="2025-08-28T09:15:00" u="1"/>
        <d v="2025-09-04T15:22:00" u="1"/>
        <d v="2025-09-04T15:09:00" u="1"/>
        <d v="2025-09-10T11:44:00" u="1"/>
        <d v="2025-08-01T06:04:00" u="1"/>
        <d v="2025-08-14T00:00:00" u="1"/>
        <d v="2025-08-15T13:55:00" u="1"/>
        <d v="2025-09-09T15:00:00" u="1"/>
        <d v="2025-09-08T16:03:00" u="1"/>
        <d v="2025-09-10T11:16:00" u="1"/>
        <d v="2025-09-09T10:39:00" u="1"/>
        <d v="2025-09-08T08:14:00" u="1"/>
        <d v="2025-09-09T05:55:00" u="1"/>
        <d v="2025-09-09T06:01:00" u="1"/>
        <d v="2025-09-10T02:51:00" u="1"/>
        <d v="2025-08-18T12:24:53" u="1"/>
        <d v="2025-09-09T09:43:00" u="1"/>
        <d v="2025-09-09T13:00:00" u="1"/>
        <d v="2025-09-09T03:21:00" u="1"/>
        <d v="2025-09-02T04:42:00" u="1"/>
        <d v="2025-09-09T03:55:00" u="1"/>
        <d v="2025-09-10T11:08:00" u="1"/>
        <d v="2025-09-09T14:24:00" u="1"/>
        <d v="2025-09-09T10:03:00" u="1"/>
        <d v="2025-09-06T09:44:00" u="1"/>
        <d v="2025-09-02T18:57:00" u="1"/>
        <d v="2025-09-08T09:29:00" u="1"/>
        <d v="2025-09-08T09:32:00" u="1"/>
        <d v="2025-09-02T14:15:00" u="1"/>
        <d v="2025-09-08T09:34:00" u="1"/>
        <d v="2025-09-09T19:20:00" u="1"/>
        <d v="2025-09-10T08:31:00" u="1"/>
        <d v="2025-08-13T14:07:00" u="1"/>
        <d v="2025-08-15T11:25:00" u="1"/>
        <d v="2025-08-13T07:08:00" u="1"/>
        <d v="2025-09-08T08:26:00" u="1"/>
        <d v="2025-08-28T11:55:00" u="1"/>
        <d v="2025-09-08T10:15:00" u="1"/>
        <d v="2025-09-08T10:27:00" u="1"/>
        <d v="2025-09-08T13:00:00" u="1"/>
        <d v="2025-09-08T12:39:00" u="1"/>
        <d v="2025-09-05T14:42:00" u="1"/>
        <d v="2025-09-03T15:40:00" u="1"/>
        <d v="2025-09-01T15:00:00" u="1"/>
        <d v="2025-08-29T08:30:00" u="1"/>
        <d v="2025-08-15T07:48:00" u="1"/>
        <d v="2025-08-01T08:54:00" u="1"/>
        <d v="2025-09-08T13:40:00" u="1"/>
        <d v="2025-09-08T13:49:00" u="1"/>
        <d v="2025-09-08T12:49:00" u="1"/>
        <d v="2025-09-02T07:54:00" u="1"/>
        <d v="2025-09-01T06:15:00" u="1"/>
        <d v="2025-09-01T13:49:00" u="1"/>
        <d v="2025-09-02T08:20:00" u="1"/>
        <d v="2025-08-07T10:20:00" u="1"/>
        <d v="2025-09-10T10:39:00" u="1"/>
        <d v="2025-09-09T13:51:00" u="1"/>
        <d v="2025-09-10T05:15:00" u="1"/>
        <d v="2025-09-08T07:08:00" u="1"/>
        <d v="2025-09-08T13:20:00" u="1"/>
        <d v="2025-09-08T13:42:00" u="1"/>
        <d v="2025-09-08T12:53:00" u="1"/>
        <d v="2025-09-09T13:03:00" u="1"/>
        <d v="2025-09-04T21:00:00" u="1"/>
        <d v="2025-09-03T14:29:00" u="1"/>
        <d v="2025-09-09T11:08:00" u="1"/>
        <d v="2025-09-10T09:04:00" u="1"/>
        <d v="2025-09-10T10:26:00" u="1"/>
        <d v="2025-09-09T11:02:00" u="1"/>
        <d v="2025-03-17T08:27:00" u="1"/>
        <d v="2025-09-09T09:54:00" u="1"/>
        <d v="2025-09-10T14:24:00" u="1"/>
        <d v="2025-04-17T00:00:00" u="1"/>
        <d v="2025-09-08T16:32:00" u="1"/>
        <d v="2025-09-09T14:47:00" u="1"/>
        <d v="2025-05-08T00:00:00" u="1"/>
        <d v="2025-09-09T14:44:00" u="1"/>
        <d v="2025-07-18T12:05:00" u="1"/>
        <d v="2025-08-13T16:07:00" u="1"/>
        <d v="2025-09-05T15:01:00" u="1"/>
        <d v="2025-03-25T09:34:00" u="1"/>
        <d v="2025-08-04T17:58:00" u="1"/>
        <d v="2025-09-09T11:05:00" u="1"/>
        <d v="2025-09-10T08:14:00" u="1"/>
        <d v="2025-09-08T15:58:00" u="1"/>
        <d v="2025-09-10T08:40:00" u="1"/>
        <d v="2025-09-10T04:40:00" u="1"/>
        <d v="2025-09-10T01:51:00" u="1"/>
        <d v="2025-09-10T01:07:00" u="1"/>
        <d v="2025-09-09T06:19:00" u="1"/>
        <d v="2025-09-10T06:55:00" u="1"/>
        <d v="2025-09-10T07:30:00" u="1"/>
        <d v="2025-09-10T01:26:00" u="1"/>
        <d v="2025-09-10T15:31:00" u="1"/>
        <d v="2025-09-10T11:02:00" u="1"/>
        <d v="2025-09-10T09:23:00" u="1"/>
        <d v="2025-07-17T14:14:00" u="1"/>
        <d v="2025-09-09T17:11:00" u="1"/>
        <d v="2025-07-07T00:00:00" u="1"/>
        <d v="2025-09-05T09:47:00" u="1"/>
        <d v="2025-08-10T19:54:00" u="1"/>
        <d v="2025-08-04T18:00:00" u="1"/>
        <d v="2025-08-04T19:00:00" u="1"/>
        <d v="2025-08-19T07:57:00" u="1"/>
        <d v="2025-08-15T10:59:00" u="1"/>
        <d v="2025-08-07T06:19:00" u="1"/>
        <d v="2025-08-04T14:32:00" u="1"/>
        <d v="2025-07-28T13:52:00" u="1"/>
        <d v="2025-07-24T17:45:00" u="1"/>
        <d v="2025-07-24T17:41:00" u="1"/>
        <d v="2025-05-01T13:40:00" u="1"/>
        <d v="2025-08-08T17:36:00" u="1"/>
        <d v="2025-09-10T15:27:00" u="1"/>
        <d v="2025-03-05T16:46:00" u="1"/>
        <d v="2025-09-07T09:26:00" u="1"/>
        <d v="2025-08-13T14:22:00" u="1"/>
        <d v="2025-09-09T17:33:00" u="1"/>
        <d v="2025-09-08T13:21:00" u="1"/>
        <d v="2025-08-26T14:19:00" u="1"/>
        <d v="2025-09-03T07:57:00" u="1"/>
        <d v="2025-08-27T15:13:00" u="1"/>
        <d v="2025-08-29T12:45:00" u="1"/>
        <d v="2025-09-02T09:21:00" u="1"/>
        <d v="2025-09-05T09:11:00" u="1"/>
        <d v="2025-09-04T11:34:00" u="1"/>
        <d v="2025-08-20T14:04:00" u="1"/>
        <d v="2025-08-27T18:03:00" u="1"/>
        <d v="2025-08-28T13:41:00" u="1"/>
        <d v="2025-09-04T17:44:00" u="1"/>
        <d v="2025-09-08T15:37:00" u="1"/>
        <d v="2025-09-05T17:46:00" u="1"/>
        <d v="2025-09-02T11:48:00" u="1"/>
        <d v="2025-09-02T09:43:00" u="1"/>
        <d v="2025-09-02T12:00:00" u="1"/>
        <d v="2025-08-21T16:20:00" u="1"/>
        <d v="2025-08-27T13:21:00" u="1"/>
        <d v="2025-08-27T13:19:00" u="1"/>
        <d v="2025-08-26T14:23:00" u="1"/>
        <d v="2025-08-14T14:17:00" u="1"/>
        <d v="2025-08-21T14:23:00" u="1"/>
        <d v="2025-08-21T13:28:00" u="1"/>
        <d v="2025-09-09T04:18:00" u="1"/>
        <d v="2025-09-09T01:17:00" u="1"/>
        <d v="2025-09-07T10:00:00" u="1"/>
        <d v="2025-09-07T10:09:00" u="1"/>
        <d v="2025-09-08T03:57:00" u="1"/>
        <d v="2025-09-09T07:54:00" u="1"/>
        <d v="2025-09-09T08:26:00" u="1"/>
        <d v="2025-09-08T12:04:00" u="1"/>
        <d v="2025-09-09T13:08:00" u="1"/>
        <d v="2025-09-03T23:59:00" u="1"/>
        <d v="2025-09-09T08:03:00" u="1"/>
        <d v="2025-09-04T01:38:00" u="1"/>
        <d v="2025-09-09T14:01:00" u="1"/>
        <d v="2025-09-06T09:49:00" u="1"/>
        <d v="2025-09-09T10:34:00" u="1"/>
        <d v="2025-09-09T19:42:00" u="1"/>
        <d v="2025-09-09T10:04:00" u="1"/>
        <d v="2025-09-09T11:03:00" u="1"/>
        <d v="2025-09-09T11:50:00" u="1"/>
        <d v="2025-08-27T11:45:00" u="1"/>
        <d v="2025-09-08T18:08:00" u="1"/>
        <d v="2025-09-09T02:33:00" u="1"/>
        <d v="2025-09-09T17:47:00" u="1"/>
        <d v="2025-09-09T18:24:00" u="1"/>
        <d v="2025-09-08T18:30:00" u="1"/>
        <d v="2025-09-03T13:50:00" u="1"/>
        <d v="2025-08-27T14:23:00" u="1"/>
        <d v="2025-09-10T04:59:00" u="1"/>
        <d v="2025-09-09T17:03:00" u="1"/>
        <d v="2025-09-09T15:39:00" u="1"/>
        <d v="2025-09-09T15:41:00" u="1"/>
        <d v="2025-09-09T09:14:00" u="1"/>
        <d v="2025-09-01T18:55:00" u="1"/>
        <d v="2025-09-09T11:36:00" u="1"/>
        <d v="2025-09-09T02:49:00" u="1"/>
        <d v="2025-09-08T06:50:00" u="1"/>
        <d v="2025-09-09T10:06:00" u="1"/>
        <d v="2025-09-09T16:59:00" u="1"/>
        <d v="2025-09-08T13:57:00" u="1"/>
        <d v="2025-09-05T15:49:00" u="1"/>
        <d v="2025-09-08T13:05:00" u="1"/>
        <d v="2025-09-08T14:12:00" u="1"/>
        <d v="2025-09-08T14:41:00" u="1"/>
        <d v="2025-09-08T15:34:00" u="1"/>
        <d v="2025-09-03T12:41:00" u="1"/>
        <d v="2025-09-05T07:28:00" u="1"/>
        <d v="2025-09-05T08:48:00" u="1"/>
        <d v="2025-09-04T13:07:00" u="1"/>
        <d v="2025-09-02T15:56:00" u="1"/>
        <d v="2025-09-03T15:15:00" u="1"/>
        <d v="2025-09-03T09:38:00" u="1"/>
        <d v="2025-09-01T12:35:00" u="1"/>
        <d v="2025-09-01T12:52:00" u="1"/>
        <d v="2025-09-02T07:04:00" u="1"/>
        <d v="2025-09-02T07:08:00" u="1"/>
        <d v="2025-09-05T09:24:00" u="1"/>
        <d v="2025-08-29T17:42:00" u="1"/>
        <d v="2025-09-01T15:13:00" u="1"/>
        <d v="2025-08-19T16:06:00" u="1"/>
        <d v="2025-08-22T12:56:00" u="1"/>
        <d v="2025-09-08T09:59:00" u="1"/>
        <d v="2025-09-05T09:26:00" u="1"/>
        <d v="2025-09-05T09:23:00" u="1"/>
        <d v="2025-09-08T16:42:00" u="1"/>
        <d v="2025-09-08T16:41:00" u="1"/>
        <d v="2025-09-08T16:36:00" u="1"/>
        <d v="2025-09-08T08:40:00" u="1"/>
        <d v="2025-09-02T07:59:00" u="1"/>
        <d v="2025-09-03T07:35:00" u="1"/>
        <d v="2025-09-08T13:43:00" u="1"/>
        <d v="2025-09-08T15:24:00" u="1"/>
        <d v="2025-09-08T16:01:00" u="1"/>
        <d v="2025-09-04T17:25:00" u="1"/>
        <d v="2025-09-04T14:48:00" u="1"/>
        <d v="2025-09-04T14:14:00" u="1"/>
        <d v="2025-09-08T14:25:00" u="1"/>
        <d v="2025-09-08T03:43:00" u="1"/>
        <d v="2025-09-05T06:57:00" u="1"/>
        <d v="2025-09-05T06:01:00" u="1"/>
        <d v="2025-09-08T10:35:00" u="1"/>
        <d v="2025-09-08T16:53:00" u="1"/>
        <d v="2025-09-08T01:09:00" u="1"/>
        <d v="2025-09-08T01:24:00" u="1"/>
        <d v="2025-09-08T13:22:00" u="1"/>
        <d v="2025-09-09T01:16:00" u="1"/>
        <d v="2025-09-08T03:05:00" u="1"/>
        <d v="2025-09-08T02:47:00" u="1"/>
        <d v="2025-09-06T18:00:00" u="1"/>
        <d v="2025-09-08T03:22:00" u="1"/>
        <d v="2025-09-08T02:41:00" u="1"/>
        <d v="2025-09-08T02:51:00" u="1"/>
        <d v="2025-09-08T04:09:00" u="1"/>
        <d v="2025-09-07T04:45:00" u="1"/>
        <d v="2025-09-08T03:19:00" u="1"/>
        <d v="2025-09-08T09:08:00" u="1"/>
        <d v="2025-09-05T12:05:00" u="1"/>
        <d v="2025-09-08T16:15:00" u="1"/>
        <d v="2025-09-05T19:00:00" u="1"/>
        <d v="2025-09-08T09:27:00" u="1"/>
        <d v="2025-09-04T12:05:00" u="1"/>
        <d v="2025-09-01T10:20:00" u="1"/>
        <d v="2025-09-09T05:31:00" u="1"/>
        <d v="2025-09-08T09:44:00" u="1"/>
        <d v="2025-09-08T03:49:00" u="1"/>
        <d v="2025-09-08T01:34:00" u="1"/>
        <d v="2025-09-08T04:19:00" u="1"/>
        <d v="2025-09-07T11:34:00" u="1"/>
        <d v="2025-09-08T08:21:00" u="1"/>
        <d v="2025-09-07T06:36:00" u="1"/>
        <d v="2025-09-07T04:56:00" u="1"/>
        <d v="2025-09-08T07:30:00" u="1"/>
        <d v="2025-09-08T10:23:00" u="1"/>
        <d v="2025-09-08T03:58:00" u="1"/>
        <d v="2025-09-08T04:05:00" u="1"/>
        <d v="2025-08-29T14:15:00" u="1"/>
        <d v="2025-09-01T10:41:00" u="1"/>
        <d v="2025-09-01T10:56:00" u="1"/>
        <d v="2025-09-01T15:23:00" u="1"/>
        <d v="2025-09-02T10:00:00" u="1"/>
        <d v="2025-09-02T10:59:00" u="1"/>
        <d v="2025-09-05T16:27:00" u="1"/>
        <d v="2025-09-05T15:19:00" u="1"/>
        <d v="2025-09-07T18:49:00" u="1"/>
        <d v="2025-09-04T17:18:00" u="1"/>
        <d v="2025-09-04T15:00:00" u="1"/>
        <d v="2025-09-01T11:48:00" u="1"/>
        <d v="2025-09-05T12:55:00" u="1"/>
        <d v="2025-08-19T10:28:00" u="1"/>
        <d v="2025-09-04T06:55:00" u="1"/>
        <d v="2025-09-05T11:47:00" u="1"/>
        <d v="2025-09-05T15:14:00" u="1"/>
        <d v="2025-09-03T14:25:00" u="1"/>
        <d v="2025-09-05T15:09:00" u="1"/>
        <d v="2025-09-05T16:39:00" u="1"/>
        <d v="2025-09-05T16:47:00" u="1"/>
        <d v="2025-08-22T13:47:00" u="1"/>
        <d v="2025-08-29T16:10:00" u="1"/>
        <d v="2025-08-19T15:06:00" u="1"/>
        <d v="2025-08-18T14:41:00" u="1"/>
        <d v="2025-09-05T17:42:00" u="1"/>
        <d v="2025-08-11T17:29:00" u="1"/>
        <d v="2025-08-11T08:41:00" u="1"/>
        <d v="2025-08-29T11:01:00" u="1"/>
        <d v="2025-09-01T21:41:00" u="1"/>
        <d v="2025-09-03T13:35:00" u="1"/>
        <d v="2025-09-01T17:59:00" u="1"/>
        <d v="2025-09-01T17:58:00" u="1"/>
        <d v="2025-09-02T15:27:00" u="1"/>
        <d v="2025-09-02T15:28:00" u="1"/>
        <d v="2025-09-05T12:24:00" u="1"/>
        <d v="2025-09-03T14:13:00" u="1"/>
        <d v="2025-09-05T11:51:00" u="1"/>
        <d v="2025-09-04T15:27:00" u="1"/>
        <d v="2025-09-04T15:33:00" u="1"/>
        <d v="2025-09-04T09:56:00" u="1"/>
        <d v="2025-09-04T12:20:00" u="1"/>
        <d v="2025-08-28T14:29:00" u="1"/>
        <d v="2025-08-15T17:36:00" u="1"/>
        <d v="2025-09-05T13:05:00" u="1"/>
        <d v="2025-09-01T15:55:00" u="1"/>
        <d v="2025-09-04T17:59:00" u="1"/>
        <d v="2025-09-05T16:57:00" u="1"/>
        <d v="2025-09-03T08:56:00" u="1"/>
        <d v="2025-09-03T09:07:00" u="1"/>
        <d v="2025-09-01T16:12:00" u="1"/>
        <d v="2025-08-20T12:44:00" u="1"/>
        <d v="2025-08-20T12:53:00" u="1"/>
        <d v="2025-08-21T12:36:00" u="1"/>
        <d v="2025-09-05T15:41:00" u="1"/>
        <d v="2025-09-06T05:35:00" u="1"/>
        <d v="2025-09-05T07:16:00" u="1"/>
        <d v="2025-09-05T03:40:00" u="1"/>
        <d v="2025-09-04T12:06:00" u="1"/>
        <d v="2025-09-05T02:33:00" u="1"/>
        <d v="2025-09-05T07:06:00" u="1"/>
        <d v="2025-09-06T07:15:00" u="1"/>
        <d v="2025-09-05T04:04:00" u="1"/>
        <d v="2025-09-04T19:28:00" u="1"/>
        <d v="2025-09-05T07:33:00" u="1"/>
        <d v="2025-09-02T17:30:00" u="1"/>
        <d v="2025-09-05T11:09:00" u="1"/>
        <d v="2025-09-06T02:59:00" u="1"/>
        <d v="2025-09-07T03:58:00" u="1"/>
        <d v="2025-08-28T09:55:00" u="1"/>
        <d v="2025-09-04T10:47:00" u="1"/>
        <d v="2025-09-05T05:49:00" u="1"/>
        <d v="2025-09-05T05:07:00" u="1"/>
        <d v="2025-09-05T05:21:00" u="1"/>
        <d v="2025-08-22T17:53:00" u="1"/>
        <d v="2025-09-05T09:43:00" u="1"/>
        <d v="2025-09-04T11:33:00" u="1"/>
        <d v="2025-09-04T11:39:00" u="1"/>
        <d v="2025-09-05T06:03:00" u="1"/>
        <d v="2025-09-05T11:25:00" u="1"/>
        <d v="2025-09-05T12:51:00" u="1"/>
        <d v="2025-09-05T10:03:00" u="1"/>
        <d v="2025-09-05T11:42:00" u="1"/>
        <d v="2025-09-03T16:31:00" u="1"/>
        <d v="2025-09-04T11:35:00" u="1"/>
        <d v="2025-09-05T05:26:00" u="1"/>
        <d v="2025-09-05T05:27:00" u="1"/>
        <d v="2025-09-04T19:44:00" u="1"/>
        <d v="2025-09-08T02:35:00" u="1"/>
        <d v="2025-09-06T01:31:00" u="1"/>
        <d v="2025-09-06T01:28:00" u="1"/>
        <d v="2025-09-05T04:15:00" u="1"/>
        <d v="2025-09-05T04:08:00" u="1"/>
        <d v="2025-09-05T04:32:00" u="1"/>
        <d v="2025-09-04T05:03:00" u="1"/>
        <d v="2025-09-06T06:58:00" u="1"/>
        <d v="2025-09-05T09:18:00" u="1"/>
        <d v="2025-09-02T09:26:00" u="1"/>
        <d v="2025-09-05T19:15:00" u="1"/>
        <d v="2025-09-03T09:32:00" u="1"/>
        <d v="2025-08-29T10:48:00" u="1"/>
        <d v="2025-08-30T09:59:00" u="1"/>
        <d v="2025-09-06T00:00:00" u="1"/>
        <d v="2025-09-04T07:05:00" u="1"/>
        <d v="2025-09-04T07:07:00" u="1"/>
        <d v="2025-09-04T07:20:00" u="1"/>
        <d v="2025-09-04T07:22:00" u="1"/>
        <d v="2025-09-05T12:39:00" u="1"/>
        <d v="2025-09-05T06:25:00" u="1"/>
        <d v="2025-09-04T12:09:00" u="1"/>
        <d v="2025-08-26T10:44:00" u="1"/>
        <d v="2025-08-29T17:25:00" u="1"/>
        <d v="2025-09-04T17:00:00" u="1"/>
        <d v="2025-09-04T06:28:00" u="1"/>
        <d v="2025-09-04T12:53:00" u="1"/>
        <d v="2025-09-02T13:49:00" u="1"/>
        <d v="2025-09-04T15:39:00" u="1"/>
        <d v="2025-09-04T09:03:00" u="1"/>
        <d v="2025-09-04T14:04:00" u="1"/>
        <d v="2025-09-04T03:43:00" u="1"/>
        <d v="2025-09-03T04:25:00" u="1"/>
        <d v="2025-09-04T04:23:00" u="1"/>
        <d v="2025-09-04T02:37:00" u="1"/>
        <d v="2025-09-03T08:07:00" u="1"/>
        <d v="2025-09-04T12:41:00" u="1"/>
        <d v="2025-09-04T04:17:00" u="1"/>
        <d v="2025-09-04T04:33:00" u="1"/>
        <d v="2025-09-02T04:17:00" u="1"/>
        <d v="2025-08-29T17:37:00" u="1"/>
        <d v="2025-08-26T13:59:00" u="1"/>
        <d v="2025-09-02T11:18:00" u="1"/>
        <d v="2025-09-02T11:12:00" u="1"/>
        <d v="2025-09-03T14:48:00" u="1"/>
        <d v="2025-09-01T14:27:00" u="1"/>
        <d v="2025-09-01T14:31:00" u="1"/>
        <d v="2025-09-01T14:29:00" u="1"/>
        <d v="2025-08-01T17:32:00" u="1"/>
        <d v="2025-09-04T13:50:00" u="1"/>
        <d v="2025-09-04T13:25:00" u="1"/>
        <d v="2025-08-26T16:50:00" u="1"/>
        <d v="2025-08-26T16:48:00" u="1"/>
        <d v="2025-08-28T14:51:00" u="1"/>
        <d v="2025-08-26T15:24:00" u="1"/>
        <d v="2025-09-04T18:05:00" u="1"/>
        <d v="2025-09-04T18:03:00" u="1"/>
        <d v="2025-09-04T17:16:00" u="1"/>
        <d v="2025-09-03T10:42:00" u="1"/>
        <d v="2025-09-04T17:09:00" u="1"/>
        <d v="2025-08-15T16:14:00" u="1"/>
        <d v="2025-09-04T19:00:00" u="1"/>
        <d v="2025-08-28T14:44:00" u="1"/>
        <d v="2025-09-03T12:33:00" u="1"/>
        <d v="2025-09-02T17:19:00" u="1"/>
        <d v="2025-09-02T10:27:00" u="1"/>
        <d v="2025-09-01T12:15:00" u="1"/>
        <d v="2025-09-01T11:32:00" u="1"/>
        <d v="2025-08-25T14:49:00" u="1"/>
        <d v="2025-08-29T17:33:00" u="1"/>
        <d v="2025-09-03T18:26:00" u="1"/>
        <d v="2025-09-03T14:42:00" u="1"/>
        <d v="2025-08-21T18:46:00" u="1"/>
        <d v="2025-09-03T15:51:00" u="1"/>
        <d v="2025-09-03T16:13:00" u="1"/>
        <d v="2025-08-29T09:29:00" u="1"/>
        <d v="2025-08-29T13:01:00" u="1"/>
        <d v="2025-09-04T14:03:00" u="1"/>
        <d v="2025-08-27T09:36:00" u="1"/>
        <d v="2025-08-27T09:43:00" u="1"/>
        <d v="2025-09-01T11:40:00" u="1"/>
        <d v="2025-09-04T14:25:00" u="1"/>
        <d v="2025-09-04T14:10:00" u="1"/>
        <d v="2025-09-04T13:52:00" u="1"/>
        <d v="2025-09-04T14:11:00" u="1"/>
        <d v="2025-08-29T11:45:00" u="1"/>
        <d v="2025-08-29T11:11:00" u="1"/>
        <d v="2025-08-28T14:27:00" u="1"/>
        <d v="2025-09-01T10:48:00" u="1"/>
        <d v="2025-09-01T14:07:00" u="1"/>
        <d v="2025-09-03T15:23:00" u="1"/>
        <d v="2025-09-03T07:55:00" u="1"/>
        <d v="2025-09-02T12:40:00" u="1"/>
        <d v="2025-09-03T12:07:00" u="1"/>
        <d v="2025-09-03T06:56:00" u="1"/>
        <d v="2025-09-04T19:39:00" u="1"/>
        <d v="2025-09-04T11:51:00" u="1"/>
        <d v="2025-09-04T11:47:00" u="1"/>
        <d v="2025-09-02T16:03:00" u="1"/>
        <d v="2025-09-04T08:37:00" u="1"/>
        <d v="2025-09-04T09:44:00" u="1"/>
        <d v="2025-09-03T13:39:00" u="1"/>
        <d v="2025-09-04T00:22:00" u="1"/>
        <d v="2025-09-04T16:46:00" u="1"/>
        <d v="2025-08-29T13:28:00" u="1"/>
        <d v="2025-09-04T15:14:00" u="1"/>
        <d v="2025-09-02T07:22:00" u="1"/>
        <d v="2025-09-03T14:16:00" u="1"/>
        <d v="2025-08-07T17:40:00" u="1"/>
        <d v="2025-09-01T07:16:00" u="1"/>
        <d v="2025-08-15T16:20:00" u="1"/>
        <d v="2025-09-01T07:18:00" u="1"/>
        <d v="2025-09-01T07:17:00" u="1"/>
        <d v="2025-08-07T15:05:00" u="1"/>
        <d v="2025-09-02T11:36:00" u="1"/>
        <d v="2025-09-03T13:05:00" u="1"/>
        <d v="2025-09-04T08:22:00" u="1"/>
        <d v="2025-09-01T16:52:00" u="1"/>
        <d v="2025-08-28T11:16:00" u="1"/>
        <d v="2025-08-28T11:07:00" u="1"/>
        <d v="2025-09-03T15:46:00" u="1"/>
        <d v="2025-08-19T21:42:00" u="1"/>
        <d v="2025-08-28T11:00:00" u="1"/>
        <d v="2025-09-04T15:03:00" u="1"/>
        <d v="2025-09-04T18:48:00" u="1"/>
        <d v="2025-08-28T19:57:00" u="1"/>
        <d v="2025-08-28T19:31:00" u="1"/>
        <d v="2025-08-28T12:15:00" u="1"/>
        <d v="2025-09-04T16:42:00" u="1"/>
        <d v="2025-09-01T18:02:00" u="1"/>
        <d v="2025-08-25T16:19:00" u="1"/>
        <d v="2025-08-18T17:17:00" u="1"/>
        <d v="2025-08-28T12:16:00" u="1"/>
        <d v="2025-09-04T14:41:00" u="1"/>
        <d v="2025-09-04T19:01:00" u="1"/>
        <d v="2025-09-03T15:47:00" u="1"/>
        <d v="2025-09-02T07:00:00" u="1"/>
        <d v="2025-09-02T07:01:00" u="1"/>
        <d v="2025-09-02T07:03:00" u="1"/>
        <d v="2025-09-02T07:09:00" u="1"/>
        <d v="2025-09-04T07:21:00" u="1"/>
        <d v="2025-09-02T06:56:00" u="1"/>
        <d v="2025-09-02T06:57:00" u="1"/>
        <d v="2025-09-04T11:45:00" u="1"/>
        <d v="2025-09-04T18:24:00" u="1"/>
        <d v="2025-09-04T18:25:00" u="1"/>
        <d v="2025-09-03T08:05:00" u="1"/>
        <d v="2025-08-18T16:57:00" u="1"/>
        <d v="2025-07-16T14:19:00" u="1"/>
        <d v="2025-09-03T11:17:00" u="1"/>
        <d v="2025-08-31T19:15:00" u="1"/>
        <d v="2025-08-19T00:00:00" u="1"/>
        <d v="2025-08-21T00:00:00" u="1"/>
        <d v="2025-08-18T11:25:00" u="1"/>
        <d v="2025-03-26T00:00:00" u="1"/>
        <d v="2025-03-24T07:28:00" u="1"/>
        <d v="2025-03-21T10:02:00" u="1"/>
        <d v="2025-04-16T06:51:00" u="1"/>
        <d v="2025-04-07T07:38:00" u="1"/>
        <d v="2025-04-29T09:15:00" u="1"/>
        <d v="2025-04-29T09:05:00" u="1"/>
        <d v="2025-04-04T14:10:00" u="1"/>
        <d v="2025-08-13T08:35:00" u="1"/>
        <d v="2025-08-06T06:10:00" u="1"/>
        <d v="2025-05-03T12:39:00" u="1"/>
        <d v="2025-03-17T07:04:00" u="1"/>
        <d v="2025-02-06T00:00:00" u="1"/>
        <d v="2025-05-27T13:00:00" u="1"/>
        <d v="2025-05-27T00:00:00" u="1"/>
        <d v="2025-08-05T12:32:00" u="1"/>
        <d v="2025-08-19T11:43:00" u="1"/>
        <d v="2025-08-19T11:45:00" u="1"/>
        <d v="2025-08-15T09:35:00" u="1"/>
        <d v="2025-02-14T00:00:00" u="1"/>
        <d v="2025-08-18T12:08:00" u="1"/>
        <d v="2024-12-21T00:00:00" u="1"/>
        <d v="2025-04-17T11:40:00" u="1"/>
        <d v="2025-03-31T12:06:00" u="1"/>
        <d v="2025-03-19T06:33:00" u="1"/>
        <d v="2025-07-22T00:00:00" u="1"/>
        <d v="2025-07-22T13:21:00" u="1"/>
        <d v="2025-07-22T13:33:00" u="1"/>
        <d v="2025-02-11T06:38:00" u="1"/>
        <d v="2025-09-03T12:08:00" u="1"/>
        <d v="2025-09-03T12:44:00" u="1"/>
        <d v="2025-07-31T11:11:00" u="1"/>
        <d v="2025-05-19T13:16:00" u="1"/>
        <d v="2025-08-12T07:28:00" u="1"/>
        <d v="2025-09-03T14:51:00" u="1"/>
        <d v="2025-04-22T07:55:00" u="1"/>
        <d v="2025-08-25T07:11:00" u="1"/>
        <d v="2025-09-03T09:09:00" u="1"/>
        <d v="2025-09-02T14:52:00" u="1"/>
        <d v="2025-08-14T10:12:00" u="1"/>
        <d v="2025-08-27T12:09:00" u="1"/>
        <d v="2025-08-18T12:01:00" u="1"/>
        <d v="2025-08-18T12:09:00" u="1"/>
        <d v="2025-09-01T12:24:00" u="1"/>
        <d v="2024-12-17T14:16:00" u="1"/>
        <d v="2025-07-31T15:41:00" u="1"/>
        <d v="2025-08-22T13:44:00" u="1"/>
        <d v="2025-07-16T08:33:00" u="1"/>
        <d v="2025-09-03T11:06:00" u="1"/>
        <d v="2025-09-03T10:27:00" u="1"/>
        <d v="2025-09-02T03:19:00" u="1"/>
        <d v="2025-09-02T02:07:58" u="1"/>
        <d v="2025-09-02T04:21:00" u="1"/>
        <d v="2025-09-03T11:11:00" u="1"/>
        <d v="2025-09-03T03:03:00" u="1"/>
        <d v="2025-09-03T01:19:00" u="1"/>
        <d v="2025-09-02T01:52:00" u="1"/>
        <d v="2025-09-02T09:48:00" u="1"/>
        <d v="2025-09-01T08:01:00" u="1"/>
        <d v="2025-09-02T09:22:00" u="1"/>
        <d v="2025-09-01T08:22:00" u="1"/>
        <d v="2025-09-01T04:07:00" u="1"/>
        <d v="2025-09-01T09:03:00" u="1"/>
        <d v="2025-09-01T09:06:00" u="1"/>
        <d v="2025-09-02T08:12:00" u="1"/>
        <d v="2025-09-02T08:21:00" u="1"/>
        <d v="2025-09-01T09:40:50" u="1"/>
        <d v="2025-09-03T01:37:00" u="1"/>
        <d v="2025-09-03T07:37:00" u="1"/>
        <d v="2025-09-03T06:49:00" u="1"/>
        <d v="2025-09-03T04:37:00" u="1"/>
        <d v="2025-09-02T11:55:00" u="1"/>
        <d v="2025-09-02T06:54:00" u="1"/>
        <d v="2025-09-01T11:16:00" u="1"/>
        <d v="2025-09-02T01:49:00" u="1"/>
        <d v="2025-09-02T04:37:00" u="1"/>
        <d v="2025-09-03T10:37:00" u="1"/>
        <d v="2025-09-02T10:10:00" u="1"/>
        <d v="2025-09-02T11:07:00" u="1"/>
        <d v="2025-09-01T11:00:00" u="1"/>
        <d v="2025-07-25T15:24:00" u="1"/>
        <d v="2025-08-14T15:50:00" u="1"/>
        <d v="2025-08-14T16:28:00" u="1"/>
        <d v="2025-03-31T00:00:00" u="1"/>
        <d v="2025-08-12T14:26:00" u="1"/>
        <d v="2025-08-12T15:22:00" u="1"/>
        <d v="2025-08-27T11:26:00" u="1"/>
        <d v="2025-08-27T11:21:00" u="1"/>
        <d v="2025-06-17T09:18:00" u="1"/>
        <d v="2025-08-20T10:35:00" u="1"/>
        <d v="2025-08-26T18:39:00" u="1"/>
        <d v="2025-08-13T14:48:00" u="1"/>
        <d v="2025-09-03T19:14:00" u="1"/>
        <d v="2025-09-03T12:54:00" u="1"/>
        <d v="2025-09-01T18:11:00" u="1"/>
        <d v="2025-09-02T11:58:00" u="1"/>
        <d v="2025-09-03T15:36:00" u="1"/>
        <d v="2025-08-19T16:18:00" u="1"/>
        <d v="2025-09-02T19:13:00" u="1"/>
        <d v="2025-09-02T10:02:00" u="1"/>
        <d v="2025-09-03T10:26:00" u="1"/>
        <d v="2025-09-03T10:41:00" u="1"/>
        <d v="2025-08-22T14:02:00" u="1"/>
        <d v="2025-09-03T14:36:00" u="1"/>
        <d v="2025-09-03T15:20:00" u="1"/>
        <d v="2025-08-27T19:01:00" u="1"/>
        <d v="2025-08-27T19:04:00" u="1"/>
        <d v="2025-08-12T18:23:00" u="1"/>
        <d v="2025-08-07T12:14:00" u="1"/>
        <d v="2025-08-07T14:45:00" u="1"/>
        <d v="2025-08-26T16:15:00" u="1"/>
        <d v="2025-09-03T14:30:00" u="1"/>
        <d v="2025-08-08T08:43:00" u="1"/>
        <d v="2025-09-02T13:11:00" u="1"/>
        <d v="2025-08-29T17:09:00" u="1"/>
        <d v="2025-09-01T18:33:00" u="1"/>
        <d v="2025-08-20T15:38:00" u="1"/>
        <d v="2025-08-20T17:57:00" u="1"/>
        <d v="2025-08-20T15:40:00" u="1"/>
        <d v="2025-08-20T15:43:00" u="1"/>
        <d v="2025-08-20T15:46:00" u="1"/>
        <d v="2025-08-20T15:50:00" u="1"/>
        <d v="2025-08-20T15:48:00" u="1"/>
        <d v="2025-08-11T16:27:00" u="1"/>
        <d v="2025-08-07T17:04:00" u="1"/>
        <d v="2025-09-02T13:51:00" u="1"/>
        <d v="2025-09-02T16:27:00" u="1"/>
        <d v="2025-09-02T16:28:00" u="1"/>
        <d v="2025-09-02T16:19:00" u="1"/>
        <d v="2025-09-02T17:13:00" u="1"/>
        <d v="2025-09-02T14:40:00" u="1"/>
        <d v="2025-09-03T15:41:00" u="1"/>
        <d v="2025-09-02T18:33:00" u="1"/>
        <d v="2025-09-02T18:34:00" u="1"/>
        <d v="2025-09-02T17:25:00" u="1"/>
        <d v="2025-09-02T16:51:00" u="1"/>
        <d v="2025-09-02T17:12:00" u="1"/>
        <d v="2025-09-02T17:57:00" u="1"/>
        <d v="2025-09-02T14:18:00" u="1"/>
        <d v="2025-09-01T20:52:00" u="1"/>
        <d v="2025-08-16T17:00:00" u="1"/>
        <d v="2025-08-25T15:18:00" u="1"/>
        <d v="2025-08-13T14:04:00" u="1"/>
        <d v="2025-09-03T11:26:00" u="1"/>
        <d v="2025-09-02T14:25:00" u="1"/>
        <d v="2025-09-03T13:03:00" u="1"/>
        <d v="2025-08-07T17:10:00" u="1"/>
        <d v="2025-08-14T13:58:00" u="1"/>
        <d v="2025-08-14T11:39:00" u="1"/>
        <d v="2025-08-12T00:00:00" u="1"/>
        <d v="2025-08-07T10:39:00" u="1"/>
        <d v="2025-08-06T13:00:00" u="1"/>
        <d v="2025-08-06T11:24:00" u="1"/>
        <d v="2025-08-06T05:18:00" u="1"/>
        <d v="2025-08-06T11:42:00" u="1"/>
        <d v="2025-08-07T11:00:00" u="1"/>
        <d v="2025-08-06T09:29:00" u="1"/>
        <d v="2025-08-08T13:14:00" u="1"/>
        <d v="2025-08-08T08:30:00" u="1"/>
        <d v="2025-08-07T15:17:00" u="1"/>
        <d v="2025-08-07T13:27:00" u="1"/>
        <d v="2025-08-07T13:17:00" u="1"/>
        <d v="2025-08-25T00:00:00" u="1"/>
        <d v="2025-08-25T13:00:00" u="1"/>
        <d v="2025-08-25T10:22:00" u="1"/>
        <d v="2025-08-25T13:02:00" u="1"/>
        <d v="2025-08-25T12:58:00" u="1"/>
        <d v="2025-08-25T14:13:00" u="1"/>
        <d v="2025-08-08T00:00:00" u="1"/>
        <d v="2025-08-08T13:12:00" u="1"/>
        <d v="2025-08-20T15:35:00" u="1"/>
        <d v="2025-08-20T12:40:00" u="1"/>
        <d v="2025-08-06T08:03:00" u="1"/>
        <d v="2025-08-08T15:11:00" u="1"/>
        <d v="2025-04-15T11:57:00" u="1"/>
        <d v="2025-08-18T15:01:00" u="1"/>
        <d v="2025-08-18T14:44:00" u="1"/>
        <d v="2025-08-08T10:23:00" u="1"/>
        <d v="2025-08-08T08:22:00" u="1"/>
        <d v="2025-08-08T08:29:00" u="1"/>
        <d v="2025-08-07T07:59:00" u="1"/>
        <d v="2025-08-06T09:34:00" u="1"/>
        <d v="2025-08-08T12:32:00" u="1"/>
        <d v="2025-08-07T00:00:00" u="1"/>
        <d v="2025-08-07T06:10:00" u="1"/>
        <d v="2025-08-08T10:28:00" u="1"/>
        <d v="2025-08-26T09:12:00" u="1"/>
        <d v="2025-08-12T16:45:00" u="1"/>
        <d v="2025-08-25T05:54:00" u="1"/>
        <d v="2025-08-25T06:12:00" u="1"/>
        <d v="2025-08-27T08:48:00" u="1"/>
        <d v="2025-08-08T10:47:00" u="1"/>
        <d v="2025-09-02T18:07:00" u="1"/>
        <d v="2025-09-03T19:22:00" u="1"/>
        <d v="2025-08-15T08:25:00" u="1"/>
        <d v="2025-09-03T19:12:00" u="1"/>
        <d v="2025-01-03T17:55:00" u="1"/>
        <d v="2025-08-29T18:00:00" u="1"/>
        <d v="2025-09-03T06:41:00" u="1"/>
        <d v="2025-09-03T11:02:00" u="1"/>
        <d v="2025-09-03T09:37:00" u="1"/>
        <d v="2025-08-15T21:11:00" u="1"/>
        <d v="2025-08-14T13:31:00" u="1"/>
        <d v="2025-08-14T13:25:00" u="1"/>
        <d v="2025-08-13T18:00:00" u="1"/>
        <d v="2025-08-01T18:00:00" u="1"/>
        <d v="2025-08-19T12:00:00" u="1"/>
        <d v="2025-08-14T19:55:00" u="1"/>
        <d v="2025-08-22T09:48:00" u="1"/>
        <d v="2025-08-21T19:05:00" u="1"/>
        <d v="2025-07-29T11:07:00" u="1"/>
        <d v="2025-06-17T21:00:00" u="1"/>
        <d v="2025-08-19T15:00:00" u="1"/>
        <d v="2025-08-29T19:06:00" u="1"/>
        <d v="2025-08-18T19:08:00" u="1"/>
        <d v="2025-08-29T13:45:00" u="1"/>
        <d v="2025-09-01T11:33:00" u="1"/>
        <d v="2025-08-27T16:43:00" u="1"/>
        <d v="2025-09-03T18:08:00" u="1"/>
        <d v="2025-09-03T14:24:00" u="1"/>
        <d v="2025-08-08T18:55:00" u="1"/>
        <d v="2025-09-03T21:19:00" u="1"/>
        <d v="2025-09-03T06:48:00" u="1"/>
        <d v="2025-09-03T17:58:00" u="1"/>
        <d v="2025-09-03T19:03:00" u="1"/>
        <d v="2025-08-08T18:30:00" u="1"/>
        <d v="2025-08-07T13:45:00" u="1"/>
        <d v="2025-08-25T15:37:00" u="1"/>
        <d v="2025-09-01T18:58:00" u="1"/>
        <d v="2025-08-22T15:00:00" u="1"/>
        <d v="2025-08-18T15:00:00" u="1"/>
        <d v="2025-06-06T10:30:00" u="1"/>
        <d v="2025-07-10T14:05:00" u="1"/>
        <d v="2025-09-03T15:57:00" u="1"/>
        <d v="2025-04-17T12:03:00" u="1"/>
        <d v="2025-08-15T16:28:00" u="1"/>
        <d v="2025-05-20T00:00:00" u="1"/>
        <d v="2025-09-02T12:32:00" u="1"/>
        <d v="2025-09-03T08:28:00" u="1"/>
        <d v="2025-09-03T08:32:00" u="1"/>
        <d v="2025-09-03T12:35:00" u="1"/>
        <d v="2025-09-03T08:16:00" u="1"/>
        <d v="2025-09-03T12:27:00" u="1"/>
        <d v="2025-05-16T09:53:00" u="1"/>
        <d v="2025-08-27T07:27:00" u="1"/>
        <d v="2025-09-03T12:16:00" u="1"/>
        <d v="2025-08-11T11:42:00" u="1"/>
        <d v="2025-08-08T10:52:00" u="1"/>
        <d v="2025-08-21T17:05:00" u="1"/>
        <d v="2025-09-03T15:53:00" u="1"/>
        <d v="2025-09-03T15:50:00" u="1"/>
        <d v="2025-09-03T12:45:00" u="1"/>
        <d v="2025-09-03T16:07:00" u="1"/>
        <d v="2025-09-03T11:54:00" u="1"/>
        <d v="2025-09-02T15:30:00" u="1"/>
        <d v="2025-08-28T14:17:00" u="1"/>
        <d v="2025-08-05T10:57:00" u="1"/>
        <d v="2025-07-31T19:34:00" u="1"/>
        <d v="2025-08-14T16:35:00" u="1"/>
        <d v="2025-08-05T12:44:00" u="1"/>
        <d v="2025-08-05T14:02:00" u="1"/>
        <d v="2025-08-11T08:43:00" u="1"/>
        <d v="2025-08-08T15:25:00" u="1"/>
        <d v="2025-08-29T15:33:00" u="1"/>
        <d v="2025-08-25T13:39:00" u="1"/>
        <d v="2025-08-13T12:07:00" u="1"/>
        <d v="2025-08-21T14:35:00" u="1"/>
        <d v="2025-08-27T14:28:00" u="1"/>
        <d v="2025-08-13T11:13:00" u="1"/>
        <d v="2025-08-13T06:50:00" u="1"/>
        <d v="2025-08-27T13:16:00" u="1"/>
        <d v="2025-07-17T10:07:00" u="1"/>
        <d v="2025-08-08T10:00:00" u="1"/>
        <d v="2025-08-06T12:11:00" u="1"/>
        <d v="2025-08-13T00:00:00" u="1"/>
        <d v="2025-07-18T06:24:00" u="1"/>
        <d v="2025-08-13T08:56:00" u="1"/>
        <d v="2025-08-13T07:36:00" u="1"/>
        <d v="2025-05-08T11:25:00" u="1"/>
        <d v="2025-07-24T00:00:00" u="1"/>
        <d v="2025-09-01T15:59:00" u="1"/>
        <d v="2025-08-27T10:27:00" u="1"/>
        <d v="2025-08-12T09:22:00" u="1"/>
        <d v="2025-08-22T14:46:00" u="1"/>
        <d v="2025-08-21T11:38:00" u="1"/>
        <d v="2025-08-20T11:51:00" u="1"/>
        <d v="2025-08-21T12:40:00" u="1"/>
        <d v="2025-06-12T12:06:00" u="1"/>
        <d v="2025-08-25T12:55:00" u="1"/>
        <d v="2025-07-22T10:43:00" u="1"/>
        <d v="2025-06-12T11:48:00" u="1"/>
        <d v="2025-08-13T16:08:00" u="1"/>
        <d v="2025-08-25T06:21:00" u="1"/>
        <d v="2025-08-25T05:57:00" u="1"/>
        <d v="2025-08-22T16:19:00" u="1"/>
        <d v="2025-01-21T07:22:00" u="1"/>
        <d v="2025-08-13T15:27:00" u="1"/>
        <d v="2025-06-25T18:15:00" u="1"/>
        <d v="2025-08-13T13:52:00" u="1"/>
        <d v="2025-08-22T16:12:00" u="1"/>
        <d v="2025-08-27T15:16:00" u="1"/>
        <d v="2025-08-27T14:36:00" u="1"/>
        <d v="2025-08-27T14:45:00" u="1"/>
        <d v="2025-08-07T08:39:00" u="1"/>
        <d v="2025-02-24T12:10:00" u="1"/>
        <d v="2025-08-22T13:08:00" u="1"/>
        <d v="2025-08-28T10:13:00" u="1"/>
        <d v="2025-09-01T12:23:00" u="1"/>
        <d v="2025-07-24T13:08:00" u="1"/>
        <d v="2025-08-22T12:50:00" u="1"/>
        <d v="2025-08-27T15:35:00" u="1"/>
        <d v="2025-08-26T07:32:00" u="1"/>
        <d v="2025-08-14T07:39:00" u="1"/>
        <d v="2025-08-13T11:53:00" u="1"/>
        <d v="2025-02-11T16:09:00" u="1"/>
        <d v="2025-08-12T13:57:00" u="1"/>
        <d v="2025-08-13T15:25:00" u="1"/>
        <d v="2025-04-25T12:59:00" u="1"/>
        <d v="2025-04-01T09:13:00" u="1"/>
        <d v="2025-06-20T08:34:00" u="1"/>
        <d v="2025-09-01T17:37:00" u="1"/>
        <d v="2025-08-25T15:12:00" u="1"/>
        <d v="2025-09-03T14:18:00" u="1"/>
        <d v="2025-08-21T09:38:00" u="1"/>
        <d v="2025-09-02T11:47:00" u="1"/>
        <d v="2025-09-02T10:19:00" u="1"/>
        <d v="2025-06-11T08:34:00" u="1"/>
        <d v="2025-08-29T16:51:00" u="1"/>
        <d v="2025-08-29T15:57:00" u="1"/>
        <d v="2025-09-03T10:55:00" u="1"/>
        <d v="2025-09-03T11:09:00" u="1"/>
        <d v="2025-09-03T10:56:00" u="1"/>
        <d v="2025-08-28T12:11:00" u="1"/>
        <d v="2025-09-02T16:38:00" u="1"/>
        <d v="2025-08-04T14:36:00" u="1"/>
        <d v="2025-09-03T17:42:00" u="1"/>
        <d v="2025-08-05T13:42:00" u="1"/>
        <d v="2025-08-18T19:42:00" u="1"/>
        <d v="2025-09-02T09:27:00" u="1"/>
        <d v="2025-09-03T10:49:00" u="1"/>
        <d v="2025-09-03T10:30:00" u="1"/>
        <d v="2025-08-21T22:03:00" u="1"/>
        <d v="2025-09-03T19:59:00" u="1"/>
        <d v="2025-09-03T16:36:00" u="1"/>
        <d v="2025-09-03T15:56:00" u="1"/>
        <d v="2025-09-03T15:06:00" u="1"/>
        <d v="2025-09-03T16:34:00" u="1"/>
        <d v="2025-09-02T10:58:00" u="1"/>
        <d v="2025-08-30T11:30:00" u="1"/>
        <d v="2025-09-02T09:57:00" u="1"/>
        <d v="2025-08-25T15:38:00" u="1"/>
        <d v="2025-09-02T12:39:00" u="1"/>
        <d v="2025-09-02T12:41:00" u="1"/>
        <d v="2025-09-03T18:58:00" u="1"/>
        <d v="2025-09-03T18:56:00" u="1"/>
        <d v="2025-09-03T20:03:00" u="1"/>
        <d v="2025-09-03T17:43:00" u="1"/>
        <d v="2025-09-03T17:39:00" u="1"/>
        <d v="2025-09-03T17:38:00" u="1"/>
        <d v="2025-09-03T14:23:00" u="1"/>
        <d v="2025-09-03T10:46:00" u="1"/>
        <d v="2025-09-03T09:35:00" u="1"/>
        <d v="2025-08-21T11:23:00" u="1"/>
        <d v="2025-08-27T18:00:00" u="1"/>
        <d v="2025-08-14T13:00:00" u="1"/>
        <d v="2025-08-15T11:11:00" u="1"/>
        <d v="2025-08-25T07:50:00" u="1"/>
        <d v="2025-08-25T07:41:00" u="1"/>
        <d v="2025-08-25T13:53:00" u="1"/>
        <d v="2025-09-02T08:45:00" u="1"/>
        <d v="2025-08-29T17:55:00" u="1"/>
        <d v="2025-08-27T12:54:00" u="1"/>
        <d v="2025-08-24T19:11:00" u="1"/>
        <d v="2025-08-24T19:05:00" u="1"/>
        <d v="2025-08-24T18:39:00" u="1"/>
        <d v="2025-08-24T18:30:00" u="1"/>
        <d v="2025-08-24T18:54:00" u="1"/>
        <d v="2025-08-18T15:14:00" u="1"/>
        <d v="2025-08-21T15:00:00" u="1"/>
        <d v="2025-09-03T19:19:00" u="1"/>
        <d v="2025-09-03T19:18:00" u="1"/>
        <d v="2025-09-03T19:17:00" u="1"/>
        <d v="2025-09-03T16:48:00" u="1"/>
        <d v="2025-09-03T13:21:00" u="1"/>
        <d v="2025-09-03T15:12:00" u="1"/>
        <d v="2025-08-29T17:13:00" u="1"/>
        <d v="2025-09-03T04:59:00" u="1"/>
        <d v="2025-09-03T03:22:00" u="1"/>
        <d v="2025-09-02T07:25:00" u="1"/>
        <d v="2025-08-29T12:47:00" u="1"/>
        <d v="2025-08-11T14:36:00" u="1"/>
        <d v="2025-08-11T14:41:00" u="1"/>
        <d v="2025-08-11T14:13:00" u="1"/>
        <d v="2025-08-01T13:24:00" u="1"/>
        <d v="2025-09-02T00:41:00" u="1"/>
        <d v="2025-09-02T02:57:00" u="1"/>
        <d v="2025-09-02T04:39:00" u="1"/>
        <d v="2025-09-02T02:58:00" u="1"/>
        <d v="2025-09-02T05:27:00" u="1"/>
        <d v="2025-09-02T10:52:00" u="1"/>
        <d v="2025-09-02T03:43:00" u="1"/>
        <d v="2025-09-02T10:39:00" u="1"/>
        <d v="2025-09-02T10:14:00" u="1"/>
        <d v="2025-09-01T04:49:00" u="1"/>
        <d v="2025-08-29T13:25:00" u="1"/>
        <d v="2025-09-02T16:46:00" u="1"/>
        <d v="2025-07-30T11:39:00" u="1"/>
        <d v="2025-08-14T16:16:00" u="1"/>
        <d v="2025-08-14T16:34:00" u="1"/>
        <d v="2025-09-02T16:21:00" u="1"/>
        <d v="2025-09-02T09:03:00" u="1"/>
        <d v="2025-09-02T08:32:00" u="1"/>
        <d v="2025-09-02T08:51:00" u="1"/>
        <d v="2025-08-04T15:59:00" u="1"/>
        <d v="2025-09-02T15:46:00" u="1"/>
        <d v="2025-04-14T00:00:00" u="1"/>
        <d v="2025-08-25T16:48:00" u="1"/>
        <d v="2025-08-25T16:50:00" u="1"/>
        <d v="2025-08-01T16:52:00" u="1"/>
        <d v="2025-09-02T11:50:00" u="1"/>
        <d v="2025-09-02T11:53:00" u="1"/>
        <d v="2025-08-30T17:54:00" u="1"/>
        <d v="2025-09-02T11:45:00" u="1"/>
        <d v="2025-09-02T18:16:00" u="1"/>
        <d v="2025-08-21T11:19:00" u="1"/>
        <d v="2025-09-02T16:55:00" u="1"/>
        <d v="2025-09-02T17:23:00" u="1"/>
        <d v="2025-09-02T17:43:00" u="1"/>
        <d v="2025-08-14T15:07:00" u="1"/>
        <d v="2025-08-29T14:14:00" u="1"/>
        <d v="2025-08-28T08:22:00" u="1"/>
        <d v="2025-08-27T15:05:00" u="1"/>
        <d v="2025-07-28T12:31:00" u="1"/>
        <d v="2025-09-01T14:57:00" u="1"/>
        <d v="2025-09-01T15:41:00" u="1"/>
        <d v="2025-09-02T15:04:00" u="1"/>
        <d v="2025-09-02T11:26:00" u="1"/>
        <d v="2025-09-02T10:09:00" u="1"/>
        <d v="2025-09-01T19:05:00" u="1"/>
        <d v="2025-09-01T18:48:00" u="1"/>
        <d v="2025-09-02T15:52:00" u="1"/>
        <d v="2025-09-02T14:39:00" u="1"/>
        <d v="2025-09-02T10:54:00" u="1"/>
        <d v="2025-09-02T10:01:00" u="1"/>
        <d v="2025-07-25T15:33:00" u="1"/>
        <d v="2025-08-29T16:13:00" u="1"/>
        <d v="2025-08-29T16:55:00" u="1"/>
        <d v="2025-08-18T12:22:00" u="1"/>
        <d v="2025-08-07T10:19:00" u="1"/>
        <d v="2025-08-06T09:45:00" u="1"/>
        <d v="2025-08-04T11:07:00" u="1"/>
        <d v="2025-08-29T16:27:00" u="1"/>
        <d v="2025-09-02T20:30:00" u="1"/>
        <d v="2025-09-02T20:27:00" u="1"/>
        <d v="2025-09-02T03:28:00" u="1"/>
        <d v="2025-08-28T11:02:00" u="1"/>
        <d v="2025-09-01T06:22:00" u="1"/>
        <d v="2025-09-01T06:26:00" u="1"/>
        <d v="2025-09-01T06:32:00" u="1"/>
        <d v="2025-09-01T13:29:00" u="1"/>
        <d v="2025-09-01T14:08:00" u="1"/>
        <d v="2025-09-01T14:21:00" u="1"/>
        <d v="2025-08-29T17:34:00" u="1"/>
        <d v="2025-09-01T05:18:00" u="1"/>
        <d v="2025-09-01T05:21:00" u="1"/>
        <d v="2025-09-01T03:14:00" u="1"/>
        <d v="2025-09-01T05:34:00" u="1"/>
        <d v="2025-09-01T05:44:00" u="1"/>
        <d v="2025-09-01T05:51:00" u="1"/>
        <d v="2025-09-01T04:12:00" u="1"/>
        <d v="2025-09-01T05:17:00" u="1"/>
        <d v="2025-09-01T04:53:00" u="1"/>
        <d v="2025-09-01T12:44:00" u="1"/>
        <d v="2025-09-01T12:49:00" u="1"/>
        <d v="2025-09-01T03:25:00" u="1"/>
        <d v="2025-09-01T10:47:00" u="1"/>
        <d v="2025-09-01T01:10:00" u="1"/>
        <d v="2025-08-26T08:47:00" u="1"/>
        <d v="2025-08-26T09:50:00" u="1"/>
        <d v="2025-08-29T06:18:00" u="1"/>
        <d v="2025-08-31T07:29:00" u="1"/>
        <d v="2025-08-31T08:41:00" u="1"/>
        <d v="2025-08-27T10:36:00" u="1"/>
        <d v="2025-08-29T14:50:00" u="1"/>
        <d v="2025-08-29T12:57:00" u="1"/>
        <d v="2025-08-28T15:55:00" u="1"/>
        <d v="2025-08-16T17:47:00" u="1"/>
        <d v="2025-08-20T09:22:00" u="1"/>
        <d v="2025-07-31T14:56:00" u="1"/>
        <d v="2025-08-01T11:07:00" u="1"/>
        <d v="2025-08-05T07:34:00" u="1"/>
        <d v="2025-08-07T11:57:00" u="1"/>
        <d v="2025-08-01T16:47:00" u="1"/>
        <d v="2025-09-01T11:27:00" u="1"/>
        <d v="2025-08-29T15:15:00" u="1"/>
        <d v="2025-09-01T13:05:00" u="1"/>
        <d v="2025-09-01T11:05:00" u="1"/>
        <d v="2025-09-01T11:57:00" u="1"/>
        <d v="2025-09-01T09:59:00" u="1"/>
        <d v="2025-09-01T08:13:00" u="1"/>
        <d v="2025-08-29T17:11:00" u="1"/>
        <d v="2025-08-28T12:03:00" u="1"/>
        <d v="2025-09-01T15:33:00" u="1"/>
        <d v="2025-08-25T10:36:00" u="1"/>
        <d v="2025-08-28T09:33:00" u="1"/>
        <d v="2025-08-22T15:02:00" u="1"/>
        <d v="2025-09-01T08:49:00" u="1"/>
        <d v="2025-08-29T15:19:00" u="1"/>
        <d v="2025-09-01T21:19:00" u="1"/>
        <d v="2025-08-29T19:40:00" u="1"/>
        <d v="2025-09-01T17:39:00" u="1"/>
        <d v="2025-08-28T14:00:00" u="1"/>
        <d v="2025-09-01T13:25:00" u="1"/>
        <d v="2025-08-28T11:23:00" u="1"/>
        <d v="2025-09-01T14:28:00" u="1"/>
        <d v="2025-08-28T11:25:00" u="1"/>
        <d v="2025-09-01T11:04:00" u="1"/>
        <d v="2025-08-29T14:08:00" u="1"/>
        <d v="2025-09-01T13:28:00" u="1"/>
        <d v="2025-09-01T15:35:00" u="1"/>
        <d v="2025-08-21T15:04:00" u="1"/>
        <d v="2025-09-01T11:18:00" u="1"/>
        <d v="2025-09-01T17:51:00" u="1"/>
        <d v="2025-08-29T11:05:00" u="1"/>
        <d v="2025-09-01T11:46:00" u="1"/>
        <d v="2025-09-01T11:01:00" u="1"/>
        <d v="2025-08-29T16:02:00" u="1"/>
        <d v="2025-08-29T14:37:00" u="1"/>
        <d v="2025-08-29T14:27:00" u="1"/>
        <d v="2025-09-01T16:41:00" u="1"/>
        <d v="2025-09-01T16:31:00" u="1"/>
        <d v="2025-08-28T12:07:00" u="1"/>
        <d v="2025-08-28T12:00:00" u="1"/>
        <d v="2025-09-01T12:51:00" u="1"/>
        <d v="2025-09-01T15:37:00" u="1"/>
        <d v="2025-09-01T14:03:00" u="1"/>
        <d v="2025-08-29T17:53:00" u="1"/>
        <d v="2025-08-29T16:35:00" u="1"/>
        <d v="2025-09-01T15:19:00" u="1"/>
        <d v="2025-08-28T15:43:00" u="1"/>
        <d v="2025-08-28T16:13:00" u="1"/>
        <d v="2025-08-28T10:12:00" u="1"/>
        <d v="2025-08-28T10:08:00" u="1"/>
        <d v="2025-08-29T14:21:00" u="1"/>
        <d v="2025-09-01T10:27:00" u="1"/>
        <d v="2025-09-01T10:26:00" u="1"/>
        <d v="2025-08-27T15:48:00" u="1"/>
        <d v="2025-09-01T17:11:00" u="1"/>
        <d v="2025-09-01T12:53:00" u="1"/>
        <d v="2025-08-29T21:49:00" u="1"/>
        <d v="2025-08-31T20:32:00" u="1"/>
        <d v="2025-08-28T17:26:00" u="1"/>
        <d v="2025-09-01T14:20:00" u="1"/>
        <d v="2025-09-01T11:23:00" u="1"/>
        <d v="2025-09-01T11:51:00" u="1"/>
        <d v="2025-08-25T14:09:00" u="1"/>
        <d v="2025-08-07T13:15:00" u="1"/>
        <d v="2025-08-29T12:52:00" u="1"/>
        <d v="2025-08-22T16:44:00" u="1"/>
        <d v="2025-09-01T13:00:00" u="1"/>
        <d v="2025-09-01T09:21:00" u="1"/>
        <d v="2025-09-02T00:42:00" u="1"/>
        <d v="2025-08-29T15:23:00" u="1"/>
        <d v="2025-08-28T10:05:00" u="1"/>
        <d v="2025-08-28T16:47:00" u="1"/>
        <d v="2025-08-29T12:12:00" u="1"/>
        <d v="2025-09-01T10:55:00" u="1"/>
        <d v="2025-09-01T17:45:00" u="1"/>
        <d v="2025-09-01T11:37:00" u="1"/>
        <d v="2025-09-01T08:47:00" u="1"/>
        <d v="2025-08-28T18:22:00" u="1"/>
        <d v="2025-08-29T17:23:00" u="1"/>
        <d v="2025-08-29T15:58:00" u="1"/>
        <d v="2025-08-29T10:42:00" u="1"/>
        <d v="2025-07-10T09:35:00" u="1"/>
        <d v="2025-08-28T15:46:00" u="1"/>
        <d v="2025-09-01T18:25:00" u="1"/>
        <d v="2025-09-01T12:58:00" u="1"/>
        <d v="2025-09-01T15:22:00" u="1"/>
        <d v="2025-08-28T09:19:00" u="1"/>
        <d v="2025-08-28T08:50:00" u="1"/>
        <d v="2025-08-28T12:23:00" u="1"/>
        <d v="2025-08-28T18:29:00" u="1"/>
        <d v="2025-08-28T18:28:00" u="1"/>
        <d v="2025-08-28T09:57:00" u="1"/>
        <d v="2025-08-28T10:32:00" u="1"/>
        <d v="2025-08-28T09:58:00" u="1"/>
        <d v="2025-08-25T14:54:00" u="1"/>
        <d v="2025-09-01T10:42:00" u="1"/>
        <d v="2025-09-01T10:43:00" u="1"/>
        <d v="2025-09-01T10:50:00" u="1"/>
        <d v="2025-08-29T16:05:00" u="1"/>
        <d v="2025-08-28T14:49:00" u="1"/>
        <d v="2025-09-01T19:00:00" u="1"/>
        <d v="2025-08-28T16:20:00" u="1"/>
        <d v="2025-09-01T15:02:00" u="1"/>
        <d v="2025-09-01T17:09:00" u="1"/>
        <d v="2025-09-01T18:24:00" u="1"/>
        <d v="2025-09-01T14:02:00" u="1"/>
        <d v="2025-09-01T11:44:00" u="1"/>
        <d v="2025-09-01T10:35:00" u="1"/>
        <d v="2025-09-01T11:25:00" u="1"/>
        <d v="2025-08-28T09:40:00" u="1"/>
        <d v="2025-08-29T09:45:00" u="1"/>
        <d v="2025-08-26T14:03:00" u="1"/>
        <d v="2025-08-28T09:49:00" u="1"/>
        <d v="2025-08-22T13:31:00" u="1"/>
        <d v="2025-08-22T14:49:00" u="1"/>
        <d v="2025-08-26T13:45:00" u="1"/>
        <d v="2025-08-08T11:52:00" u="1"/>
        <d v="2025-08-13T06:38:00" u="1"/>
        <d v="2025-08-12T07:39:00" u="1"/>
        <d v="2025-07-31T10:58:00" u="1"/>
        <d v="2025-08-15T10:36:00" u="1"/>
        <d v="2025-08-26T15:20:00" u="1"/>
        <d v="2025-08-28T16:53:00" u="1"/>
        <d v="2025-09-01T17:21:00" u="1"/>
        <d v="2025-09-01T18:50:00" u="1"/>
        <d v="2025-09-01T18:49:00" u="1"/>
        <d v="2025-08-29T18:40:00" u="1"/>
        <d v="2025-09-01T10:51:00" u="1"/>
        <d v="2025-09-01T08:28:00" u="1"/>
        <d v="2025-09-01T08:18:00" u="1"/>
        <d v="2025-08-28T16:42:00" u="1"/>
        <d v="2025-08-28T12:46:00" u="1"/>
        <d v="2025-08-28T16:54:00" u="1"/>
        <d v="2025-08-06T08:53:00" u="1"/>
        <d v="2025-08-06T08:51:00" u="1"/>
        <d v="2025-08-29T09:04:00" u="1"/>
        <d v="2025-08-30T04:59:25" u="1"/>
        <d v="2025-08-30T04:59:00" u="1"/>
        <d v="2025-08-31T00:59:00" u="1"/>
        <d v="2025-08-29T18:44:00" u="1"/>
        <d v="2025-08-25T20:40:00" u="1"/>
        <d v="2025-08-14T16:11:00" u="1"/>
        <d v="2025-08-14T16:15:00" u="1"/>
        <d v="2025-08-15T13:43:00" u="1"/>
        <d v="2025-08-15T13:47:00" u="1"/>
        <d v="2025-08-19T13:41:00" u="1"/>
        <d v="2025-08-29T15:52:00" u="1"/>
        <d v="2025-08-29T13:46:00" u="1"/>
        <d v="2025-08-29T13:40:00" u="1"/>
        <d v="2025-08-29T06:11:00" u="1"/>
        <d v="2025-08-29T02:31:00" u="1"/>
        <d v="2025-08-29T02:11:00" u="1"/>
        <d v="2025-08-29T11:52:00" u="1"/>
        <d v="2025-08-29T08:24:00" u="1"/>
        <d v="2025-08-30T12:16:00" u="1"/>
        <d v="2025-08-29T04:11:00" u="1"/>
        <d v="2025-08-29T08:50:00" u="1"/>
        <d v="2025-08-30T01:23:00" u="1"/>
        <d v="2025-08-29T05:49:00" u="1"/>
        <d v="2025-08-29T07:08:00" u="1"/>
        <d v="2025-08-30T04:00:00" u="1"/>
        <d v="2025-08-30T02:04:00" u="1"/>
        <d v="2025-08-30T05:47:00" u="1"/>
        <d v="2025-08-30T12:24:00" u="1"/>
        <d v="2025-08-29T05:37:00" u="1"/>
        <d v="2025-08-29T03:22:00" u="1"/>
        <d v="2025-08-29T11:07:00" u="1"/>
        <d v="2025-08-29T10:38:00" u="1"/>
        <d v="2025-08-29T11:22:00" u="1"/>
        <d v="2025-08-29T12:19:00" u="1"/>
        <d v="2025-08-29T07:55:00" u="1"/>
        <d v="2025-08-29T11:20:00" u="1"/>
        <d v="2025-08-29T02:34:00" u="1"/>
        <d v="2025-08-29T04:00:00" u="1"/>
        <d v="2025-08-29T03:55:00" u="1"/>
        <d v="2025-08-29T04:29:00" u="1"/>
        <d v="2025-08-29T04:19:00" u="1"/>
        <d v="2025-08-29T09:49:00" u="1"/>
        <d v="2025-08-20T02:52:00" u="1"/>
        <d v="2025-08-25T15:09:00" u="1"/>
        <d v="2025-08-25T14:32:00" u="1"/>
        <d v="2025-08-25T15:27:00" u="1"/>
        <d v="2025-08-29T10:17:00" u="1"/>
        <d v="2025-08-25T11:31:00" u="1"/>
        <d v="2025-08-29T08:07:00" u="1"/>
        <d v="2025-08-29T10:43:00" u="1"/>
        <d v="2025-08-21T08:29:00" u="1"/>
        <d v="2025-05-15T12:45:00" u="1"/>
        <d v="2025-08-29T16:43:00" u="1"/>
        <d v="2025-08-15T10:14:00" u="1"/>
        <d v="2025-08-22T14:45:00" u="1"/>
        <d v="2025-08-11T19:25:00" u="1"/>
        <d v="2025-08-20T13:33:00" u="1"/>
        <d v="2025-08-22T14:29:00" u="1"/>
        <d v="2025-08-29T15:11:00" u="1"/>
        <d v="2025-08-28T07:23:00" u="1"/>
        <d v="2025-08-29T11:24:00" u="1"/>
        <d v="2025-08-28T13:33:00" u="1"/>
        <d v="2025-08-27T16:44:00" u="1"/>
        <d v="2025-08-28T14:40:00" u="1"/>
        <d v="2025-08-29T19:52:00" u="1"/>
        <d v="2025-08-29T14:32:00" u="1"/>
        <d v="2025-08-29T14:38:00" u="1"/>
        <d v="2025-08-29T08:54:00" u="1"/>
        <d v="2025-08-29T20:18:00" u="1"/>
        <d v="2025-08-28T15:05:00" u="1"/>
        <d v="2025-08-28T15:31:00" u="1"/>
        <d v="2025-08-28T16:52:00" u="1"/>
        <d v="2025-08-26T14:25:00" u="1"/>
        <d v="2025-08-28T15:38:00" u="1"/>
        <d v="2025-08-28T17:16:00" u="1"/>
        <d v="2025-08-27T14:40:00" u="1"/>
        <d v="2025-08-28T12:50:00" u="1"/>
        <d v="2025-08-28T08:09:00" u="1"/>
        <d v="2025-08-05T18:53:00" u="1"/>
        <d v="2025-08-05T18:02:00" u="1"/>
        <d v="2025-08-28T15:04:00" u="1"/>
        <d v="2025-08-11T09:36:00" u="1"/>
        <d v="2025-08-06T11:36:00" u="1"/>
        <d v="2025-08-04T09:31:00" u="1"/>
        <d v="2025-08-04T09:14:00" u="1"/>
        <d v="2025-08-28T12:29:00" u="1"/>
        <d v="2025-08-11T15:04:00" u="1"/>
        <d v="2025-08-28T08:47:00" u="1"/>
        <d v="2025-08-26T07:25:00" u="1"/>
        <d v="2025-08-27T08:45:00" u="1"/>
        <d v="2025-08-25T11:47:00" u="1"/>
        <d v="2025-08-25T08:43:00" u="1"/>
        <d v="2025-08-12T10:32:00" u="1"/>
        <d v="2025-08-13T14:34:00" u="1"/>
        <d v="2025-08-14T09:49:00" u="1"/>
        <d v="2025-08-14T12:40:00" u="1"/>
        <d v="2025-08-28T09:39:00" u="1"/>
        <d v="2025-08-28T14:13:00" u="1"/>
        <d v="2025-08-07T12:07:00" u="1"/>
        <d v="2025-08-27T14:08:00" u="1"/>
        <d v="2025-08-21T16:10:00" u="1"/>
        <d v="2025-08-27T16:03:00" u="1"/>
        <d v="2025-08-27T16:08:00" u="1"/>
        <d v="2025-08-28T08:58:00" u="1"/>
        <d v="2025-08-28T10:47:00" u="1"/>
        <d v="2025-08-27T16:10:00" u="1"/>
        <d v="2025-08-25T14:38:00" u="1"/>
        <d v="2025-08-27T16:06:00" u="1"/>
        <d v="2025-08-28T10:10:00" u="1"/>
        <d v="2025-08-26T13:30:00" u="1"/>
        <d v="2025-08-26T13:36:00" u="1"/>
        <d v="2025-08-26T13:25:00" u="1"/>
        <d v="2025-08-26T12:26:00" u="1"/>
        <d v="2025-08-28T17:25:00" u="1"/>
        <d v="2025-08-27T11:25:00" u="1"/>
        <d v="2025-07-28T11:12:00" u="1"/>
        <d v="2025-07-28T11:13:00" u="1"/>
        <d v="2025-07-30T15:04:00" u="1"/>
        <d v="2025-07-16T15:15:00" u="1"/>
        <d v="2025-07-16T15:23:00" u="1"/>
        <d v="2025-07-16T15:24:00" u="1"/>
        <d v="2025-07-16T15:08:00" u="1"/>
        <d v="2025-07-16T15:25:00" u="1"/>
        <d v="2025-07-16T15:11:00" u="1"/>
        <d v="2025-07-16T15:18:00" u="1"/>
        <d v="2025-07-16T15:27:00" u="1"/>
        <d v="2025-07-16T15:10:00" u="1"/>
        <d v="2025-07-17T14:11:00" u="1"/>
        <d v="2025-07-16T15:20:00" u="1"/>
        <d v="2025-07-16T15:21:00" u="1"/>
        <d v="2025-07-15T11:07:00" u="1"/>
        <d v="2025-07-16T14:23:00" u="1"/>
        <d v="2025-08-25T09:55:00" u="1"/>
        <d v="2025-08-27T09:33:00" u="1"/>
        <d v="2025-08-26T11:02:00" u="1"/>
        <d v="2025-08-27T15:32:00" u="1"/>
        <d v="2025-08-27T15:34:00" u="1"/>
        <d v="2025-08-12T18:18:00" u="1"/>
        <d v="2025-08-28T11:47:00" u="1"/>
        <d v="2025-08-27T19:16:00" u="1"/>
        <d v="2025-08-27T10:25:00" u="1"/>
        <d v="2025-08-27T19:14:00" u="1"/>
        <d v="2025-08-28T16:05:00" u="1"/>
        <d v="2025-08-28T20:15:00" u="1"/>
        <d v="2025-08-28T13:07:00" u="1"/>
        <d v="2025-08-28T13:18:00" u="1"/>
        <d v="2025-08-28T09:30:00" u="1"/>
        <d v="2025-08-28T02:59:00" u="1"/>
        <d v="2025-08-28T01:08:00" u="1"/>
        <d v="2025-08-28T05:15:00" u="1"/>
        <d v="2025-08-27T04:01:00" u="1"/>
        <d v="2025-08-28T03:17:00" u="1"/>
        <d v="2025-08-28T04:43:00" u="1"/>
        <d v="2025-08-26T15:43:00" u="1"/>
        <d v="2025-08-26T16:04:00" u="1"/>
        <d v="2025-08-28T05:53:00" u="1"/>
        <d v="2025-08-28T09:52:00" u="1"/>
        <d v="2025-08-28T02:36:00" u="1"/>
        <d v="2025-06-20T09:30:00" u="1"/>
        <d v="2025-08-28T01:18:00" u="1"/>
        <d v="2025-08-28T02:00:00" u="1"/>
        <d v="2025-08-28T05:44:00" u="1"/>
        <d v="2025-08-27T08:02:00" u="1"/>
        <d v="2025-08-28T12:05:00" u="1"/>
        <d v="2025-08-28T05:45:00" u="1"/>
        <d v="2025-08-26T15:55:00" u="1"/>
        <d v="2025-08-28T02:50:00" u="1"/>
        <d v="2025-08-28T04:13:00" u="1"/>
        <d v="2025-08-13T15:35:00" u="1"/>
        <d v="2025-08-29T00:59:00" u="1"/>
        <d v="2025-08-28T13:35:00" u="1"/>
        <d v="2025-08-27T17:27:00" u="1"/>
        <d v="2025-08-28T08:52:00" u="1"/>
        <d v="2025-08-28T09:12:00" u="1"/>
        <d v="2025-08-15T15:27:00" u="1"/>
        <d v="2025-08-28T09:43:00" u="1"/>
        <d v="2025-08-14T09:30:00" u="1"/>
        <d v="2025-08-28T03:13:00" u="1"/>
        <d v="2025-08-28T12:33:00" u="1"/>
        <d v="2025-08-28T08:14:00" u="1"/>
        <d v="2025-08-26T11:05:00" u="1"/>
        <d v="2025-08-27T12:36:00" u="1"/>
        <d v="2025-08-27T02:46:00" u="1"/>
        <d v="2025-08-27T15:08:00" u="1"/>
        <d v="2025-08-28T05:20:00" u="1"/>
        <d v="2025-08-28T05:59:00" u="1"/>
        <d v="2025-08-26T08:53:00" u="1"/>
        <d v="2025-08-28T02:35:00" u="1"/>
        <d v="2025-08-27T10:02:00" u="1"/>
        <d v="2025-08-28T05:49:00" u="1"/>
        <d v="2025-08-28T01:53:00" u="1"/>
        <d v="2025-08-27T02:33:00" u="1"/>
        <d v="2025-08-27T02:56:00" u="1"/>
        <d v="2025-08-27T04:15:00" u="1"/>
        <d v="2025-08-28T12:39:00" u="1"/>
        <d v="2025-08-26T09:32:00" u="1"/>
        <d v="2025-08-28T13:05:00" u="1"/>
        <d v="2025-08-27T11:07:00" u="1"/>
        <d v="2025-08-25T15:47:00" u="1"/>
        <d v="2025-08-28T11:34:00" u="1"/>
        <d v="2025-08-25T10:51:00" u="1"/>
        <d v="2025-08-28T14:09:00" u="1"/>
        <d v="2025-08-28T05:58:00" u="1"/>
        <d v="2025-06-27T17:02:00" u="1"/>
        <d v="2025-08-27T10:23:00" u="1"/>
        <d v="2025-08-25T09:16:00" u="1"/>
        <d v="2025-08-27T10:08:00" u="1"/>
        <d v="2025-08-27T10:43:00" u="1"/>
        <d v="2025-08-26T16:09:00" u="1"/>
        <d v="2025-08-25T23:37:00" u="1"/>
        <d v="2025-08-26T09:03:00" u="1"/>
        <d v="2025-08-26T07:21:00" u="1"/>
        <d v="2025-08-27T08:30:00" u="1"/>
        <d v="2025-08-27T08:37:00" u="1"/>
        <d v="2025-08-27T08:25:00" u="1"/>
        <d v="2025-08-25T12:36:00" u="1"/>
        <d v="2025-08-27T11:16:00" u="1"/>
        <d v="2025-08-26T22:10:00" u="1"/>
        <d v="2025-08-26T12:08:00" u="1"/>
        <d v="2025-08-25T19:02:00" u="1"/>
        <d v="2025-08-21T16:52:00" u="1"/>
        <d v="2025-08-27T11:06:00" u="1"/>
        <d v="2025-08-27T10:14:00" u="1"/>
        <d v="2025-08-27T10:54:00" u="1"/>
        <d v="2025-08-26T14:29:00" u="1"/>
        <d v="2025-08-27T19:21:00" u="1"/>
        <d v="2025-08-27T15:30:00" u="1"/>
        <d v="2025-08-26T10:06:00" u="1"/>
        <d v="2025-08-25T19:44:00" u="1"/>
        <d v="2025-08-26T16:55:00" u="1"/>
        <d v="2025-08-27T17:59:00" u="1"/>
        <d v="2025-08-27T09:18:00" u="1"/>
        <d v="2025-08-26T11:39:00" u="1"/>
        <d v="2025-08-27T11:55:00" u="1"/>
        <d v="2025-08-26T06:53:00" u="1"/>
        <d v="2025-08-21T14:17:00" u="1"/>
        <d v="2025-08-27T14:43:00" u="1"/>
        <d v="2025-08-27T09:49:00" u="1"/>
        <d v="2025-08-26T11:45:00" u="1"/>
        <d v="2025-08-25T12:44:00" u="1"/>
        <d v="2025-08-25T17:53:00" u="1"/>
        <d v="2025-08-26T12:22:00" u="1"/>
        <d v="2025-08-26T16:22:00" u="1"/>
        <d v="2025-08-26T14:28:00" u="1"/>
        <d v="2025-08-26T10:54:00" u="1"/>
        <d v="2025-08-26T09:56:00" u="1"/>
        <d v="2025-08-26T14:00:00" u="1"/>
        <d v="2025-08-11T21:44:00" u="1"/>
        <d v="2025-08-22T12:52:00" u="1"/>
        <d v="2025-08-22T12:53:00" u="1"/>
        <d v="2025-08-19T07:50:00" u="1"/>
        <d v="2025-08-26T08:28:00" u="1"/>
        <d v="2025-08-25T12:38:00" u="1"/>
        <d v="2025-08-26T08:52:00" u="1"/>
        <d v="2025-08-27T06:23:00" u="1"/>
        <d v="2025-08-21T14:03:00" u="1"/>
        <d v="2025-08-26T16:18:00" u="1"/>
        <d v="2025-08-27T06:44:00" u="1"/>
        <d v="2025-08-21T12:45:00" u="1"/>
        <d v="2025-08-26T12:16:00" u="1"/>
        <d v="2025-08-27T15:18:00" u="1"/>
        <d v="2025-08-28T04:37:00" u="1"/>
        <d v="2025-08-27T12:46:00" u="1"/>
        <d v="2025-08-27T18:05:00" u="1"/>
        <d v="2025-08-26T13:03:00" u="1"/>
        <d v="2025-08-25T13:03:00" u="1"/>
        <d v="2025-08-26T08:18:00" u="1"/>
        <d v="2025-08-25T16:33:00" u="1"/>
        <d v="2025-08-25T16:00:00" u="1"/>
        <d v="2025-08-12T11:31:00" u="1"/>
        <d v="2025-08-15T14:43:00" u="1"/>
        <d v="2025-08-25T11:49:00" u="1"/>
        <d v="2025-08-27T08:41:00" u="1"/>
        <d v="2025-08-19T18:49:00" u="1"/>
        <d v="2025-08-20T17:25:00" u="1"/>
        <d v="2025-08-21T11:58:00" u="1"/>
        <d v="2025-08-26T11:52:00" u="1"/>
        <d v="2025-08-15T13:29:00" u="1"/>
        <d v="2025-08-26T12:25:00" u="1"/>
        <d v="2025-08-27T15:29:00" u="1"/>
        <d v="2025-08-26T14:21:00" u="1"/>
        <d v="2025-08-14T13:42:00" u="1"/>
        <d v="2025-08-21T18:25:00" u="1"/>
        <d v="2025-08-22T09:05:00" u="1"/>
        <d v="2025-08-27T14:26:00" u="1"/>
        <d v="2025-08-26T17:18:00" u="1"/>
        <d v="2025-08-25T15:03:00" u="1"/>
        <d v="2025-08-25T14:46:00" u="1"/>
        <d v="2025-08-25T14:52:00" u="1"/>
        <d v="2025-08-27T14:04:00" u="1"/>
        <d v="2025-08-25T14:34:00" u="1"/>
        <d v="2025-08-27T19:47:00" u="1"/>
        <d v="2025-08-26T10:23:00" u="1"/>
        <d v="2025-08-26T14:39:00" u="1"/>
        <d v="2025-08-27T10:17:00" u="1"/>
        <d v="2025-08-27T10:06:00" u="1"/>
        <d v="2025-08-27T17:21:00" u="1"/>
        <d v="2025-08-21T06:15:00" u="1"/>
        <d v="2025-08-21T06:39:00" u="1"/>
        <d v="2025-08-20T10:53:00" u="1"/>
        <d v="2025-08-18T07:49:00" u="1"/>
        <d v="2025-08-18T08:00:00" u="1"/>
        <d v="2025-08-22T13:41:00" u="1"/>
        <d v="2025-08-25T07:29:00" u="1"/>
        <d v="2025-08-27T11:09:00" u="1"/>
        <d v="2025-08-26T10:03:00" u="1"/>
        <d v="2025-08-25T16:41:00" u="1"/>
        <d v="2025-08-25T16:40:00" u="1"/>
        <d v="2025-08-26T13:22:00" u="1"/>
        <d v="2025-08-26T15:19:00" u="1"/>
        <d v="2025-08-27T10:26:00" u="1"/>
        <d v="2025-08-27T19:15:00" u="1"/>
        <d v="2025-08-27T19:18:00" u="1"/>
        <d v="2025-08-27T19:17:00" u="1"/>
        <d v="2025-08-26T19:25:00" u="1"/>
        <d v="2025-08-27T09:29:00" u="1"/>
        <d v="2025-08-26T14:10:00" u="1"/>
        <d v="2025-08-25T19:10:00" u="1"/>
        <d v="2025-08-26T14:37:00" u="1"/>
        <d v="2025-08-25T18:17:00" u="1"/>
        <d v="2025-08-25T17:46:00" u="1"/>
        <d v="2025-08-25T18:55:00" u="1"/>
        <d v="2025-08-27T06:28:00" u="1"/>
        <d v="2025-08-07T14:57:00" u="1"/>
        <d v="2025-08-13T10:26:00" u="1"/>
        <d v="2025-08-12T15:52:00" u="1"/>
        <d v="2025-08-27T17:09:00" u="1"/>
        <d v="2025-08-27T15:20:00" u="1"/>
        <d v="2025-08-26T22:47:00" u="1"/>
        <d v="2025-08-26T18:48:00" u="1"/>
        <d v="2025-08-27T18:07:00" u="1"/>
        <d v="2025-08-26T17:48:00" u="1"/>
        <d v="2025-08-26T17:46:00" u="1"/>
        <d v="2025-08-26T17:44:00" u="1"/>
        <d v="2025-08-26T17:42:00" u="1"/>
        <d v="2025-08-26T17:39:00" u="1"/>
        <d v="2025-08-12T20:16:00" u="1"/>
        <d v="2025-07-17T12:08:00" u="1"/>
        <d v="2025-08-21T13:30:00" u="1"/>
        <d v="2025-08-26T11:24:00" u="1"/>
        <d v="2025-08-24T15:45:00" u="1"/>
        <d v="2025-08-27T17:11:00" u="1"/>
        <d v="2025-08-26T06:22:00" u="1"/>
        <d v="2025-08-25T01:34:00" u="1"/>
        <d v="2025-08-27T11:57:00" u="1"/>
        <d v="2025-08-27T09:34:00" u="1"/>
        <d v="2025-08-25T07:16:00" u="1"/>
        <d v="2025-08-27T12:56:00" u="1"/>
        <d v="2025-08-27T10:15:00" u="1"/>
        <d v="2025-08-26T03:31:00" u="1"/>
        <d v="2025-05-23T14:17:00" u="1"/>
        <d v="2025-07-25T09:49:00" u="1"/>
        <d v="2025-08-27T05:35:00" u="1"/>
        <d v="2025-08-26T06:08:00" u="1"/>
        <d v="2025-08-26T09:48:00" u="1"/>
        <d v="2025-08-26T08:50:00" u="1"/>
        <d v="2025-08-27T03:00:00" u="1"/>
        <d v="2025-08-27T01:40:00" u="1"/>
        <d v="2025-08-27T09:45:00" u="1"/>
        <d v="2025-08-27T09:57:00" u="1"/>
        <d v="2025-08-26T06:31:00" u="1"/>
        <d v="2025-08-19T21:00:00" u="1"/>
        <d v="2025-08-19T22:00:00" u="1"/>
        <d v="2025-08-27T06:11:00" u="1"/>
        <d v="2025-08-27T03:04:00" u="1"/>
        <d v="2025-08-14T14:59:00" u="1"/>
        <d v="2025-08-27T16:57:00" u="1"/>
        <d v="2025-08-22T14:43:00" u="1"/>
        <d v="2025-07-24T07:27:00" u="1"/>
        <d v="2025-08-25T10:00:00" u="1"/>
        <d v="2025-08-14T16:41:00" u="1"/>
        <d v="2025-08-27T12:25:00" u="1"/>
        <d v="2025-08-13T11:26:00" u="1"/>
        <d v="2025-08-13T12:42:00" u="1"/>
        <d v="2025-08-21T12:39:00" u="1"/>
        <d v="2025-08-25T06:51:00" u="1"/>
        <d v="2025-08-08T10:40:00" u="1"/>
        <d v="2025-08-27T12:24:00" u="1"/>
        <d v="2025-08-27T18:30:00" u="1"/>
        <d v="2025-08-27T10:29:00" u="1"/>
        <d v="2025-06-04T02:28:00" u="1"/>
        <d v="2025-06-24T00:00:00" u="1"/>
        <d v="2025-08-13T07:26:00" u="1"/>
        <d v="2025-08-26T08:44:00" u="1"/>
        <d v="2025-06-13T10:22:00" u="1"/>
        <d v="2025-08-18T07:02:00" u="1"/>
        <d v="2025-03-25T11:36:00" u="1"/>
        <d v="2025-07-30T12:46:00" u="1"/>
        <d v="2025-07-28T12:41:00" u="1"/>
        <d v="2025-07-28T12:35:00" u="1"/>
        <d v="2024-12-16T12:14:00" u="1"/>
        <d v="2025-08-14T06:22:00" u="1"/>
        <d v="2025-07-07T15:43:00" u="1"/>
        <d v="2025-08-16T21:40:00" u="1"/>
        <d v="2025-08-27T03:58:00" u="1"/>
        <d v="2025-08-26T10:22:00" u="1"/>
        <d v="2025-08-26T05:00:00" u="1"/>
        <d v="2025-08-26T10:50:00" u="1"/>
        <d v="2025-08-27T02:35:00" u="1"/>
        <d v="2025-08-25T01:33:00" u="1"/>
        <d v="2025-08-27T11:18:00" u="1"/>
        <d v="2025-08-26T05:20:00" u="1"/>
        <d v="2025-08-26T03:15:00" u="1"/>
        <d v="2025-08-26T15:47:00" u="1"/>
        <d v="2025-08-27T04:05:00" u="1"/>
        <d v="2025-06-25T13:40:00" u="1"/>
        <d v="2025-08-27T08:12:00" u="1"/>
        <d v="2025-08-10T11:55:00" u="1"/>
        <d v="2025-08-26T14:11:00" u="1"/>
        <d v="2025-08-27T18:21:00" u="1"/>
        <d v="2025-08-05T16:10:00" u="1"/>
        <d v="2025-08-17T20:04:00" u="1"/>
        <d v="2025-08-25T15:07:00" u="1"/>
        <d v="2025-02-17T14:51:00" u="1"/>
        <d v="2025-08-22T13:43:00" u="1"/>
        <d v="2025-08-21T16:48:00" u="1"/>
        <d v="2025-08-24T13:43:00" u="1"/>
        <d v="2025-08-24T13:50:00" u="1"/>
        <d v="2025-08-25T19:20:00" u="1"/>
        <d v="2025-08-26T18:25:00" u="1"/>
        <d v="2025-08-26T15:22:00" u="1"/>
        <d v="2025-07-31T07:29:00" u="1"/>
        <d v="2025-08-22T07:25:00" u="1"/>
        <d v="2025-08-20T19:32:00" u="1"/>
        <d v="2025-08-20T20:06:00" u="1"/>
        <d v="2025-08-22T10:50:00" u="1"/>
        <d v="2025-08-20T15:18:00" u="1"/>
        <d v="2025-08-22T10:55:00" u="1"/>
        <d v="2025-08-22T08:52:00" u="1"/>
        <d v="2025-08-22T09:16:00" u="1"/>
        <d v="2025-08-22T09:24:00" u="1"/>
        <d v="2025-08-26T12:30:00" u="1"/>
        <d v="2025-08-26T09:08:00" u="1"/>
        <d v="2025-08-26T11:32:00" u="1"/>
        <d v="2025-08-21T16:00:00" u="1"/>
        <d v="2025-08-26T16:24:00" u="1"/>
        <d v="2025-08-22T17:14:00" u="1"/>
        <d v="2025-08-25T22:09:00" u="1"/>
        <d v="2025-08-22T09:50:00" u="1"/>
        <d v="2025-08-22T13:26:00" u="1"/>
        <d v="2025-08-26T16:52:00" u="1"/>
        <d v="2025-08-26T19:02:00" u="1"/>
        <d v="2025-08-26T16:57:00" u="1"/>
        <d v="2025-08-26T18:17:00" u="1"/>
        <d v="2025-08-26T10:17:00" u="1"/>
        <d v="2025-08-26T13:43:00" u="1"/>
        <d v="2025-08-20T10:13:00" u="1"/>
        <d v="2025-08-07T17:42:00" u="1"/>
        <d v="2025-08-07T17:14:00" u="1"/>
        <d v="2025-07-21T14:05:00" u="1"/>
        <d v="2025-07-17T14:33:00" u="1"/>
        <d v="2025-07-17T14:31:00" u="1"/>
        <d v="2025-07-17T14:28:00" u="1"/>
        <d v="2025-07-21T14:06:00" u="1"/>
        <d v="2025-07-17T14:40:00" u="1"/>
        <d v="2025-07-17T14:39:00" u="1"/>
        <d v="2025-07-17T14:30:00" u="1"/>
        <d v="2025-07-17T14:27:00" u="1"/>
        <d v="2025-07-17T14:25:00" u="1"/>
        <d v="2025-07-17T16:11:00" u="1"/>
        <d v="2025-07-17T16:10:00" u="1"/>
        <d v="2025-07-17T14:52:00" u="1"/>
        <d v="2025-07-17T14:53:00" u="1"/>
        <d v="2025-07-17T14:49:00" u="1"/>
        <d v="2025-07-17T14:51:00" u="1"/>
        <d v="2025-07-15T11:10:00" u="1"/>
        <d v="2025-08-13T11:39:00" u="1"/>
        <d v="2025-08-25T08:27:00" u="1"/>
        <d v="2025-08-22T14:52:00" u="1"/>
        <d v="2025-08-14T14:31:00" u="1"/>
        <d v="2025-08-26T07:49:00" u="1"/>
        <d v="2025-08-08T07:31:00" u="1"/>
        <d v="2025-08-06T12:57:00" u="1"/>
        <d v="2025-08-26T04:11:00" u="1"/>
        <d v="2025-08-26T18:26:00" u="1"/>
        <d v="2025-08-26T11:03:00" u="1"/>
        <d v="2025-08-26T03:13:00" u="1"/>
        <d v="2025-08-25T11:27:00" u="1"/>
        <d v="2025-08-26T18:04:00" u="1"/>
        <d v="2025-08-11T09:37:00" u="1"/>
        <d v="2025-08-26T08:30:00" u="1"/>
        <d v="2025-08-19T14:14:00" u="1"/>
        <d v="2025-08-26T16:39:00" u="1"/>
        <d v="2025-08-26T04:52:00" u="1"/>
        <d v="2025-08-26T03:54:00" u="1"/>
        <d v="2025-08-26T05:11:00" u="1"/>
        <d v="2025-08-26T02:36:00" u="1"/>
        <d v="2025-08-06T12:26:00" u="1"/>
        <d v="2025-08-12T15:14:00" u="1"/>
        <d v="2025-08-26T05:54:00" u="1"/>
        <d v="2025-08-26T15:36:00" u="1"/>
        <d v="2025-08-26T07:22:00" u="1"/>
        <d v="2025-08-26T06:43:00" u="1"/>
        <d v="2025-08-25T11:45:00" u="1"/>
        <d v="2025-08-14T10:00:00" u="1"/>
        <d v="2025-08-26T06:47:00" u="1"/>
        <d v="2025-08-26T15:52:00" u="1"/>
        <d v="2025-08-04T09:24:00" u="1"/>
        <d v="2025-08-04T09:30:00" u="1"/>
        <d v="2025-08-21T07:27:00" u="1"/>
        <d v="2025-08-22T12:31:00" u="1"/>
        <d v="2025-08-11T14:28:00" u="1"/>
        <d v="2025-08-15T15:15:00" u="1"/>
        <d v="2025-08-20T07:57:00" u="1"/>
        <d v="2025-08-25T11:46:00" u="1"/>
        <d v="2025-08-25T14:43:00" u="1"/>
        <d v="2025-08-25T17:34:00" u="1"/>
        <d v="2025-08-19T17:24:00" u="1"/>
        <d v="2025-08-20T14:01:00" u="1"/>
        <d v="2025-08-20T14:06:00" u="1"/>
        <d v="2025-08-25T13:40:00" u="1"/>
        <d v="2025-08-25T15:45:00" u="1"/>
        <d v="2025-08-25T15:20:00" u="1"/>
        <d v="2025-08-25T15:40:00" u="1"/>
        <d v="2025-08-22T08:43:00" u="1"/>
        <d v="2025-08-19T14:37:00" u="1"/>
        <d v="2025-08-25T16:49:00" u="1"/>
        <d v="2025-08-25T17:36:00" u="1"/>
        <d v="2025-08-23T18:00:00" u="1"/>
        <d v="2025-08-18T19:06:00" u="1"/>
        <d v="2025-08-26T18:49:00" u="1"/>
        <d v="2025-08-25T13:58:00" u="1"/>
        <d v="2025-08-25T14:15:00" u="1"/>
        <d v="2025-08-19T14:49:00" u="1"/>
        <d v="2025-08-25T10:35:00" u="1"/>
        <d v="2025-08-20T00:00:00" u="1"/>
        <d v="2025-08-15T11:09:00" u="1"/>
        <d v="2025-08-25T08:49:00" u="1"/>
        <d v="2025-08-22T14:12:00" u="1"/>
        <d v="2025-08-18T11:35:00" u="1"/>
        <d v="2025-08-22T17:30:00" u="1"/>
        <d v="2025-08-22T16:40:00" u="1"/>
        <d v="2025-08-18T13:49:00" u="1"/>
        <d v="2025-08-18T17:47:00" u="1"/>
        <d v="2025-08-18T17:53:00" u="1"/>
        <d v="2025-08-19T19:16:00" u="1"/>
        <d v="2025-08-25T12:27:00" u="1"/>
        <d v="2025-08-25T15:10:00" u="1"/>
        <d v="2025-08-20T11:54:00" u="1"/>
        <d v="2025-08-19T09:56:00" u="1"/>
        <d v="2025-08-19T10:00:00" u="1"/>
        <d v="2025-08-19T10:03:00" u="1"/>
        <d v="2025-08-19T10:04:00" u="1"/>
        <d v="2025-08-19T10:07:00" u="1"/>
        <d v="2025-08-19T10:09:00" u="1"/>
        <d v="2025-08-19T10:11:00" u="1"/>
        <d v="2025-08-19T10:15:00" u="1"/>
        <d v="2025-08-19T10:16:00" u="1"/>
        <d v="2025-08-19T10:18:00" u="1"/>
        <d v="2025-08-25T15:36:00" u="1"/>
        <d v="2025-08-23T08:40:00" u="1"/>
        <d v="2025-08-18T15:11:00" u="1"/>
        <d v="2025-08-22T16:45:00" u="1"/>
        <d v="2025-08-22T16:48:00" u="1"/>
        <d v="2025-08-11T12:37:00" u="1"/>
        <d v="2025-08-06T11:25:00" u="1"/>
        <d v="2025-08-22T13:11:00" u="1"/>
        <d v="2025-08-21T05:13:00" u="1"/>
        <d v="2025-08-25T11:37:00" u="1"/>
        <d v="2025-08-25T02:22:00" u="1"/>
        <d v="2025-08-25T10:31:00" u="1"/>
        <d v="2025-08-25T05:21:00" u="1"/>
        <d v="2025-08-25T03:01:00" u="1"/>
        <d v="2025-08-15T02:56:00" u="1"/>
        <d v="2025-08-25T02:39:00" u="1"/>
        <d v="2025-08-25T06:15:00" u="1"/>
        <d v="2025-08-22T05:35:00" u="1"/>
        <d v="2025-08-04T13:13:00" u="1"/>
        <d v="2025-08-25T11:56:00" u="1"/>
        <d v="2025-08-13T16:56:00" u="1"/>
        <d v="2025-08-22T18:33:00" u="1"/>
        <d v="2025-08-25T06:38:00" u="1"/>
        <d v="2025-08-25T14:57:00" u="1"/>
        <d v="2025-08-21T11:04:00" u="1"/>
        <d v="2025-08-22T16:41:00" u="1"/>
        <d v="2025-08-25T04:02:00" u="1"/>
        <d v="2025-08-25T04:18:00" u="1"/>
        <d v="2025-08-25T03:18:00" u="1"/>
        <d v="2025-06-03T00:00:00" u="1"/>
        <d v="2025-08-25T10:56:00" u="1"/>
        <d v="2025-08-25T09:27:00" u="1"/>
        <d v="2025-08-23T01:01:00" u="1"/>
        <d v="2025-08-24T05:05:00" u="1"/>
        <d v="2025-07-22T13:30:00" u="1"/>
        <d v="2025-07-23T18:21:00" u="1"/>
        <d v="2025-08-21T12:59:00" u="1"/>
        <d v="2025-07-20T09:19:00" u="1"/>
        <d v="2025-08-21T01:11:00" u="1"/>
        <d v="2025-08-22T17:00:00" u="1"/>
        <d v="2025-08-25T08:33:00" u="1"/>
        <d v="2025-08-01T09:49:00" u="1"/>
        <d v="2025-08-25T09:02:00" u="1"/>
        <d v="2025-08-25T07:22:00" u="1"/>
        <d v="2025-08-11T13:23:00" u="1"/>
        <d v="2025-08-25T09:11:00" u="1"/>
        <d v="2025-08-20T13:57:00" u="1"/>
        <d v="2025-08-25T15:58:00" u="1"/>
        <d v="2025-08-25T08:40:00" u="1"/>
        <d v="2025-08-22T08:58:00" u="1"/>
        <d v="2025-08-25T07:32:00" u="1"/>
        <d v="2025-08-18T10:38:00" u="1"/>
        <d v="2025-08-25T11:43:00" u="1"/>
        <d v="2025-08-25T15:51:00" u="1"/>
        <d v="2025-08-24T05:52:00" u="1"/>
        <d v="2025-08-26T06:25:00" u="1"/>
        <d v="2025-08-24T03:37:00" u="1"/>
        <d v="2025-08-25T03:26:00" u="1"/>
        <d v="2025-08-25T09:54:00" u="1"/>
        <d v="2025-08-25T09:09:00" u="1"/>
        <d v="2025-08-25T12:28:00" u="1"/>
        <d v="2025-08-25T15:13:00" u="1"/>
        <d v="2025-08-25T07:09:00" u="1"/>
        <d v="2025-08-25T08:58:00" u="1"/>
        <d v="2025-08-25T10:23:00" u="1"/>
        <d v="2025-08-25T08:37:00" u="1"/>
        <d v="2025-08-25T05:16:00" u="1"/>
        <d v="2025-08-22T12:38:00" u="1"/>
        <d v="2025-08-20T14:44:00" u="1"/>
        <d v="2025-08-20T14:45:00" u="1"/>
        <d v="2025-08-21T09:37:00" u="1"/>
        <d v="2025-08-05T17:26:00" u="1"/>
        <d v="2025-08-07T13:57:00" u="1"/>
        <d v="2025-08-12T17:39:00" u="1"/>
        <d v="2025-08-12T15:03:00" u="1"/>
        <d v="2025-08-12T13:25:00" u="1"/>
        <d v="2025-08-11T10:32:00" u="1"/>
        <d v="2025-08-08T11:13:00" u="1"/>
        <d v="2025-08-14T12:53:00" u="1"/>
        <d v="2025-08-19T12:34:00" u="1"/>
        <d v="2025-08-19T12:14:00" u="1"/>
        <d v="2025-08-19T12:01:00" u="1"/>
        <d v="2025-08-19T09:42:00" u="1"/>
        <d v="2025-08-19T09:07:00" u="1"/>
        <d v="2025-08-19T10:02:00" u="1"/>
        <d v="2025-08-15T15:40:00" u="1"/>
        <d v="2025-08-19T11:15:00" u="1"/>
        <d v="2025-08-19T09:48:00" u="1"/>
        <d v="2025-08-19T06:29:00" u="1"/>
        <d v="2025-08-18T14:09:00" u="1"/>
        <d v="2025-08-19T09:54:00" u="1"/>
        <d v="2025-08-12T09:12:00" u="1"/>
        <d v="2025-08-19T13:29:00" u="1"/>
        <d v="2025-08-08T14:17:00" u="1"/>
        <d v="2025-08-08T15:06:00" u="1"/>
        <d v="2025-08-13T16:09:00" u="1"/>
        <d v="2025-08-18T08:25:00" u="1"/>
        <d v="2025-08-18T11:11:00" u="1"/>
        <d v="2025-08-18T12:54:00" u="1"/>
        <d v="2025-08-12T11:37:00" u="1"/>
        <d v="2025-08-18T10:23:00" u="1"/>
        <d v="2025-08-19T10:55:00" u="1"/>
        <d v="2025-08-12T10:23:00" u="1"/>
        <d v="2025-08-18T17:14:00" u="1"/>
        <d v="2025-08-19T15:43:00" u="1"/>
        <d v="2025-08-19T08:55:00" u="1"/>
        <d v="2025-08-18T08:29:00" u="1"/>
        <d v="2025-08-19T09:23:00" u="1"/>
        <d v="2025-08-19T09:30:00" u="1"/>
        <d v="2025-08-18T16:31:00" u="1"/>
        <d v="2025-08-19T09:15:00" u="1"/>
        <d v="2025-08-19T10:10:00" u="1"/>
        <d v="2025-08-14T06:40:00" u="1"/>
        <d v="2025-08-14T06:49:00" u="1"/>
        <d v="2025-08-19T09:20:00" u="1"/>
        <d v="2025-08-20T17:40:00" u="1"/>
        <d v="2025-08-20T14:14:00" u="1"/>
        <d v="2025-08-20T19:06:00" u="1"/>
        <d v="2025-08-20T12:01:00" u="1"/>
        <d v="2025-08-20T10:24:00" u="1"/>
        <d v="2025-08-20T08:30:00" u="1"/>
        <d v="2025-08-20T12:03:00" u="1"/>
        <d v="2025-08-19T14:22:00" u="1"/>
        <d v="2025-08-19T14:18:00" u="1"/>
        <d v="2025-08-19T15:22:00" u="1"/>
        <d v="2025-08-21T08:01:00" u="1"/>
        <d v="2025-08-21T07:57:00" u="1"/>
        <d v="2025-08-20T15:07:00" u="1"/>
        <d v="2025-08-19T15:13:00" u="1"/>
        <d v="2025-08-21T11:52:00" u="1"/>
        <d v="2025-08-20T18:16:00" u="1"/>
        <d v="2025-08-20T16:21:00" u="1"/>
        <d v="2025-08-21T15:52:00" u="1"/>
        <d v="2025-08-20T16:00:00" u="1"/>
        <d v="2025-08-20T15:59:00" u="1"/>
        <d v="2025-08-20T15:58:00" u="1"/>
        <d v="2025-08-20T18:26:00" u="1"/>
        <d v="2025-08-20T18:27:00" u="1"/>
        <d v="2025-08-14T17:47:00" u="1"/>
        <d v="2025-08-20T14:09:00" u="1"/>
        <d v="2025-08-20T16:24:00" u="1"/>
        <d v="2025-08-21T11:42:00" u="1"/>
        <d v="2025-08-21T11:21:00" u="1"/>
        <d v="2025-08-21T14:55:00" u="1"/>
        <d v="2025-08-21T09:14:00" u="1"/>
        <d v="2025-08-21T09:08:00" u="1"/>
        <d v="2025-08-20T23:20:00" u="1"/>
        <d v="2025-08-20T21:20:00" u="1"/>
        <d v="2025-08-20T09:01:00" u="1"/>
        <d v="2025-08-20T16:02:00" u="1"/>
        <d v="2025-08-20T16:35:00" u="1"/>
        <d v="2025-08-19T17:47:00" u="1"/>
        <d v="2025-08-19T18:10:00" u="1"/>
        <d v="2025-08-20T16:08:00" u="1"/>
        <d v="2025-08-20T15:16:00" u="1"/>
        <d v="2025-08-20T11:36:00" u="1"/>
        <d v="2025-08-20T11:42:00" u="1"/>
        <d v="2025-08-19T19:07:00" u="1"/>
        <d v="2025-08-20T20:11:00" u="1"/>
        <d v="2025-08-19T17:15:00" u="1"/>
        <d v="2025-08-19T15:20:00" u="1"/>
        <d v="2025-08-20T13:40:00" u="1"/>
        <d v="2025-08-20T18:54:00" u="1"/>
        <d v="2025-08-21T10:25:00" u="1"/>
        <d v="2025-08-21T09:16:00" u="1"/>
        <d v="2025-08-19T16:21:00" u="1"/>
        <d v="2025-08-21T10:03:00" u="1"/>
        <d v="2025-08-21T07:56:00" u="1"/>
        <d v="2025-08-19T13:52:00" u="1"/>
        <d v="2025-08-19T18:27:00" u="1"/>
        <d v="2025-08-19T16:08:00" u="1"/>
        <d v="2025-08-20T12:33:00" u="1"/>
        <d v="2025-08-19T14:38:00" u="1"/>
        <d v="2025-08-19T14:44:00" u="1"/>
        <d v="2025-08-20T16:59:00" u="1"/>
        <d v="2025-08-20T16:27:00" u="1"/>
        <d v="2025-08-20T16:26:00" u="1"/>
        <d v="2025-08-20T12:46:00" u="1"/>
        <d v="2025-08-21T11:47:00" u="1"/>
        <d v="2025-08-21T10:27:00" u="1"/>
        <d v="2025-08-20T16:53:00" u="1"/>
        <d v="2025-08-20T15:04:00" u="1"/>
        <d v="2025-08-21T10:14:00" u="1"/>
        <d v="2025-08-21T13:34:00" u="1"/>
        <d v="2025-08-19T19:01:00" u="1"/>
        <d v="2025-08-20T12:18:00" u="1"/>
        <d v="2025-08-19T18:52:00" u="1"/>
        <d v="2025-08-19T14:03:00" u="1"/>
        <d v="2025-08-20T16:38:00" u="1"/>
        <d v="2025-08-20T16:03:00" u="1"/>
        <d v="2025-08-20T14:59:00" u="1"/>
        <d v="2025-08-20T13:54:00" u="1"/>
        <d v="2025-08-20T11:47:00" u="1"/>
        <d v="2025-08-20T10:44:00" u="1"/>
        <d v="2025-08-21T11:03:00" u="1"/>
        <d v="2025-08-21T02:00:00" u="1"/>
        <d v="2025-08-21T09:59:00" u="1"/>
        <d v="2025-08-21T11:07:00" u="1"/>
        <d v="2025-08-21T09:23:00" u="1"/>
        <d v="2025-08-21T04:46:00" u="1"/>
        <d v="2025-08-21T12:55:00" u="1"/>
        <d v="2025-08-21T09:18:00" u="1"/>
        <d v="2025-08-21T09:21:00" u="1"/>
        <d v="2025-08-21T12:22:00" u="1"/>
        <d v="2025-08-21T04:49:00" u="1"/>
        <d v="2025-08-21T06:32:00" u="1"/>
        <d v="2025-07-25T16:01:00" u="1"/>
        <d v="2025-07-25T19:11:00" u="1"/>
        <d v="2025-08-21T07:49:00" u="1"/>
        <d v="2025-08-21T13:00:00" u="1"/>
        <d v="2025-08-21T03:41:00" u="1"/>
        <d v="2025-08-21T10:20:00" u="1"/>
        <d v="2025-08-21T09:09:00" u="1"/>
        <d v="2025-08-21T10:56:00" u="1"/>
        <d v="2025-08-21T01:48:00" u="1"/>
        <d v="2025-08-20T06:25:00" u="1"/>
        <d v="2025-08-21T09:11:00" u="1"/>
        <d v="2025-08-21T08:33:00" u="1"/>
        <d v="2025-08-21T11:02:00" u="1"/>
        <d v="2025-08-13T23:11:00" u="1"/>
        <d v="2025-08-20T10:54:00" u="1"/>
        <d v="2025-08-21T15:17:00" u="1"/>
        <d v="2025-08-21T13:56:00" u="1"/>
        <d v="2025-08-21T17:22:00" u="1"/>
        <d v="2025-08-21T17:11:00" u="1"/>
        <d v="2025-08-21T13:43:00" u="1"/>
        <d v="2025-08-21T18:39:00" u="1"/>
        <d v="2025-08-21T18:09:00" u="1"/>
        <d v="2025-08-21T15:23:00" u="1"/>
        <d v="2025-08-21T13:59:00" u="1"/>
        <d v="2025-08-21T15:22:00" u="1"/>
        <d v="2025-08-21T15:27:00" u="1"/>
        <d v="2025-08-21T18:19:00" u="1"/>
        <d v="2025-08-21T15:55:00" u="1"/>
        <d v="2025-08-21T18:15:00" u="1"/>
        <d v="2025-08-21T15:51:00" u="1"/>
        <d v="2025-08-21T15:50:00" u="1"/>
        <d v="2025-08-21T14:50:00" u="1"/>
        <d v="2025-08-21T14:49:00" u="1"/>
        <d v="2025-08-21T13:25:00" u="1"/>
        <d v="2025-08-21T14:51:00" u="1"/>
        <d v="2025-08-21T14:52:00" u="1"/>
        <d v="2025-08-21T19:11:00" u="1"/>
        <d v="2025-08-21T18:18:00" u="1"/>
        <d v="2025-08-21T15:20:00" u="1"/>
        <d v="2025-08-21T15:21:00" u="1"/>
        <d v="2025-08-21T15:31:00" u="1"/>
        <d v="2025-08-21T15:07:00" u="1"/>
        <d v="2025-08-21T16:16:00" u="1"/>
        <d v="2025-08-21T16:01:00" u="1"/>
        <d v="2025-08-21T12:18:00" u="1"/>
        <d v="2025-08-21T06:09:00" u="1"/>
        <d v="2025-08-21T04:39:00" u="1"/>
        <d v="2025-08-21T16:12:00" u="1"/>
        <d v="2025-08-21T14:54:00" u="1"/>
        <d v="2025-08-21T06:49:00" u="1"/>
        <d v="2025-08-21T06:36:00" u="1"/>
        <d v="2025-08-21T06:38:00" u="1"/>
        <d v="2025-08-01T14:29:00" u="1"/>
        <d v="2025-08-06T21:56:00" u="1"/>
        <d v="2025-08-07T16:00:00" u="1"/>
        <d v="2025-08-15T15:14:00" u="1"/>
        <d v="2025-08-15T09:15:00" u="1"/>
        <d v="2025-08-15T14:49:00" u="1"/>
        <d v="2025-08-19T08:50:00" u="1"/>
        <d v="2025-08-19T19:00:00" u="1"/>
        <d v="2025-08-20T02:49:00" u="1"/>
        <d v="2025-08-18T11:50:00" u="1"/>
        <d v="2025-08-19T10:37:00" u="1"/>
        <d v="2025-08-20T14:24:00" u="1"/>
        <d v="2025-08-19T12:39:00" u="1"/>
        <d v="2025-08-19T12:54:00" u="1"/>
        <d v="2025-08-19T12:55:00" u="1"/>
        <d v="2025-08-19T09:00:00" u="1"/>
        <d v="2025-08-20T01:46:00" u="1"/>
        <d v="2025-08-20T12:29:00" u="1"/>
        <d v="2025-08-19T10:05:00" u="1"/>
        <d v="2025-08-19T03:51:00" u="1"/>
        <d v="2025-08-19T16:15:01" u="1"/>
        <d v="2025-08-17T18:57:00" u="1"/>
        <d v="2025-08-19T13:05:00" u="1"/>
        <d v="2025-08-20T01:27:00" u="1"/>
        <d v="2025-08-20T06:27:00" u="1"/>
        <d v="2025-08-20T12:42:00" u="1"/>
        <d v="2025-08-20T14:11:00" u="1"/>
        <d v="2025-08-20T11:24:00" u="1"/>
        <d v="2025-08-20T02:34:00" u="1"/>
        <d v="2025-08-20T02:54:00" u="1"/>
        <d v="2025-08-20T05:30:00" u="1"/>
        <d v="2025-08-07T14:20:00" u="1"/>
        <d v="2025-08-18T14:48:00" u="1"/>
        <d v="2025-08-20T12:49:00" u="1"/>
        <d v="2025-08-20T12:39:00" u="1"/>
        <d v="2025-08-14T12:35:00" u="1"/>
        <d v="2025-08-20T17:27:00" u="1"/>
        <d v="2025-08-20T09:25:00" u="1"/>
        <d v="2025-08-20T04:24:00" u="1"/>
        <d v="2025-08-20T12:14:00" u="1"/>
        <d v="2025-08-20T19:03:00" u="1"/>
        <d v="2025-08-19T05:22:00" u="1"/>
        <d v="2025-08-20T13:09:00" u="1"/>
        <d v="2025-08-20T08:44:00" u="1"/>
        <d v="2025-05-21T17:03:59" u="1"/>
        <d v="2025-07-02T17:03:00" u="1"/>
        <d v="2025-08-04T00:00:00" u="1"/>
        <d v="2025-08-08T06:59:00" u="1"/>
        <d v="2025-08-11T11:46:00" u="1"/>
        <d v="2025-08-08T14:30:00" u="1"/>
        <d v="2025-08-13T07:46:00" u="1"/>
        <d v="2025-07-28T19:00:00" u="1"/>
        <d v="2025-08-11T06:29:00" u="1"/>
        <d v="2025-08-18T16:08:00" u="1"/>
        <d v="2025-08-18T16:15:00" u="1"/>
        <d v="2025-08-15T17:09:00" u="1"/>
        <d v="2025-08-15T09:37:00" u="1"/>
        <d v="2025-08-17T06:01:00" u="1"/>
        <d v="2025-08-13T06:25:00" u="1"/>
        <d v="2025-08-13T06:42:00" u="1"/>
        <d v="2025-08-14T09:50:00" u="1"/>
        <d v="2025-08-18T11:09:00" u="1"/>
        <d v="2025-08-13T14:30:00" u="1"/>
        <d v="2025-08-13T14:38:00" u="1"/>
        <d v="2025-08-13T14:42:00" u="1"/>
        <d v="2025-08-13T14:44:00" u="1"/>
        <d v="2025-08-13T14:51:00" u="1"/>
        <d v="2025-08-13T14:53:00" u="1"/>
        <d v="2025-08-13T14:57:00" u="1"/>
        <d v="2025-08-14T08:34:00" u="1"/>
        <d v="2025-08-14T15:03:00" u="1"/>
        <d v="2025-08-14T15:36:00" u="1"/>
        <d v="2025-08-18T13:34:00" u="1"/>
        <d v="2025-08-14T07:19:00" u="1"/>
        <d v="2025-08-18T09:54:00" u="1"/>
        <d v="2025-08-15T04:01:00" u="1"/>
        <d v="2025-08-18T11:14:00" u="1"/>
        <d v="2025-08-13T06:59:00" u="1"/>
        <d v="2025-08-18T12:24:00" u="1"/>
        <d v="2025-08-18T05:16:00" u="1"/>
        <d v="2025-08-18T11:52:00" u="1"/>
        <d v="2025-08-18T03:56:00" u="1"/>
        <d v="2025-08-18T04:25:00" u="1"/>
        <d v="2025-08-18T11:30:00" u="1"/>
        <d v="2025-08-18T10:13:00" u="1"/>
        <d v="2025-08-18T12:38:00" u="1"/>
        <d v="2025-07-16T17:42:00" u="1"/>
        <d v="2025-08-15T08:39:00" u="1"/>
        <d v="2025-08-18T10:10:00" u="1"/>
        <d v="2025-08-18T15:25:00" u="1"/>
        <d v="2025-08-19T17:17:00" u="1"/>
        <d v="2025-08-19T17:18:00" u="1"/>
        <d v="2025-08-19T17:19:00" u="1"/>
        <d v="2025-08-19T17:21:00" u="1"/>
        <d v="2025-08-19T17:23:00" u="1"/>
        <d v="2025-08-19T17:25:00" u="1"/>
        <d v="2025-08-19T17:26:00" u="1"/>
        <d v="2025-08-19T17:28:00" u="1"/>
        <d v="2025-08-19T17:29:00" u="1"/>
        <d v="2025-08-19T17:30:00" u="1"/>
        <d v="2025-08-19T17:31:00" u="1"/>
        <d v="2025-08-19T17:33:00" u="1"/>
        <d v="2025-08-19T17:34:00" u="1"/>
        <d v="2025-08-19T17:35:00" u="1"/>
        <d v="2025-08-19T17:36:00" u="1"/>
        <d v="2025-08-19T17:37:00" u="1"/>
        <d v="2025-08-19T17:38:00" u="1"/>
        <d v="2025-08-19T17:40:00" u="1"/>
        <d v="2025-08-19T17:41:00" u="1"/>
        <d v="2025-08-19T17:42:00" u="1"/>
        <d v="2025-08-19T17:43:00" u="1"/>
        <d v="2025-08-19T17:16:00" u="1"/>
        <d v="2025-08-19T18:48:00" u="1"/>
        <d v="2025-08-19T13:37:00" u="1"/>
        <d v="2025-08-19T13:47:00" u="1"/>
        <d v="2025-08-19T15:02:00" u="1"/>
        <d v="2025-08-19T15:12:00" u="1"/>
        <d v="2025-08-19T13:56:00" u="1"/>
        <d v="2025-08-19T01:26:00" u="1"/>
        <d v="2025-08-19T09:58:00" u="1"/>
        <d v="2025-08-19T10:17:00" u="1"/>
        <d v="2025-08-19T10:19:00" u="1"/>
        <d v="2025-08-19T09:53:00" u="1"/>
        <d v="2025-08-19T10:22:00" u="1"/>
        <d v="2025-08-19T14:59:00" u="1"/>
        <d v="2025-08-19T00:52:00" u="1"/>
        <d v="2025-08-19T11:59:00" u="1"/>
        <d v="2025-08-19T10:50:00" u="1"/>
        <d v="2025-08-06T12:34:00" u="1"/>
        <d v="2025-08-19T09:57:00" u="1"/>
        <d v="2025-08-19T12:06:00" u="1"/>
        <d v="2025-08-19T04:52:00" u="1"/>
        <d v="2025-08-19T06:02:00" u="1"/>
        <d v="2025-08-19T05:14:00" u="1"/>
        <d v="2025-08-19T04:49:00" u="1"/>
        <d v="2025-08-19T17:05:00" u="1"/>
        <d v="2025-08-19T11:24:00" u="1"/>
        <d v="2025-08-19T05:01:00" u="1"/>
        <d v="2025-08-19T07:01:00" u="1"/>
        <d v="2025-08-19T06:55:00" u="1"/>
        <d v="2025-08-19T05:57:00" u="1"/>
        <d v="2025-08-19T04:13:00" u="1"/>
        <d v="2025-08-19T06:34:00" u="1"/>
        <d v="2025-08-19T07:03:00" u="1"/>
        <d v="2025-08-19T09:41:00" u="1"/>
        <d v="2025-08-19T03:52:00" u="1"/>
        <d v="2025-08-19T04:39:00" u="1"/>
        <d v="2025-08-19T10:06:00" u="1"/>
        <d v="2025-08-19T12:36:00" u="1"/>
        <d v="2025-07-22T06:44:00" u="1"/>
        <d v="2025-08-19T01:29:00" u="1"/>
        <d v="2025-08-19T14:53:00" u="1"/>
        <d v="2025-08-07T15:40:00" u="1"/>
        <d v="2025-08-06T12:16:00" u="1"/>
        <d v="2025-07-28T09:30:00" u="1"/>
        <d v="2025-08-19T05:24:00" u="1"/>
        <d v="2025-08-19T04:38:00" u="1"/>
        <d v="2025-08-19T08:11:00" u="1"/>
        <d v="2025-08-18T02:24:00" u="1"/>
        <d v="2025-08-19T01:15:00" u="1"/>
        <d v="2025-08-19T08:33:00" u="1"/>
        <d v="2025-08-19T06:25:00" u="1"/>
        <d v="2025-08-19T08:44:00" u="1"/>
        <d v="2025-08-08T09:12:00" u="1"/>
        <d v="2025-08-18T07:13:00" u="1"/>
        <d v="2025-08-19T07:44:00" u="1"/>
        <d v="2025-08-19T05:15:00" u="1"/>
        <d v="2025-08-19T11:52:00" u="1"/>
        <d v="2025-08-19T12:16:00" u="1"/>
        <d v="2025-08-18T08:03:00" u="1"/>
        <d v="2025-07-01T10:14:00" u="1"/>
        <d v="2025-07-08T00:00:00" u="1"/>
        <d v="2025-07-15T13:34:00" u="1"/>
        <d v="2025-07-25T11:02:00" u="1"/>
        <d v="2025-07-29T08:53:00" u="1"/>
        <d v="2025-07-30T11:11:00" u="1"/>
        <d v="2025-07-25T17:51:00" u="1"/>
        <d v="2025-07-29T15:02:00" u="1"/>
        <d v="2025-08-01T10:39:00" u="1"/>
        <d v="2025-07-31T11:06:00" u="1"/>
        <d v="2025-07-16T00:00:00" u="1"/>
        <d v="2025-08-12T15:45:00" u="1"/>
        <d v="2025-07-03T09:37:00" u="1"/>
        <d v="2025-08-13T10:09:00" u="1"/>
        <d v="2025-08-13T13:32:00" u="1"/>
        <d v="2025-08-15T15:49:00" u="1"/>
        <d v="2025-08-05T09:52:00" u="1"/>
        <d v="2025-08-15T07:11:00" u="1"/>
        <d v="2025-08-15T06:30:00" u="1"/>
        <d v="2025-08-15T08:05:00" u="1"/>
        <d v="2025-08-13T12:48:00" u="1"/>
        <d v="2025-08-15T11:30:00" u="1"/>
        <d v="2025-08-12T16:09:00" u="1"/>
        <d v="2025-08-11T14:45:00" u="1"/>
        <d v="2025-08-12T16:32:00" u="1"/>
        <d v="2025-08-13T14:43:00" u="1"/>
        <d v="2025-08-14T09:32:00" u="1"/>
        <d v="2025-08-14T09:35:00" u="1"/>
        <d v="2025-08-14T09:38:00" u="1"/>
        <d v="2025-08-14T15:39:00" u="1"/>
        <d v="2025-08-13T10:35:00" u="1"/>
        <d v="2025-08-13T13:46:00" u="1"/>
        <d v="2025-08-15T14:59:00" u="1"/>
        <d v="2025-08-15T07:49:00" u="1"/>
        <d v="2025-08-13T14:29:00" u="1"/>
        <d v="2025-08-12T18:56:00" u="1"/>
        <d v="2025-08-15T13:28:00" u="1"/>
        <d v="2025-08-15T09:12:00" u="1"/>
        <d v="2025-08-15T08:56:00" u="1"/>
        <d v="2025-08-15T09:52:00" u="1"/>
        <d v="2025-08-18T09:57:00" u="1"/>
        <d v="2025-08-15T06:33:00" u="1"/>
        <d v="2025-03-19T11:58:00" u="1"/>
        <d v="2025-08-12T05:42:00" u="1"/>
        <d v="2025-08-15T02:25:00" u="1"/>
        <d v="2025-08-11T11:23:00" u="1"/>
        <d v="2025-08-15T01:33:00" u="1"/>
        <d v="2025-08-14T05:22:00" u="1"/>
        <d v="2025-08-14T12:26:00" u="1"/>
        <d v="2025-08-05T12:16:00" u="1"/>
        <d v="2025-08-15T07:07:00" u="1"/>
        <d v="2025-08-15T09:33:00" u="1"/>
        <d v="2025-08-18T14:17:00" u="1"/>
        <d v="2025-08-18T14:53:00" u="1"/>
        <d v="2025-08-18T16:42:00" u="1"/>
        <d v="2025-08-18T15:22:00" u="1"/>
        <d v="2025-08-18T12:27:00" u="1"/>
        <d v="2025-08-18T10:49:00" u="1"/>
        <d v="2025-08-15T14:37:00" u="1"/>
        <d v="2025-08-18T16:37:00" u="1"/>
        <d v="2025-08-18T16:36:00" u="1"/>
        <d v="2025-08-18T13:18:00" u="1"/>
        <d v="2025-08-18T08:35:00" u="1"/>
        <d v="2025-08-15T10:11:00" u="1"/>
        <d v="2025-08-18T13:51:00" u="1"/>
        <d v="2025-08-15T14:13:00" u="1"/>
        <d v="2025-08-18T09:23:00" u="1"/>
        <d v="2025-08-18T06:50:00" u="1"/>
        <d v="2025-08-18T08:22:00" u="1"/>
        <d v="2025-08-18T10:16:00" u="1"/>
        <d v="2025-08-18T13:27:00" u="1"/>
        <d v="2025-08-18T14:04:00" u="1"/>
        <d v="2025-08-18T15:06:00" u="1"/>
        <d v="2025-08-18T10:24:00" u="1"/>
        <d v="2025-08-14T10:32:00" u="1"/>
        <d v="2025-08-18T13:25:00" u="1"/>
        <d v="2025-08-15T11:22:00" u="1"/>
        <d v="2025-08-15T11:23:00" u="1"/>
        <d v="2025-08-18T14:56:00" u="1"/>
        <d v="2025-08-18T14:46:00" u="1"/>
        <d v="2025-08-18T14:12:00" u="1"/>
        <d v="2025-08-18T10:55:00" u="1"/>
        <d v="2025-08-18T10:57:00" u="1"/>
        <d v="2025-08-18T17:40:00" u="1"/>
        <d v="2025-08-18T10:42:00" u="1"/>
        <d v="2025-08-18T15:18:00" u="1"/>
        <d v="2025-08-18T17:01:00" u="1"/>
        <d v="2025-08-18T16:59:00" u="1"/>
        <d v="2025-08-18T17:56:00" u="1"/>
        <d v="2025-08-18T17:22:00" u="1"/>
        <d v="2025-08-18T15:46:00" u="1"/>
        <d v="2025-08-18T13:37:00" u="1"/>
        <d v="2025-08-18T13:40:00" u="1"/>
        <d v="2025-08-18T13:46:00" u="1"/>
        <d v="2025-08-18T11:27:00" u="1"/>
        <d v="2025-08-18T16:52:00" u="1"/>
        <d v="2025-08-17T02:21:00" u="1"/>
        <d v="2025-08-15T07:01:00" u="1"/>
        <d v="2025-08-18T12:18:00" u="1"/>
        <d v="2025-08-18T10:46:00" u="1"/>
        <d v="2025-08-18T12:12:00" u="1"/>
        <d v="2025-08-18T16:30:00" u="1"/>
        <d v="2025-08-17T09:46:00" u="1"/>
        <d v="2025-08-17T09:49:00" u="1"/>
        <d v="2025-08-17T09:40:00" u="1"/>
        <d v="2025-08-15T09:25:00" u="1"/>
        <d v="2025-08-18T11:22:00" u="1"/>
        <d v="2025-08-18T04:10:00" u="1"/>
        <d v="2025-08-18T10:14:00" u="1"/>
        <d v="2025-08-18T01:47:00" u="1"/>
        <d v="2025-08-18T02:19:00" u="1"/>
        <d v="2025-08-18T02:51:00" u="1"/>
        <d v="2025-06-23T15:19:00" u="1"/>
        <d v="2025-08-18T15:07:00" u="1"/>
        <d v="2025-08-18T11:38:00" u="1"/>
        <d v="2025-08-18T11:31:00" u="1"/>
        <d v="2025-08-18T11:51:00" u="1"/>
        <d v="2025-08-18T14:25:00" u="1"/>
        <d v="2025-08-18T14:37:00" u="1"/>
        <d v="2025-08-11T14:53:00" u="1"/>
        <d v="2025-08-18T15:40:00" u="1"/>
        <d v="2025-08-18T14:36:00" u="1"/>
        <d v="2025-08-18T09:41:00" u="1"/>
        <d v="2025-08-18T14:52:00" u="1"/>
        <d v="2025-08-18T09:47:00" u="1"/>
        <d v="2025-05-21T07:21:00" u="1"/>
        <d v="2025-08-04T07:09:00" u="1"/>
        <d v="2025-08-18T13:07:00" u="1"/>
        <d v="2025-08-18T11:17:00" u="1"/>
        <d v="2025-08-18T14:06:00" u="1"/>
        <d v="2025-08-13T18:13:00" u="1"/>
        <d v="2025-08-17T11:22:00" u="1"/>
        <d v="2025-08-18T14:27:00" u="1"/>
        <d v="2025-08-13T18:10:00" u="1"/>
        <d v="2025-08-18T15:10:00" u="1"/>
        <d v="2025-08-18T01:57:00" u="1"/>
        <d v="2025-08-18T02:07:00" u="1"/>
        <d v="2025-08-15T12:33:00" u="1"/>
        <d v="2025-08-18T03:37:00" u="1"/>
        <d v="2025-08-17T10:03:00" u="1"/>
        <d v="2025-08-18T11:20:00" u="1"/>
        <d v="2025-08-18T12:16:00" u="1"/>
        <d v="2025-08-18T15:42:00" u="1"/>
        <d v="2025-08-18T15:02:00" u="1"/>
        <d v="2025-08-18T16:28:00" u="1"/>
        <d v="2025-08-18T11:10:00" u="1"/>
        <d v="2025-08-18T14:28:00" u="1"/>
        <d v="2025-08-18T14:55:00" u="1"/>
        <d v="2025-08-18T19:03:00" u="1"/>
        <d v="2025-08-18T19:05:00" u="1"/>
        <d v="2025-08-18T19:51:00" u="1"/>
        <d v="2025-08-18T18:29:00" u="1"/>
        <d v="2025-08-19T00:59:00" u="1"/>
        <d v="2025-08-18T14:10:00" u="1"/>
        <d v="2025-08-05T15:25:00" u="1"/>
        <d v="2025-08-05T15:21:00" u="1"/>
        <d v="2025-08-05T15:09:00" u="1"/>
        <d v="2025-08-05T15:04:00" u="1"/>
        <d v="2025-08-05T11:21:00" u="1"/>
        <d v="2025-08-05T18:54:00" u="1"/>
        <d v="2025-08-05T15:46:00" u="1"/>
        <d v="2025-08-04T19:04:00" u="1"/>
        <d v="2025-08-05T18:39:00" u="1"/>
        <d v="2025-08-04T18:53:00" u="1"/>
        <d v="2025-08-04T17:32:00" u="1"/>
        <d v="2025-08-05T13:45:00" u="1"/>
        <d v="2025-08-05T13:02:00" u="1"/>
        <d v="2025-07-31T17:06:00" u="1"/>
        <d v="2025-08-11T16:59:00" u="1"/>
        <d v="2025-08-06T14:48:00" u="1"/>
        <d v="2025-08-06T14:44:00" u="1"/>
        <d v="2025-08-11T16:36:00" u="1"/>
        <d v="2025-08-11T17:05:00" u="1"/>
        <d v="2025-08-11T13:55:00" u="1"/>
        <d v="2025-08-06T14:04:00" u="1"/>
        <d v="2025-08-06T18:39:00" u="1"/>
        <d v="2025-08-07T14:14:00" u="1"/>
        <d v="2025-08-07T14:00:00" u="1"/>
        <d v="2025-08-11T17:52:00" u="1"/>
        <d v="2025-08-07T13:44:00" u="1"/>
        <d v="2025-08-06T14:59:00" u="1"/>
        <d v="2025-08-11T11:18:00" u="1"/>
        <d v="2025-08-08T11:28:00" u="1"/>
        <d v="2025-08-11T17:16:00" u="1"/>
        <d v="2025-08-06T17:19:00" u="1"/>
        <d v="2025-08-11T16:47:00" u="1"/>
        <d v="2025-08-11T16:20:00" u="1"/>
        <d v="2025-08-07T08:00:00" u="1"/>
        <d v="2025-08-12T16:27:00" u="1"/>
        <d v="2025-08-14T08:50:00" u="1"/>
        <d v="2025-08-15T08:40:00" u="1"/>
        <d v="2025-08-12T14:59:00" u="1"/>
        <d v="2025-08-12T18:03:00" u="1"/>
        <d v="2025-08-12T14:09:00" u="1"/>
        <d v="2025-08-12T14:12:00" u="1"/>
        <d v="2025-08-12T14:15:00" u="1"/>
        <d v="2025-08-12T14:19:00" u="1"/>
        <d v="2025-08-12T19:59:00" u="1"/>
        <d v="2025-08-14T11:03:00" u="1"/>
        <d v="2025-08-14T21:13:00" u="1"/>
        <d v="2025-08-12T16:21:00" u="1"/>
        <d v="2025-08-15T09:32:00" u="1"/>
        <d v="2025-08-14T14:15:00" u="1"/>
        <d v="2025-08-14T14:43:00" u="1"/>
        <d v="2025-08-14T11:16:00" u="1"/>
        <d v="2025-08-12T17:33:00" u="1"/>
        <d v="2025-08-12T16:34:00" u="1"/>
        <d v="2025-08-11T18:31:00" u="1"/>
        <d v="2025-08-13T16:00:00" u="1"/>
        <d v="2025-08-13T20:01:00" u="1"/>
        <d v="2025-08-13T20:06:00" u="1"/>
        <d v="2025-08-14T09:59:00" u="1"/>
        <d v="2025-08-13T16:28:00" u="1"/>
        <d v="2025-08-13T16:58:00" u="1"/>
        <d v="2025-08-14T11:18:00" u="1"/>
        <d v="2025-08-15T11:36:00" u="1"/>
        <d v="2025-08-15T10:39:00" u="1"/>
        <d v="2025-08-12T18:41:00" u="1"/>
        <d v="2025-08-11T18:23:00" u="1"/>
        <d v="2025-08-13T14:21:00" u="1"/>
        <d v="2025-08-15T11:00:00" u="1"/>
        <d v="2025-08-12T06:01:00" u="1"/>
        <d v="2025-08-15T11:26:00" u="1"/>
        <d v="2025-08-14T03:56:00" u="1"/>
        <d v="2025-08-14T04:09:00" u="1"/>
        <d v="2025-08-14T05:20:00" u="1"/>
        <d v="2025-08-15T10:06:00" u="1"/>
        <d v="2025-08-12T16:24:00" u="1"/>
        <d v="2025-08-14T01:54:00" u="1"/>
        <d v="2025-08-13T17:46:00" u="1"/>
        <d v="2025-08-13T11:41:00" u="1"/>
        <d v="2025-08-15T08:23:00" u="1"/>
        <d v="2025-08-14T12:27:00" u="1"/>
        <d v="2025-08-15T13:02:00" u="1"/>
        <d v="2025-08-15T17:05:00" u="1"/>
        <d v="2025-08-15T17:39:00" u="1"/>
        <d v="2025-08-15T18:29:00" u="1"/>
        <d v="2025-08-15T16:31:00" u="1"/>
        <d v="2025-08-15T12:41:00" u="1"/>
        <d v="2025-08-15T11:57:00" u="1"/>
        <d v="2025-08-15T10:43:00" u="1"/>
        <d v="2025-08-15T09:38:00" u="1"/>
        <d v="2025-08-15T17:19:00" u="1"/>
        <d v="2025-08-15T10:54:00" u="1"/>
        <d v="2025-08-15T08:48:00" u="1"/>
        <d v="2025-08-15T09:41:00" u="1"/>
        <d v="2025-08-15T12:24:00" u="1"/>
        <d v="2025-08-15T12:15:00" u="1"/>
        <d v="2025-08-15T10:04:00" u="1"/>
        <d v="2025-08-15T07:37:00" u="1"/>
        <d v="2025-08-15T10:35:00" u="1"/>
        <d v="2025-08-15T09:03:00" u="1"/>
        <d v="2025-08-15T15:47:00" u="1"/>
        <d v="2025-08-15T13:22:00" u="1"/>
        <d v="2025-08-15T12:07:00" u="1"/>
        <d v="2025-08-15T12:53:00" u="1"/>
        <d v="2025-08-15T11:16:00" u="1"/>
        <d v="2025-08-14T11:05:00" u="1"/>
        <d v="2025-08-15T17:21:00" u="1"/>
        <d v="2025-08-15T12:25:00" u="1"/>
        <d v="2025-08-15T17:32:00" u="1"/>
        <d v="2025-08-15T13:07:00" u="1"/>
        <d v="2025-08-15T13:08:00" u="1"/>
        <d v="2025-08-15T16:08:00" u="1"/>
        <d v="2025-08-15T17:07:00" u="1"/>
        <d v="2025-08-15T16:03:00" u="1"/>
        <d v="2025-08-15T16:05:00" u="1"/>
        <d v="2025-08-15T16:04:00" u="1"/>
        <d v="2025-08-15T15:46:00" u="1"/>
        <d v="2025-08-15T15:30:00" u="1"/>
        <d v="2025-08-15T17:00:00" u="1"/>
        <d v="2025-08-15T16:00:00" u="1"/>
        <d v="2025-08-15T13:09:00" u="1"/>
        <d v="2025-08-15T17:46:00" u="1"/>
        <d v="2025-08-15T19:00:00" u="1"/>
        <d v="2025-08-15T14:42:00" u="1"/>
        <d v="2025-08-15T13:31:00" u="1"/>
        <d v="2025-08-15T15:04:00" u="1"/>
        <d v="2025-08-15T12:59:00" u="1"/>
        <d v="2025-08-15T16:48:00" u="1"/>
        <d v="2025-08-16T01:53:00" u="1"/>
        <d v="2025-08-15T08:04:00" u="1"/>
        <d v="2025-08-15T11:42:00" u="1"/>
        <d v="2025-08-15T02:16:00" u="1"/>
        <d v="2025-08-15T03:11:00" u="1"/>
        <d v="2025-08-15T02:26:00" u="1"/>
        <d v="2025-08-15T12:02:00" u="1"/>
        <d v="2025-08-15T14:30:00" u="1"/>
        <d v="2025-08-15T13:05:00" u="1"/>
        <d v="2025-08-14T18:09:00" u="1"/>
        <d v="2025-08-15T14:02:00" u="1"/>
        <d v="2025-08-15T16:01:00" u="1"/>
        <d v="2025-08-15T16:32:00" u="1"/>
        <d v="2025-08-15T06:19:00" u="1"/>
        <d v="2025-08-15T03:58:00" u="1"/>
        <d v="2025-08-15T02:50:00" u="1"/>
        <d v="2025-08-15T02:42:00" u="1"/>
        <d v="2025-08-15T11:33:00" u="1"/>
        <d v="2025-08-16T11:48:00" u="1"/>
        <d v="2025-08-16T08:12:00" u="1"/>
        <d v="2025-08-15T18:02:00" u="1"/>
        <d v="2025-08-15T18:51:00" u="1"/>
        <d v="2025-08-16T08:00:00" u="1"/>
        <d v="2025-08-17T18:45:00" u="1"/>
        <d v="2025-08-17T20:47:00" u="1"/>
        <d v="2025-08-15T19:42:00" u="1"/>
        <d v="2025-08-17T17:37:00" u="1"/>
        <d v="2025-08-17T17:22:00" u="1"/>
        <d v="2025-08-17T17:10:00" u="1"/>
        <d v="2025-08-16T10:09:00" u="1"/>
        <d v="2025-08-15T14:23:00" u="1"/>
        <d v="2025-08-14T20:10:00" u="1"/>
        <d v="2025-08-15T14:21:00" u="1"/>
        <d v="2025-08-15T12:18:00" u="1"/>
        <d v="2025-08-16T10:42:00" u="1"/>
        <d v="2025-08-15T08:16:00" u="1"/>
        <d v="2025-08-15T15:59:00" u="1"/>
        <d v="2025-08-15T09:51:00" u="1"/>
        <d v="2025-08-15T14:11:00" u="1"/>
        <d v="2025-08-15T16:23:00" u="1"/>
        <d v="2025-08-15T15:51:00" u="1"/>
        <d v="2025-08-15T15:31:00" u="1"/>
        <d v="2025-08-14T20:25:00" u="1"/>
        <d v="2025-08-15T14:03:00" u="1"/>
        <d v="2025-08-16T10:54:00" u="1"/>
        <d v="2025-08-16T07:15:00" u="1"/>
        <d v="2025-08-16T09:03:00" u="1"/>
        <d v="2025-08-16T11:45:00" u="1"/>
        <d v="2025-08-15T14:31:00" u="1"/>
        <d v="2025-08-13T15:57:00" u="1"/>
        <d v="2025-08-14T17:03:00" u="1"/>
        <d v="2025-07-23T12:43:00" u="1"/>
        <d v="2025-08-15T04:36:00" u="1"/>
        <d v="2025-08-14T13:46:00" u="1"/>
        <d v="2025-07-31T16:17:00" u="1"/>
        <d v="2025-07-16T14:35:00" u="1"/>
        <d v="2025-08-01T08:07:00" u="1"/>
        <d v="2025-08-01T07:28:00" u="1"/>
        <d v="2025-08-01T07:43:00" u="1"/>
        <d v="2025-08-13T08:27:00" u="1"/>
        <d v="2025-08-13T07:19:00" u="1"/>
        <d v="2025-08-13T07:43:00" u="1"/>
        <d v="2025-08-13T13:14:00" u="1"/>
        <d v="2025-08-11T15:14:00" u="1"/>
        <d v="2025-08-13T11:30:00" u="1"/>
        <d v="2025-08-13T13:59:00" u="1"/>
      </sharedItems>
      <fieldGroup par="44"/>
    </cacheField>
    <cacheField name="Requisição" uniqueList="1" numFmtId="0" sqlType="0" hierarchy="0" level="0" databaseField="1">
      <sharedItems count="0" containsBlank="1" containsInteger="1" containsMixedTypes="1" containsNumber="1" minValue="17" maxValue="18078973"/>
    </cacheField>
    <cacheField name="Local Retirada" uniqueList="1" numFmtId="0" sqlType="0" hierarchy="0" level="0" databaseField="1">
      <sharedItems count="0" containsBlank="1"/>
    </cacheField>
    <cacheField name="Status Requisicao" uniqueList="1" numFmtId="0" sqlType="0" hierarchy="0" level="0" databaseField="1">
      <sharedItems count="0" containsBlank="1"/>
    </cacheField>
    <cacheField name="Forma Pagamento" uniqueList="1" numFmtId="0" sqlType="0" hierarchy="0" level="0" databaseField="1">
      <sharedItems count="0" containsBlank="1"/>
    </cacheField>
    <cacheField name="Forma Recebimento" uniqueList="1" numFmtId="0" sqlType="0" hierarchy="0" level="0" databaseField="1">
      <sharedItems count="0" containsBlank="1"/>
    </cacheField>
    <cacheField name="Serviço" uniqueList="1" numFmtId="0" sqlType="0" hierarchy="0" level="0" databaseField="1">
      <sharedItems count="0" containsBlank="1"/>
    </cacheField>
    <cacheField name="Cancelado" uniqueList="1" numFmtId="0" sqlType="0" hierarchy="0" level="0" databaseField="1">
      <sharedItems count="0" containsBlank="1"/>
    </cacheField>
    <cacheField name="Grupo Empresarial" uniqueList="1" numFmtId="0" sqlType="0" hierarchy="0" level="0" databaseField="1">
      <sharedItems count="0" containsBlank="1"/>
    </cacheField>
    <cacheField name="Cliente" uniqueList="1" numFmtId="0" sqlType="0" hierarchy="0" level="0" databaseField="1">
      <sharedItems count="0" containsBlank="1"/>
    </cacheField>
    <cacheField name="Cliente Fee POS" uniqueList="1" numFmtId="0" sqlType="0" hierarchy="0" level="0" databaseField="1">
      <sharedItems count="0" containsBlank="1"/>
    </cacheField>
    <cacheField name="Fornecedor" uniqueList="1" numFmtId="0" sqlType="0" hierarchy="0" level="0" databaseField="1">
      <sharedItems count="0" containsBlank="1"/>
    </cacheField>
    <cacheField name="Bilhete" uniqueList="1" numFmtId="0" sqlType="0" hierarchy="0" level="0" databaseField="1">
      <sharedItems count="0" containsBlank="1" containsInteger="1" containsMixedTypes="1" containsNumber="1" minValue="530562902" maxValue="9905373747"/>
    </cacheField>
    <cacheField name="Canal de Vendas" uniqueList="1" numFmtId="0" sqlType="0" hierarchy="0" level="0" databaseField="1">
      <sharedItems count="0" containsBlank="1"/>
    </cacheField>
    <cacheField name="Codigo Evento" uniqueList="1" numFmtId="0" sqlType="0" hierarchy="0" level="0" databaseField="1">
      <sharedItems count="0" containsBlank="1"/>
    </cacheField>
    <cacheField name="Tarifa" uniqueList="1" numFmtId="0" sqlType="0" hierarchy="0" level="0" databaseField="1">
      <sharedItems count="8000" containsBlank="1" containsNumber="1" containsString="0" minValue="0" maxValue="2075000">
        <n v="0"/>
        <n v="640"/>
        <n v="756"/>
        <n v="920.6799999999999"/>
        <n v="670.58"/>
        <n v="791.14"/>
        <n v="470.34"/>
        <n v="366.21"/>
        <n v="754.2"/>
        <n v="701.99"/>
        <n v="654.3200000000001"/>
        <n v="670.74"/>
        <n v="1052.33"/>
        <n v="750.3200000000001"/>
        <n v="1019.43"/>
        <n v="240.7"/>
        <n v="206.91"/>
        <n v="176.52"/>
        <n v="2504.51"/>
        <n v="1095.92"/>
        <n v="400.49"/>
        <n v="1153.88"/>
        <n v="1599.42"/>
        <n v="487.42"/>
        <n v="601.52"/>
        <n v="577.52"/>
        <n v="1386.67"/>
        <n v="404.38"/>
        <n v="1662.64"/>
        <n v="1682.08"/>
        <n v="1052.72"/>
        <n v="940.3200000000001"/>
        <n v="1075.84"/>
        <n v="1048.5"/>
        <n v="901.52"/>
        <n v="1006.39"/>
        <n v="340.72"/>
        <n v="958.24"/>
        <n v="1225.44"/>
        <n v="700.9400000000001"/>
        <n v="712.5599999999999"/>
        <n v="421.7"/>
        <n v="591.23"/>
        <n v="411.92"/>
        <n v="1075.12"/>
        <n v="833.52"/>
        <n v="2278.57"/>
        <n v="1580.89"/>
        <n v="703.8200000000001"/>
        <n v="383.5"/>
        <n v="267"/>
        <n v="42.5"/>
        <n v="5028.46"/>
        <n v="348.49"/>
        <n v="520"/>
        <n v="4412.7"/>
        <n v="2974.98"/>
        <n v="5079"/>
        <n v="460"/>
        <n v="380"/>
        <n v="1217.52"/>
        <n v="598"/>
        <n v="690"/>
        <n v="149.5"/>
        <n v="240"/>
        <n v="357.5"/>
        <n v="2139.06"/>
        <n v="319"/>
        <n v="953.72"/>
        <n v="534"/>
        <n v="450"/>
        <n v="247.99"/>
        <n v="235.81"/>
        <n v="342.16"/>
        <n v="200.7"/>
        <n v="796.45"/>
        <n v="590.7888"/>
        <n v="170.968"/>
        <n v="958.13"/>
        <n v="2233.85"/>
        <n v="694.9"/>
        <n v="1719.9"/>
        <n v="1119.64"/>
        <n v="2516.2488"/>
        <n v="1295.3126"/>
        <n v="624.9"/>
        <n v="589"/>
        <n v="2503.31"/>
        <n v="12734.475"/>
        <n v="1389"/>
        <n v="10"/>
        <n v="1356.8"/>
        <n v="750"/>
        <n v="290"/>
        <n v="255.17"/>
        <n v="331.2"/>
        <n v="1109.241"/>
        <n v="152"/>
        <n v="237.72"/>
        <n v="205.2"/>
        <n v="19.63"/>
        <n v="475.1"/>
        <n v="350"/>
        <n v="648.9"/>
        <n v="225"/>
        <n v="1342"/>
        <n v="2247.98"/>
        <n v="3567.96"/>
        <n v="1117.17"/>
        <n v="851.92"/>
        <n v="863.84"/>
        <n v="729.24"/>
        <n v="187.42"/>
        <n v="1573.19"/>
        <n v="860"/>
        <n v="1426.2876"/>
        <n v="865.5"/>
        <n v="528.1"/>
        <n v="4927.734"/>
        <n v="1087.568"/>
        <n v="1442.912"/>
        <n v="2116.377"/>
        <n v="993.1989"/>
        <n v="1262.39"/>
        <n v="5666.85"/>
        <n v="5243.97"/>
        <n v="773.61"/>
        <n v="2978.33"/>
        <n v="3540.8"/>
        <n v="1337.7"/>
        <n v="391"/>
        <n v="120"/>
        <n v="100"/>
        <n v="887.74"/>
        <n v="491.4"/>
        <n v="600"/>
        <n v="2565.54"/>
        <n v="20757.4"/>
        <n v="462"/>
        <n v="1185.76"/>
        <n v="360"/>
        <n v="338.2"/>
        <n v="219"/>
        <n v="229.88"/>
        <n v="657.784"/>
        <n v="557.36"/>
        <n v="520.05"/>
        <n v="275.29"/>
        <n v="974.7402"/>
        <n v="439.47"/>
        <n v="590.5359999999999"/>
        <n v="1530.2028"/>
        <n v="738.62"/>
        <n v="412.6899"/>
        <n v="478.392"/>
        <n v="819.4716"/>
        <n v="3680.1"/>
        <n v="3295.95"/>
        <n v="1173"/>
        <n v="330"/>
        <n v="4277.84"/>
        <n v="8299.139999999999"/>
        <n v="618.03"/>
        <n v="396.08"/>
        <n v="456.9"/>
        <n v="3185.52"/>
        <n v="3047.8"/>
        <n v="3134.88"/>
        <n v="406.12"/>
        <n v="1128"/>
        <n v="494.1"/>
        <n v="164.04"/>
        <n v="308.34"/>
        <n v="155"/>
        <n v="389"/>
        <n v="190"/>
        <n v="470"/>
        <n v="420"/>
        <n v="533.04"/>
        <n v="7877.52"/>
        <n v="523"/>
        <n v="2341.5"/>
        <n v="776.96"/>
        <n v="12205.56"/>
        <n v="3399.39"/>
        <n v="700.38"/>
        <n v="613.4"/>
        <n v="4059.35"/>
        <n v="1095"/>
        <n v="270"/>
        <n v="636"/>
        <n v="4950.21"/>
        <n v="222.9"/>
        <n v="2682.91"/>
        <n v="511.26"/>
        <n v="1245.342"/>
        <n v="10081.1088"/>
        <n v="1472.4164"/>
        <n v="4850.811"/>
        <n v="875.5808"/>
        <n v="1119.96"/>
        <n v="279.99"/>
        <n v="385"/>
        <n v="300.3"/>
        <n v="780.6799999999999"/>
        <n v="1131.7"/>
        <n v="839.97"/>
        <n v="2243.73"/>
        <n v="2046.04"/>
        <n v="1052.52"/>
        <n v="331"/>
        <n v="442.24"/>
        <n v="631.4288"/>
        <n v="1650"/>
        <n v="177.61"/>
        <n v="231"/>
        <n v="510"/>
        <n v="163.5648"/>
        <n v="654.2592"/>
        <n v="599.97"/>
        <n v="584.92"/>
        <n v="870"/>
        <n v="1179.171"/>
        <n v="1540"/>
        <n v="369"/>
        <n v="352"/>
        <n v="816"/>
        <n v="498"/>
        <n v="299"/>
        <n v="1332"/>
        <n v="548"/>
        <n v="278"/>
        <n v="8985.950000000001"/>
        <n v="22795.83"/>
        <n v="20802.4"/>
        <n v="2814.65"/>
        <n v="572.481"/>
        <n v="1162.6335"/>
        <n v="1055"/>
        <n v="2479.95"/>
        <n v="3197.8398"/>
        <n v="2023.2928"/>
        <n v="741.89"/>
        <n v="730"/>
        <n v="2318"/>
        <n v="2292.8"/>
        <n v="709.92"/>
        <n v="2359"/>
        <n v="1314.38"/>
        <n v="1170"/>
        <n v="4880.4"/>
        <n v="286"/>
        <n v="451"/>
        <n v="2590"/>
        <n v="309"/>
        <n v="339"/>
        <n v="200"/>
        <n v="2152.1721"/>
        <n v="1235.72"/>
        <n v="950.54"/>
        <n v="302.42"/>
        <n v="560"/>
        <n v="1450"/>
        <n v="609.1799999999999"/>
        <n v="429"/>
        <n v="282.5"/>
        <n v="1403"/>
        <n v="564"/>
        <n v="4802.4"/>
        <n v="977.4"/>
        <n v="7490.835"/>
        <n v="945"/>
        <n v="3289.06"/>
        <n v="15646.38"/>
        <n v="3730.08"/>
        <n v="1400.41"/>
        <n v="1479"/>
        <n v="2340"/>
        <n v="161.87"/>
        <n v="203.15"/>
        <n v="170"/>
        <n v="389.99"/>
        <n v="1053.1584"/>
        <n v="290.4048"/>
        <n v="233"/>
        <n v="40.5"/>
        <n v="327"/>
        <n v="990"/>
        <n v="700"/>
        <n v="891.54"/>
        <n v="1585"/>
        <n v="198.26"/>
        <n v="645.2"/>
        <n v="216.41"/>
        <n v="29038.89"/>
        <n v="20319.25"/>
        <n v="5182.8"/>
        <n v="237"/>
        <n v="214.35"/>
        <n v="428.7"/>
        <n v="1600"/>
        <n v="660"/>
        <n v="131.53"/>
        <n v="89.75"/>
        <n v="183.03"/>
        <n v="97.54000000000001"/>
        <n v="409.92"/>
        <n v="78.67"/>
        <n v="43.65"/>
        <n v="42.3"/>
        <n v="2244.8272"/>
        <n v="151.99"/>
        <n v="121.93"/>
        <n v="68.02"/>
        <n v="57.2"/>
        <n v="100.7"/>
        <n v="115.2"/>
        <n v="111.05"/>
        <n v="103.95"/>
        <n v="59.4"/>
        <n v="44.49"/>
        <n v="79.23999999999999"/>
        <n v="81.12"/>
        <n v="67.23"/>
        <n v="72.11"/>
        <n v="53.77"/>
        <n v="76.33"/>
        <n v="105.82"/>
        <n v="800.8896"/>
        <n v="1210.2608"/>
        <n v="120.07"/>
        <n v="42.95"/>
        <n v="22.1"/>
        <n v="118.09"/>
        <n v="58.9"/>
        <n v="99.5"/>
        <n v="101.92"/>
        <n v="94.95999999999999"/>
        <n v="1470.21"/>
        <n v="274.98"/>
        <n v="15810.2184"/>
        <n v="5128.812"/>
        <n v="5678.848"/>
        <n v="571.032"/>
        <n v="463"/>
        <n v="1885"/>
        <n v="1002.45"/>
        <n v="7588.21"/>
        <n v="957"/>
        <n v="525"/>
        <n v="3104"/>
        <n v="245"/>
        <n v="4290"/>
        <n v="571"/>
        <n v="531"/>
        <n v="1059.9456"/>
        <n v="393.19"/>
        <n v="244.6192"/>
        <n v="15850.35"/>
        <n v="1629.02"/>
        <n v="290000"/>
        <n v="3332.784"/>
        <n v="412.272"/>
        <n v="851.8915"/>
        <n v="414.315"/>
        <n v="446.4432"/>
        <n v="732.5472"/>
        <n v="952.4928"/>
        <n v="663.15"/>
        <n v="725.2672"/>
        <n v="683.92"/>
        <n v="1196"/>
        <n v="3740"/>
        <n v="4800"/>
        <n v="3460"/>
        <n v="160"/>
        <n v="220"/>
        <n v="201.88"/>
        <n v="825"/>
        <n v="2230.52"/>
        <n v="1224.29"/>
        <n v="1325"/>
        <n v="1150"/>
        <n v="140"/>
        <n v="2155.51"/>
        <n v="383.86"/>
        <n v="3408"/>
        <n v="8954.639999999999"/>
        <n v="122"/>
        <n v="35.7"/>
        <n v="33.35"/>
        <n v="8858.816999999999"/>
        <n v="259"/>
        <n v="329"/>
        <n v="306"/>
        <n v="348"/>
        <n v="2193.99"/>
        <n v="310"/>
        <n v="492"/>
        <n v="85"/>
        <n v="24811.22"/>
        <n v="7341.6"/>
        <n v="876"/>
        <n v="80"/>
        <n v="201.4"/>
        <n v="206.96"/>
        <n v="888.03"/>
        <n v="6250"/>
        <n v="408"/>
        <n v="744.24"/>
        <n v="3644.94"/>
        <n v="567"/>
        <n v="215.25"/>
        <n v="599.4"/>
        <n v="1500"/>
        <n v="912.78"/>
        <n v="737.22"/>
        <n v="258.3"/>
        <n v="210"/>
        <n v="291.02"/>
        <n v="1249.52"/>
        <n v="415.8"/>
        <n v="919.58"/>
        <n v="581.95"/>
        <n v="530.45"/>
        <n v="401.915"/>
        <n v="368.555"/>
        <n v="1428"/>
        <n v="1268"/>
        <n v="1274"/>
        <n v="908.95"/>
        <n v="149.2"/>
        <n v="151.5"/>
        <n v="448.4"/>
        <n v="193.19"/>
        <n v="166"/>
        <n v="333.5136"/>
        <n v="188.2832"/>
        <n v="612.1024"/>
        <n v="749.672"/>
        <n v="187.19"/>
        <n v="4606.5591"/>
        <n v="149.17"/>
        <n v="519"/>
        <n v="2305.81"/>
        <n v="571.33"/>
        <m/>
        <n v="2104.72" u="1"/>
        <n v="1721.41" u="1"/>
        <n v="353" u="1"/>
        <n v="276.72" u="1"/>
        <n v="759.51" u="1"/>
        <n v="1237.81" u="1"/>
        <n v="864.67" u="1"/>
        <n v="667.12" u="1"/>
        <n v="766.71" u="1"/>
        <n v="339.67" u="1"/>
        <n v="847.58" u="1"/>
        <n v="700.2" u="1"/>
        <n v="653.3200000000001" u="1"/>
        <n v="677.42" u="1"/>
        <n v="272.22" u="1"/>
        <n v="1155" u="1"/>
        <n v="491.6" u="1"/>
        <n v="218" u="1"/>
        <n v="355.02" u="1"/>
        <n v="602.65" u="1"/>
        <n v="2385" u="1"/>
        <n v="9285.312" u="1"/>
        <n v="8124.648" u="1"/>
        <n v="1333.446" u="1"/>
        <n v="1022.392" u="1"/>
        <n v="532.2688000000001" u="1"/>
        <n v="707.448" u="1"/>
        <n v="204" u="1"/>
        <n v="1949.01" u="1"/>
        <n v="288" u="1"/>
        <n v="150" u="1"/>
        <n v="2430.32" u="1"/>
        <n v="2973.39" u="1"/>
        <n v="3699.04" u="1"/>
        <n v="10369.35" u="1"/>
        <n v="1376.2" u="1"/>
        <n v="424" u="1"/>
        <n v="300" u="1"/>
        <n v="250" u="1"/>
        <n v="130" u="1"/>
        <n v="180" u="1"/>
        <n v="800" u="1"/>
        <n v="1507.83" u="1"/>
        <n v="582.62" u="1"/>
        <n v="193.62" u="1"/>
        <n v="287.0666" u="1"/>
        <n v="241.9334" u="1"/>
        <n v="181.67" u="1"/>
        <n v="180.31" u="1"/>
        <n v="1127.82" u="1"/>
        <n v="812.24" u="1"/>
        <n v="912" u="1"/>
        <n v="1035" u="1"/>
        <n v="324" u="1"/>
        <n v="193" u="1"/>
        <n v="303.85" u="1"/>
        <n v="340" u="1"/>
        <n v="276" u="1"/>
        <n v="174.9" u="1"/>
        <n v="4868.68" u="1"/>
        <n v="1226.01" u="1"/>
        <n v="566.22" u="1"/>
        <n v="673.77" u="1"/>
        <n v="7567.44" u="1"/>
        <n v="3822.45" u="1"/>
        <n v="1210.87" u="1"/>
        <n v="4308.24" u="1"/>
        <n v="2796.92" u="1"/>
        <n v="2208" u="1"/>
        <n v="5096.56" u="1"/>
        <n v="11733.72" u="1"/>
        <n v="930" u="1"/>
        <n v="539" u="1"/>
        <n v="618" u="1"/>
        <n v="571.38" u="1"/>
        <n v="1406.85" u="1"/>
        <n v="316.68" u="1"/>
        <n v="734.45" u="1"/>
        <n v="302.2" u="1"/>
        <n v="258.39" u="1"/>
        <n v="518" u="1"/>
        <n v="321" u="1"/>
        <n v="145" u="1"/>
        <n v="2449.56" u="1"/>
        <n v="1560" u="1"/>
        <n v="260" u="1"/>
        <n v="657" u="1"/>
        <n v="182.0112" u="1"/>
        <n v="446" u="1"/>
        <n v="332" u="1"/>
        <n v="568.62" u="1"/>
        <n v="1037.34" u="1"/>
        <n v="572" u="1"/>
        <n v="709.1" u="1"/>
        <n v="158" u="1"/>
        <n v="186" u="1"/>
        <n v="206" u="1"/>
        <n v="512" u="1"/>
        <n v="181.35" u="1"/>
        <n v="189.75" u="1"/>
        <n v="858.0599999999999" u="1"/>
        <n v="814" u="1"/>
        <n v="198.6" u="1"/>
        <n v="438.74" u="1"/>
        <n v="1111.32" u="1"/>
        <n v="357" u="1"/>
        <n v="189.28" u="1"/>
        <n v="1296.39" u="1"/>
        <n v="528.48" u="1"/>
        <n v="281.75" u="1"/>
        <n v="151.05" u="1"/>
        <n v="184.74" u="1"/>
        <n v="427.68" u="1"/>
        <n v="76.11" u="1"/>
        <n v="339.696" u="1"/>
        <n v="898.3" u="1"/>
        <n v="9921.719999999999" u="1"/>
        <n v="146.97" u="1"/>
        <n v="4720.59" u="1"/>
        <n v="1180.2" u="1"/>
        <n v="2062.16" u="1"/>
        <n v="306.24" u="1"/>
        <n v="900.15" u="1"/>
        <n v="1907.81" u="1"/>
        <n v="620.95" u="1"/>
        <n v="351" u="1"/>
        <n v="1664.1099" u="1"/>
        <n v="599.45" u="1"/>
        <n v="3324.24" u="1"/>
        <n v="430" u="1"/>
        <n v="3906" u="1"/>
        <n v="662.47" u="1"/>
        <n v="669" u="1"/>
        <n v="500" u="1"/>
        <n v="33.5" u="1"/>
        <n v="234" u="1"/>
        <n v="334" u="1"/>
        <n v="965.1264" u="1"/>
        <n v="1011.9" u="1"/>
        <n v="1688" u="1"/>
        <n v="807.5599999999999" u="1"/>
        <n v="524.16" u="1"/>
        <n v="620.85" u="1"/>
        <n v="6604.8" u="1"/>
        <n v="1539.9552" u="1"/>
        <n v="289" u="1"/>
        <n v="484" u="1"/>
        <n v="886" u="1"/>
        <n v="302" u="1"/>
        <n v="960" u="1"/>
        <n v="478" u="1"/>
        <n v="1083.04" u="1"/>
        <n v="495.06" u="1"/>
        <n v="1950" u="1"/>
        <n v="416" u="1"/>
        <n v="672.34" u="1"/>
        <n v="516.8" u="1"/>
        <n v="291.59" u="1"/>
        <n v="530" u="1"/>
        <n v="361" u="1"/>
        <n v="110" u="1"/>
        <n v="167.2" u="1"/>
        <n v="158.4" u="1"/>
        <n v="232.456" u="1"/>
        <n v="332.1304" u="1"/>
        <n v="318" u="1"/>
        <n v="177.77" u="1"/>
        <n v="900" u="1"/>
        <n v="539.5152" u="1"/>
        <n v="757.3440000000001" u="1"/>
        <n v="279.76" u="1"/>
        <n v="789" u="1"/>
        <n v="399" u="1"/>
        <n v="526" u="1"/>
        <n v="7536.6" u="1"/>
        <n v="1487.72" u="1"/>
        <n v="664" u="1"/>
        <n v="2420.92" u="1"/>
        <n v="1741.74" u="1"/>
        <n v="1080" u="1"/>
        <n v="2821" u="1"/>
        <n v="1175.63" u="1"/>
        <n v="5509.15" u="1"/>
        <n v="2056.44" u="1"/>
        <n v="18465.68" u="1"/>
        <n v="3507" u="1"/>
        <n v="355" u="1"/>
        <n v="950" u="1"/>
        <n v="3436.73" u="1"/>
        <n v="370" u="1"/>
        <n v="995.79" u="1"/>
        <n v="650" u="1"/>
        <n v="3590.07" u="1"/>
        <n v="59.57" u="1"/>
        <n v="60.92" u="1"/>
        <n v="5000" u="1"/>
        <n v="7500" u="1"/>
        <n v="174.755" u="1"/>
        <n v="494" u="1"/>
        <n v="907.87" u="1"/>
        <n v="5956.8" u="1"/>
        <n v="867" u="1"/>
        <n v="209" u="1"/>
        <n v="1341" u="1"/>
        <n v="745" u="1"/>
        <n v="698" u="1"/>
        <n v="3630" u="1"/>
        <n v="283.5" u="1"/>
        <n v="784.13" u="1"/>
        <n v="1345" u="1"/>
        <n v="346.54" u="1"/>
        <n v="1795.35" u="1"/>
        <n v="352.3744" u="1"/>
        <n v="295.624" u="1"/>
        <n v="180.4432" u="1"/>
        <n v="227.192" u="1"/>
        <n v="1051.0752" u="1"/>
        <n v="429.1168" u="1"/>
        <n v="754.5700000000001" u="1"/>
        <n v="271.08" u="1"/>
        <n v="362.9025" u="1"/>
        <n v="14596.53" u="1"/>
        <n v="3638.37" u="1"/>
        <n v="214.5" u="1"/>
        <n v="1340.64" u="1"/>
        <n v="1411.04" u="1"/>
        <n v="1339.78" u="1"/>
        <n v="575.5700000000001" u="1"/>
        <n v="1716" u="1"/>
        <n v="1588.31" u="1"/>
        <n v="2550.2" u="1"/>
        <n v="481.13" u="1"/>
        <n v="563.28" u="1"/>
        <n v="477.44" u="1"/>
        <n v="526.3200000000001" u="1"/>
        <n v="907.34" u="1"/>
        <n v="2009.17" u="1"/>
        <n v="491.92" u="1"/>
        <n v="389.54" u="1"/>
        <n v="1310.31" u="1"/>
        <n v="273.88" u="1"/>
        <n v="390.51" u="1"/>
        <n v="485.92" u="1"/>
        <n v="1364.84" u="1"/>
        <n v="376.14" u="1"/>
        <n v="994.28" u="1"/>
        <n v="740.76" u="1"/>
        <n v="433.34" u="1"/>
        <n v="1474.32" u="1"/>
        <n v="927.4299999999999" u="1"/>
        <n v="659.92" u="1"/>
        <n v="253.07" u="1"/>
        <n v="743.12" u="1"/>
        <n v="743.84" u="1"/>
        <n v="559.84" u="1"/>
        <n v="81" u="1"/>
        <n v="743.92" u="1"/>
        <n v="332.72" u="1"/>
        <n v="665.1900000000001" u="1"/>
        <n v="947.92" u="1"/>
        <n v="542.15" u="1"/>
        <n v="1045.43" u="1"/>
        <n v="623.92" u="1"/>
        <n v="742.5" u="1"/>
        <n v="286.26" u="1"/>
        <n v="378" u="1"/>
        <n v="315.92" u="1"/>
        <n v="538.5599999999999" u="1"/>
        <n v="202.5" u="1"/>
        <n v="14863.5" u="1"/>
        <n v="2065.5" u="1"/>
        <n v="1147.84" u="1"/>
        <n v="135" u="1"/>
        <n v="1187.09" u="1"/>
        <n v="988.72" u="1"/>
        <n v="398.38" u="1"/>
        <n v="1203.92" u="1"/>
        <n v="761.92" u="1"/>
        <n v="658.3200000000001" u="1"/>
        <n v="958.72" u="1"/>
        <n v="1318.95" u="1"/>
        <n v="292.42" u="1"/>
        <n v="1134" u="1"/>
        <n v="607.5" u="1"/>
        <n v="303.92" u="1"/>
        <n v="688.6900000000001" u="1"/>
        <n v="585.52" u="1"/>
        <n v="514.34" u="1"/>
        <n v="438.15" u="1"/>
        <n v="283.92" u="1"/>
        <n v="238.96" u="1"/>
        <n v="5496.41" u="1"/>
        <n v="902.84" u="1"/>
        <n v="599.12" u="1"/>
        <n v="471.51" u="1"/>
        <n v="101.26" u="1"/>
        <n v="731.3200000000001" u="1"/>
        <n v="521.8" u="1"/>
        <n v="395.12" u="1"/>
        <n v="357.21" u="1"/>
        <n v="710.84" u="1"/>
        <n v="501.13" u="1"/>
        <n v="441.07" u="1"/>
        <n v="697.52" u="1"/>
        <n v="384.67" u="1"/>
        <n v="6.75" u="1"/>
        <n v="387.67" u="1"/>
        <n v="507.92" u="1"/>
        <n v="1215" u="1"/>
        <n v="320.17" u="1"/>
        <n v="1030.74" u="1"/>
        <n v="13.5" u="1"/>
        <n v="162" u="1"/>
        <n v="749.17" u="1"/>
        <n v="490.9" u="1"/>
        <n v="549.59" u="1"/>
        <n v="719.38" u="1"/>
        <n v="454.19" u="1"/>
        <n v="876.59" u="1"/>
        <n v="1067.75" u="1"/>
        <n v="259.96" u="1"/>
        <n v="1156.72" u="1"/>
        <n v="383.37" u="1"/>
        <n v="395.49" u="1"/>
        <n v="263.92" u="1"/>
        <n v="194.32" u="1"/>
        <n v="417.52" u="1"/>
        <n v="1521.67" u="1"/>
        <n v="445.34" u="1"/>
        <n v="371.7" u="1"/>
        <n v="1849.52" u="1"/>
        <n v="1087.39" u="1"/>
        <n v="463.12" u="1"/>
        <n v="748.62" u="1"/>
        <n v="1601.09" u="1"/>
        <n v="360.67" u="1"/>
        <n v="624.8" u="1"/>
        <n v="630" u="1"/>
        <n v="362.17" u="1"/>
        <n v="1809.64" u="1"/>
        <n v="27" u="1"/>
        <n v="691.92" u="1"/>
        <n v="489.05" u="1"/>
        <n v="599.92" u="1"/>
        <n v="450.84" u="1"/>
        <n v="351.62" u="1"/>
        <n v="256.41" u="1"/>
        <n v="554.09" u="1"/>
        <n v="805.42" u="1"/>
        <n v="679.4299999999999" u="1"/>
        <n v="327.62" u="1"/>
        <n v="522.98" u="1"/>
        <n v="50" u="1"/>
        <n v="616.4" u="1"/>
        <n v="707.12" u="1"/>
        <n v="871.92" u="1"/>
        <n v="507.51" u="1"/>
        <n v="2508.72" u="1"/>
        <n v="2216.9" u="1"/>
        <n v="692.87" u="1"/>
        <n v="534.3200000000001" u="1"/>
        <n v="2737.44" u="1"/>
        <n v="395.01" u="1"/>
        <n v="908.72" u="1"/>
        <n v="1270.79" u="1"/>
        <n v="571.34" u="1"/>
        <n v="1550.32" u="1"/>
        <n v="459.67" u="1"/>
        <n v="2249.92" u="1"/>
        <n v="452.92" u="1"/>
        <n v="485.84" u="1"/>
        <n v="663.05" u="1"/>
        <n v="458.32" u="1"/>
        <n v="405" u="1"/>
        <n v="280.63" u="1"/>
        <n v="965.87" u="1"/>
        <n v="839.61" u="1"/>
        <n v="490.32" u="1"/>
        <n v="352.42" u="1"/>
        <n v="1191.51" u="1"/>
        <n v="476.92" u="1"/>
        <n v="1305.32" u="1"/>
        <n v="869.52" u="1"/>
        <n v="847.75" u="1"/>
        <n v="694.87" u="1"/>
        <n v="1107.92" u="1"/>
        <n v="527.12" u="1"/>
        <n v="486" u="1"/>
        <n v="782.92" u="1"/>
        <n v="1144.32" u="1"/>
        <n v="931.12" u="1"/>
        <n v="850.5" u="1"/>
        <n v="1485.55" u="1"/>
        <n v="267.92" u="1"/>
        <n v="472.52" u="1"/>
        <n v="135.81" u="1"/>
        <n v="421.23" u="1"/>
        <n v="889.74" u="1"/>
        <n v="591.12" u="1"/>
        <n v="801.3200000000001" u="1"/>
        <n v="959.92" u="1"/>
        <n v="4914" u="1"/>
        <n v="702.3200000000001" u="1"/>
        <n v="411.67" u="1"/>
        <n v="479.25" u="1"/>
        <n v="601.42" u="1"/>
        <n v="2024.91" u="1"/>
        <n v="873.8" u="1"/>
        <n v="1413.81" u="1"/>
        <n v="1217.44" u="1"/>
        <n v="326.17" u="1"/>
        <n v="435.92" u="1"/>
        <n v="965.84" u="1"/>
        <n v="1842.75" u="1"/>
        <n v="3427.34" u="1"/>
        <n v="427.43" u="1"/>
        <n v="1192.9" u="1"/>
        <n v="1392.67" u="1"/>
        <n v="638.9400000000001" u="1"/>
        <n v="1251.92" u="1"/>
        <n v="361.63" u="1"/>
        <n v="969.16" u="1"/>
        <n v="315.67" u="1"/>
        <n v="220.34" u="1"/>
        <n v="939.59" u="1"/>
        <n v="1109.09" u="1"/>
        <n v="881.09" u="1"/>
        <n v="503.08" u="1"/>
        <n v="650.3200000000001" u="1"/>
        <n v="577.73" u="1"/>
        <n v="438.92" u="1"/>
        <n v="315" u="1"/>
        <n v="475.12" u="1"/>
        <n v="1171.21" u="1"/>
        <n v="679.6799999999999" u="1"/>
        <n v="2418.81" u="1"/>
        <n v="509.17" u="1"/>
        <n v="410.9" u="1"/>
        <n v="663.4" u="1"/>
        <n v="507.85" u="1"/>
        <n v="612" u="1"/>
        <n v="340.9" u="1"/>
        <n v="1026.32" u="1"/>
        <n v="1860.59" u="1"/>
        <n v="258.21" u="1"/>
        <n v="352.72" u="1"/>
        <n v="539.92" u="1"/>
        <n v="763.33" u="1"/>
        <n v="285.67" u="1"/>
        <n v="317.84" u="1"/>
        <n v="605.92" u="1"/>
        <n v="938.3099999999999" u="1"/>
        <n v="443.12" u="1"/>
        <n v="240.67" u="1"/>
        <n v="1493.44" u="1"/>
        <n v="1424.34" u="1"/>
        <n v="121.5" u="1"/>
        <n v="1836" u="1"/>
        <n v="891" u="1"/>
        <n v="1485" u="1"/>
        <n v="631.36" u="1"/>
        <n v="615.87" u="1"/>
        <n v="202.9" u="1"/>
        <n v="1364.39" u="1"/>
        <n v="457.52" u="1"/>
        <n v="346.64" u="1"/>
        <n v="252" u="1"/>
        <n v="365.32" u="1"/>
        <n v="604.1799999999999" u="1"/>
        <n v="1318.5" u="1"/>
        <n v="1215.31" u="1"/>
        <n v="498.88" u="1"/>
        <n v="1347.92" u="1"/>
        <n v="1034.01" u="1"/>
        <n v="624.72" u="1"/>
        <n v="217.52" u="1"/>
        <n v="652.42" u="1"/>
        <n v="958.45" u="1"/>
        <n v="591.67" u="1"/>
        <n v="280.42" u="1"/>
        <n v="393.62" u="1"/>
        <n v="162.9" u="1"/>
        <n v="1100.72" u="1"/>
        <n v="805.77" u="1"/>
        <n v="935.84" u="1"/>
        <n v="2430" u="1"/>
        <n v="481.34" u="1"/>
        <n v="1225.52" u="1"/>
        <n v="718.53" u="1"/>
        <n v="454.34" u="1"/>
        <n v="521.38" u="1"/>
        <n v="370.14" u="1"/>
        <n v="661.42" u="1"/>
        <n v="491.17" u="1"/>
        <n v="830.86" u="1"/>
        <n v="1079.87" u="1"/>
        <n v="398.17" u="1"/>
        <n v="729.52" u="1"/>
        <n v="1178.84" u="1"/>
        <n v="717.52" u="1"/>
        <n v="1296.72" u="1"/>
        <n v="875.92" u="1"/>
        <n v="455.29" u="1"/>
        <n v="297.67" u="1"/>
        <n v="822.3200000000001" u="1"/>
        <n v="1083.67" u="1"/>
        <n v="255.67" u="1"/>
        <n v="915.84" u="1"/>
        <n v="428.72" u="1"/>
        <n v="250.26" u="1"/>
        <n v="381.52" u="1"/>
        <n v="257.52" u="1"/>
        <n v="250.9" u="1"/>
        <n v="1033.39" u="1"/>
        <n v="755.26" u="1"/>
        <n v="232.2" u="1"/>
        <n v="2216.02" u="1"/>
        <n v="379.12" u="1"/>
        <n v="1157.6" u="1"/>
        <n v="236.87" u="1"/>
        <n v="549.52" u="1"/>
        <n v="690.7" u="1"/>
        <n v="352.3" u="1"/>
        <n v="795.13" u="1"/>
        <n v="949.52" u="1"/>
        <n v="153.07" u="1"/>
        <n v="1191.12" u="1"/>
        <n v="1133.38" u="1"/>
        <n v="591.91" u="1"/>
        <n v="1651.04" u="1"/>
        <n v="178.32" u="1"/>
        <n v="953.64" u="1"/>
        <n v="626.3200000000001" u="1"/>
        <n v="954.46" u="1"/>
        <n v="510.61" u="1"/>
        <n v="322.42" u="1"/>
        <n v="167.42" u="1"/>
        <n v="291.92" u="1"/>
        <n v="930.67" u="1"/>
        <n v="459.92" u="1"/>
        <n v="507.01" u="1"/>
        <n v="1159.04" u="1"/>
        <n v="240.13" u="1"/>
        <n v="1034.09" u="1"/>
        <n v="999.51" u="1"/>
        <n v="1411.92" u="1"/>
        <n v="1216.3" u="1"/>
        <n v="683.97" u="1"/>
        <n v="476.72" u="1"/>
        <n v="376.97" u="1"/>
        <n v="1612.56" u="1"/>
        <n v="391.41" u="1"/>
        <n v="318.32" u="1"/>
        <n v="1041.59" u="1"/>
        <n v="2356.45" u="1"/>
        <n v="528.72" u="1"/>
        <n v="573.3" u="1"/>
        <n v="462.88" u="1"/>
        <n v="423.92" u="1"/>
        <n v="709.75" u="1"/>
        <n v="330.56" u="1"/>
        <n v="1373.92" u="1"/>
        <n v="364.45" u="1"/>
        <n v="855.47" u="1"/>
        <n v="655.92" u="1"/>
        <n v="811.3099999999999" u="1"/>
        <n v="191.92" u="1"/>
        <n v="438.67" u="1"/>
        <n v="648.59" u="1"/>
        <n v="1022.09" u="1"/>
        <n v="469.36" u="1"/>
        <n v="1213.71" u="1"/>
        <n v="252.64" u="1"/>
        <n v="275.92" u="1"/>
        <n v="355.95" u="1"/>
        <n v="1597.24" u="1"/>
        <n v="574.3200000000001" u="1"/>
        <n v="1101.67" u="1"/>
        <n v="290.34" u="1"/>
        <n v="560.11" u="1"/>
        <n v="897.21" u="1"/>
        <n v="345.67" u="1"/>
        <n v="440.72" u="1"/>
        <n v="1043.19" u="1"/>
        <n v="425.52" u="1"/>
        <n v="318.5" u="1"/>
        <n v="168.72" u="1"/>
        <n v="966.3200000000001" u="1"/>
        <n v="1339.46" u="1"/>
        <n v="2282.29" u="1"/>
        <n v="261.17" u="1"/>
        <n v="1115.84" u="1"/>
        <n v="810.96" u="1"/>
        <n v="323.92" u="1"/>
        <n v="452.82" u="1"/>
        <n v="752.92" u="1"/>
        <n v="752.17" u="1"/>
        <n v="1238.82" u="1"/>
        <n v="394.42" u="1"/>
        <n v="519.12" u="1"/>
        <n v="1922.3" u="1"/>
        <n v="2046.26" u="1"/>
        <n v="370.43" u="1"/>
        <n v="718.3200000000001" u="1"/>
        <n v="1012.72" u="1"/>
        <n v="392.06" u="1"/>
        <n v="550.96" u="1"/>
        <n v="540.45" u="1"/>
        <n v="390.32" u="1"/>
        <n v="399.53" u="1"/>
        <n v="1294.22" u="1"/>
        <n v="341.47" u="1"/>
        <n v="1106.61" u="1"/>
        <n v="410.17" u="1"/>
        <n v="554.38" u="1"/>
        <n v="563.65" u="1"/>
        <n v="1277.85" u="1"/>
        <n v="683.55" u="1"/>
        <n v="384.68" u="1"/>
        <n v="406.96" u="1"/>
        <n v="384.72" u="1"/>
        <n v="780.88" u="1"/>
        <n v="456.91" u="1"/>
        <n v="346.5" u="1"/>
        <n v="935.12" u="1"/>
        <n v="315.16" u="1"/>
        <n v="484.14" u="1"/>
        <n v="477.9" u="1"/>
        <n v="907.04" u="1"/>
        <n v="1161.82" u="1"/>
        <n v="906.15" u="1"/>
        <n v="650.8099999999999" u="1"/>
        <n v="285.52" u="1"/>
        <n v="824.17" u="1"/>
        <n v="731.92" u="1"/>
        <n v="627.67" u="1"/>
        <n v="553.5700000000001" u="1"/>
        <n v="996.97" u="1"/>
        <n v="516.72" u="1"/>
        <n v="1463.99" u="1"/>
        <n v="392.17" u="1"/>
        <n v="893.52" u="1"/>
        <n v="1943.04" u="1"/>
        <n v="488.34" u="1"/>
        <n v="389.92" u="1"/>
        <n v="545.16" u="1"/>
        <n v="464.17" u="1"/>
        <n v="1027.93" u="1"/>
        <n v="677.25" u="1"/>
        <n v="909.37" u="1"/>
        <n v="425.92" u="1"/>
        <n v="1606.34" u="1"/>
        <n v="1332.72" u="1"/>
        <n v="448.81" u="1"/>
        <n v="313.52" u="1"/>
        <n v="542.17" u="1"/>
        <n v="2334.6" u="1"/>
        <n v="651.12" u="1"/>
        <n v="893.4400000000001" u="1"/>
        <n v="667.34" u="1"/>
        <n v="923.92" u="1"/>
        <n v="1112.87" u="1"/>
        <n v="587.55" u="1"/>
        <n v="756.67" u="1"/>
        <n v="543.12" u="1"/>
        <n v="624.42" u="1"/>
        <n v="1232.45" u="1"/>
        <n v="1004.86" u="1"/>
        <n v="536.55" u="1"/>
        <n v="954.3200000000001" u="1"/>
        <n v="138.32" u="1"/>
        <n v="524.92" u="1"/>
        <n v="299.12" u="1"/>
        <n v="1820.09" u="1"/>
        <n v="459.91" u="1"/>
        <n v="556.42" u="1"/>
        <n v="570.67" u="1"/>
        <n v="412.72" u="1"/>
        <n v="945.52" u="1"/>
        <n v="2045.92" u="1"/>
        <n v="533.5599999999999" u="1"/>
        <n v="778.9" u="1"/>
        <n v="743.3099999999999" u="1"/>
        <n v="1083.12" u="1"/>
        <n v="418.32" u="1"/>
        <n v="245.17" u="1"/>
        <n v="861.52" u="1"/>
        <n v="1696.9" u="1"/>
        <n v="1536.64" u="1"/>
        <n v="1974.72" u="1"/>
        <n v="160.42" u="1"/>
        <n v="1370.32" u="1"/>
        <n v="437.17" u="1"/>
        <n v="593.92" u="1"/>
        <n v="856.83" u="1"/>
        <n v="391.9" u="1"/>
        <n v="793.52" u="1"/>
        <n v="446.59" u="1"/>
        <n v="1940.64" u="1"/>
        <n v="1583.84" u="1"/>
        <n v="779.84" u="1"/>
        <n v="1500.67" u="1"/>
        <n v="590.74" u="1"/>
        <n v="388.14" u="1"/>
        <n v="1084.42" u="1"/>
        <n v="1053.72" u="1"/>
        <n v="1223.54" u="1"/>
        <n v="1532.43" u="1"/>
        <n v="820.42" u="1"/>
        <n v="1609.52" u="1"/>
        <n v="235.42" u="1"/>
        <n v="5283.79" u="1"/>
        <n v="935.35" u="1"/>
        <n v="442.42" u="1"/>
        <n v="800.72" u="1"/>
        <n v="285.21" u="1"/>
        <n v="440.54" u="1"/>
        <n v="941.17" u="1"/>
        <n v="980.26" u="1"/>
        <n v="379.42" u="1"/>
        <n v="560.92" u="1"/>
        <n v="631.97" u="1"/>
        <n v="595.92" u="1"/>
        <n v="253.12" u="1"/>
        <n v="444.85" u="1"/>
        <n v="1202.11" u="1"/>
        <n v="1179.08" u="1"/>
        <n v="809.52" u="1"/>
        <n v="218.32" u="1"/>
        <n v="3190.65" u="1"/>
        <n v="386.32" u="1"/>
        <n v="443.92" u="1"/>
        <n v="288.09" u="1"/>
        <n v="670.42" u="1"/>
        <n v="432.75" u="1"/>
        <n v="741.52" u="1"/>
        <n v="377.01" u="1"/>
        <n v="746.3200000000001" u="1"/>
        <n v="858.1" u="1"/>
        <n v="272.72" u="1"/>
        <n v="365.11" u="1"/>
        <n v="509.06" u="1"/>
        <n v="330.32" u="1"/>
        <n v="461.52" u="1"/>
        <n v="912.04" u="1"/>
        <n v="393.67" u="1"/>
        <n v="503.81" u="1"/>
        <n v="877.24" u="1"/>
        <n v="677.52" u="1"/>
        <n v="1088.02" u="1"/>
        <n v="753.67" u="1"/>
        <n v="686.67" u="1"/>
        <n v="1371.34" u="1"/>
        <n v="454.41" u="1"/>
        <n v="569.3200000000001" u="1"/>
        <n v="460.11" u="1"/>
        <n v="715.92" u="1"/>
        <n v="678.89" u="1"/>
        <n v="845.92" u="1"/>
        <n v="475.92" u="1"/>
        <n v="486.66" u="1"/>
        <n v="786.67" u="1"/>
        <n v="1149.91" u="1"/>
        <n v="191.33" u="1"/>
        <n v="368.55" u="1"/>
        <n v="369.32" u="1"/>
        <n v="960.22" u="1"/>
        <n v="133.9" u="1"/>
        <n v="2174.09" u="1"/>
        <n v="803.42" u="1"/>
        <n v="362.11" u="1"/>
        <n v="537.52" u="1"/>
        <n v="1198.93" u="1"/>
        <n v="324.72" u="1"/>
        <n v="1028.69" u="1"/>
        <n v="1528.3" u="1"/>
        <n v="106.38" u="1"/>
        <n v="360.9" u="1"/>
        <n v="251.92" u="1"/>
        <n v="2306.32" u="1"/>
        <n v="484.72" u="1"/>
        <n v="1242.78" u="1"/>
        <n v="1188.67" u="1"/>
        <n v="1362.59" u="1"/>
        <n v="692.92" u="1"/>
        <n v="438.13" u="1"/>
        <n v="860.17" u="1"/>
        <n v="286.82" u="1"/>
        <n v="892.72" u="1"/>
        <n v="496.42" u="1"/>
        <n v="1055.12" u="1"/>
        <n v="1876.35" u="1"/>
        <n v="916.77" u="1"/>
        <n v="335.28" u="1"/>
        <n v="989.6900000000001" u="1"/>
        <n v="236.17" u="1"/>
        <n v="1410.21" u="1"/>
        <n v="929.61" u="1"/>
        <n v="1150.41" u="1"/>
        <n v="256.45" u="1"/>
        <n v="1025.17" u="1"/>
        <n v="1386.81" u="1"/>
        <n v="538.98" u="1"/>
        <n v="429.52" u="1"/>
        <n v="704.84" u="1"/>
        <n v="346.2" u="1"/>
        <n v="694.89" u="1"/>
        <n v="266.94" u="1"/>
        <n v="413.9" u="1"/>
        <n v="675.92" u="1"/>
        <n v="463.6" u="1"/>
        <n v="385.52" u="1"/>
        <n v="569.17" u="1"/>
        <n v="872.91" u="1"/>
        <n v="1210.07" u="1"/>
        <n v="614.3200000000001" u="1"/>
        <n v="825.67" u="1"/>
        <n v="1081.42" u="1"/>
        <n v="166.17" u="1"/>
        <n v="787.97" u="1"/>
        <n v="1367.92" u="1"/>
        <n v="345.52" u="1"/>
        <n v="159" u="1"/>
        <n v="432.72" u="1"/>
        <n v="535.92" u="1"/>
        <n v="1044.72" u="1"/>
        <n v="1181.61" u="1"/>
        <n v="778.3200000000001" u="1"/>
        <n v="443.37" u="1"/>
        <n v="607.74" u="1"/>
        <n v="406.92" u="1"/>
        <n v="1424.8" u="1"/>
        <n v="1080.67" u="1"/>
        <n v="772.42" u="1"/>
        <n v="395.83" u="1"/>
        <n v="1215.4" u="1"/>
        <n v="1392.72" u="1"/>
        <n v="1654.11" u="1"/>
        <n v="699.1" u="1"/>
        <n v="504.67" u="1"/>
        <n v="171.9" u="1"/>
        <n v="144.4" u="1"/>
        <n v="493.69" u="1"/>
        <n v="1298.84" u="1"/>
        <n v="506.92" u="1"/>
        <n v="399.92" u="1"/>
        <n v="383.17" u="1"/>
        <n v="220.41" u="1"/>
        <n v="256.24" u="1"/>
        <n v="491.31" u="1"/>
        <n v="1113.67" u="1"/>
        <n v="657.52" u="1"/>
        <n v="451.94" u="1"/>
        <n v="1603.06" u="1"/>
        <n v="1420.72" u="1"/>
        <n v="1637.97" u="1"/>
        <n v="324.56" u="1"/>
        <n v="299.76" u="1"/>
        <n v="479.92" u="1"/>
        <n v="1270" u="1"/>
        <n v="802.4400000000001" u="1"/>
        <n v="1433.63" u="1"/>
        <n v="1073.52" u="1"/>
        <n v="2091.67" u="1"/>
        <n v="1346.92" u="1"/>
        <n v="1019.17" u="1"/>
        <n v="367.12" u="1"/>
        <n v="442.32" u="1"/>
        <n v="203.12" u="1"/>
        <n v="1244.95" u="1"/>
        <n v="628.72" u="1"/>
        <n v="2255.12" u="1"/>
        <n v="921.52" u="1"/>
        <n v="1401.21" u="1"/>
        <n v="588.51" u="1"/>
        <n v="760.7" u="1"/>
        <n v="613.42" u="1"/>
        <n v="957.59" u="1"/>
        <n v="696.67" u="1"/>
        <n v="2616.68" u="1"/>
        <n v="664.72" u="1"/>
        <n v="218.61" u="1"/>
        <n v="353.52" u="1"/>
        <n v="1061.52" u="1"/>
        <n v="1555.34" u="1"/>
        <n v="495.92" u="1"/>
        <n v="527.92" u="1"/>
        <n v="651.67" u="1"/>
        <n v="1022.42" u="1"/>
        <n v="816.67" u="1"/>
        <n v="1343.36" u="1"/>
        <n v="488.84" u="1"/>
        <n v="528.35" u="1"/>
        <n v="597.51" u="1"/>
        <n v="905.8" u="1"/>
        <n v="531.51" u="1"/>
        <n v="1108.35" u="1"/>
        <n v="275.84" u="1"/>
        <n v="1363.42" u="1"/>
        <n v="422.94" u="1"/>
        <n v="817.52" u="1"/>
        <n v="461.63" u="1"/>
        <n v="395.17" u="1"/>
        <n v="461.17" u="1"/>
        <n v="433.44" u="1"/>
        <n v="2826.24" u="1"/>
        <n v="636.01" u="1"/>
        <n v="723.92" u="1"/>
        <n v="574.6" u="1"/>
        <n v="658.29" u="1"/>
        <n v="155.43" u="1"/>
        <n v="1251.04" u="1"/>
        <n v="1835.78" u="1"/>
        <n v="417.64" u="1"/>
        <n v="8452.23" u="1"/>
        <n v="1376.94" u="1"/>
        <n v="1023.3" u="1"/>
        <n v="1364.4" u="1"/>
        <n v="845.12" u="1"/>
        <n v="17786.57" u="1"/>
        <n v="356.06" u="1"/>
        <n v="1579.63" u="1"/>
        <n v="4231.16" u="1"/>
        <n v="381" u="1"/>
        <n v="3420.39" u="1"/>
        <n v="249.0768" u="1"/>
        <n v="196.07" u="1"/>
        <n v="856" u="1"/>
        <n v="174.95" u="1"/>
        <n v="372" u="1"/>
        <n v="248" u="1"/>
        <n v="531.2" u="1"/>
        <n v="1347" u="1"/>
        <n v="1086.282" u="1"/>
        <n v="670.4" u="1"/>
        <n v="1088.544" u="1"/>
        <n v="1963" u="1"/>
        <n v="617.95" u="1"/>
        <n v="2884.49" u="1"/>
        <n v="1902.24" u="1"/>
        <n v="958" u="1"/>
        <n v="627.5700000000001" u="1"/>
        <n v="655.27" u="1"/>
        <n v="3765.39" u="1"/>
        <n v="903.12" u="1"/>
        <n v="906.08" u="1"/>
        <n v="2599.92" u="1"/>
        <n v="2871.2" u="1"/>
        <n v="2850.24" u="1"/>
        <n v="2125.62" u="1"/>
        <n v="814.24" u="1"/>
        <n v="1104.25" u="1"/>
        <n v="609.39" u="1"/>
        <n v="1716.82" u="1"/>
        <n v="2855.2" u="1"/>
        <n v="1429.46" u="1"/>
        <n v="1383.82" u="1"/>
        <n v="1163.92" u="1"/>
        <n v="2655.88" u="1"/>
        <n v="1828.64" u="1"/>
        <n v="1596.64" u="1"/>
        <n v="114.56" u="1"/>
        <n v="2356.584" u="1"/>
        <n v="295.74" u="1"/>
        <n v="275" u="1"/>
        <n v="842.8" u="1"/>
        <n v="580" u="1"/>
        <n v="384" u="1"/>
        <n v="880" u="1"/>
        <n v="2011.32" u="1"/>
        <n v="1634.5719" u="1"/>
        <n v="1404.24" u="1"/>
        <n v="1354.24" u="1"/>
        <n v="1918.32" u="1"/>
        <n v="920" u="1"/>
        <n v="291.34" u="1"/>
        <n v="1236.72" u="1"/>
        <n v="1770.55" u="1"/>
        <n v="1674.52" u="1"/>
        <n v="1350" u="1"/>
        <n v="1376.64" u="1"/>
        <n v="3494.86" u="1"/>
        <n v="1120.97" u="1"/>
        <n v="2715.65" u="1"/>
        <n v="2781.66" u="1"/>
        <n v="1017.576" u="1"/>
        <n v="3150.848" u="1"/>
        <n v="938.4160000000001" u="1"/>
        <n v="775.7451" u="1"/>
        <n v="10003.52" u="1"/>
        <n v="5366.9997" u="1"/>
        <n v="236.72" u="1"/>
        <n v="2127.12" u="1"/>
        <n v="1195.92" u="1"/>
        <n v="2030.32" u="1"/>
        <n v="1251.57" u="1"/>
        <n v="666.66" u="1"/>
        <n v="814.96" u="1"/>
        <n v="22795.836" u="1"/>
        <n v="1877.44" u="1"/>
        <n v="5206.13" u="1"/>
        <n v="1219.51" u="1"/>
        <n v="1010" u="1"/>
        <n v="505" u="1"/>
        <n v="430.5" u="1"/>
        <n v="1131.96" u="1"/>
        <n v="522.9" u="1"/>
        <n v="1530" u="1"/>
        <n v="5621.33" u="1"/>
        <n v="184.76" u="1"/>
        <n v="350.2" u="1"/>
        <n v="191.49" u="1"/>
        <n v="276.46" u="1"/>
        <n v="232.02" u="1"/>
        <n v="360.15" u="1"/>
        <n v="687.96" u="1"/>
        <n v="223.44" u="1"/>
        <n v="696.0599999999999" u="1"/>
        <n v="312.3" u="1"/>
        <n v="506.42" u="1"/>
        <n v="579.6" u="1"/>
        <n v="3687.376" u="1"/>
        <n v="2718" u="1"/>
        <n v="3714.9928" u="1"/>
        <n v="218.58" u="1"/>
        <n v="1265.3864" u="1"/>
        <n v="265.74" u="1"/>
        <n v="796" u="1"/>
        <n v="1022.6" u="1"/>
        <n v="199" u="1"/>
        <n v="2124.513" u="1"/>
        <n v="555.975" u="1"/>
        <n v="1059.04" u="1"/>
        <n v="2474.12" u="1"/>
        <n v="1441.6" u="1"/>
        <n v="1680" u="1"/>
        <n v="420.01" u="1"/>
        <n v="828" u="1"/>
        <n v="695.742" u="1"/>
        <n v="33545.09" u="1"/>
        <n v="1187.2" u="1"/>
        <n v="732" u="1"/>
        <n v="212.38" u="1"/>
        <n v="212.37" u="1"/>
        <n v="525.98" u="1"/>
        <n v="348.65" u="1"/>
        <n v="843.51" u="1"/>
        <n v="245.45" u="1"/>
        <n v="184" u="1"/>
        <n v="747" u="1"/>
        <n v="489.52" u="1"/>
        <n v="278.96" u="1"/>
        <n v="284.01" u="1"/>
        <n v="3626.75" u="1"/>
        <n v="2780.24" u="1"/>
        <n v="3705.84" u="1"/>
        <n v="881.4" u="1"/>
        <n v="17500" u="1"/>
        <n v="1258.5" u="1"/>
        <n v="2100" u="1"/>
        <n v="91.89" u="1"/>
        <n v="96" u="1"/>
        <n v="88" u="1"/>
        <n v="1550" u="1"/>
        <n v="550.6799999999999" u="1"/>
        <n v="645" u="1"/>
        <n v="93.33" u="1"/>
        <n v="105.8" u="1"/>
        <n v="63.33" u="1"/>
        <n v="39.26" u="1"/>
        <n v="45.05" u="1"/>
        <n v="128.79" u="1"/>
        <n v="622.776" u="1"/>
        <n v="118.98" u="1"/>
        <n v="41.41" u="1"/>
        <n v="82.18000000000001" u="1"/>
        <n v="4310.29" u="1"/>
        <n v="24717.99" u="1"/>
        <n v="5940" u="1"/>
        <n v="198.7" u="1"/>
        <n v="469.79" u="1"/>
        <n v="1175.91" u="1"/>
        <n v="1570.25" u="1"/>
        <n v="1808.72" u="1"/>
        <n v="1267.52" u="1"/>
        <n v="704.24" u="1"/>
        <n v="1058.17" u="1"/>
        <n v="557.66" u="1"/>
        <n v="518.6900000000001" u="1"/>
        <n v="381.63" u="1"/>
        <n v="1284" u="1"/>
        <n v="290.9" u="1"/>
        <n v="690.45" u="1"/>
        <n v="9554.49" u="1"/>
        <n v="17548.21" u="1"/>
        <n v="99.58" u="1"/>
        <n v="288.15" u="1"/>
        <n v="2060" u="1"/>
        <n v="4275.98" u="1"/>
        <n v="576" u="1"/>
        <n v="6949.35" u="1"/>
        <n v="480" u="1"/>
        <n v="984.0700000000001" u="1"/>
        <n v="1050" u="1"/>
        <n v="2168.1" u="1"/>
        <n v="12363.96" u="1"/>
        <n v="680" u="1"/>
        <n v="921.4299999999999" u="1"/>
        <n v="755" u="1"/>
        <n v="522" u="1"/>
        <n v="265.53" u="1"/>
        <n v="8938.290000000001" u="1"/>
        <n v="358" u="1"/>
        <n v="844.59" u="1"/>
        <n v="537.5" u="1"/>
        <n v="438" u="1"/>
        <n v="633.6799999999999" u="1"/>
        <n v="736.8200000000001" u="1"/>
        <n v="528.28" u="1"/>
        <n v="1788" u="1"/>
        <n v="1764" u="1"/>
        <n v="222.6" u="1"/>
        <n v="195.13" u="1"/>
        <n v="738.99" u="1"/>
        <n v="294.27" u="1"/>
        <n v="1246" u="1"/>
        <n v="899.85" u="1"/>
        <n v="324.45" u="1"/>
        <n v="762.99" u="1"/>
        <n v="647.0599999999999" u="1"/>
        <n v="584" u="1"/>
        <n v="694.71" u="1"/>
        <n v="537" u="1"/>
        <n v="419.64" u="1"/>
        <n v="257.5" u="1"/>
        <n v="452" u="1"/>
        <n v="273" u="1"/>
        <n v="381.6" u="1"/>
        <n v="179" u="1"/>
        <n v="734" u="1"/>
        <n v="366.45" u="1"/>
        <n v="896.46" u="1"/>
        <n v="1084.86" u="1"/>
        <n v="2756" u="1"/>
        <n v="1474.16" u="1"/>
        <n v="1973.4" u="1"/>
        <n v="300.56" u="1"/>
        <n v="338.1" u="1"/>
        <n v="1158" u="1"/>
        <n v="1544" u="1"/>
        <n v="328.9" u="1"/>
        <n v="303.24" u="1"/>
        <n v="419.3" u="1"/>
        <n v="145.99" u="1"/>
        <n v="1185.65" u="1"/>
        <n v="2875.29" u="1"/>
        <n v="17708.83" u="1"/>
        <n v="722.99" u="1"/>
        <n v="238" u="1"/>
        <n v="1862.41" u="1"/>
        <n v="3048" u="1"/>
        <n v="230" u="1"/>
        <n v="789.8" u="1"/>
        <n v="197" u="1"/>
        <n v="452.4" u="1"/>
        <n v="1273.28" u="1"/>
        <n v="1529" u="1"/>
        <n v="256.7" u="1"/>
        <n v="489.99" u="1"/>
        <n v="1288" u="1"/>
        <n v="114.74" u="1"/>
        <n v="247" u="1"/>
        <n v="604" u="1"/>
        <n v="265" u="1"/>
        <n v="400" u="1"/>
        <n v="585.9" u="1"/>
        <n v="1020" u="1"/>
        <n v="495.04" u="1"/>
        <n v="205.19" u="1"/>
        <n v="264.91" u="1"/>
        <n v="794.73" u="1"/>
        <n v="795" u="1"/>
        <n v="215" u="1"/>
        <n v="320" u="1"/>
        <n v="199.5" u="1"/>
        <n v="578" u="1"/>
        <n v="310.21" u="1"/>
        <n v="297" u="1"/>
        <n v="570" u="1"/>
        <n v="304.5" u="1"/>
        <n v="733.3200000000001" u="1"/>
        <n v="2340.8001" u="1"/>
        <n v="2946.16" u="1"/>
        <n v="269.7" u="1"/>
        <n v="1604.4" u="1"/>
        <n v="295" u="1"/>
        <n v="1622.4" u="1"/>
        <n v="530.4400000000001" u="1"/>
        <n v="162.06" u="1"/>
        <n v="234.85" u="1"/>
        <n v="373.05" u="1"/>
        <n v="1400" u="1"/>
        <n v="1887.6" u="1"/>
        <n v="2781.55" u="1"/>
        <n v="658.22" u="1"/>
        <n v="375" u="1"/>
        <n v="241" u="1"/>
        <n v="349" u="1"/>
        <n v="200.6" u="1"/>
        <n v="432" u="1"/>
        <n v="194" u="1"/>
        <n v="233.1" u="1"/>
        <n v="235" u="1"/>
        <n v="215.49" u="1"/>
        <n v="466.2" u="1"/>
        <n v="2499" u="1"/>
        <n v="550" u="1"/>
        <n v="542.78" u="1"/>
        <n v="686.4" u="1"/>
        <n v="396" u="1"/>
        <n v="15676.08" u="1"/>
        <n v="249" u="1"/>
        <n v="125" u="1"/>
        <n v="187" u="1"/>
        <n v="5580.05" u="1"/>
        <n v="2312" u="1"/>
        <n v="205" u="1"/>
        <n v="975" u="1"/>
        <n v="575" u="1"/>
        <n v="255" u="1"/>
        <n v="356.5" u="1"/>
        <n v="165" u="1"/>
        <n v="1584" u="1"/>
        <n v="4711" u="1"/>
        <n v="3377.1" u="1"/>
        <n v="936.51" u="1"/>
        <n v="544.41" u="1"/>
        <n v="223.1" u="1"/>
        <n v="261" u="1"/>
        <n v="710" u="1"/>
        <n v="168.91" u="1"/>
        <n v="195.33" u="1"/>
        <n v="3511.05" u="1"/>
        <n v="540.5599999999999" u="1"/>
        <n v="1625" u="1"/>
        <n v="12037" u="1"/>
        <n v="324.26" u="1"/>
        <n v="1061.29" u="1"/>
        <n v="946.46" u="1"/>
        <n v="90" u="1"/>
        <n v="1396" u="1"/>
        <n v="363" u="1"/>
        <n v="864" u="1"/>
        <n v="7034" u="1"/>
        <n v="8792.5" u="1"/>
        <n v="6265.53" u="1"/>
        <n v="2034.4" u="1"/>
        <n v="242" u="1"/>
        <n v="150.6" u="1"/>
        <n v="726" u="1"/>
        <n v="4152" u="1"/>
        <n v="714" u="1"/>
        <n v="561" u="1"/>
        <n v="927" u="1"/>
        <n v="178" u="1"/>
        <n v="380.45" u="1"/>
        <n v="529.42" u="1"/>
        <n v="2552.6" u="1"/>
        <n v="8143.03" u="1"/>
        <n v="5472" u="1"/>
        <n v="232" u="1"/>
        <n v="163.85" u="1"/>
        <n v="684.52" u="1"/>
        <n v="217" u="1"/>
        <n v="4536" u="1"/>
        <n v="345" u="1"/>
        <n v="721.5599999999999" u="1"/>
        <n v="913.2" u="1"/>
        <n v="546" u="1"/>
        <n v="518.7" u="1"/>
        <n v="807.96" u="1"/>
        <n v="646.8" u="1"/>
        <n v="995.4" u="1"/>
        <n v="1040" u="1"/>
        <n v="385.35" u="1"/>
        <n v="4312" u="1"/>
        <n v="307.97" u="1"/>
        <n v="529.66" u="1"/>
        <n v="1057.32" u="1"/>
        <n v="2250" u="1"/>
        <n v="4550" u="1"/>
        <n v="469.82" u="1"/>
        <n v="758.1" u="1"/>
        <n v="4389" u="1"/>
        <n v="3388" u="1"/>
        <n v="1205.8" u="1"/>
        <n v="660.75" u="1"/>
        <n v="540" u="1"/>
        <n v="846.84" u="1"/>
        <n v="749.88" u="1"/>
        <n v="7548.95" u="1"/>
        <n v="1819.8" u="1"/>
        <n v="483.9" u="1"/>
        <n v="622.5599999999999" u="1"/>
        <n v="284.58" u="1"/>
        <n v="254" u="1"/>
        <n v="643.08" u="1"/>
        <n v="440" u="1"/>
        <n v="495.44" u="1"/>
        <n v="1302" u="1"/>
        <n v="572.7" u="1"/>
        <n v="517.2" u="1"/>
        <n v="189.9" u="1"/>
        <n v="739.8" u="1"/>
        <n v="656.13" u="1"/>
        <n v="259.52" u="1"/>
        <n v="2320" u="1"/>
        <n v="1798.82" u="1"/>
        <n v="768.16" u="1"/>
        <n v="1560.22" u="1"/>
        <n v="644" u="1"/>
        <n v="1412" u="1"/>
        <n v="550.72" u="1"/>
        <n v="1000" u="1"/>
        <n v="631.24" u="1"/>
        <n v="1262.48" u="1"/>
        <n v="2154" u="1"/>
        <n v="1089" u="1"/>
        <n v="983.01" u="1"/>
        <n v="1452" u="1"/>
        <n v="207" u="1"/>
        <n v="10647.756" u="1"/>
        <n v="6409.752" u="1"/>
        <n v="578.13" u="1"/>
        <n v="359" u="1"/>
        <n v="1110" u="1"/>
        <n v="622" u="1"/>
        <n v="106.18" u="1"/>
        <n v="70.78" u="1"/>
        <n v="1276" u="1"/>
        <n v="1262" u="1"/>
        <n v="2323.54" u="1"/>
        <n v="1620.93" u="1"/>
        <n v="1590.7" u="1"/>
        <n v="3195.14" u="1"/>
        <n v="846.7" u="1"/>
        <n v="2280" u="1"/>
        <n v="1525.58" u="1"/>
        <n v="411.04" u="1"/>
        <n v="622.4" u="1"/>
        <n v="1390.29" u="1"/>
        <n v="93.5" u="1"/>
        <n v="295.5" u="1"/>
        <n v="4819" u="1"/>
        <n v="410" u="1"/>
        <n v="777.75" u="1"/>
        <n v="1376" u="1"/>
        <n v="5772.12" u="1"/>
        <n v="582" u="1"/>
        <n v="780.16" u="1"/>
        <n v="524.9400000000001" u="1"/>
        <n v="692.26" u="1"/>
        <n v="287" u="1"/>
        <n v="298" u="1"/>
        <n v="254.1" u="1"/>
        <n v="925.5599999999999" u="1"/>
        <n v="1178.05" u="1"/>
        <n v="243.39" u="1"/>
        <n v="801.99" u="1"/>
        <n v="330.75" u="1"/>
        <n v="451.48" u="1"/>
        <n v="1520.4" u="1"/>
        <n v="824.42" u="1"/>
        <n v="474.24" u="1"/>
        <n v="596" u="1"/>
        <n v="472.5" u="1"/>
        <n v="1873.35" u="1"/>
        <n v="501.6" u="1"/>
        <n v="459.38" u="1"/>
        <n v="3078" u="1"/>
        <n v="9790" u="1"/>
        <n v="543.9" u="1"/>
        <n v="1244.85" u="1"/>
        <n v="1116.2" u="1"/>
        <n v="1110.46" u="1"/>
        <n v="376.34" u="1"/>
        <n v="18602.56" u="1"/>
        <n v="5016.79" u="1"/>
        <n v="443" u="1"/>
        <n v="178.2" u="1"/>
        <n v="156" u="1"/>
        <n v="324.22" u="1"/>
        <n v="979.04" u="1"/>
        <n v="611.58" u="1"/>
        <n v="12664" u="1"/>
        <n v="910" u="1"/>
        <n v="2375.0001" u="1"/>
        <n v="418" u="1"/>
        <n v="277.2" u="1"/>
        <n v="547.1088" u="1"/>
        <n v="294.15" u="1"/>
        <n v="1746.5" u="1"/>
        <n v="1156" u="1"/>
        <n v="99.31999999999999" u="1"/>
        <n v="761.28" u="1"/>
        <n v="12879.54" u="1"/>
        <n v="1304" u="1"/>
        <n v="783.9216" u="1"/>
        <n v="498.1536" u="1"/>
        <n v="396.045" u="1"/>
        <n v="1844.976" u="1"/>
        <n v="1076.36" u="1"/>
        <n v="903.8200000000001" u="1"/>
        <n v="422.04" u="1"/>
        <n v="8031.48" u="1"/>
        <n v="1891.296" u="1"/>
        <n v="719.5839999999999" u="1"/>
        <n v="1584.2946" u="1"/>
        <n v="1719.36" u="1"/>
        <n v="497.38" u="1"/>
        <n v="237.93" u="1"/>
        <n v="771.54" u="1"/>
        <n v="113150" u="1"/>
        <n v="378.81" u="1"/>
        <n v="2130" u="1"/>
        <n v="830" u="1"/>
        <n v="352.6" u="1"/>
        <n v="369.24" u="1"/>
        <n v="562.5" u="1"/>
        <n v="1090" u="1"/>
        <n v="323" u="1"/>
        <n v="1345.56" u="1"/>
        <n v="304.98" u="1"/>
        <n v="20398" u="1"/>
        <n v="1754.6256" u="1"/>
        <n v="528.7101" u="1"/>
        <n v="943.04" u="1"/>
        <n v="438.4352" u="1"/>
        <n v="1007.496" u="1"/>
        <n v="2029.35" u="1"/>
        <n v="234.75" u="1"/>
        <n v="240.74" u="1"/>
        <n v="558" u="1"/>
        <n v="12870.72" u="1"/>
        <n v="248.07" u="1"/>
        <n v="812.2" u="1"/>
        <n v="562.7189" u="1"/>
        <n v="4074.0284" u="1"/>
        <n v="476.0925" u="1"/>
        <n v="6931" u="1"/>
        <n v="2915.3" u="1"/>
        <n v="689.84" u="1"/>
        <n v="638" u="1"/>
        <n v="1239.7392" u="1"/>
        <n v="92.1032" u="1"/>
        <n v="535.5" u="1"/>
        <n v="2640" u="1"/>
        <n v="1101.2" u="1"/>
        <n v="898" u="1"/>
        <n v="1176" u="1"/>
        <n v="1324.02" u="1"/>
        <n v="436.5" u="1"/>
        <n v="223" u="1"/>
        <n v="494.4688" u="1"/>
        <n v="693.9296000000001" u="1"/>
        <n v="383.18" u="1"/>
        <n v="153.52" u="1"/>
        <n v="157.45" u="1"/>
        <n v="607.05" u="1"/>
        <n v="4268.86" u="1"/>
        <n v="1001.22" u="1"/>
        <n v="439.9" u="1"/>
        <n v="2860.61" u="1"/>
        <n v="554.41" u="1"/>
        <n v="690.29" u="1"/>
        <n v="5582.15" u="1"/>
        <n v="371" u="1"/>
        <n v="2197.44" u="1"/>
        <n v="3023.84" u="1"/>
        <n v="3497.01" u="1"/>
        <n v="1016.56" u="1"/>
        <n v="695.12" u="1"/>
        <n v="820.72" u="1"/>
        <n v="2638.32" u="1"/>
        <n v="1337.4" u="1"/>
        <n v="353.9" u="1"/>
        <n v="1656.14" u="1"/>
        <n v="1561.41" u="1"/>
        <n v="912.4" u="1"/>
        <n v="954.7143" u="1"/>
        <n v="494.24" u="1"/>
        <n v="8452.040000000001" u="1"/>
        <n v="7881.11" u="1"/>
        <n v="537.71" u="1"/>
        <n v="1940.43" u="1"/>
        <n v="2119.8" u="1"/>
        <n v="4720" u="1"/>
        <n v="3378" u="1"/>
        <n v="366" u="1"/>
        <n v="1454.24" u="1"/>
        <n v="627.64" u="1"/>
        <n v="756.86" u="1"/>
        <n v="265.68" u="1"/>
        <n v="1257.78" u="1"/>
        <n v="998.51" u="1"/>
        <n v="846.5599999999999" u="1"/>
        <n v="623.37" u="1"/>
        <n v="580.48" u="1"/>
        <n v="550.34" u="1"/>
        <n v="914.76" u="1"/>
        <n v="657.5599999999999" u="1"/>
        <n v="1287.72" u="1"/>
        <n v="533.28" u="1"/>
        <n v="494.34" u="1"/>
        <n v="1342.81" u="1"/>
        <n v="620.22" u="1"/>
        <n v="8180.25" u="1"/>
        <n v="487.6" u="1"/>
        <n v="2058.74" u="1"/>
        <n v="1096" u="1"/>
        <n v="514.28" u="1"/>
        <n v="467.29" u="1"/>
        <n v="203.056" u="1"/>
        <n v="1112.7424" u="1"/>
        <n v="758.38" u="1"/>
        <n v="8372.784" u="1"/>
        <n v="200.1664" u="1"/>
        <n v="183.54" u="1"/>
        <n v="1099.4" u="1"/>
        <n v="241.79" u="1"/>
        <n v="1700" u="1"/>
        <n v="456.3" u="1"/>
        <n v="878.248" u="1"/>
        <n v="297.4466" u="1"/>
        <n v="504.0672" u="1"/>
        <n v="280.8736" u="1"/>
        <n v="796.8576" u="1"/>
        <n v="452.88" u="1"/>
        <n v="738.53" u="1"/>
        <n v="400.9701" u="1"/>
        <n v="767.51" u="1"/>
        <n v="715.64" u="1"/>
        <n v="1665.76" u="1"/>
        <n v="794.3200000000001" u="1"/>
        <n v="648.5599999999999" u="1"/>
        <n v="448.72" u="1"/>
        <n v="69326.95" u="1"/>
        <n v="736.01" u="1"/>
        <n v="810" u="1"/>
        <n v="10478" u="1"/>
        <n v="1677" u="1"/>
        <n v="653.8" u="1"/>
        <n v="6888.96" u="1"/>
        <n v="288.75" u="1"/>
        <n v="254.11" u="1"/>
        <n v="1571.72" u="1"/>
        <n v="436.8" u="1"/>
        <n v="313.5" u="1"/>
        <n v="419" u="1"/>
        <n v="1002.8" u="1"/>
        <n v="245.7" u="1"/>
        <n v="1137" u="1"/>
        <n v="1436.4" u="1"/>
        <n v="203.06" u="1"/>
        <n v="219.35" u="1"/>
        <n v="506.34" u="1"/>
        <n v="2488.46" u="1"/>
        <n v="2550" u="1"/>
        <n v="5460.21" u="1"/>
        <n v="2010.28" u="1"/>
        <n v="82.42" u="1"/>
        <n v="80.23999999999999" u="1"/>
        <n v="4668.0403" u="1"/>
        <n v="588" u="1"/>
        <n v="255.2" u="1"/>
        <n v="318.58" u="1"/>
        <n v="420.78" u="1"/>
        <n v="59.72" u="1"/>
        <n v="598.5" u="1"/>
        <n v="710.98" u="1"/>
        <n v="897" u="1"/>
        <n v="16064.12" u="1"/>
        <n v="165.704" u="1"/>
        <n v="212.84" u="1"/>
        <n v="224.09" u="1"/>
        <n v="212.29" u="1"/>
        <n v="247.69" u="1"/>
        <n v="1017.1" u="1"/>
        <n v="1265.62" u="1"/>
        <n v="1661.57" u="1"/>
        <n v="7907.56" u="1"/>
        <n v="392.87" u="1"/>
        <n v="854" u="1"/>
        <n v="1201" u="1"/>
        <n v="605" u="1"/>
        <n v="1100" u="1"/>
        <n v="367.5" u="1"/>
        <n v="391.6" u="1"/>
        <n v="187.68" u="1"/>
        <n v="497.48" u="1"/>
        <n v="313.04" u="1"/>
        <n v="387.9" u="1"/>
        <n v="408.33" u="1"/>
        <n v="251.94" u="1"/>
        <n v="517.2675" u="1"/>
        <n v="219.5" u="1"/>
        <n v="396.9504" u="1"/>
        <n v="589.9712" u="1"/>
        <n v="353.136" u="1"/>
        <n v="253.1648" u="1"/>
        <n v="499.71" u="1"/>
        <n v="723.9825" u="1"/>
        <n v="219.74" u="1"/>
        <n v="2672.84" u="1"/>
        <n v="797.5744" u="1"/>
        <n v="817.35" u="1"/>
        <n v="173.13" u="1"/>
        <n v="1632.4" u="1"/>
        <n v="1112.76" u="1"/>
        <n v="843.64" u="1"/>
        <n v="404.1" u="1"/>
        <n v="318.35" u="1"/>
        <n v="572.52" u="1"/>
        <n v="2925" u="1"/>
        <n v="2091.3" u="1"/>
        <n v="1065" u="1"/>
        <n v="345.0048" u="1"/>
        <n v="213.15" u="1"/>
        <n v="295.9" u="1"/>
        <n v="134.49" u="1"/>
        <n v="561.0864" u="1"/>
        <n v="1596" u="1"/>
        <n v="1226.4" u="1"/>
        <n v="277.32" u="1"/>
        <n v="3000" u="1"/>
        <n v="157.53" u="1"/>
        <n v="438.9" u="1"/>
        <n v="97.92" u="1"/>
        <n v="427.9072" u="1"/>
        <n v="581.8511999999999" u="1"/>
        <n v="376.72" u="1"/>
        <n v="796.9" u="1"/>
        <n v="610" u="1"/>
        <n v="897.75" u="1"/>
        <n v="4743" u="1"/>
        <n v="587.1399" u="1"/>
        <n v="4994.4" u="1"/>
        <n v="5006.12" u="1"/>
        <n v="1892" u="1"/>
        <n v="396.0432" u="1"/>
        <n v="556.3488" u="1"/>
        <n v="248.43" u="1"/>
        <n v="276.6466" u="1"/>
        <n v="149.945" u="1"/>
        <n v="582.2799" u="1"/>
        <n v="409.0701" u="1"/>
        <n v="229.74" u="1"/>
        <n v="528.62" u="1"/>
        <n v="286.79" u="1"/>
        <n v="3184.09" u="1"/>
        <n v="976.72" u="1"/>
        <n v="639.12" u="1"/>
        <n v="1229.94" u="1"/>
        <n v="448.22" u="1"/>
        <n v="587.16" u="1"/>
        <n v="1082.89" u="1"/>
        <n v="2793.18" u="1"/>
        <n v="2144.26" u="1"/>
        <n v="720" u="1"/>
        <n v="493" u="1"/>
        <n v="840" u="1"/>
        <n v="987" u="1"/>
        <n v="371.8" u="1"/>
        <n v="735" u="1"/>
        <n v="363.36" u="1"/>
        <n v="644.28" u="1"/>
        <n v="469.77" u="1"/>
        <n v="1914.33" u="1"/>
        <n v="844" u="1"/>
        <n v="942.37" u="1"/>
        <n v="728.0448" u="1"/>
        <n v="1072" u="1"/>
        <n v="56.3" u="1"/>
        <n v="602.7504" u="1"/>
        <n v="723.1616" u="1"/>
        <n v="286.2" u="1"/>
        <n v="1371.18" u="1"/>
        <n v="616.55" u="1"/>
        <n v="886.8200000000001" u="1"/>
        <n v="2292.53" u="1"/>
        <n v="925.22" u="1"/>
        <n v="968.14" u="1"/>
        <n v="459.57" u="1"/>
        <n v="602.97" u="1"/>
        <n v="1462.13" u="1"/>
        <n v="608.9" u="1"/>
        <n v="549.38" u="1"/>
        <n v="627.12" u="1"/>
        <n v="1333.2" u="1"/>
        <n v="1046.32" u="1"/>
        <n v="325.16" u="1"/>
        <n v="339.21" u="1"/>
        <n v="3357.67" u="1"/>
        <n v="3516.7" u="1"/>
        <n v="2345.44" u="1"/>
        <n v="1959.72" u="1"/>
        <n v="5663.68" u="1"/>
        <n v="2854.95" u="1"/>
        <n v="2012.11" u="1"/>
        <n v="2820.95" u="1"/>
        <n v="1271.66" u="1"/>
        <n v="5761.52" u="1"/>
        <n v="635.09" u="1"/>
        <n v="238.54" u="1"/>
        <n v="200.12" u="1"/>
        <n v="1053.28" u="1"/>
        <n v="940.78" u="1"/>
        <n v="728.84" u="1"/>
        <n v="817.42" u="1"/>
        <n v="1291.42" u="1"/>
        <n v="618.12" u="1"/>
        <n v="565.34" u="1"/>
        <n v="406.42" u="1"/>
        <n v="1581.79" u="1"/>
        <n v="34389.77" u="1"/>
        <n v="1079.46" u="1"/>
        <n v="590.3099999999999" u="1"/>
        <n v="1105.69" u="1"/>
        <n v="869.9400000000001" u="1"/>
        <n v="1296.81" u="1"/>
        <n v="1226.32" u="1"/>
        <n v="854.29" u="1"/>
        <n v="317.63" u="1"/>
        <n v="1119.42" u="1"/>
        <n v="145.88" u="1"/>
        <n v="142.32" u="1"/>
        <n v="993.51" u="1"/>
        <n v="840.42" u="1"/>
        <n v="663.3" u="1"/>
        <n v="720.5" u="1"/>
        <n v="341.52" u="1"/>
        <n v="1195.48" u="1"/>
        <n v="3759.86" u="1"/>
        <n v="1912.28" u="1"/>
        <n v="512.61" u="1"/>
        <n v="703.42" u="1"/>
        <n v="2756.17" u="1"/>
        <n v="542.96" u="1"/>
        <n v="388.05" u="1"/>
        <n v="578.34" u="1"/>
        <n v="906.5839999999999" u="1"/>
        <n v="972.1152" u="1"/>
        <n v="49180" u="1"/>
        <n v="735.27" u="1"/>
        <n v="4059.84" u="1"/>
        <n v="172.62" u="1"/>
        <n v="4002.24" u="1"/>
        <n v="1479.04" u="1"/>
        <n v="228.13" u="1"/>
        <n v="594.89" u="1"/>
        <n v="259.92" u="1"/>
        <n v="495.12" u="1"/>
        <n v="840.21" u="1"/>
        <n v="383.38" u="1"/>
        <n v="2375.22" u="1"/>
        <n v="557.63" u="1"/>
        <n v="2731.06" u="1"/>
        <n v="2197.52" u="1"/>
        <n v="696.71" u="1"/>
        <n v="822.28" u="1"/>
        <n v="1211.84" u="1"/>
        <n v="773.9299999999999" u="1"/>
        <n v="934.29" u="1"/>
        <n v="1215.25" u="1"/>
        <n v="354.24" u="1"/>
        <n v="3054.24" u="1"/>
        <n v="466.34" u="1"/>
        <n v="876.872" u="1"/>
        <n v="241.8" u="1"/>
        <n v="358.55" u="1"/>
        <n v="2205.95" u="1"/>
        <n v="524.6" u="1"/>
        <n v="1587.3984" u="1"/>
        <n v="523.4072" u="1"/>
        <n v="204.9936" u="1"/>
        <n v="849.24" u="1"/>
        <n v="2048.3227" u="1"/>
        <n v="483.3866" u="1"/>
        <n v="824.3482" u="1"/>
        <n v="376" u="1"/>
        <n v="471.59" u="1"/>
        <n v="473.35" u="1"/>
        <n v="862.3099999999999" u="1"/>
        <n v="1190.96" u="1"/>
        <n v="760.08" u="1"/>
        <n v="703.84" u="1"/>
        <n v="1237.05" u="1"/>
        <n v="3562.704" u="1"/>
        <n v="409" u="1"/>
        <n v="242.33" u="1"/>
        <n v="89.98999999999999" u="1"/>
        <n v="531.758" u="1"/>
        <n v="682.6848" u="1"/>
        <n v="279.119" u="1"/>
        <n v="481.89" u="1"/>
        <n v="226.09" u="1"/>
        <n v="1246.74" u="1"/>
        <n v="1974" u="1"/>
        <n v="7300" u="1"/>
        <n v="5581.9461" u="1"/>
        <n v="3975.054" u="1"/>
        <n v="1807.962" u="1"/>
        <n v="787.8864" u="1"/>
        <n v="440.5408" u="1"/>
        <n v="163.38" u="1"/>
        <n v="313.5734" u="1"/>
        <n v="1650.39" u="1"/>
        <n v="304.9238" u="1"/>
        <n v="436.3884" u="1"/>
        <n v="282.2736" u="1"/>
        <n v="1165.52" u="1"/>
        <n v="1209.1" u="1"/>
        <n v="642.8" u="1"/>
        <n v="2843.4" u="1"/>
        <n v="257.6112" u="1"/>
        <n v="603.0752" u="1"/>
        <n v="664.6976" u="1"/>
        <n v="214.1328" u="1"/>
        <n v="264.0848" u="1"/>
        <n v="177.2848" u="1"/>
        <n v="498.5232" u="1"/>
        <n v="997.2032" u="1"/>
        <n v="1896.53" u="1"/>
        <n v="410.5725" u="1"/>
        <n v="338.17" u="1"/>
        <n v="158.37" u="1"/>
        <n v="401.49" u="1"/>
        <n v="402.84" u="1"/>
        <n v="2464.93" u="1"/>
        <n v="422.24" u="1"/>
        <n v="2265.7" u="1"/>
        <n v="2380.36" u="1"/>
        <n v="839.77" u="1"/>
        <n v="817.85" u="1"/>
        <n v="800.88" u="1"/>
        <n v="2430.39" u="1"/>
        <n v="757.75" u="1"/>
        <n v="801.8" u="1"/>
        <n v="931.14" u="1"/>
        <n v="650.17" u="1"/>
        <n v="442.17" u="1"/>
        <n v="465" u="1"/>
        <n v="566.3200000000001" u="1"/>
        <n v="317.12" u="1"/>
        <n v="3021.15" u="1"/>
        <n v="1124.99" u="1"/>
        <n v="2756.58" u="1"/>
        <n v="1924.85" u="1"/>
        <n v="9122.124" u="1"/>
        <n v="513" u="1"/>
        <n v="349.5" u="1"/>
        <n v="296.38" u="1"/>
        <n v="86.31999999999999" u="1"/>
        <n v="473.1" u="1"/>
        <n v="846.1" u="1"/>
        <n v="1063.29" u="1"/>
        <n v="2043.87" u="1"/>
        <n v="485.1" u="1"/>
        <n v="970.2" u="1"/>
        <n v="362.7" u="1"/>
        <n v="15295.428" u="1"/>
        <n v="2323.9086" u="1"/>
        <n v="395.9" u="1"/>
        <n v="8356.360000000001" u="1"/>
        <n v="1120" u="1"/>
        <n v="885" u="1"/>
        <n v="1527" u="1"/>
        <n v="1391" u="1"/>
        <n v="3853.07" u="1"/>
        <n v="1762.2" u="1"/>
        <n v="6080.48" u="1"/>
        <n v="3096.24" u="1"/>
        <n v="1638" u="1"/>
        <n v="363.732" u="1"/>
        <n v="1813.311" u="1"/>
        <n v="2241.231" u="1"/>
        <n v="760" u="1"/>
        <n v="18644.499" u="1"/>
        <n v="3624" u="1"/>
        <n v="592" u="1"/>
        <n v="559.98" u="1"/>
        <n v="1263.308" u="1"/>
        <n v="6960.8" u="1"/>
        <n v="1679.95" u="1"/>
        <n v="1130.58" u="1"/>
        <n v="310.5" u="1"/>
        <n v="7787.5" u="1"/>
        <n v="432.69" u="1"/>
        <n v="555.35" u="1"/>
        <n v="7739.4028" u="1"/>
        <n v="258.53" u="1"/>
        <n v="260.4" u="1"/>
        <n v="386.4" u="1"/>
        <n v="910.5527" u="1"/>
        <n v="3937.968" u="1"/>
        <n v="4155.6768" u="1"/>
        <n v="3497.1244" u="1"/>
        <n v="1598" u="1"/>
        <n v="1898" u="1"/>
        <n v="3922.74" u="1"/>
        <n v="1503" u="1"/>
        <n v="15559.9" u="1"/>
        <n v="337" u="1"/>
        <n v="407" u="1"/>
        <n v="6207.46" u="1"/>
        <n v="779.8644" u="1"/>
        <n v="1023.0326" u="1"/>
        <n v="463.8333" u="1"/>
        <n v="2739.903" u="1"/>
        <n v="777.2943" u="1"/>
        <n v="1019.6612" u="1"/>
        <n v="463.8334" u="1"/>
        <n v="1283.97" u="1"/>
        <n v="195.93" u="1"/>
        <n v="597" u="1"/>
        <n v="723" u="1"/>
        <n v="1100.92" u="1"/>
        <n v="842.5626" u="1"/>
        <n v="1255.8" u="1"/>
        <n v="3282.99" u="1"/>
        <n v="1749.85" u="1"/>
        <n v="731.76" u="1"/>
        <n v="283" u="1"/>
        <n v="578.54" u="1"/>
        <n v="1193" u="1"/>
        <n v="153" u="1"/>
        <n v="1773" u="1"/>
        <n v="1472.1" u="1"/>
        <n v="1900" u="1"/>
        <n v="5700" u="1"/>
        <n v="87.81999999999999" u="1"/>
        <n v="178.77" u="1"/>
        <n v="205.12" u="1"/>
        <n v="14338.368" u="1"/>
        <n v="255.35" u="1"/>
        <n v="606.25" u="1"/>
        <n v="3500" u="1"/>
        <n v="5000.2588" u="1"/>
        <n v="3060" u="1"/>
        <n v="5426.784" u="1"/>
        <n v="3959.88" u="1"/>
        <n v="3055.9" u="1"/>
        <n v="1349.8" u="1"/>
        <n v="1110.67" u="1"/>
        <n v="741.48" u="1"/>
        <n v="1029.8" u="1"/>
        <n v="675" u="1"/>
        <n v="152.7" u="1"/>
        <n v="762.9400000000001" u="1"/>
        <n v="3648.8" u="1"/>
        <n v="4719.8" u="1"/>
        <n v="925.35" u="1"/>
        <n v="710.58" u="1"/>
        <n v="2615.81" u="1"/>
        <n v="1672.41" u="1"/>
        <n v="740.8" u="1"/>
        <n v="1352.99" u="1"/>
        <n v="2164.8" u="1"/>
        <n v="807.78" u="1"/>
        <n v="1864.8" u="1"/>
        <n v="5621.57" u="1"/>
        <n v="390" u="1"/>
        <n v="291.06" u="1"/>
        <n v="1673.17" u="1"/>
        <n v="680.9" u="1"/>
        <n v="590.96" u="1"/>
        <n v="662.8200000000001" u="1"/>
        <n v="1180" u="1"/>
        <n v="1954.13" u="1"/>
        <n v="1739.98" u="1"/>
        <n v="2512.7088" u="1"/>
        <n v="420.66" u="1"/>
        <n v="1789.84" u="1"/>
        <n v="1999.42" u="1"/>
        <n v="3227.04" u="1"/>
        <n v="2283.49" u="1"/>
        <n v="1295.15" u="1"/>
        <n v="1605.37" u="1"/>
        <n v="2561.36" u="1"/>
        <n v="2239.12" u="1"/>
        <n v="1104.1" u="1"/>
        <n v="1066.34" u="1"/>
        <n v="1782.72" u="1"/>
        <n v="3365.14" u="1"/>
        <n v="934.8" u="1"/>
        <n v="607.62" u="1"/>
        <n v="3284.88" u="1"/>
        <n v="1169.98" u="1"/>
        <n v="1275.04" u="1"/>
        <n v="1146.24" u="1"/>
        <n v="3258.16" u="1"/>
        <n v="485.63" u="1"/>
        <n v="527.63" u="1"/>
        <n v="480.38" u="1"/>
        <n v="210.97" u="1"/>
        <n v="474.2334" u="1"/>
        <n v="477.75" u="1"/>
        <n v="1356" u="1"/>
        <n v="1081.89" u="1"/>
        <n v="7902.2" u="1"/>
        <n v="5188.53" u="1"/>
        <n v="2326.8" u="1"/>
        <n v="91.0056" u="1"/>
        <n v="393.8592" u="1"/>
        <n v="364.0224" u="1"/>
        <n v="2743.82" u="1"/>
        <n v="409.9872" u="1"/>
        <n v="1962.87" u="1"/>
        <n v="1660.87" u="1"/>
        <n v="313.41" u="1"/>
        <n v="1610.1" u="1"/>
        <n v="11241.86" u="1"/>
        <n v="3155.188" u="1"/>
        <n v="2394.93" u="1"/>
        <n v="5341.86" u="1"/>
        <n v="3065.12" u="1"/>
        <n v="620" u="1"/>
        <n v="3356.85" u="1"/>
        <n v="157.54" u="1"/>
        <n v="651.8736" u="1"/>
        <n v="872.984" u="1"/>
        <n v="1784.048" u="1"/>
        <n v="506" u="1"/>
        <n v="332.3488" u="1"/>
        <n v="407.2816" u="1"/>
        <n v="449.39" u="1"/>
        <n v="41370.54" u="1"/>
        <n v="6982.3704" u="1"/>
        <n v="484.7584" u="1"/>
        <n v="280" u="1"/>
        <n v="745.2" u="1"/>
        <n v="164.25" u="1"/>
        <n v="308.2464" u="1"/>
        <n v="1052.128" u="1"/>
        <n v="1159.8399" u="1"/>
        <n v="258" u="1"/>
        <n v="2075000" u="1"/>
        <n v="612.46" u="1"/>
        <n v="840.67" u="1"/>
        <n v="1825.63" u="1"/>
        <n v="393.97" u="1"/>
        <n v="341.94" u="1"/>
        <n v="2689.34" u="1"/>
        <n v="811.61" u="1"/>
        <n v="1350.76" u="1"/>
        <n v="677.88" u="1"/>
        <n v="718.65" u="1"/>
        <n v="346.9" u="1"/>
        <n v="2509.8" u="1"/>
        <n v="556.3712" u="1"/>
        <n v="3781.17" u="1"/>
        <n v="677.5" u="1"/>
        <n v="1686" u="1"/>
        <n v="9696.83" u="1"/>
        <n v="560.3569" u="1"/>
        <n v="858" u="1"/>
        <n v="863.58" u="1"/>
        <n v="1484.02" u="1"/>
        <n v="2891.78" u="1"/>
        <n v="86.16" u="1"/>
        <n v="2931.77" u="1"/>
        <n v="22068.36" u="1"/>
        <n v="1181.38" u="1"/>
        <n v="427.42" u="1"/>
        <n v="2551.84" u="1"/>
        <n v="1346.65" u="1"/>
        <n v="1206.57" u="1"/>
        <n v="3707.04" u="1"/>
        <n v="2701.09" u="1"/>
        <n v="2320.88" u="1"/>
        <n v="2279.92" u="1"/>
        <n v="408.24" u="1"/>
        <n v="1490.19" u="1"/>
        <n v="3517" u="1"/>
        <n v="4314.24" u="1"/>
        <n v="1771.11" u="1"/>
        <n v="983.12" u="1"/>
        <n v="1293.87" u="1"/>
        <n v="3087.84" u="1"/>
        <n v="1919.53" u="1"/>
        <n v="1060.44" u="1"/>
        <n v="534.22" u="1"/>
        <n v="699.08" u="1"/>
        <n v="1084.92" u="1"/>
        <n v="561.66" u="1"/>
        <n v="2129.9055" u="1"/>
        <n v="502.792" u="1"/>
        <n v="291.48" u="1"/>
        <n v="500.53" u="1"/>
        <n v="199.19" u="1"/>
        <n v="206.38" u="1"/>
        <n v="968.72" u="1"/>
        <n v="474.3382" u="1"/>
        <n v="1153.45" u="1"/>
        <n v="2537.59" u="1"/>
        <n v="3952.1" u="1"/>
        <n v="1431.8" u="1"/>
        <n v="2587.44" u="1"/>
        <n v="880.95" u="1"/>
        <n v="836" u="1"/>
        <n v="1034.55" u="1"/>
        <n v="2282.17" u="1"/>
        <n v="2028.67" u="1"/>
        <n v="724.5" u="1"/>
        <n v="1001.92" u="1"/>
        <n v="1678.34" u="1"/>
        <n v="3025.59" u="1"/>
        <n v="299.3" u="1"/>
        <n v="781.15" u="1"/>
        <n v="478.8" u="1"/>
        <n v="3281.84" u="1"/>
        <n v="774" u="1"/>
        <n v="7260" u="1"/>
        <n v="427" u="1"/>
        <n v="428" u="1"/>
        <n v="1995.237" u="1"/>
        <n v="777" u="1"/>
        <n v="1310.04" u="1"/>
        <n v="171.06" u="1"/>
        <n v="744" u="1"/>
        <n v="3279.408" u="1"/>
        <n v="4664" u="1"/>
        <n v="18978.47" u="1"/>
        <n v="1250" u="1"/>
        <n v="1775" u="1"/>
        <n v="185" u="1"/>
        <n v="3356.8528" u="1"/>
        <n v="533.67" u="1"/>
        <n v="558.5328" u="1"/>
        <n v="831.8200000000001" u="1"/>
        <n v="926.42" u="1"/>
        <n v="1604.3898" u="1"/>
        <n v="571.3344" u="1"/>
        <n v="433.02" u="1"/>
        <n v="465.528" u="1"/>
        <n v="534.8784000000001" u="1"/>
        <n v="1060.5504" u="1"/>
        <n v="437.1024" u="1"/>
        <n v="709.1392" u="1"/>
        <n v="2622.4" u="1"/>
        <n v="103117.648" u="1"/>
        <n v="770.7" u="1"/>
        <n v="939.72" u="1"/>
        <n v="659.37" u="1"/>
        <n v="1224" u="1"/>
        <n v="6831.96" u="1"/>
        <n v="2489.65" u="1"/>
        <n v="465.7968" u="1"/>
        <n v="391.3056" u="1"/>
        <n v="190.9712" u="1"/>
        <n v="365.0976" u="1"/>
        <n v="203.6048" u="1"/>
        <n v="48.32" u="1"/>
        <n v="369.7066" u="1"/>
        <n v="316.1" u="1"/>
        <n v="278.8934" u="1"/>
        <n v="147.32" u="1"/>
        <n v="695.04" u="1"/>
        <n v="1230.9" u="1"/>
        <n v="1059.9" u="1"/>
        <n v="702.08" u="1"/>
        <n v="665.09" u="1"/>
        <n v="342.67" u="1"/>
        <n v="1660.65" u="1"/>
        <n v="246.69" u="1"/>
        <n v="173.92" u="1"/>
        <n v="770.9" u="1"/>
        <n v="545.92" u="1"/>
        <n v="1103.96" u="1"/>
        <n v="1113.17" u="1"/>
        <n v="1217.62" u="1"/>
        <n v="724.9" u="1"/>
        <n v="489.9" u="1"/>
        <n v="1378.93" u="1"/>
        <n v="544.4400000000001" u="1"/>
        <n v="353.88" u="1"/>
        <n v="6321.11" u="1"/>
        <n v="385.47" u="1"/>
        <n v="518.76" u="1"/>
        <n v="402.83" u="1"/>
        <n v="3295" u="1"/>
        <n v="506.1334" u="1"/>
        <n v="834.5568" u="1"/>
        <n v="481.3" u="1"/>
        <n v="190.8368" u="1"/>
        <n v="552.88" u="1"/>
        <n v="8179.7905" u="1"/>
        <n v="285" u="1"/>
        <n v="1952" u="1"/>
        <n v="248.68" u="1"/>
        <n v="1901.8384" u="1"/>
        <n v="2027.592" u="1"/>
        <n v="576.76" u="1"/>
        <n v="2402.8" u="1"/>
        <n v="215.14" u="1"/>
        <n v="298.6" u="1"/>
        <n v="1302.93" u="1"/>
        <n v="171.63" u="1"/>
        <n v="5992.93" u="1"/>
        <n v="2532.72" u="1"/>
        <n v="2927.69" u="1"/>
        <n v="545.96" u="1"/>
        <n v="254.02" u="1"/>
        <n v="686.95" u="1"/>
        <n v="1274.52" u="1"/>
        <n v="2352.72" u="1"/>
        <n v="412.8" u="1"/>
        <n v="1153.44" u="1"/>
        <n v="972.16" u="1"/>
        <n v="704.72" u="1"/>
        <n v="884.12" u="1"/>
        <n v="625.0700000000001" u="1"/>
        <n v="930.58" u="1"/>
        <n v="1317.13" u="1"/>
        <n v="2054.43" u="1"/>
        <n v="687.05" u="1"/>
        <n v="0.01" u="1"/>
        <n v="1413.07" u="1"/>
        <n v="2171.12" u="1"/>
        <n v="1119.92" u="1"/>
        <n v="1134.32" u="1"/>
        <n v="2799.2" u="1"/>
        <n v="1440.74" u="1"/>
        <n v="827.85" u="1"/>
        <n v="2036.4" u="1"/>
        <n v="3382.41" u="1"/>
        <n v="834.5700000000001" u="1"/>
        <n v="438.68" u="1"/>
        <n v="1481.02" u="1"/>
        <n v="746.52" u="1"/>
        <n v="157.13" u="1"/>
        <n v="137.9" u="1"/>
        <n v="138.05" u="1"/>
        <n v="1766.75" u="1"/>
        <n v="1457.95" u="1"/>
        <n v="197.31" u="1"/>
        <n v="714.54" u="1"/>
        <n v="1115.66" u="1"/>
        <n v="266.8288" u="1"/>
        <n v="605.5728" u="1"/>
        <n v="490.6944" u="1"/>
        <n v="1178.2736" u="1"/>
        <n v="834.5599999999999" u="1"/>
        <n v="1658.7454" u="1"/>
        <n v="968.8" u="1"/>
        <n v="411" u="1"/>
        <n v="1350.0494" u="1"/>
        <n v="113.74" u="1"/>
        <n v="780.36" u="1"/>
        <n v="3270.75" u="1"/>
        <n v="5717.04" u="1"/>
        <n v="952.4400000000001" u="1"/>
        <n v="229.9" u="1"/>
        <n v="441.88" u="1"/>
        <n v="712.8099999999999" u="1"/>
        <n v="488.54" u="1"/>
        <n v="236.66" u="1"/>
        <n v="400.8928" u="1"/>
        <n v="460.3424" u="1"/>
        <n v="3979.79" u="1"/>
        <n v="5903.9784" u="1"/>
        <n v="214.72" u="1"/>
        <n v="1944" u="1"/>
        <n v="964" u="1"/>
        <n v="428.59" u="1"/>
        <n v="545.8992" u="1"/>
        <n v="1612.81" u="1"/>
        <n v="872.3" u="1"/>
        <n v="311" u="1"/>
        <n v="1346.3001" u="1"/>
        <n v="1328" u="1"/>
        <n v="289.296" u="1"/>
        <n v="654.2144" u="1"/>
        <n v="475.0032" u="1"/>
        <n v="164.6512" u="1"/>
        <n v="814.4192" u="1"/>
        <n v="753.1328" u="1"/>
        <n v="559.7424" u="1"/>
        <n v="196.1904" u="1"/>
        <n v="754.1856" u="1"/>
        <n v="831.35" u="1"/>
        <n v="643.5599999999999" u="1"/>
        <n v="704.792" u="1"/>
        <n v="490.6299" u="1"/>
        <n v="235.72" u="1"/>
        <n v="148.34" u="1"/>
        <n v="608.04" u="1"/>
        <n v="1082" u="1"/>
        <n v="2128.2" u="1"/>
        <n v="826.08" u="1"/>
        <n v="1139.16" u="1"/>
        <n v="245.92" u="1"/>
        <n v="521.98" u="1"/>
        <n v="819.8" u="1"/>
        <n v="222.66" u="1"/>
        <n v="317.94" u="1"/>
        <n v="1275.08" u="1"/>
        <n v="1816.86" u="1"/>
        <n v="1280.28" u="1"/>
        <n v="408.67" u="1"/>
        <n v="1002.75" u="1"/>
        <n v="2653.15" u="1"/>
        <n v="2202.12" u="1"/>
        <n v="72062.33" u="1"/>
        <n v="2026.35" u="1"/>
        <n v="387.18" u="1"/>
        <n v="278.57" u="1"/>
        <n v="27.2" u="1"/>
        <n v="26.75" u="1"/>
        <n v="894.5844" u="1"/>
        <n v="345.0466" u="1"/>
        <n v="857.192" u="1"/>
        <n v="318.76" u="1"/>
        <n v="682.904" u="1"/>
        <n v="444" u="1"/>
        <n v="112.08" u="1"/>
        <n v="971.7456" u="1"/>
        <n v="677.4986" u="1"/>
        <n v="1218.336" u="1"/>
        <n v="278.1856" u="1"/>
        <n v="766" u="1"/>
        <n v="344" u="1"/>
        <n v="951.3200000000001" u="1"/>
        <n v="947.48" u="1"/>
        <n v="8531.160400000001" u="1"/>
        <n v="415" u="1"/>
        <n v="7642.6" u="1"/>
        <n v="2059" u="1"/>
        <n v="1779.7296" u="1"/>
        <n v="814.9344" u="1"/>
        <n v="246" u="1"/>
        <n v="1076" u="1"/>
        <n v="470.41" u="1"/>
        <n v="427.5" u="1"/>
        <n v="424.37" u="1"/>
        <n v="225.29" u="1"/>
        <n v="167.74" u="1"/>
        <n v="106.31" u="1"/>
        <n v="2582.2272" u="1"/>
        <n v="844.312" u="1"/>
        <n v="632.1504" u="1"/>
        <n v="735.72" u="1"/>
        <n v="5100" u="1"/>
        <n v="1766.408" u="1"/>
        <n v="15812.615" u="1"/>
        <n v="301.6734" u="1"/>
        <n v="902.63" u="1"/>
        <n v="177.464" u="1"/>
        <n v="325.0912" u="1"/>
        <n v="1193.7" u="1"/>
        <n v="3484.88" u="1"/>
        <n v="6241.62" u="1"/>
        <n v="1081.88" u="1"/>
        <n v="4965.45" u="1"/>
        <n v="4568.01" u="1"/>
        <n v="942" u="1"/>
        <n v="1004.54" u="1"/>
        <n v="533.5" u="1"/>
        <n v="1517.05" u="1"/>
        <n v="492.9" u="1"/>
        <n v="1375.34" u="1"/>
        <n v="791.84" u="1"/>
        <n v="344.92" u="1"/>
        <n v="386.84" u="1"/>
        <n v="865.84" u="1"/>
        <n v="560.46" u="1"/>
        <n v="398.91" u="1"/>
        <n v="26878.94" u="1"/>
        <n v="1165.03" u="1"/>
        <n v="1682.24" u="1"/>
        <n v="424.64" u="1"/>
        <n v="754.52" u="1"/>
        <n v="1351.9" u="1"/>
        <n v="1234.76" u="1"/>
        <n v="626.7" u="1"/>
        <n v="755.0700000000001" u="1"/>
        <n v="496.65" u="1"/>
        <n v="2493.95" u="1"/>
        <n v="3863.48" u="1"/>
        <n v="677.3200000000001" u="1"/>
        <n v="450.63" u="1"/>
        <n v="1512.64" u="1"/>
        <n v="585.12" u="1"/>
        <n v="1142.17" u="1"/>
        <n v="699.67" u="1"/>
        <n v="1066.24" u="1"/>
        <n v="583.04" u="1"/>
        <n v="3094.24" u="1"/>
        <n v="3052.43" u="1"/>
        <n v="2734.47" u="1"/>
        <n v="932.75" u="1"/>
        <n v="909.8200000000001" u="1"/>
        <n v="1719.81" u="1"/>
        <n v="2932.48" u="1"/>
        <n v="2019.14" u="1"/>
        <n v="922.24" u="1"/>
        <n v="1455.07" u="1"/>
        <n v="2144.92" u="1"/>
        <n v="1266.48" u="1"/>
        <n v="2040.32" u="1"/>
        <n v="1249.41" u="1"/>
        <n v="230.4" u="1"/>
        <n v="680.76" u="1"/>
        <n v="1424.7" u="1"/>
        <n v="269" u="1"/>
        <n v="506.94" u="1"/>
        <n v="910.74" u="1"/>
        <n v="2879.43" u="1"/>
        <n v="1824.81" u="1"/>
        <n v="1419.72" u="1"/>
        <n v="282.45" u="1"/>
        <n v="1181.4096" u="1"/>
        <n v="2525.88" u="1"/>
        <n v="259.99" u="1"/>
        <n v="631.176" u="1"/>
        <n v="580.6416" u="1"/>
        <n v="748.1152" u="1"/>
        <n v="917.2128" u="1"/>
        <n v="506.6544" u="1"/>
        <n v="348.25" u="1"/>
        <n v="645.968" u="1"/>
        <n v="9429.24" u="1"/>
        <n v="782" u="1"/>
        <n v="257.53" u="1"/>
        <n v="1279.8016" u="1"/>
        <n v="800.032" u="1"/>
        <n v="1382.6736" u="1"/>
        <n v="181.725" u="1"/>
        <n v="369.68" u="1"/>
        <n v="1027.656" u="1"/>
        <n v="2054.7" u="1"/>
        <n v="515.424" u="1"/>
        <n v="536.424" u="1"/>
        <n v="1153.088" u="1"/>
        <n v="268.9" u="1"/>
        <n v="432.576" u="1"/>
        <n v="13142.5" u="1"/>
        <n v="627" u="1"/>
        <n v="341.05" u="1"/>
        <n v="1035.2832" u="1"/>
        <n v="460.18" u="1"/>
        <n v="686.5599" u="1"/>
        <n v="654.99" u="1"/>
        <n v="441.7101" u="1"/>
        <n v="823.264" u="1"/>
        <n v="778.36" u="1"/>
        <n v="2878.7299" u="1"/>
        <n v="404.57" u="1"/>
        <n v="298.8134" u="1"/>
        <n v="851.6032" u="1"/>
        <n v="469.3584" u="1"/>
        <n v="1996.6464" u="1"/>
        <n v="557.5359999999999" u="1"/>
        <n v="369.3088" u="1"/>
        <n v="598.1808" u="1"/>
        <n v="402.64" u="1"/>
        <n v="539.5824" u="1"/>
        <n v="822.1248000000001" u="1"/>
        <n v="879.2" u="1"/>
        <n v="351.51" u="1"/>
        <n v="351.5" u="1"/>
        <n v="337.25" u="1"/>
        <n v="256.5" u="1"/>
        <n v="194.75" u="1"/>
        <n v="242.5" u="1"/>
        <n v="242.25" u="1"/>
        <n v="2910.6" u="1"/>
        <n v="1940.4" u="1"/>
        <n v="668.9088" u="1"/>
        <n v="427.6272" u="1"/>
        <n v="438.8832" u="1"/>
        <n v="612.3936" u="1"/>
        <n v="2114.448" u="1"/>
        <n v="468.272" u="1"/>
        <n v="196.2352" u="1"/>
        <n v="258.8208" u="1"/>
        <n v="189.9184" u="1"/>
        <n v="624.9152" u="1"/>
        <n v="348.2528" u="1"/>
        <n v="528.0576" u="1"/>
        <n v="542.7408" u="1"/>
        <n v="249.3456" u="1"/>
        <n v="389.2" u="1"/>
        <n v="150.9648" u="1"/>
        <n v="465.8528" u="1"/>
        <n v="9092" u="1"/>
        <n v="1645.25" u="1"/>
        <n v="17894.38" u="1"/>
        <n v="564.9" u="1"/>
        <n v="732.1799999999999" u="1"/>
        <n v="851.5599999999999" u="1"/>
        <n v="561.45" u="1"/>
        <n v="6697.705" u="1"/>
        <n v="421.44" u="1"/>
        <n v="678.2" u="1"/>
        <n v="252.45" u="1"/>
        <n v="333.51" u="1"/>
        <n v="14104.89" u="1"/>
        <n v="1332.4" u="1"/>
        <n v="835" u="1"/>
        <n v="945.55" u="1"/>
        <n v="319.6" u="1"/>
        <n v="944.8" u="1"/>
        <n v="308.95" u="1"/>
        <n v="1225.74" u="1"/>
        <n v="357.12" u="1"/>
        <n v="643.84" u="1"/>
        <n v="1095.21" u="1"/>
        <n v="252.46" u="1"/>
        <n v="7060.68" u="1"/>
        <n v="200.15" u="1"/>
        <n v="514.5" u="1"/>
        <n v="1061.36" u="1"/>
        <n v="3987.5724" u="1"/>
        <n v="3968.53" u="1"/>
        <n v="1701.303" u="1"/>
        <n v="2952.969" u="1"/>
        <n v="2872.05" u="1"/>
        <n v="789.58" u="1"/>
        <n v="4833" u="1"/>
        <n v="632" u="1"/>
        <n v="383" u="1"/>
        <n v="292.51" u="1"/>
        <n v="1282" u="1"/>
        <n v="554" u="1"/>
        <n v="670" u="1"/>
        <n v="288.96" u="1"/>
        <n v="1482" u="1"/>
        <n v="755.89" u="1"/>
        <n v="11268.16" u="1"/>
        <n v="10717.28" u="1"/>
        <n v="2936.82" u="1"/>
        <n v="1049828.038" u="1"/>
        <n v="438.52" u="1"/>
        <n v="48.3" u="1"/>
        <n v="710.02" u="1"/>
        <n v="21423.46" u="1"/>
        <n v="26346.87" u="1"/>
        <n v="394.13" u="1"/>
        <n v="1651.54" u="1"/>
        <n v="11929.24" u="1"/>
        <n v="811.86" u="1"/>
        <n v="2400" u="1"/>
        <n v="411.52" u="1"/>
        <n v="374" u="1"/>
        <n v="24053.0454" u="1"/>
        <n v="648" u="1"/>
        <n v="3897" u="1"/>
        <n v="5" u="1"/>
        <n v="188" u="1"/>
        <n v="60" u="1"/>
        <n v="429.9" u="1"/>
        <n v="4950" u="1"/>
        <n v="1001" u="1"/>
        <n v="1955.49" u="1"/>
        <n v="761.5700000000001" u="1"/>
        <n v="14958.04" u="1"/>
        <n v="1010.92" u="1"/>
        <n v="1011.6" u="1"/>
        <n v="504.9" u="1"/>
        <n v="469.34" u="1"/>
        <n v="473.9" u="1"/>
        <n v="398.65" u="1"/>
        <n v="630.67" u="1"/>
        <n v="829.9" u="1"/>
        <n v="607.42" u="1"/>
        <n v="209.8" u="1"/>
        <n v="890.79" u="1"/>
        <n v="881.27" u="1"/>
        <n v="647.92" u="1"/>
        <n v="119" u="1"/>
        <n v="1245.1938" u="1"/>
        <n v="778.78" u="1"/>
        <n v="930.4299999999999" u="1"/>
        <n v="610.45" u="1"/>
        <n v="3810.552" u="1"/>
        <n v="2570.526" u="1"/>
        <n v="1617.1398" u="1"/>
        <n v="807" u="1"/>
        <n v="1293.92" u="1"/>
        <n v="745.4400000000001" u="1"/>
        <n v="3201.44" u="1"/>
        <n v="408.87" u="1"/>
        <n v="1138.21" u="1"/>
        <n v="152.95" u="1"/>
        <n v="1810.49" u="1"/>
        <n v="2234.16" u="1"/>
        <n v="4162.83" u="1"/>
        <n v="3045.59" u="1"/>
        <n v="1499.19" u="1"/>
        <n v="900.72" u="1"/>
        <n v="856.98" u="1"/>
        <n v="3530.86" u="1"/>
        <n v="512.74" u="1"/>
        <n v="3479.53" u="1"/>
        <n v="2200.62" u="1"/>
        <n v="2131.25" u="1"/>
        <n v="416.54" u="1"/>
        <n v="3691.36" u="1"/>
        <n v="485.17" u="1"/>
        <n v="2583.19" u="1"/>
        <n v="708.24" u="1"/>
        <n v="4157.84" u="1"/>
        <n v="1046" u="1"/>
        <n v="952.6799999999999" u="1"/>
        <n v="1318.54" u="1"/>
        <n v="2696.32" u="1"/>
        <n v="210.07" u="1"/>
        <n v="1122.68" u="1"/>
        <n v="1240.14" u="1"/>
        <n v="1053.44" u="1"/>
        <n v="2027.22" u="1"/>
        <n v="1300.19" u="1"/>
        <n v="1692.01" u="1"/>
        <n v="1198.31" u="1"/>
        <n v="461.8" u="1"/>
        <n v="919.1799999999999" u="1"/>
        <n v="5900.38" u="1"/>
        <n v="15750" u="1"/>
        <n v="982" u="1"/>
        <n v="890" u="1"/>
        <n v="27.5" u="1"/>
        <n v="1549" u="1"/>
        <n v="247.5" u="1"/>
        <n v="1595.06" u="1"/>
        <n v="235.03" u="1"/>
        <n v="259.79" u="1"/>
        <n v="692.1" u="1"/>
        <n v="451.3376" u="1"/>
        <n v="399.2016" u="1"/>
        <n v="468.6864" u="1"/>
        <n v="230.3952" u="1"/>
        <n v="1395.6" u="1"/>
        <n v="659" u="1"/>
        <n v="837" u="1"/>
        <n v="557.08" u="1"/>
        <n v="166.905" u="1"/>
        <n v="714.3" u="1"/>
        <n v="313" u="1"/>
        <n v="412" u="1"/>
        <n v="4744.6705" u="1"/>
        <n v="7872.44" u="1"/>
        <n v="8562.940000000001" u="1"/>
        <n v="11094" u="1"/>
        <n v="9892.59" u="1"/>
        <n v="10609.67" u="1"/>
        <n v="894.53" u="1"/>
        <n v="321.3" u="1"/>
        <n v="1320" u="1"/>
        <n v="808.08" u="1"/>
        <n v="351.75" u="1"/>
        <n v="284.28" u="1"/>
        <n v="1296" u="1"/>
        <n v="374.29" u="1"/>
        <n v="495" u="1"/>
        <n v="1442.9" u="1"/>
        <n v="1442.89" u="1"/>
        <n v="2939.87" u="1"/>
        <n v="189" u="1"/>
        <n v="786.99" u="1"/>
        <n v="312" u="1"/>
        <n v="2973.348" u="1"/>
        <n v="1268.7136" u="1"/>
        <n v="7962.5" u="1"/>
        <n v="203.0224" u="1"/>
        <n v="3229.4528" u="1"/>
        <n v="258.38" u="1"/>
        <n v="1041.1" u="1"/>
        <n v="18200" u="1"/>
        <n v="784.9856" u="1"/>
        <n v="2384.361" u="1"/>
        <n v="422.83" u="1"/>
        <n v="450.03" u="1"/>
        <n v="2247.34" u="1"/>
        <n v="1445.5392" u="1"/>
        <n v="746.3232" u="1"/>
        <n v="477" u="1"/>
        <n v="156.3" u="1"/>
        <n v="304.71" u="1"/>
        <n v="607.92" u="1"/>
        <n v="356" u="1"/>
        <n v="731.95" u="1"/>
        <n v="404.6" u="1"/>
        <n v="1820.06" u="1"/>
        <n v="374.86" u="1"/>
        <n v="6710.64" u="1"/>
        <n v="565.9584" u="1"/>
        <n v="735.4367999999999" u="1"/>
        <n v="640.3200000000001" u="1"/>
        <n v="1064" u="1"/>
        <n v="1068" u="1"/>
        <n v="8369.459999999999" u="1"/>
        <n v="1411.36" u="1"/>
        <n v="555.5599999999999" u="1"/>
        <n v="682.4" u="1"/>
        <n v="814.4" u="1"/>
        <n v="1782" u="1"/>
        <n v="244.53" u="1"/>
        <n v="991.8" u="1"/>
        <n v="1106" u="1"/>
        <n v="3942.82" u="1"/>
        <n v="1194.3" u="1"/>
        <n v="296" u="1"/>
        <n v="986" u="1"/>
        <n v="173" u="1"/>
        <n v="1553.07" u="1"/>
        <n v="172.0208" u="1"/>
        <n v="321.776" u="1"/>
        <n v="1907.1584" u="1"/>
        <n v="1403.8" u="1"/>
        <n v="984.42" u="1"/>
        <n v="2647.91" u="1"/>
        <n v="704.65" u="1"/>
        <n v="311.94" u="1"/>
        <n v="528.79" u="1"/>
        <n v="628.83" u="1"/>
        <n v="211.22" u="1"/>
        <n v="245.64" u="1"/>
        <n v="1158.71" u="1"/>
        <n v="817.4068" u="1"/>
        <n v="661.9" u="1"/>
        <n v="3375" u="1"/>
        <n v="348.59" u="1"/>
        <n v="1320.47" u="1"/>
        <n v="1014.32" u="1"/>
        <n v="3304.92" u="1"/>
        <n v="1101" u="1"/>
        <n v="193.76" u="1"/>
        <n v="411.8" u="1"/>
        <n v="1278.82" u="1"/>
        <n v="382.28" u="1"/>
        <n v="1660.64" u="1"/>
        <n v="1259.92" u="1"/>
        <n v="1679.94" u="1"/>
        <n v="472.3" u="1"/>
        <n v="1796.64" u="1"/>
        <n v="752" u="1"/>
        <n v="536" u="1"/>
        <n v="459" u="1"/>
        <n v="262" u="1"/>
        <n v="1683" u="1"/>
        <n v="1181.5776" u="1"/>
        <n v="546.0336" u="1"/>
        <n v="409.01" u="1"/>
        <n v="847.83" u="1"/>
        <n v="371.74" u="1"/>
        <n v="1851" u="1"/>
        <n v="3410" u="1"/>
        <n v="1383.56" u="1"/>
        <n v="246.89" u="1"/>
        <n v="216.15" u="1"/>
        <n v="658" u="1"/>
        <n v="586.0736000000001" u="1"/>
        <n v="1000.832" u="1"/>
        <n v="200.01" u="1"/>
        <n v="1923" u="1"/>
        <n v="854.53" u="1"/>
        <n v="418.21" u="1"/>
        <n v="274.12" u="1"/>
        <n v="1316.99" u="1"/>
        <n v="318.15" u="1"/>
        <n v="355.94" u="1"/>
        <n v="1446" u="1"/>
        <n v="1173.32" u="1"/>
        <n v="3384.8" u="1"/>
        <n v="3063.39" u="1"/>
        <n v="585.28" u="1"/>
        <n v="740" u="1"/>
        <n v="328.63" u="1"/>
        <n v="755.87" u="1"/>
        <n v="797.77" u="1"/>
        <n v="826.1799" u="1"/>
        <n v="465.7125" u="1"/>
        <n v="828.64" u="1"/>
        <n v="381.3" u="1"/>
        <n v="572.37" u="1"/>
        <n v="1840" u="1"/>
        <n v="2496.29" u="1"/>
        <n v="3300.36" u="1"/>
        <n v="3458.87" u="1"/>
        <n v="857.34" u="1"/>
        <n v="2137.72" u="1"/>
        <n v="1097.23" u="1"/>
        <n v="3474.87" u="1"/>
        <n v="2739.87" u="1"/>
        <n v="1691.92" u="1"/>
        <n v="9228.52" u="1"/>
        <n v="624.85" u="1"/>
        <n v="4502.88" u="1"/>
        <n v="647.8528" u="1"/>
        <n v="250.2" u="1"/>
        <n v="1018.8" u="1"/>
        <n v="406.06" u="1"/>
        <n v="398" u="1"/>
        <n v="1216" u="1"/>
        <n v="975.6" u="1"/>
        <n v="174" u="1"/>
        <n v="673.26" u="1"/>
        <n v="376.2" u="1"/>
        <n v="534.92" u="1"/>
        <n v="1071.48" u="1"/>
        <n v="223.52" u="1"/>
        <n v="231.82" u="1"/>
        <n v="372.36" u="1"/>
        <n v="297.17" u="1"/>
        <n v="790.5599999999999" u="1"/>
        <n v="256.48" u="1"/>
        <n v="591.24" u="1"/>
        <n v="609.15" u="1"/>
        <n v="555" u="1"/>
        <n v="159.5" u="1"/>
        <n v="333.06" u="1"/>
        <n v="218.9" u="1"/>
        <n v="1154.73" u="1"/>
        <n v="90.37" u="1"/>
        <n v="628.08" u="1"/>
        <n v="608.6" u="1"/>
        <n v="363.18" u="1"/>
        <n v="395.34" u="1"/>
        <n v="622.38" u="1"/>
        <n v="1380" u="1"/>
        <n v="1393.7" u="1"/>
        <n v="1402.06" u="1"/>
        <n v="759.12" u="1"/>
        <n v="869.0246" u="1"/>
        <n v="11987.613" u="1"/>
        <n v="449.8" u="1"/>
        <n v="3571.2392" u="1"/>
        <n v="2396.248" u="1"/>
        <n v="1797.186" u="1"/>
        <n v="5850.414" u="1"/>
        <n v="943.204" u="1"/>
        <n v="1754.4622" u="1"/>
        <n v="2095.5264" u="1"/>
        <n v="793.8" u="1"/>
        <n v="1689.0633" u="1"/>
        <n v="2687.607" u="1"/>
        <n v="3090.907" u="1"/>
        <n v="2914.1" u="1"/>
        <n v="2138.0625" u="1"/>
        <n v="3642.625" u="1"/>
        <n v="1769.55" u="1"/>
        <n v="1270.96" u="1"/>
        <n v="448.2" u="1"/>
        <n v="813.732" u="1"/>
        <n v="2365.9882" u="1"/>
        <n v="5249.139" u="1"/>
        <n v="2594.3544" u="1"/>
        <n v="560.16" u="1"/>
        <n v="8892.8433" u="1"/>
        <n v="1632.592" u="1"/>
        <n v="8506.295700000001" u="1"/>
        <n v="2602.78" u="1"/>
        <n v="153.44" u="1"/>
        <n v="2431.4745" u="1"/>
        <n v="1492.7" u="1"/>
        <n v="279" u="1"/>
        <n v="261.82" u="1"/>
        <n v="176.5" u="1"/>
        <n v="183.45" u="1"/>
        <n v="171.32" u="1"/>
        <n v="177.79" u="1"/>
        <n v="162.35" u="1"/>
        <n v="651" u="1"/>
        <n v="1397.01" u="1"/>
        <n v="498.5" u="1"/>
        <n v="347.1466" u="1"/>
        <n v="226.855" u="1"/>
        <n v="415.87" u="1"/>
        <n v="501.6816" u="1"/>
        <n v="191.28" u="1"/>
        <n v="519.6352000000001" u="1"/>
        <n v="577.472" u="1"/>
        <n v="325.8528" u="1"/>
        <n v="1006.24" u="1"/>
        <n v="2918.47" u="1"/>
        <n v="513.9" u="1"/>
        <n v="238.89" u="1"/>
        <n v="459.15" u="1"/>
        <n v="1963.1808" u="1"/>
        <n v="1797.96" u="1"/>
        <n v="150.39" u="1"/>
        <n v="585.61" u="1"/>
        <n v="1659.86" u="1"/>
        <n v="1501.49" u="1"/>
        <n v="409.4" u="1"/>
        <n v="5189.82" u="1"/>
        <n v="1419.8874" u="1"/>
        <n v="972" u="1"/>
        <n v="2709.408" u="1"/>
        <n v="2212.41" u="1"/>
        <n v="1079.973" u="1"/>
        <n v="2271.84" u="1"/>
        <n v="358.14" u="1"/>
        <n v="231.69" u="1"/>
        <n v="2233.49" u="1"/>
        <n v="3537.22" u="1"/>
        <n v="798.88" u="1"/>
        <n v="694.36" u="1"/>
        <n v="1587.1" u="1"/>
        <n v="902.3200000000001" u="1"/>
        <n v="629.52" u="1"/>
        <n v="1342.24" u="1"/>
        <n v="2581.88" u="1"/>
        <n v="321.36" u="1"/>
        <n v="1048.8" u="1"/>
        <n v="633.63" u="1"/>
        <n v="1083.31" u="1"/>
        <n v="659.04" u="1"/>
        <n v="850.75" u="1"/>
        <n v="1613.76" u="1"/>
        <n v="851.04" u="1"/>
        <n v="238.62" u="1"/>
        <n v="2297.44" u="1"/>
        <n v="1321.52" u="1"/>
        <n v="1366.67" u="1"/>
        <n v="2714.86" u="1"/>
        <n v="1222.85" u="1"/>
        <n v="902.88" u="1"/>
        <n v="1978.8" u="1"/>
        <n v="2439.5" u="1"/>
        <n v="403.7152" u="1"/>
        <n v="6271" u="1"/>
        <n v="58.95" u="1"/>
        <n v="196.34" u="1"/>
        <n v="103.88" u="1"/>
        <n v="177.74" u="1"/>
        <n v="117.82" u="1"/>
        <n v="322.05" u="1"/>
        <n v="363.12" u="1"/>
        <n v="396.3232" u="1"/>
        <n v="604.4864" u="1"/>
        <n v="526.3701" u="1"/>
        <n v="362.0214" u="1"/>
        <n v="2502.9648" u="1"/>
        <n v="935.4912" u="1"/>
        <n v="320.85" u="1"/>
        <n v="3978.51" u="1"/>
        <n v="4855.8" u="1"/>
        <n v="3539.91" u="1"/>
        <n v="199.39" u="1"/>
        <n v="1555.02" u="1"/>
        <n v="4072.128" u="1"/>
        <n v="707" u="1"/>
        <n v="549" u="1"/>
        <n v="1307.56" u="1"/>
        <n v="1097" u="1"/>
        <n v="20703.69" u="1"/>
        <n v="364.98" u="1"/>
        <n v="483" u="1"/>
        <n v="263" u="1"/>
        <n v="273.6" u="1"/>
        <n v="206.98" u="1"/>
        <n v="297.0352" u="1"/>
        <n v="420.31" u="1"/>
        <n v="1015.28" u="1"/>
        <n v="262.525" u="1"/>
        <n v="687.51" u="1"/>
        <n v="12798.88" u="1"/>
        <n v="1131.2784" u="1"/>
        <n v="291.8048" u="1"/>
        <n v="480.5472" u="1"/>
        <n v="3652.73" u="1"/>
        <n v="432.6" u="1"/>
        <n v="488.89" u="1"/>
        <n v="1088.55" u="1"/>
        <n v="1596.87" u="1"/>
        <n v="4566.88" u="1"/>
        <n v="1116.696" u="1"/>
        <n v="1146" u="1"/>
        <n v="487.76" u="1"/>
        <n v="10753.6242" u="1"/>
        <n v="3099.52" u="1"/>
        <n v="5757.0912" u="1"/>
        <n v="799.04" u="1"/>
        <n v="746.088" u="1"/>
        <n v="464" u="1"/>
        <n v="818" u="1"/>
        <n v="750.8099999999999" u="1"/>
        <n v="764.336" u="1"/>
        <n v="702.5984" u="1"/>
        <n v="820.4499" u="1"/>
        <n v="595.4367999999999" u="1"/>
        <n v="564.7712" u="1"/>
        <n v="619.0463999999999" u="1"/>
        <n v="608.0703999999999" u="1"/>
        <n v="582.8031999999999" u="1"/>
        <n v="574.3808" u="1"/>
        <n v="285.0848" u="1"/>
        <n v="629.9400000000001" u="1"/>
        <n v="278.768" u="1"/>
        <n v="474.8688" u="1"/>
        <n v="292.68" u="1"/>
        <n v="654.208" u="1"/>
        <n v="440.2608" u="1"/>
        <n v="306.1408" u="1"/>
        <n v="2489.89" u="1"/>
        <n v="2530" u="1"/>
        <n v="405.6" u="1"/>
        <n v="488" u="1"/>
        <n v="2918.3" u="1"/>
        <n v="834.7327" u="1"/>
        <n v="2113.19" u="1"/>
        <n v="563.49" u="1"/>
        <n v="1820" u="1"/>
        <n v="433.4176" u="1"/>
        <n v="433.944" u="1"/>
        <n v="471.2288" u="1"/>
        <n v="1065.6" u="1"/>
        <n v="1139.6" u="1"/>
        <n v="2920.54" u="1"/>
        <n v="1247.89" u="1"/>
        <n v="809.51" u="1"/>
        <n v="742.95" u="1"/>
        <n v="1465.68" u="1"/>
        <n v="1366.86" u="1"/>
        <n v="868.04" u="1"/>
        <n v="1455.84" u="1"/>
        <n v="1438.61" u="1"/>
        <n v="655.12" u="1"/>
        <n v="2032.67" u="1"/>
        <n v="1620.85" u="1"/>
        <n v="954.67" u="1"/>
        <n v="3387.87" u="1"/>
        <n v="1289.67" u="1"/>
        <n v="834.8200000000001" u="1"/>
        <n v="1358.2" u="1"/>
        <n v="1466" u="1"/>
        <n v="234.08" u="1"/>
        <n v="337.7696" u="1"/>
        <n v="578.2896" u="1"/>
        <n v="306.9" u="1"/>
        <n v="155.176" u="1"/>
        <n v="195.6528" u="1"/>
        <n v="1107.09" u="1"/>
        <n v="619.4400000000001" u="1"/>
        <n v="4896.6" u="1"/>
        <n v="2898.6" u="1"/>
        <n v="4916.05" u="1"/>
        <n v="3192" u="1"/>
        <n v="2874.48" u="1"/>
        <n v="183.25" u="1"/>
        <n v="22008.65" u="1"/>
        <n v="456.75" u="1"/>
        <n v="395" u="1"/>
        <n v="776" u="1"/>
        <n v="637.14" u="1"/>
        <n v="665.89" u="1"/>
        <n v="691" u="1"/>
        <n v="186.36" u="1"/>
        <n v="2150" u="1"/>
        <n v="1688.2765" u="1"/>
        <n v="768.51" u="1"/>
        <n v="369.59" u="1"/>
        <n v="212.61" u="1"/>
        <n v="368.69" u="1"/>
        <n v="709.72" u="1"/>
        <n v="104.51" u="1"/>
        <n v="353.08" u="1"/>
        <n v="548.15" u="1"/>
        <n v="790" u="1"/>
        <n v="2496" u="1"/>
        <n v="4500" u="1"/>
        <n v="2260" u="1"/>
        <n v="2350" u="1"/>
        <n v="454" u="1"/>
        <n v="5580" u="1"/>
        <n v="563.4048" u="1"/>
        <n v="355.35" u="1"/>
        <n v="955.62" u="1"/>
        <n v="178.63" u="1"/>
        <n v="216.75" u="1"/>
        <n v="2790" u="1"/>
        <n v="1207" u="1"/>
        <n v="178.92" u="1"/>
        <n v="2226" u="1"/>
        <n v="222" u="1"/>
        <n v="900.9999" u="1"/>
        <n v="496.8" u="1"/>
        <n v="1071" u="1"/>
        <n v="273.2" u="1"/>
        <n v="222.06" u="1"/>
        <n v="10929.03" u="1"/>
        <n v="1577" u="1"/>
        <n v="39317.04" u="1"/>
        <n v="1860.14" u="1"/>
        <n v="1738.5" u="1"/>
        <n v="1341.2" u="1"/>
        <n v="1239.784" u="1"/>
        <n v="691.6" u="1"/>
        <n v="595.67" u="1"/>
        <n v="537.17" u="1"/>
        <n v="1311.35" u="1"/>
        <n v="16026.8" u="1"/>
        <n v="5526" u="1"/>
        <n v="515" u="1"/>
        <n v="24047.155" u="1"/>
        <n v="2372.69" u="1"/>
        <n v="329.84" u="1"/>
        <n v="772.2" u="1"/>
        <n v="1807.5146" u="1"/>
        <n v="2604.88" u="1"/>
        <n v="1451.0847" u="1"/>
        <n v="1407.23" u="1"/>
        <n v="2234.71" u="1"/>
        <n v="298.93" u="1"/>
        <n v="523.0599999999999" u="1"/>
        <n v="560.3" u="1"/>
        <n v="861.67" u="1"/>
        <n v="1414.18" u="1"/>
        <n v="1590.67" u="1"/>
        <n v="643" u="1"/>
        <n v="751.9" u="1"/>
        <n v="1983.04" u="1"/>
        <n v="662.14" u="1"/>
        <n v="655.1" u="1"/>
        <n v="687" u="1"/>
        <n v="488.57" u="1"/>
        <n v="1494.66" u="1"/>
        <n v="218.38" u="1"/>
        <n v="1264.04" u="1"/>
        <n v="1796.09" u="1"/>
        <n v="1550.17" u="1"/>
        <n v="669.67" u="1"/>
        <n v="745.5" u="1"/>
        <n v="650.09" u="1"/>
        <n v="369.09" u="1"/>
        <n v="305.3" u="1"/>
        <n v="1342.0089" u="1"/>
        <n v="594" u="1"/>
        <n v="1740" u="1"/>
        <n v="4890" u="1"/>
        <n v="1356.1968" u="1"/>
        <n v="261.3072" u="1"/>
        <n v="1033.55" u="1"/>
        <n v="2067.1" u="1"/>
        <n v="517.4736" u="1"/>
        <n v="344.15" u="1"/>
        <n v="153.31" u="1"/>
        <n v="765.6768" u="1"/>
        <n v="175.5936" u="1"/>
        <n v="718.9728" u="1"/>
        <n v="2626.74" u="1"/>
        <n v="187.0288" u="1"/>
        <n v="1196.976" u="1"/>
        <n v="700.72" u="1"/>
        <n v="339.14" u="1"/>
        <n v="3309.84" u="1"/>
        <n v="278.19" u="1"/>
        <n v="1390.95" u="1"/>
        <n v="493.64" u="1"/>
        <n v="809.8165" u="1"/>
        <n v="157.28" u="1"/>
        <n v="243.14" u="1"/>
        <n v="559.76" u="1"/>
        <n v="470.9301" u="1"/>
        <n v="560.3099999999999" u="1"/>
        <n v="147.915" u="1"/>
        <n v="639.744" u="1"/>
        <n v="3509.8" u="1"/>
        <n v="547" u="1"/>
        <n v="129" u="1"/>
        <n v="2074.67" u="1"/>
        <n v="771" u="1"/>
        <n v="2273.54" u="1"/>
        <n v="256.77" u="1"/>
        <n v="1247.28" u="1"/>
        <n v="3056.725" u="1"/>
        <n v="492.26" u="1"/>
        <n v="1279.95" u="1"/>
        <n v="268.36" u="1"/>
        <n v="107.42" u="1"/>
        <n v="301" u="1"/>
        <n v="2975" u="1"/>
        <n v="591.9099" u="1"/>
        <n v="2842" u="1"/>
        <n v="2940" u="1"/>
        <n v="2919" u="1"/>
        <n v="584.9901" u="1"/>
        <n v="633.84" u="1"/>
        <n v="326.845" u="1"/>
        <n v="891.1056" u="1"/>
        <n v="270.66" u="1"/>
        <n v="396.047" u="1"/>
        <n v="438.6816" u="1"/>
        <n v="264.41" u="1"/>
        <n v="167.48" u="1"/>
        <n v="408.0944" u="1"/>
        <n v="287.29" u="1"/>
        <n v="394.23" u="1"/>
        <n v="554.76" u="1"/>
        <n v="404" u="1"/>
        <n v="699.6" u="1"/>
        <n v="859.2" u="1"/>
        <n v="906.3" u="1"/>
        <n v="817.824" u="1"/>
        <n v="1790" u="1"/>
        <n v="697.3043" u="1"/>
        <n v="6999.678" u="1"/>
        <n v="4706.65" u="1"/>
        <n v="10580" u="1"/>
        <n v="15824" u="1"/>
        <n v="25300" u="1"/>
        <n v="4764.0456" u="1"/>
        <n v="1897" u="1"/>
        <n v="15565.2" u="1"/>
        <n v="5339.43" u="1"/>
        <n v="2952.5817" u="1"/>
        <n v="1946.5" u="1"/>
        <n v="63000" u="1"/>
        <n v="36000" u="1"/>
        <n v="12843" u="1"/>
        <n v="717.84" u="1"/>
        <n v="2025.9144" u="1"/>
        <n v="611" u="1"/>
        <n v="1720" u="1"/>
        <n v="678" u="1"/>
        <n v="888.25" u="1"/>
        <n v="306.66" u="1"/>
        <n v="377.43" u="1"/>
        <n v="1643.544" u="1"/>
        <n v="245.5376" u="1"/>
        <n v="1316.336" u="1"/>
        <n v="246.75" u="1"/>
        <n v="812.22" u="1"/>
        <n v="758.12" u="1"/>
        <n v="356.2866" u="1"/>
        <n v="484.98" u="1"/>
        <n v="296.7" u="1"/>
        <n v="322.68" u="1"/>
        <n v="213.08" u="1"/>
        <n v="860.196" u="1"/>
        <n v="250.61" u="1"/>
        <n v="409.58" u="1"/>
        <n v="625.38" u="1"/>
        <n v="3408.636" u="1"/>
        <n v="3239.919" u="1"/>
        <n v="3942" u="1"/>
        <n v="339.09" u="1"/>
        <n v="971.7791999999999" u="1"/>
        <n v="906.3488" u="1"/>
        <n v="816.0544" u="1"/>
        <n v="806.568" u="1"/>
        <n v="232.81" u="1"/>
        <n v="3753" u="1"/>
        <n v="724" u="1"/>
        <n v="508" u="1"/>
        <n v="229" u="1"/>
        <n v="3591" u="1"/>
        <n v="3513" u="1"/>
        <n v="1961.16" u="1"/>
        <n v="1484" u="1"/>
        <n v="357.84" u="1"/>
        <n v="530.2976" u="1"/>
        <n v="729.792" u="1"/>
        <n v="302.4534" u="1"/>
        <n v="240.31" u="1"/>
        <n v="1209.5296" u="1"/>
        <n v="172.72" u="1"/>
        <n v="611.016" u="1"/>
        <n v="455.565" u="1"/>
        <n v="2675.0006" u="1"/>
        <n v="470.392" u="1"/>
        <n v="493.424" u="1"/>
        <n v="764.056" u="1"/>
        <n v="2425.7" u="1"/>
        <n v="667.0272" u="1"/>
        <n v="654.4944" u="1"/>
        <n v="600.8016" u="1"/>
        <n v="329.3024" u="1"/>
        <n v="561.7472" u="1"/>
        <n v="405.8208" u="1"/>
        <n v="711.024" u="1"/>
        <n v="473.424" u="1"/>
        <n v="555.3744" u="1"/>
        <n v="628.13" u="1"/>
        <n v="1240.09" u="1"/>
        <n v="6081.81" u="1"/>
        <n v="155.71" u="1"/>
        <n v="7443.816" u="1"/>
        <n v="346.13" u="1"/>
        <n v="1809.24" u="1"/>
        <n v="3072.5697" u="1"/>
        <n v="7885.41" u="1"/>
        <n v="189.52" u="1"/>
        <n v="513.52" u="1"/>
        <n v="1603.71" u="1"/>
        <n v="3342.62" u="1"/>
        <n v="496.496" u="1"/>
        <n v="195.1376" u="1"/>
        <n v="698.0736000000001" u="1"/>
        <n v="855.4224" u="1"/>
        <n v="297.0324" u="1"/>
        <n v="550.032" u="1"/>
        <n v="274.5568" u="1"/>
        <n v="291.4016" u="1"/>
        <n v="809.816" u="1"/>
        <n v="344.0416" u="1"/>
        <n v="184.6544" u="1"/>
        <n v="770.616" u="1"/>
        <n v="503.4288" u="1"/>
        <n v="264.0288" u="1"/>
        <n v="434.5824" u="1"/>
        <n v="418.6784" u="1"/>
        <n v="591.3264" u="1"/>
        <n v="815.7996000000001" u="1"/>
        <n v="490.7952" u="1"/>
        <n v="497.45" u="1"/>
        <n v="1000.93" u="1"/>
        <n v="41638.53" u="1"/>
        <n v="1364.37" u="1"/>
        <n v="1030.44" u="1"/>
        <n v="879.08" u="1"/>
        <n v="765.76" u="1"/>
        <n v="1002.28" u="1"/>
        <n v="227" u="1"/>
        <n v="648.77" u="1"/>
        <n v="490.4" u="1"/>
        <n v="143.85" u="1"/>
        <n v="1528.49" u="1"/>
        <n v="814.35" u="1"/>
        <n v="1151.3" u="1"/>
        <n v="3872" u="1"/>
        <n v="463.21" u="1"/>
        <n v="1461.09" u="1"/>
        <n v="614.7" u="1"/>
        <n v="744.28" u="1"/>
        <n v="688.3200000000001" u="1"/>
        <n v="397.04" u="1"/>
        <n v="616.04" u="1"/>
        <n v="3134.24" u="1"/>
        <n v="2467.04" u="1"/>
        <n v="1973.15" u="1"/>
        <n v="567.8099999999999" u="1"/>
        <n v="1526.24" u="1"/>
        <n v="2118.24" u="1"/>
        <n v="2259.82" u="1"/>
        <n v="388.72" u="1"/>
        <n v="879.48" u="1"/>
        <n v="1514.24" u="1"/>
        <n v="1099.63" u="1"/>
        <n v="316.65" u="1"/>
        <n v="354.32" u="1"/>
        <n v="442.9" u="1"/>
        <n v="1312.72" u="1"/>
        <n v="1420.64" u="1"/>
        <n v="719.04" u="1"/>
        <n v="1536.72" u="1"/>
        <n v="1010.5" u="1"/>
        <n v="3547.04" u="1"/>
        <n v="1460.72" u="1"/>
        <n v="235.76" u="1"/>
        <n v="482.42" u="1"/>
        <n v="477.52" u="1"/>
        <n v="1137.62" u="1"/>
        <n v="1493.6" u="1"/>
        <n v="981.54" u="1"/>
        <n v="1517" u="1"/>
        <n v="2230.24" u="1"/>
        <n v="342.3" u="1"/>
        <n v="4214.3745" u="1"/>
        <n v="9562.700000000001" u="1"/>
        <n v="712" u="1"/>
        <n v="303.8672" u="1"/>
        <n v="528.0202" u="1"/>
        <n v="163" u="1"/>
        <n v="36.97" u="1"/>
        <n v="37.5" u="1"/>
        <n v="233.79" u="1"/>
        <n v="406.7545" u="1"/>
        <n v="334.11" u="1"/>
        <n v="222.48" u="1"/>
        <n v="677.08" u="1"/>
        <n v="1218" u="1"/>
        <n v="1038" u="1"/>
        <n v="475" u="1"/>
        <n v="1988" u="1"/>
        <n v="4293" u="1"/>
        <n v="1800.18" u="1"/>
        <n v="1478.4" u="1"/>
        <n v="1300" u="1"/>
        <n v="970" u="1"/>
        <n v="342.72" u="1"/>
        <n v="1751.88" u="1"/>
        <n v="44.4" u="1"/>
        <n v="960.9" u="1"/>
        <n v="1010.81" u="1"/>
        <n v="1130.94" u="1"/>
        <n v="764.3" u="1"/>
        <n v="3376.61" u="1"/>
        <n v="438.82" u="1"/>
        <n v="720.14" u="1"/>
        <n v="563.92" u="1"/>
        <n v="928.45" u="1"/>
        <n v="805.88" u="1"/>
        <n v="1019.82" u="1"/>
        <n v="767.03" u="1"/>
        <n v="931.17" u="1"/>
        <n v="905.89" u="1"/>
        <n v="2636.6" u="1"/>
        <n v="2272.16" u="1"/>
        <n v="575.98" u="1"/>
        <n v="3645" u="1"/>
        <n v="1920.64" u="1"/>
        <n v="1346.43" u="1"/>
        <n v="561.67" u="1"/>
        <n v="2132.66" u="1"/>
        <n v="2639.12" u="1"/>
        <n v="1696.72" u="1"/>
        <n v="886.46" u="1"/>
        <n v="2226.94" u="1"/>
        <n v="284.84" u="1"/>
        <n v="373.92" u="1"/>
        <n v="514.14" u="1"/>
        <n v="596.72" u="1"/>
        <n v="931.79" u="1"/>
        <n v="5762.18" u="1"/>
        <n v="1188.91" u="1"/>
        <n v="1188.92" u="1"/>
        <n v="679.12" u="1"/>
        <n v="721.42" u="1"/>
        <n v="1478.5" u="1"/>
        <n v="1818.32" u="1"/>
        <n v="497.52" u="1"/>
        <n v="2175.04" u="1"/>
        <n v="1043.92" u="1"/>
        <n v="945.61" u="1"/>
        <n v="1038.67" u="1"/>
        <n v="474.92" u="1"/>
        <n v="258.63" u="1"/>
        <n v="748.42" u="1"/>
        <n v="396.4" u="1"/>
        <n v="2271.92" u="1"/>
        <n v="738.8200000000001" u="1"/>
        <n v="2619.71" u="1"/>
        <n v="428.84" u="1"/>
        <n v="240.8" u="1"/>
        <n v="908.76" u="1"/>
        <n v="314.15" u="1"/>
        <n v="61.25" u="1"/>
        <n v="61.11" u="1"/>
        <n v="6415" u="1"/>
        <n v="439.97" u="1"/>
        <n v="1982" u="1"/>
        <n v="5298" u="1"/>
        <n v="1283" u="1"/>
        <n v="8020.16" u="1"/>
        <n v="263.9" u="1"/>
        <n v="654.85" u="1"/>
        <n v="1990" u="1"/>
        <n v="909.84" u="1"/>
        <n v="5532" u="1"/>
        <n v="496.43" u="1"/>
        <n v="547.8" u="1"/>
        <n v="467.07" u="1"/>
        <n v="466.79" u="1"/>
        <n v="170.2" u="1"/>
        <n v="2461.44" u="1"/>
        <n v="634.8200000000001" u="1"/>
        <n v="300.13" u="1"/>
        <n v="2030.2" u="1"/>
        <n v="820" u="1"/>
        <n v="624" u="1"/>
        <n v="1368" u="1"/>
        <n v="221.7" u="1"/>
        <n v="848" u="1"/>
        <n v="1878" u="1"/>
        <n v="50864.33" u="1"/>
        <n v="37633.72" u="1"/>
        <n v="335" u="1"/>
        <n v="2740.04" u="1"/>
        <n v="182.72" u="1"/>
        <n v="1027.3338" u="1"/>
        <n v="133.33" u="1"/>
        <n v="273.99" u="1"/>
        <n v="282.99" u="1"/>
        <n v="156.1" u="1"/>
        <n v="616" u="1"/>
        <n v="18993.216" u="1"/>
        <n v="300.99" u="1"/>
        <n v="3359.265" u="1"/>
        <n v="623.7" u="1"/>
        <n v="285.57" u="1"/>
        <n v="5582.5" u="1"/>
        <n v="275.31" u="1"/>
        <n v="166.48" u="1"/>
        <n v="438.21" u="1"/>
        <n v="3702.25" u="1"/>
        <n v="1715.01" u="1"/>
        <n v="249.9" u="1"/>
        <n v="251.71" u="1"/>
        <n v="2573" u="1"/>
        <n v="2427" u="1"/>
        <n v="77" u="1"/>
        <n v="367" u="1"/>
        <n v="1407.73" u="1"/>
        <n v="1264.89" u="1"/>
        <n v="715" u="1"/>
        <n v="1236" u="1"/>
        <n v="601.02" u="1"/>
        <n v="96.48999999999999" u="1"/>
        <n v="96.87" u="1"/>
        <n v="2585.74" u="1"/>
        <n v="724.98" u="1"/>
        <n v="754.24" u="1"/>
        <n v="12096.05" u="1"/>
        <n v="55968.31" u="1"/>
        <n v="970.23" u="1"/>
        <n v="1671.48" u="1"/>
        <n v="1662.04" u="1"/>
        <n v="436.48" u="1"/>
        <n v="918.41" u="1"/>
        <n v="1391.88" u="1"/>
        <n v="2888.7" u="1"/>
        <n v="2159.88" u="1"/>
        <n v="3359.88" u="1"/>
        <n v="3026.16" u="1"/>
        <n v="572.88" u="1"/>
        <n v="1395.48" u="1"/>
        <n v="1043.88" u="1"/>
        <n v="1075.08" u="1"/>
        <n v="10659.89" u="1"/>
        <n v="1596.42" u="1"/>
        <n v="789.849" u="1"/>
        <n v="757.9225" u="1"/>
        <n v="2162.84" u="1"/>
        <n v="2243.4" u="1"/>
        <n v="3360" u="1"/>
        <n v="1940.166" u="1"/>
        <n v="2231.54" u="1"/>
        <n v="924.12" u="1"/>
        <n v="160.65" u="1"/>
        <n v="2162.24" u="1"/>
        <n v="1668.09" u="1"/>
        <n v="774.9" u="1"/>
        <n v="966.25" u="1"/>
        <n v="680.38" u="1"/>
        <n v="1513.17" u="1"/>
        <n v="1766.02" u="1"/>
        <n v="519.85" u="1"/>
        <n v="1171.32" u="1"/>
        <n v="323.01" u="1"/>
        <n v="608.92" u="1"/>
        <n v="467.59" u="1"/>
        <n v="712.4299999999999" u="1"/>
        <n v="881.41" u="1"/>
        <n v="4239.3" u="1"/>
        <n v="644.85" u="1"/>
        <n v="681.52" u="1"/>
        <n v="302.02" u="1"/>
        <n v="819.3099999999999" u="1"/>
        <n v="398.23" u="1"/>
        <n v="20.06" u="1"/>
        <n v="1674.59" u="1"/>
        <n v="246.59" u="1"/>
        <n v="371.84" u="1"/>
        <n v="1891.71" u="1"/>
        <n v="946.5466" u="1"/>
        <n v="1668.92" u="1"/>
        <n v="405.99" u="1"/>
        <n v="1256" u="1"/>
        <n v="3616.89" u="1"/>
        <n v="3524.84" u="1"/>
        <n v="786.23" u="1"/>
        <n v="790.39" u="1"/>
        <n v="8904" u="1"/>
        <n v="169.84" u="1"/>
        <n v="163.46" u="1"/>
        <n v="351.14" u="1"/>
        <n v="346.25" u="1"/>
        <n v="2561.97" u="1"/>
        <n v="28814.03" u="1"/>
        <n v="1322.8" u="1"/>
        <n v="7868.86" u="1"/>
        <n v="5908.3" u="1"/>
        <n v="371.07" u="1"/>
        <n v="2410.03" u="1"/>
        <n v="1639.75" u="1"/>
        <n v="1960.15" u="1"/>
        <n v="1591.78" u="1"/>
        <n v="1016" u="1"/>
        <n v="556.6" u="1"/>
        <n v="3402" u="1"/>
        <n v="1023" u="1"/>
        <n v="704.55" u="1"/>
        <n v="1648" u="1"/>
        <n v="771.825" u="1"/>
        <n v="3088.9" u="1"/>
        <n v="478.9" u="1"/>
        <n v="262.39" u="1"/>
        <n v="1773.5663" u="1"/>
        <n v="29823.08" u="1"/>
        <n v="10117.1" u="1"/>
        <n v="4576.6659" u="1"/>
        <n v="38529.26" u="1"/>
        <n v="506.08" u="1"/>
        <n v="7569.37" u="1"/>
        <n v="489.14" u="1"/>
        <n v="1063.07" u="1"/>
        <n v="27248.86" u="1"/>
        <n v="37802" u="1"/>
        <n v="2109.37" u="1"/>
        <n v="57405.61" u="1"/>
        <n v="1533" u="1"/>
        <n v="36418.54" u="1"/>
        <n v="6497.24" u="1"/>
        <n v="2904.17" u="1"/>
        <n v="1002.24" u="1"/>
        <n v="1960.14" u="1"/>
        <n v="1431" u="1"/>
        <n v="507" u="1"/>
        <n v="2556.22" u="1"/>
        <n v="675.78" u="1"/>
        <n v="1427.17" u="1"/>
        <n v="1330.2" u="1"/>
        <n v="1331.9" u="1"/>
        <n v="3708.99" u="1"/>
        <n v="1566.465" u="1"/>
        <n v="39975.59" u="1"/>
        <n v="4691.25" u="1"/>
        <n v="947.582" u="1"/>
        <n v="3905.1" u="1"/>
        <n v="20038.15" u="1"/>
        <n v="694.2066" u="1"/>
        <n v="4000" u="1"/>
        <n v="2738.08" u="1"/>
        <n v="2872" u="1"/>
        <n v="1372.98" u="1"/>
        <n v="1908.39" u="1"/>
        <n v="2793.67" u="1"/>
        <n v="773.6267" u="1"/>
        <n v="2346.84" u="1"/>
        <n v="10857.77" u="1"/>
        <n v="19692.27" u="1"/>
        <n v="33381.18" u="1"/>
        <n v="496.3499" u="1"/>
        <n v="307.57" u="1"/>
        <n v="4793.2617" u="1"/>
        <n v="1830.2935" u="1"/>
        <n v="1005.1346" u="1"/>
        <n v="3007.72" u="1"/>
        <n v="1447.35" u="1"/>
        <n v="1839.2" u="1"/>
        <n v="1091.9" u="1"/>
        <n v="372.66" u="1"/>
        <n v="786" u="1"/>
        <n v="5570.532" u="1"/>
        <n v="1366.95" u="1"/>
        <n v="1800" u="1"/>
        <n v="2319.9307" u="1"/>
        <n v="1747.9262" u="1"/>
        <n v="1598.28" u="1"/>
        <n v="766.5" u="1"/>
        <n v="623.3200000000001" u="1"/>
        <n v="1325.27" u="1"/>
        <n v="6800.42" u="1"/>
        <n v="1466.46" u="1"/>
        <n v="203.09" u="1"/>
        <n v="514.79" u="1"/>
        <n v="2060.88" u="1"/>
        <n v="1168.56" u="1"/>
        <n v="457.9" u="1"/>
        <n v="900.91" u="1"/>
        <n v="531.28" u="1"/>
        <n v="396.28" u="1"/>
        <n v="1045.11" u="1"/>
        <n v="1069.97" u="1"/>
        <n v="2227.6" u="1"/>
        <n v="831.6" u="1"/>
        <n v="910.8200000000001" u="1"/>
        <n v="1779.94" u="1"/>
        <n v="345.32" u="1"/>
        <n v="517.29" u="1"/>
        <n v="5926.86" u="1"/>
        <n v="5949.78" u="1"/>
        <n v="10290" u="1"/>
        <n v="491.3" u="1"/>
        <n v="55" u="1"/>
        <n v="597.4299999999999" u="1"/>
        <n v="601.59" u="1"/>
        <n v="1556" u="1"/>
        <n v="920.45" u="1"/>
        <n v="291.23" u="1"/>
        <n v="742.08" u="1"/>
        <n v="256" u="1"/>
        <n v="1346.5984" u="1"/>
        <n v="169.848" u="1"/>
        <n v="499.932" u="1"/>
        <n v="6052" u="1"/>
        <n v="2454" u="1"/>
        <n v="359.7" u="1"/>
        <n v="862.2201" u="1"/>
        <n v="308.25" u="1"/>
        <n v="1176.9" u="1"/>
        <n v="1080.4" u="1"/>
        <n v="273.9" u="1"/>
        <n v="7227" u="1"/>
        <n v="534.65" u="1"/>
        <n v="1388.95" u="1"/>
        <n v="3395.7" u="1"/>
        <n v="806" u="1"/>
        <n v="406.32" u="1"/>
        <n v="195.3336" u="1"/>
        <n v="1182" u="1"/>
        <n v="533.6799999999999" u="1"/>
        <n v="1460" u="1"/>
        <n v="365" u="1"/>
        <n v="394.25" u="1"/>
        <n v="266.32" u="1"/>
        <n v="788.5" u="1"/>
        <n v="935.144" u="1"/>
        <n v="693.99" u="1"/>
        <n v="399.95" u="1"/>
        <n v="1203.832" u="1"/>
        <n v="239.5232" u="1"/>
        <n v="65.52" u="1"/>
        <n v="62.46" u="1"/>
        <n v="1122.08" u="1"/>
        <n v="2601.4" u="1"/>
        <n v="800.6799999999999" u="1"/>
        <n v="191.97" u="1"/>
        <n v="1391.78" u="1"/>
        <n v="311.12" u="1"/>
        <n v="160.11" u="1"/>
        <n v="1518.93" u="1"/>
        <n v="490" u="1"/>
        <n v="1006.28" u="1"/>
        <n v="421.56" u="1"/>
        <n v="823.4" u="1"/>
        <n v="3803.275" u="1"/>
        <n v="359.9175" u="1"/>
        <n v="508.6401" u="1"/>
        <n v="1315.9716" u="1"/>
        <n v="182.53" u="1"/>
        <n v="586.92" u="1"/>
        <n v="6754.65" u="1"/>
        <n v="536.224" u="1"/>
        <n v="681.72" u="1"/>
        <n v="450.4" u="1"/>
        <n v="551" u="1"/>
        <n v="566" u="1"/>
        <n v="1830" u="1"/>
        <n v="3912.36" u="1"/>
        <n v="1921.5" u="1"/>
        <n v="2095.83" u="1"/>
        <n v="14448.4" u="1"/>
        <n v="2881.22" u="1"/>
        <n v="372.6" u="1"/>
        <n v="1052" u="1"/>
        <n v="3120" u="1"/>
        <n v="3353.4" u="1"/>
        <n v="159.71" u="1"/>
        <n v="717" u="1"/>
        <n v="675.4496" u="1"/>
        <n v="432.73" u="1"/>
        <n v="636.36" u="1"/>
        <n v="708.1872" u="1"/>
        <n v="354" u="1"/>
        <n v="2263.1" u="1"/>
        <n v="937.1" u="1"/>
        <n v="3372.96" u="1"/>
        <n v="128.74" u="1"/>
        <n v="4764.564" u="1"/>
        <n v="665" u="1"/>
        <n v="217.85" u="1"/>
        <n v="6500.736" u="1"/>
        <n v="1611.99" u="1"/>
        <n v="1309.36" u="1"/>
        <n v="425.7" u="1"/>
        <n v="5453.4" u="1"/>
        <n v="983.22" u="1"/>
        <n v="273.27" u="1"/>
        <n v="2890" u="1"/>
        <n v="47.1" u="1"/>
        <n v="1042" u="1"/>
        <n v="1317.8" u="1"/>
        <n v="5337.49" u="1"/>
        <n v="528.61" u="1"/>
        <n v="895.7834" u="1"/>
        <n v="666.6352000000001" u="1"/>
        <n v="420.7594" u="1"/>
        <n v="709.4903" u="1"/>
        <n v="2707.419" u="1"/>
        <n v="1779.702" u="1"/>
        <n v="498.22" u="1"/>
        <n v="11947" u="1"/>
        <n v="1716.1" u="1"/>
        <n v="958.9" u="1"/>
        <n v="675.3200000000001" u="1"/>
        <n v="44.5" u="1"/>
        <n v="318.6" u="1"/>
        <n v="928" u="1"/>
        <n v="12085.0912" u="1"/>
        <n v="1819.76" u="1"/>
        <n v="834.74" u="1"/>
        <n v="674.5218" u="1"/>
        <n v="2349.63" u="1"/>
        <n v="163.9" u="1"/>
        <n v="321.43" u="1"/>
        <n v="2198.13" u="1"/>
        <n v="345.19" u="1"/>
        <n v="1263.15" u="1"/>
        <n v="1757.349" u="1"/>
        <n v="794.3733999999999" u="1"/>
        <n v="8011.25" u="1"/>
        <n v="1135.87" u="1"/>
        <n v="1284.24" u="1"/>
        <n v="858.26" u="1"/>
        <n v="542.23" u="1"/>
        <n v="404.5552" u="1"/>
        <n v="251.85" u="1"/>
        <n v="509.544" u="1"/>
        <n v="514.0898999999999" u="1"/>
        <n v="267.6464" u="1"/>
        <n v="460.38" u="1"/>
        <n v="198.3408" u="1"/>
        <n v="1066.1952" u="1"/>
        <n v="334.0848" u="1"/>
        <n v="1204.1456" u="1"/>
        <n v="1025.1024" u="1"/>
        <n v="310.352" u="1"/>
        <n v="375.4464" u="1"/>
        <n v="788.4352" u="1"/>
        <n v="422.8" u="1"/>
        <n v="224.0784" u="1"/>
        <n v="19846.67" u="1"/>
        <n v="327.9" u="1"/>
        <n v="457.88" u="1"/>
        <n v="1576.52" u="1"/>
        <n v="4707.18" u="1"/>
        <n v="1768.7244" u="1"/>
        <n v="3302.39" u="1"/>
        <n v="1460.7134" u="1"/>
        <n v="11337.1" u="1"/>
        <n v="1779.55" u="1"/>
        <n v="1356.95" u="1"/>
        <n v="1615.74" u="1"/>
        <n v="391.23" u="1"/>
        <n v="319.9504" u="1"/>
        <n v="2375" u="1"/>
        <n v="168.94" u="1"/>
        <n v="393.92" u="1"/>
        <n v="266.83" u="1"/>
        <n v="1459.4496" u="1"/>
        <n v="427.6299" u="1"/>
        <n v="430.2534" u="1"/>
        <n v="524.72" u="1"/>
        <n v="559.6752" u="1"/>
        <n v="747.2304" u="1"/>
        <n v="374.0576" u="1"/>
        <n v="168.8848" u="1"/>
        <n v="327.1296" u="1"/>
        <n v="1030.4112" u="1"/>
        <n v="1147.92" u="1"/>
        <n v="1510.0624" u="1"/>
        <n v="203.05" u="1"/>
        <n v="223.7" u="1"/>
        <n v="755.4624" u="1"/>
        <n v="594.8768" u="1"/>
        <n v="552.216" u="1"/>
        <n v="341.9024" u="1"/>
        <n v="980.28" u="1"/>
        <n v="805.28" u="1"/>
        <n v="233.5424" u="1"/>
        <n v="202.22" u="1"/>
        <n v="261.69" u="1"/>
        <n v="580.84" u="1"/>
        <n v="748.27" u="1"/>
        <n v="4481.84" u="1"/>
        <n v="1328.41" u="1"/>
        <n v="2483.29" u="1"/>
        <n v="1614.04" u="1"/>
        <n v="1594.3059" u="1"/>
        <n v="1077.488" u="1"/>
        <n v="4086.37" u="1"/>
        <n v="561.9400000000001" u="1"/>
        <n v="2631.19" u="1"/>
        <n v="5553.32" u="1"/>
        <n v="6695.4" u="1"/>
        <n v="10059.06" u="1"/>
        <n v="4722.18" u="1"/>
        <n v="658.72" u="1"/>
        <n v="159.48" u="1"/>
        <n v="762" u="1"/>
        <n v="1760.376" u="1"/>
        <n v="425.37" u="1"/>
        <n v="298.5134" u="1"/>
        <n v="405.4466" u="1"/>
        <n v="1000.5408" u="1"/>
        <n v="557.22" u="1"/>
        <n v="710.04" u="1"/>
        <n v="658.53" u="1"/>
        <n v="1916" u="1"/>
        <n v="178.41" u="1"/>
        <n v="910.056" u="1"/>
        <n v="237.05" u="1"/>
        <n v="259.48" u="1"/>
        <n v="2081.856" u="1"/>
        <n v="188.9" u="1"/>
        <n v="379.37" u="1"/>
        <n v="1233.1698" u="1"/>
        <n v="251.8544" u="1"/>
        <n v="797.74" u="1"/>
        <n v="1083.432" u="1"/>
        <n v="474.2304" u="1"/>
        <n v="456.87" u="1"/>
        <n v="437.33" u="1"/>
        <n v="376.64" u="1"/>
        <n v="282.46" u="1"/>
        <n v="17.35" u="1"/>
        <n v="571.088" u="1"/>
        <n v="378.4425" u="1"/>
        <n v="328.635" u="1"/>
        <n v="409.4496" u="1"/>
        <n v="154.1232" u="1"/>
        <n v="197.288" u="1"/>
        <n v="559.83" u="1"/>
        <n v="287.7534" u="1"/>
        <n v="757.98" u="1"/>
        <n v="205.97" u="1"/>
        <n v="2896.3404" u="1"/>
        <n v="1240.26" u="1"/>
        <n v="526.8" u="1"/>
        <n v="457.63" u="1"/>
        <n v="3080.91" u="1"/>
        <n v="147.91" u="1"/>
        <n v="1909.68" u="1"/>
        <n v="1054.59" u="1"/>
        <n v="535.91" u="1"/>
        <n v="3815.63" u="1"/>
        <n v="4050.04" u="1"/>
        <n v="2420.73" u="1"/>
        <n v="1016.62" u="1"/>
        <n v="1656.59" u="1"/>
        <n v="734.24" u="1"/>
        <n v="2398.7217" u="1"/>
        <n v="1072.04" u="1"/>
        <n v="8369.26" u="1"/>
        <n v="326.5" u="1"/>
        <n v="1573.34" u="1"/>
        <n v="242.32" u="1"/>
        <n v="28201.852" u="1"/>
        <n v="11771.38" u="1"/>
        <n v="25053.29" u="1"/>
        <n v="4108.35" u="1"/>
        <n v="3500.28" u="1"/>
        <n v="1603.95" u="1"/>
        <n v="302.4" u="1"/>
        <n v="2115.1056" u="1"/>
        <n v="846.67" u="1"/>
        <n v="757.42" u="1"/>
        <n v="2414.45" u="1"/>
        <n v="1526.92" u="1"/>
        <n v="639.26" u="1"/>
        <n v="1294.75" u="1"/>
        <n v="3000.9" u="1"/>
        <n v="1025.39" u="1"/>
        <n v="934.78" u="1"/>
        <n v="1121.98" u="1"/>
        <n v="1106.29" u="1"/>
        <n v="1364.08" u="1"/>
        <n v="856.15" u="1"/>
        <n v="562.36" u="1"/>
        <n v="2532.393" u="1"/>
        <n v="16431.355" u="1"/>
        <n v="393.04" u="1"/>
        <n v="5640" u="1"/>
        <n v="440.92" u="1"/>
        <n v="2108" u="1"/>
        <n v="808" u="1"/>
        <n v="932.64" u="1"/>
        <n v="1254" u="1"/>
        <n v="173.15" u="1"/>
        <n v="1115" u="1"/>
        <n v="1587.85" u="1"/>
        <n v="3331" u="1"/>
        <n v="6662" u="1"/>
        <n v="1785" u="1"/>
        <n v="82.05" u="1"/>
        <n v="82.22" u="1"/>
        <n v="922.0392000000001" u="1"/>
        <n v="1524" u="1"/>
        <n v="833.17" u="1"/>
        <n v="654.1900000000001" u="1"/>
        <n v="3521.8" u="1"/>
        <n v="980.8150000000001" u="1"/>
        <n v="905.35" u="1"/>
        <n v="975.04" u="1"/>
        <n v="1259.1" u="1"/>
        <n v="476.59" u="1"/>
        <n v="251.97" u="1"/>
        <n v="984.33" u="1"/>
        <n v="2101.495" u="1"/>
        <n v="294.17" u="1"/>
        <n v="533.84" u="1"/>
        <n v="3276.59" u="1"/>
        <n v="325.34" u="1"/>
        <n v="82.02" u="1"/>
        <n v="1168.02" u="1"/>
        <n v="840.9" u="1"/>
        <n v="841.92" u="1"/>
        <n v="591.92" u="1"/>
        <n v="545.9" u="1"/>
        <n v="992.0599999999999" u="1"/>
        <n v="715.98" u="1"/>
        <n v="20070.28" u="1"/>
        <n v="2994.78" u="1"/>
        <n v="5033.09" u="1"/>
        <n v="9681.33" u="1"/>
        <n v="6260.01" u="1"/>
        <n v="28229.98" u="1"/>
        <n v="3690.88" u="1"/>
        <n v="2024.92" u="1"/>
        <n v="2625.53" u="1"/>
        <n v="1088.19" u="1"/>
        <n v="4208.8288" u="1"/>
        <n v="4207.7352" u="1"/>
        <n v="3156.6216" u="1"/>
        <n v="3155.8014" u="1"/>
        <n v="3757" u="1"/>
        <n v="21850" u="1"/>
        <n v="2226.44" u="1"/>
        <n v="919.6" u="1"/>
        <n v="1292.64" u="1"/>
        <n v="1688.66" u="1"/>
        <n v="8657.34" u="1"/>
        <n v="7062.341" u="1"/>
        <n v="1773.99" u="1"/>
        <n v="280.44" u="1"/>
        <n v="1543.04" u="1"/>
        <n v="664.34" u="1"/>
        <n v="85.88" u="1"/>
        <n v="881.62" u="1"/>
        <n v="862" u="1"/>
        <n v="565" u="1"/>
        <n v="2678" u="1"/>
        <n v="11512.215" u="1"/>
        <n v="1447.05" u="1"/>
        <n v="87.54000000000001" u="1"/>
        <n v="74.19" u="1"/>
        <n v="1408.01" u="1"/>
        <n v="714.87" u="1"/>
        <n v="417.24" u="1"/>
        <n v="1068.9" u="1"/>
        <n v="204.11" u="1"/>
        <n v="389.79" u="1"/>
        <n v="1503.04" u="1"/>
        <n v="315.89" u="1"/>
        <n v="706.96" u="1"/>
        <n v="589.46" u="1"/>
        <n v="3401.44" u="1"/>
        <n v="1952.56" u="1"/>
        <n v="290.56" u="1"/>
        <n v="1307.84" u="1"/>
        <n v="1284.27" u="1"/>
        <n v="784.71" u="1"/>
        <n v="6373.1" u="1"/>
        <n v="3903.13" u="1"/>
        <n v="647" u="1"/>
        <n v="1996.95" u="1"/>
        <n v="1531.18" u="1"/>
        <n v="1399.66" u="1"/>
        <n v="1941.67" u="1"/>
        <n v="1864.34" u="1"/>
        <n v="193.42" u="1"/>
        <n v="142.42" u="1"/>
        <n v="1835.84" u="1"/>
        <n v="603.8" u="1"/>
        <n v="3279" u="1"/>
        <n v="801" u="1"/>
        <n v="449.66" u="1"/>
        <n v="624.39" u="1"/>
        <n v="416.26" u="1"/>
        <n v="285.79" u="1"/>
        <n v="683.6799999999999" u="1"/>
        <n v="341.84" u="1"/>
        <n v="219.34" u="1"/>
        <n v="1196.4" u="1"/>
        <n v="3409.02" u="1"/>
        <n v="314.32" u="1"/>
        <n v="141.3" u="1"/>
        <n v="4457.97" u="1"/>
        <n v="326.22" u="1"/>
        <n v="468.55" u="1"/>
        <n v="3186.99" u="1"/>
        <n v="116.97" u="1"/>
        <n v="394.02" u="1"/>
        <n v="623.55" u="1"/>
        <n v="313.65" u="1"/>
        <n v="5939.85" u="1"/>
        <n v="15446.7616" u="1"/>
        <n v="300.4736" u="1"/>
        <n v="235.74" u="1"/>
        <n v="875.896" u="1"/>
        <n v="570.1695999999999" u="1"/>
        <n v="538.55" u="1"/>
        <n v="422.7" u="1"/>
        <n v="1335" u="1"/>
        <n v="590.8200000000001" u="1"/>
        <n v="1188.1408" u="1"/>
        <n v="304.065" u="1"/>
        <n v="3272.4048" u="1"/>
        <n v="1277.4048" u="1"/>
        <n v="578.592" u="1"/>
        <n v="1335.544" u="1"/>
        <n v="477.94" u="1"/>
        <n v="737.8899" u="1"/>
        <n v="626.568" u="1"/>
        <n v="285.0866" u="1"/>
        <n v="624.73" u="1"/>
        <n v="300.1734" u="1"/>
        <n v="771.0528" u="1"/>
        <n v="666.6576" u="1"/>
        <n v="111.54" u="1"/>
        <n v="2759.76" u="1"/>
        <n v="316.25" u="1"/>
        <n v="341.936" u="1"/>
        <n v="209.02" u="1"/>
        <n v="403.0734" u="1"/>
        <n v="433.7" u="1"/>
        <n v="2664.8704" u="1"/>
        <n v="572.8576" u="1"/>
        <n v="171.71" u="1"/>
        <n v="700.4499" u="1"/>
        <n v="981.59" u="1"/>
        <n v="848.016" u="1"/>
        <n v="1001.448" u="1"/>
        <n v="382.8832" u="1"/>
        <n v="622.8544000000001" u="1"/>
        <n v="331.16" u="1"/>
        <n v="1082.66" u="1"/>
        <n v="281.63" u="1"/>
        <n v="193.0768" u="1"/>
        <n v="2479.857" u="1"/>
        <n v="1471.3899" u="1"/>
        <n v="764.8" u="1"/>
        <n v="1737.5301" u="1"/>
        <n v="314.8066" u="1"/>
        <n v="241.9" u="1"/>
        <n v="186.21" u="1"/>
        <n v="18993.6" u="1"/>
        <n v="508.64" u="1"/>
        <n v="604.64" u="1"/>
        <n v="775.04" u="1"/>
        <n v="946.62" u="1"/>
        <n v="442.4" u="1"/>
        <n v="1369.64" u="1"/>
        <n v="1339.5" u="1"/>
        <n v="872.84" u="1"/>
        <n v="1167.79" u="1"/>
        <n v="1619.17" u="1"/>
        <n v="8793.42" u="1"/>
        <n v="391.8066" u="1"/>
        <n v="717.2901000000001" u="1"/>
        <n v="571.74" u="1"/>
        <n v="192.5" u="1"/>
        <n v="228" u="1"/>
        <n v="444.02" u="1"/>
        <n v="179.69" u="1"/>
        <n v="936.6" u="1"/>
        <n v="116.06" u="1"/>
        <n v="332.58" u="1"/>
        <n v="1666" u="1"/>
        <n v="1440" u="1"/>
        <n v="11086.47" u="1"/>
        <n v="9106.83" u="1"/>
        <n v="468.62" u="1"/>
        <n v="642.3984" u="1"/>
        <n v="478.1616" u="1"/>
        <n v="822.7788" u="1"/>
        <n v="435.8368" u="1"/>
        <n v="1440.99" u="1"/>
        <n v="1330.9" u="1"/>
        <n v="1296.4" u="1"/>
        <n v="359.7216" u="1"/>
        <n v="880.9400000000001" u="1"/>
        <n v="1023.8928" u="1"/>
        <n v="311.7" u="1"/>
        <n v="577.11" u="1"/>
        <n v="542.14" u="1"/>
        <n v="379.29" u="1"/>
        <n v="1261.64" u="1"/>
        <n v="483.98" u="1"/>
        <n v="865.52" u="1"/>
        <n v="1181.52" u="1"/>
        <n v="629.4400000000001" u="1"/>
        <n v="350.9" u="1"/>
        <n v="942.24" u="1"/>
        <n v="571.12" u="1"/>
        <n v="2545.09" u="1"/>
        <n v="1341.48" u="1"/>
        <n v="62249.07" u="1"/>
        <n v="638.25" u="1"/>
        <n v="782.89" u="1"/>
        <n v="266.92" u="1"/>
        <n v="153.64" u="1"/>
        <n v="1579.15" u="1"/>
        <n v="1121.85" u="1"/>
        <n v="435" u="1"/>
        <n v="204.75" u="1"/>
        <n v="266.76" u="1"/>
        <n v="266.67" u="1"/>
        <n v="222.26" u="1"/>
        <n v="7739.95" u="1"/>
        <n v="584.42" u="1"/>
        <n v="344.68" u="1"/>
        <n v="534.8" u="1"/>
        <n v="388.08" u="1"/>
        <n v="324.68" u="1"/>
        <n v="182" u="1"/>
        <n v="287.5" u="1"/>
        <n v="510.4" u="1"/>
        <n v="196.27" u="1"/>
        <n v="212.98" u="1"/>
        <n v="243.51" u="1"/>
        <n v="478.55" u="1"/>
        <n v="2524.4" u="1"/>
        <n v="702" u="1"/>
        <n v="654.9299999999999" u="1"/>
        <n v="436.96" u="1"/>
        <n v="2480" u="1"/>
        <n v="5040" u="1"/>
        <n v="2170" u="1"/>
        <n v="310.98" u="1"/>
        <n v="386" u="1"/>
        <n v="661.5" u="1"/>
        <n v="224.53" u="1"/>
        <n v="561.04" u="1"/>
        <n v="192.21" u="1"/>
        <n v="698.97" u="1"/>
        <n v="384.42" u="1"/>
        <n v="496.16" u="1"/>
        <n v="236.15" u="1"/>
        <n v="958.5" u="1"/>
        <n v="780.1799999999999" u="1"/>
        <n v="208.33" u="1"/>
        <n v="406.22" u="1"/>
        <n v="283.44" u="1"/>
        <n v="283.84" u="1"/>
        <n v="892.5" u="1"/>
        <n v="1362.8" u="1"/>
        <n v="4375.44" u="1"/>
        <n v="883.29" u="1"/>
        <n v="615" u="1"/>
        <n v="1045" u="1"/>
        <n v="2500" u="1"/>
        <n v="4104.75" u="1"/>
        <n v="285.44" u="1"/>
        <n v="1791.96" u="1"/>
        <n v="233.85" u="1"/>
        <n v="281.49" u="1"/>
        <n v="2813.7" u="1"/>
        <n v="706" u="1"/>
        <n v="283.48" u="1"/>
        <n v="4700.64" u="1"/>
        <n v="1197" u="1"/>
        <n v="4292.2396" u="1"/>
        <n v="2108.86" u="1"/>
        <n v="858.9" u="1"/>
        <n v="930.9" u="1"/>
        <n v="311.9" u="1"/>
        <n v="2989.82" u="1"/>
        <n v="1009.2" u="1"/>
        <n v="1014.99" u="1"/>
        <n v="4545.61" u="1"/>
        <n v="5275.04" u="1"/>
        <n v="396.99" u="1"/>
        <n v="784.91" u="1"/>
        <n v="1391.26" u="1"/>
        <n v="5821.13" u="1"/>
        <n v="379.94" u="1"/>
        <n v="2671.41" u="1"/>
        <n v="252.38" u="1"/>
        <n v="561.15" u="1"/>
        <n v="9203.620000000001" u="1"/>
        <n v="26737.34" u="1"/>
        <n v="6983.45" u="1"/>
        <n v="11570.73" u="1"/>
        <n v="3162.52" u="1"/>
        <n v="3430.36" u="1"/>
        <n v="12239.94" u="1"/>
        <n v="1768.66" u="1"/>
        <n v="995.9" u="1"/>
        <n v="3043.18" u="1"/>
        <n v="793.41" u="1"/>
        <n v="484.42" u="1"/>
        <n v="656.84" u="1"/>
        <n v="3442.22" u="1"/>
        <n v="758.84" u="1"/>
        <n v="1593.08" u="1"/>
        <n v="1696.78" u="1"/>
        <n v="391.08" u="1"/>
        <n v="979.36" u="1"/>
        <n v="4196.22" u="1"/>
        <n v="2091" u="1"/>
        <n v="14570" u="1"/>
        <n v="426.01" u="1"/>
        <n v="199.95" u="1"/>
        <n v="199.96" u="1"/>
        <n v="432.58" u="1"/>
        <n v="283.59" u="1"/>
        <n v="365.18" u="1"/>
        <n v="229.45" u="1"/>
        <n v="442" u="1"/>
        <n v="765.6" u="1"/>
        <n v="4317.96" u="1"/>
        <n v="542" u="1"/>
        <n v="3149" u="1"/>
        <n v="1042.02" u="1"/>
        <n v="658.9" u="1"/>
        <n v="1133.3" u="1"/>
        <n v="4079.99" u="1"/>
        <n v="456.11" u="1"/>
        <n v="1292.14" u="1"/>
        <n v="3048.41" u="1"/>
        <n v="2195.63" u="1"/>
        <n v="993.62" u="1"/>
        <n v="1623.92" u="1"/>
        <n v="783.4299999999999" u="1"/>
        <n v="1318.32" u="1"/>
        <n v="2213.56" u="1"/>
        <n v="559.12" u="1"/>
        <n v="2903.2" u="1"/>
        <n v="1104.72" u="1"/>
        <n v="2881.4" u="1"/>
        <n v="362.08" u="1"/>
        <n v="716.3099999999999" u="1"/>
        <n v="685.8" u="1"/>
        <n v="2270.84" u="1"/>
        <n v="742.34" u="1"/>
        <n v="340.42" u="1"/>
        <n v="1218.29" u="1"/>
        <n v="747.84" u="1"/>
        <n v="336.67" u="1"/>
        <n v="751.98" u="1"/>
        <n v="635.17" u="1"/>
        <n v="797.87" u="1"/>
        <n v="925.6" u="1"/>
        <n v="1539.174" u="1"/>
        <n v="11945.44" u="1"/>
        <n v="2468.01" u="1"/>
        <n v="856.5" u="1"/>
        <n v="175.22" u="1"/>
        <n v="868.035" u="1"/>
        <n v="1176.328" u="1"/>
        <n v="367.75" u="1"/>
        <n v="2495.96" u="1"/>
        <n v="85.52" u="1"/>
        <n v="11174.3879" u="1"/>
        <n v="662" u="1"/>
        <n v="91.77" u="1"/>
        <n v="652.96" u="1"/>
        <n v="293" u="1"/>
        <n v="824.913" u="1"/>
        <n v="445.7808" u="1"/>
        <n v="879.543" u="1"/>
        <n v="759.9656" u="1"/>
        <n v="1783.368" u="1"/>
        <n v="1796.34" u="1"/>
        <n v="1110.52" u="1"/>
        <n v="305" u="1"/>
        <n v="1420" u="1"/>
        <n v="292.95" u="1"/>
        <n v="2728" u="1"/>
        <n v="31938.48" u="1"/>
        <n v="2680.551" u="1"/>
        <n v="1860.95" u="1"/>
        <n v="1197.83" u="1"/>
        <n v="2273.89" u="1"/>
        <n v="489.65" u="1"/>
        <n v="2100.73" u="1"/>
        <n v="2966.21" u="1"/>
        <n v="859.52" u="1"/>
        <n v="1483.11" u="1"/>
        <n v="954.8099999999999" u="1"/>
        <n v="539.01" u="1"/>
        <n v="1020.77" u="1"/>
        <n v="3.38" u="1"/>
        <n v="3037.47" u="1"/>
        <n v="6165.98" u="1"/>
        <n v="906.1341" u="1"/>
        <n v="1162.1848" u="1"/>
        <n v="783.71" u="1"/>
        <n v="430.02" u="1"/>
        <n v="4092.56" u="1"/>
        <n v="52996.57" u="1"/>
        <n v="27793.52" u="1"/>
        <n v="576.9299999999999" u="1"/>
        <n v="2523.92" u="1"/>
        <n v="1873.44" u="1"/>
        <n v="2345" u="1"/>
        <n v="487.61" u="1"/>
        <n v="823.84" u="1"/>
        <n v="1894.32" u="1"/>
        <n v="2473.42" u="1"/>
        <n v="22769.62" u="1"/>
        <n v="514.88" u="1"/>
        <n v="1405.44" u="1"/>
        <n v="5145.5544" u="1"/>
        <n v="4748.4566" u="1"/>
        <n v="4026" u="1"/>
        <n v="2316.12" u="1"/>
        <n v="25375.65" u="1"/>
        <n v="1922.9914" u="1"/>
        <n v="971.47" u="1"/>
        <n v="398.71" u="1"/>
        <n v="1581.3548" u="1"/>
        <n v="1118.36" u="1"/>
        <n v="646.22" u="1"/>
        <n v="256.4363" u="1"/>
        <n v="17566.4" u="1"/>
        <n v="2609.37" u="1"/>
        <n v="30206.0463" u="1"/>
        <n v="24128.03" u="1"/>
        <n v="14580.18" u="1"/>
        <n v="1411.67" u="1"/>
        <n v="1364.27" u="1"/>
        <n v="693.9858" u="1"/>
        <n v="634.78" u="1"/>
        <n v="632.49" u="1"/>
        <n v="1628.34" u="1"/>
        <n v="1406.78" u="1"/>
        <n v="9056.809999999999" u="1"/>
        <n v="25126.39" u="1"/>
        <n v="6394.85" u="1"/>
        <n v="22088.34" u="1"/>
        <n v="6483.93" u="1"/>
        <n v="9015.870000000001" u="1"/>
        <n v="2637.91" u="1"/>
        <n v="3582.41" u="1"/>
        <n v="557.1" u="1"/>
        <n v="1177.52" u="1"/>
        <n v="3037.8" u="1"/>
        <n v="3311.46" u="1"/>
        <n v="3340.72" u="1"/>
        <n v="25228.68" u="1"/>
        <n v="6117.24" u="1"/>
        <n v="371.94" u="1"/>
        <n v="2650" u="1"/>
        <n v="423" u="1"/>
        <n v="286.52" u="1"/>
        <n v="24482.26" u="1"/>
        <n v="583" u="1"/>
        <n v="1421.17" u="1"/>
        <n v="1579.8" u="1"/>
        <n v="18883.87" u="1"/>
        <n v="15888.49" u="1"/>
        <n v="1971" u="1"/>
        <n v="564.78" u="1"/>
        <n v="2030" u="1"/>
        <n v="294" u="1"/>
        <n v="350.91" u="1"/>
        <n v="417" u="1"/>
        <n v="426" u="1"/>
        <n v="1397.7376" u="1"/>
        <n v="1021.8243" u="1"/>
        <n v="379.76" u="1"/>
        <n v="427.04" u="1"/>
        <n v="224.43" u="1"/>
        <n v="7393.5996" u="1"/>
        <n v="407.46" u="1"/>
        <n v="381.6736" u="1"/>
        <n v="1345.9915" u="1"/>
        <n v="234.34" u="1"/>
        <n v="427.4704" u="1"/>
        <n v="552.3952" u="1"/>
        <n v="594.0703999999999" u="1"/>
        <n v="545" u="1"/>
        <n v="182.01" u="1"/>
        <n v="279.5466" u="1"/>
        <n v="549.6934" u="1"/>
        <n v="608.54" u="1"/>
        <n v="688.2624" u="1"/>
        <n v="773.5168" u="1"/>
        <n v="468.9664" u="1"/>
        <n v="729.4784" u="1"/>
        <n v="2112.432" u="1"/>
        <n v="1933.0641" u="1"/>
        <n v="347.1328" u="1"/>
        <n v="719.4432" u="1"/>
        <n v="885.528" u="1"/>
        <n v="1257.312" u="1"/>
        <n v="132.55" u="1"/>
        <n v="350.74" u="1"/>
        <n v="188.35" u="1"/>
        <n v="830.2" u="1"/>
        <n v="785.4" u="1"/>
        <n v="264.0266" u="1"/>
        <n v="190.17" u="1"/>
        <n v="9253.09" u="1"/>
        <n v="920.3" u="1"/>
        <n v="8510" u="1"/>
        <n v="2349.09" u="1"/>
        <n v="355.42" u="1"/>
        <n v="433.26" u="1"/>
        <n v="257.7134" u="1"/>
        <n v="515.42" u="1"/>
        <n v="176" u="1"/>
        <n v="314" u="1"/>
        <n v="505.14" u="1"/>
        <n v="1713" u="1"/>
        <n v="155.5" u="1"/>
        <n v="150.12" u="1"/>
        <n v="176.15" u="1"/>
        <n v="521.55" u="1"/>
        <n v="568.8" u="1"/>
        <n v="552" u="1"/>
        <n v="333" u="1"/>
        <n v="568.65" u="1"/>
        <n v="617.16" u="1"/>
        <n v="479.568" u="1"/>
        <n v="242.64" u="1"/>
        <n v="371.98" u="1"/>
        <n v="419.98" u="1"/>
        <n v="2486.7465" u="1"/>
        <n v="1389.6" u="1"/>
        <n v="224" u="1"/>
        <n v="246.92" u="1"/>
        <n v="222.62" u="1"/>
        <n v="100.0832" u="1"/>
        <n v="192.6597" u="1"/>
        <n v="5490.5799" u="1"/>
        <n v="444.4384" u="1"/>
        <n v="463.64" u="1"/>
        <n v="287.53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876.62" u="1"/>
        <n v="744.7899" u="1"/>
        <n v="149.59" u="1"/>
        <n v="464.65" u="1"/>
        <n v="1112.6976" u="1"/>
        <n v="790.23" u="1"/>
        <n v="268.32" u="1"/>
        <n v="1200" u="1"/>
        <n v="916.29" u="1"/>
        <n v="832.52" u="1"/>
        <n v="604.0299" u="1"/>
        <n v="464.6" u="1"/>
        <n v="18225" u="1"/>
        <n v="1778.9176" u="1"/>
        <n v="2123.6096" u="1"/>
        <n v="852.4688" u="1"/>
        <n v="834" u="1"/>
        <n v="590" u="1"/>
        <n v="351.26" u="1"/>
        <n v="657.8" u="1"/>
        <n v="738.27" u="1"/>
        <n v="723.8" u="1"/>
        <n v="561.2" u="1"/>
        <n v="544" u="1"/>
        <n v="1544.81" u="1"/>
        <n v="383.93" u="1"/>
        <n v="381.61" u="1"/>
        <n v="247.49" u="1"/>
        <n v="365.65" u="1"/>
        <n v="863.01" u="1"/>
        <n v="1127.27" u="1"/>
        <n v="770.99" u="1"/>
        <n v="738.1799999999999" u="1"/>
        <n v="299.52" u="1"/>
        <n v="300.6" u="1"/>
        <n v="585.3200000000001" u="1"/>
        <n v="596.4336" u="1"/>
        <n v="571.1664" u="1"/>
        <n v="6172.2" u="1"/>
        <n v="5527.32" u="1"/>
        <n v="7146.72" u="1"/>
        <n v="513.66" u="1"/>
        <n v="235.8" u="1"/>
        <n v="1046.41" u="1"/>
        <n v="352.4175" u="1"/>
        <n v="539.65" u="1"/>
        <n v="616.7" u="1"/>
        <n v="1348.76" u="1"/>
        <n v="361.6032" u="1"/>
        <n v="881.0816" u="1"/>
        <n v="771.5904" u="1"/>
        <n v="591.822" u="1"/>
        <n v="892.92" u="1"/>
        <n v="1702.46" u="1"/>
        <n v="155.54" u="1"/>
        <n v="589.3299" u="1"/>
        <n v="470.13" u="1"/>
        <n v="2185.512" u="1"/>
        <n v="549.0576" u="1"/>
        <n v="498.05" u="1"/>
        <n v="294.64" u="1"/>
        <n v="254.6096" u="1"/>
        <n v="366.0384" u="1"/>
        <n v="645.9712" u="1"/>
        <n v="467.0001" u="1"/>
        <n v="364.8" u="1"/>
        <n v="204.36" u="1"/>
        <n v="2700" u="1"/>
        <n v="263.34" u="1"/>
        <n v="221" u="1"/>
        <n v="1648.14" u="1"/>
        <n v="499.725" u="1"/>
        <n v="169.49" u="1"/>
        <n v="445.86" u="1"/>
        <n v="262.34" u="1"/>
        <n v="7978.24" u="1"/>
        <n v="636.456" u="1"/>
        <n v="390.3134" u="1"/>
        <n v="491.5299" u="1"/>
        <n v="474.885" u="1"/>
        <n v="173.74" u="1"/>
        <n v="316.2534" u="1"/>
        <n v="3475.8" u="1"/>
        <n v="1302.89" u="1"/>
        <n v="317.49" u="1"/>
        <n v="1460.4" u="1"/>
        <n v="1080.37" u="1"/>
        <n v="1429.64" u="1"/>
        <n v="1943.15" u="1"/>
        <n v="1479.45" u="1"/>
        <n v="2518.49" u="1"/>
        <n v="1280.96" u="1"/>
        <n v="1044.9608" u="1"/>
        <n v="162.83" u="1"/>
        <n v="5225.62" u="1"/>
        <n v="1658.52" u="1"/>
        <n v="1140.51" u="1"/>
        <n v="543.62" u="1"/>
        <n v="757.1522" u="1"/>
        <n v="1163.9269" u="1"/>
        <n v="628.23" u="1"/>
        <n v="559.92" u="1"/>
        <n v="994.4" u="1"/>
        <n v="2183.12" u="1"/>
        <n v="966.24" u="1"/>
        <n v="1327.2" u="1"/>
        <n v="340.36" u="1"/>
        <n v="312.72" u="1"/>
        <n v="479.12" u="1"/>
        <n v="511.59" u="1"/>
        <n v="908.58" u="1"/>
        <n v="412.82" u="1"/>
        <n v="923.1523999999999" u="1"/>
        <n v="568.3099999999999" u="1"/>
        <n v="1301.64" u="1"/>
        <n v="408.92" u="1"/>
        <n v="1770.15" u="1"/>
        <n v="244.25" u="1"/>
        <n v="1824.11" u="1"/>
        <n v="1198.83" u="1"/>
        <n v="1020.42" u="1"/>
        <n v="1807.45" u="1"/>
        <n v="500.2" u="1"/>
        <n v="2915.09" u="1"/>
        <n v="783.1775" u="1"/>
        <n v="961.72" u="1"/>
        <n v="1174.7662" u="1"/>
        <n v="627.3099999999999" u="1"/>
        <n v="2868.78" u="1"/>
        <n v="3515.24" u="1"/>
        <n v="1073.44" u="1"/>
        <n v="697.9400000000001" u="1"/>
        <n v="1309.95" u="1"/>
        <n v="979.9347" u="1"/>
        <n v="903.5" u="1"/>
        <n v="980.92" u="1"/>
        <n v="1945.47" u="1"/>
        <n v="5671.08" u="1"/>
        <n v="4634.1" u="1"/>
        <n v="856.35" u="1"/>
        <n v="1077.18" u="1"/>
        <n v="374.58" u="1"/>
        <n v="331.23" u="1"/>
        <n v="1202.46" u="1"/>
        <n v="229.71" u="1"/>
        <n v="220.13" u="1"/>
        <n v="1041.88" u="1"/>
        <n v="39894.33" u="1"/>
        <n v="5062.5" u="1"/>
        <n v="6431.94" u="1"/>
        <n v="333.2" u="1"/>
        <n v="1993.93" u="1"/>
        <n v="13358.35" u="1"/>
        <n v="1634.39" u="1"/>
        <n v="4275.69" u="1"/>
        <n v="9326.940000000001" u="1"/>
        <n v="1060.22" u="1"/>
        <n v="5182.22" u="1"/>
        <n v="1565.79" u="1"/>
        <n v="2779.03" u="1"/>
        <n v="29011.59" u="1"/>
        <n v="5346.38" u="1"/>
        <n v="741" u="1"/>
        <n v="654.55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2" u="1"/>
        <n v="237.9" u="1"/>
        <n v="3075.91" u="1"/>
        <n v="1449.8" u="1"/>
        <n v="886.8" u="1"/>
        <n v="3047.82" u="1"/>
        <n v="4609.98" u="1"/>
        <n v="22261.27" u="1"/>
        <n v="442.25" u="1"/>
        <n v="473.55" u="1"/>
        <n v="11087.8" u="1"/>
        <n v="1497.852" u="1"/>
        <n v="2891.49" u="1"/>
        <n v="787.5" u="1"/>
        <n v="2495" u="1"/>
        <n v="998" u="1"/>
        <n v="1593.07" u="1"/>
        <n v="1694.54" u="1"/>
        <n v="250.95" u="1"/>
        <n v="1280.4" u="1"/>
        <n v="564.7701" u="1"/>
        <n v="637.6599" u="1"/>
        <n v="194.1" u="1"/>
        <n v="5080.8765" u="1"/>
        <n v="212" u="1"/>
        <n v="576.9607999999999" u="1"/>
        <n v="573.6742" u="1"/>
        <n v="804.6" u="1"/>
        <n v="1472" u="1"/>
        <n v="304.53" u="1"/>
        <n v="1208.88" u="1"/>
        <n v="488.2" u="1"/>
        <n v="9409" u="1"/>
        <n v="4040" u="1"/>
        <n v="304" u="1"/>
        <n v="1152" u="1"/>
        <n v="786.6" u="1"/>
        <n v="7861.6" u="1"/>
        <n v="5055.3" u="1"/>
        <n v="780" u="1"/>
        <n v="1994.09" u="1"/>
        <n v="284.44" u="1"/>
        <n v="558.64" u="1"/>
        <n v="574.55" u="1"/>
        <n v="1052.37" u="1"/>
        <n v="761.11" u="1"/>
        <n v="871.6799999999999" u="1"/>
        <n v="1640.62" u="1"/>
        <n v="532.36" u="1"/>
        <n v="1679.04" u="1"/>
        <n v="400.31" u="1"/>
        <n v="3452.49" u="1"/>
        <n v="3929.44" u="1"/>
        <n v="643.2" u="1"/>
        <n v="1126.24" u="1"/>
        <n v="548.34" u="1"/>
        <n v="1263.92" u="1"/>
        <n v="203.4" u="1"/>
        <n v="4153.09" u="1"/>
        <n v="407.61" u="1"/>
        <n v="2104.19" u="1"/>
        <n v="396.45" u="1"/>
        <n v="413.34" u="1"/>
        <n v="20997.12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946" u="1"/>
        <n v="1419" u="1"/>
        <n v="295.62" u="1"/>
        <n v="607" u="1"/>
        <n v="308" u="1"/>
        <n v="497.58" u="1"/>
        <n v="239" u="1"/>
        <n v="13776.0714" u="1"/>
        <n v="1364.76" u="1"/>
        <n v="869" u="1"/>
        <n v="1980" u="1"/>
        <n v="3307.5" u="1"/>
        <n v="2900" u="1"/>
        <n v="117.78" u="1"/>
        <n v="339.93" u="1"/>
        <n v="100.1" u="1"/>
        <n v="849" u="1"/>
        <n v="889.2" u="1"/>
        <n v="2593.8297" u="1"/>
        <n v="4751.16" u="1"/>
        <n v="10853.1808" u="1"/>
        <n v="836.09" u="1"/>
        <n v="681.76" u="1"/>
        <n v="481" u="1"/>
        <n v="625.59" u="1"/>
        <n v="1235.83" u="1"/>
        <n v="1449.45" u="1"/>
        <n v="708.64" u="1"/>
        <n v="1294.32" u="1"/>
        <n v="816.3200000000001" u="1"/>
        <n v="1157.12" u="1"/>
        <n v="1006" u="1"/>
        <n v="823.13" u="1"/>
        <n v="2219.54" u="1"/>
        <n v="2405.1" u="1"/>
        <n v="789.96" u="1"/>
        <n v="3263.82" u="1"/>
        <n v="4918.47" u="1"/>
        <n v="5546.573" u="1"/>
        <n v="679.37" u="1"/>
        <n v="11810.88" u="1"/>
        <n v="38798.76" u="1"/>
        <n v="4047.6" u="1"/>
        <n v="4274.26" u="1"/>
        <n v="4263.47" u="1"/>
        <n v="1198.74" u="1"/>
        <n v="2538.95" u="1"/>
        <n v="433.84" u="1"/>
        <n v="675.62" u="1"/>
        <n v="586.4400000000001" u="1"/>
        <n v="837.67" u="1"/>
        <n v="690.99" u="1"/>
        <n v="300.59" u="1"/>
        <n v="953.92" u="1"/>
        <n v="1380.22" u="1"/>
        <n v="702.89" u="1"/>
        <n v="1890.86" u="1"/>
        <n v="1206" u="1"/>
        <n v="5538" u="1"/>
        <n v="3339" u="1"/>
        <n v="1349" u="1"/>
        <n v="189.6" u="1"/>
        <n v="2589.7984" u="1"/>
        <n v="659.9199" u="1"/>
        <n v="572.5104" u="1"/>
        <n v="609.168" u="1"/>
        <n v="432.2066" u="1"/>
        <n v="427.67" u="1"/>
        <n v="434.61" u="1"/>
        <n v="577.597" u="1"/>
        <n v="284.9" u="1"/>
        <n v="247.92" u="1"/>
        <n v="1119" u="1"/>
        <n v="2058.26" u="1"/>
        <n v="1142.94" u="1"/>
        <n v="1098.51" u="1"/>
        <n v="1943.16" u="1"/>
        <n v="7087.52" u="1"/>
        <n v="262.8" u="1"/>
        <n v="361.04" u="1"/>
        <n v="903.2" u="1"/>
        <n v="956" u="1"/>
        <n v="2985" u="1"/>
        <n v="843.75" u="1"/>
        <n v="590.15" u="1"/>
        <n v="790.3" u="1"/>
        <n v="811.3" u="1"/>
        <n v="474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" u="1"/>
        <n v="3647.48" u="1"/>
        <n v="865.16" u="1"/>
        <n v="226.71" u="1"/>
        <n v="0.06" u="1"/>
        <n v="983.92" u="1"/>
        <n v="907.5" u="1"/>
        <n v="774.24" u="1"/>
        <n v="630.9" u="1"/>
        <n v="1583.4768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094.02" u="1"/>
        <n v="3766.5" u="1"/>
        <n v="1746" u="1"/>
        <n v="1174" u="1"/>
        <n v="134.92" u="1"/>
        <n v="299.92" u="1"/>
        <n v="253.42" u="1"/>
        <n v="2069.52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801.1" u="1"/>
        <n v="235.88" u="1"/>
        <n v="86.5" u="1"/>
        <n v="947.9" u="1"/>
        <n v="778.17" u="1"/>
        <n v="2988.9" u="1"/>
        <n v="2087.44" u="1"/>
        <n v="1474.86" u="1"/>
        <n v="1103.1" u="1"/>
        <n v="785.8" u="1"/>
        <n v="1403.76" u="1"/>
        <n v="734.92" u="1"/>
        <n v="2154.59" u="1"/>
        <n v="444.6" u="1"/>
        <n v="1338.96" u="1"/>
        <n v="458.92" u="1"/>
        <n v="1941.43" u="1"/>
        <n v="13217.1015" u="1"/>
        <n v="70.20999999999999" u="1"/>
        <n v="46.23" u="1"/>
        <n v="218.22" u="1"/>
        <n v="213.56" u="1"/>
        <n v="654.49" u="1"/>
        <n v="692.75" u="1"/>
        <n v="533.8" u="1"/>
        <n v="905" u="1"/>
        <n v="15562.72" u="1"/>
        <n v="2264.36" u="1"/>
        <n v="2456.09" u="1"/>
        <n v="514" u="1"/>
        <n v="34944.52" u="1"/>
        <n v="3708.48" u="1"/>
        <n v="15775.48" u="1"/>
        <n v="4108.16" u="1"/>
        <n v="1129.97" u="1"/>
        <n v="1001.08" u="1"/>
        <n v="500.8226" u="1"/>
        <n v="558.3884" u="1"/>
        <n v="1641.731" u="1"/>
        <n v="2211.34" u="1"/>
        <n v="2076.8832" u="1"/>
        <n v="1104.264" u="1"/>
        <n v="2518.0512" u="1"/>
        <n v="1435" u="1"/>
        <n v="244" u="1"/>
        <n v="211.55" u="1"/>
        <n v="168" u="1"/>
        <n v="357.87" u="1"/>
        <n v="92.83" u="1"/>
        <n v="2142.8" u="1"/>
        <n v="2292.48" u="1"/>
        <n v="3429" u="1"/>
        <n v="815.673" u="1"/>
        <n v="2105.18" u="1"/>
        <n v="417.74" u="1"/>
        <n v="1827.8" u="1"/>
        <n v="476" u="1"/>
        <n v="2391.27" u="1"/>
        <n v="2112" u="1"/>
        <n v="433.76" u="1"/>
        <n v="4084.596" u="1"/>
        <n v="2613.704" u="1"/>
        <n v="81.3" u="1"/>
        <n v="78.29000000000001" u="1"/>
        <n v="150.35" u="1"/>
        <n v="148.68" u="1"/>
        <n v="342.08" u="1"/>
        <n v="57.15" u="1"/>
        <n v="3748.6" u="1"/>
        <n v="538" u="1"/>
        <n v="138.6" u="1"/>
        <n v="352.75" u="1"/>
        <n v="251.055" u="1"/>
        <n v="403.065" u="1"/>
        <n v="1240" u="1"/>
        <n v="2360" u="1"/>
        <n v="414" u="1"/>
        <n v="500.0301" u="1"/>
        <n v="367.2032" u="1"/>
        <n v="405.5475" u="1"/>
        <n v="5741.4" u="1"/>
        <n v="93.22" u="1"/>
        <n v="364.7392" u="1"/>
        <n v="260.8704" u="1"/>
        <n v="1273.94" u="1"/>
        <n v="117" u="1"/>
        <n v="903" u="1"/>
        <n v="354.72" u="1"/>
        <n v="229.59" u="1"/>
        <n v="625.3200000000001" u="1"/>
        <n v="9921.190000000001" u="1"/>
        <n v="7750.49" u="1"/>
        <n v="1181.02" u="1"/>
        <n v="20916.06" u="1"/>
        <n v="3296.6" u="1"/>
        <n v="17747.12" u="1"/>
        <n v="17795.31" u="1"/>
        <n v="43540.7472" u="1"/>
        <n v="4772.54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6" u="1"/>
        <n v="3530.9" u="1"/>
        <n v="8390.129999999999" u="1"/>
        <n v="905.79" u="1"/>
        <n v="3100.86" u="1"/>
        <n v="21598.78" u="1"/>
        <n v="25096.062" u="1"/>
        <n v="2336.78" u="1"/>
        <n v="18964.37" u="1"/>
        <n v="37618.96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1" u="1"/>
        <n v="1183.7853" u="1"/>
        <n v="3008" u="1"/>
        <n v="2454.28" u="1"/>
        <n v="220.45" u="1"/>
        <n v="4781" u="1"/>
        <n v="697.38" u="1"/>
        <n v="2022.12" u="1"/>
        <n v="433.09" u="1"/>
        <n v="1165.85" u="1"/>
        <n v="637.02" u="1"/>
        <n v="637.03" u="1"/>
        <n v="574.4" u="1"/>
        <n v="1136.09" u="1"/>
        <n v="555.4400000000001" u="1"/>
        <n v="1993.1" u="1"/>
        <n v="1908.64" u="1"/>
        <n v="672.6" u="1"/>
        <n v="572.84" u="1"/>
        <n v="686.3200000000001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" u="1"/>
        <n v="1488.72" u="1"/>
        <n v="1097.44" u="1"/>
        <n v="357.8" u="1"/>
        <n v="1023.87" u="1"/>
        <n v="1201.11" u="1"/>
        <n v="999.89" u="1"/>
        <n v="495.8" u="1"/>
        <n v="5116.96" u="1"/>
        <n v="1190" u="1"/>
        <n v="391.13" u="1"/>
        <n v="6291.72" u="1"/>
        <n v="2099.08" u="1"/>
        <n v="4141.67" u="1"/>
        <n v="917.96" u="1"/>
        <n v="632.8" u="1"/>
        <n v="1514.34" u="1"/>
        <n v="8062" u="1"/>
        <n v="2445.83" u="1"/>
        <n v="11427.9511" u="1"/>
        <n v="22027.1484" u="1"/>
        <n v="5064.6993" u="1"/>
        <n v="24815.27" u="1"/>
        <n v="787.7184" u="1"/>
        <n v="3963.33" u="1"/>
        <n v="304.0352" u="1"/>
        <n v="432.17" u="1"/>
        <n v="6099.25" u="1"/>
        <n v="574.3248" u="1"/>
        <n v="446.2752" u="1"/>
        <n v="774.3792" u="1"/>
        <n v="5243" u="1"/>
        <n v="325" u="1"/>
        <n v="752.73" u="1"/>
        <n v="139" u="1"/>
        <n v="154.8" u="1"/>
        <n v="143" u="1"/>
        <n v="548.02" u="1"/>
        <n v="283.02" u="1"/>
        <n v="286.04" u="1"/>
        <n v="6488.2" u="1"/>
        <n v="1622.05" u="1"/>
        <n v="4866.15" u="1"/>
        <n v="2350.03" u="1"/>
        <n v="1545.41" u="1"/>
        <n v="856.3" u="1"/>
        <n v="1031.76" u="1"/>
        <n v="1221.91" u="1"/>
        <n v="606.88" u="1"/>
        <n v="329.3" u="1"/>
        <n v="1485.6536" u="1"/>
        <n v="852.928" u="1"/>
        <n v="812.0599999999999" u="1"/>
        <n v="455.51" u="1"/>
        <n v="325.38" u="1"/>
        <n v="590.7399" u="1"/>
        <n v="559.74" u="1"/>
        <n v="871.24" u="1"/>
        <n v="330.1666" u="1"/>
        <n v="3191.605" u="1"/>
        <n v="102" u="1"/>
        <n v="1141.4004" u="1"/>
        <n v="258.78" u="1"/>
        <n v="730.71" u="1"/>
        <n v="6196.32" u="1"/>
        <n v="539.28" u="1"/>
        <n v="746.4457" u="1"/>
        <n v="1225.02" u="1"/>
        <n v="1394.84" u="1"/>
        <n v="4630.78" u="1"/>
        <n v="1162.43" u="1"/>
        <n v="6068.29" u="1"/>
        <n v="9215.88999999999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" u="1"/>
        <n v="951.2" u="1"/>
        <n v="9834.98" u="1"/>
        <n v="4644.23" u="1"/>
        <n v="7070.15" u="1"/>
        <n v="9181.34" u="1"/>
        <n v="4497.65" u="1"/>
        <n v="3676.91" u="1"/>
        <n v="6918.66" u="1"/>
        <n v="9050.530000000001" u="1"/>
        <n v="444.25" u="1"/>
        <n v="991.3701" u="1"/>
        <n v="1083.86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" u="1"/>
        <n v="1221" u="1"/>
        <n v="2608.23" u="1"/>
        <n v="1268.57" u="1"/>
        <n v="8820.2192" u="1"/>
        <n v="29460.8664" u="1"/>
        <n v="29536.3656" u="1"/>
        <n v="25863.882" u="1"/>
        <n v="32068.2582" u="1"/>
        <n v="12428.3412" u="1"/>
        <n v="3900.2495" u="1"/>
        <n v="1240.344" u="1"/>
        <n v="89.22" u="1"/>
        <n v="3411.19" u="1"/>
        <n v="1904.19" u="1"/>
        <n v="61" u="1"/>
        <n v="144" u="1"/>
        <n v="9670.3505" u="1"/>
        <n v="1834.87" u="1"/>
        <n v="2666.316" u="1"/>
        <n v="816.6799999999999" u="1"/>
        <n v="176.3" u="1"/>
        <n v="1" u="1"/>
        <n v="931.5599999999999" u="1"/>
        <n v="480.04" u="1"/>
        <n v="1594.03" u="1"/>
        <n v="696.83" u="1"/>
        <n v="564.87" u="1"/>
        <n v="1178.22" u="1"/>
        <n v="41799.5592" u="1"/>
        <n v="5640.8688" u="1"/>
        <n v="3657.19" u="1"/>
        <n v="5160" u="1"/>
        <n v="86.0889" u="1"/>
        <n v="192.63" u="1"/>
        <n v="1873" u="1"/>
        <n v="4094.16" u="1"/>
        <n v="677.928" u="1"/>
        <n v="919.59" u="1"/>
        <n v="7024.16" u="1"/>
        <n v="1049" u="1"/>
        <n v="2145" u="1"/>
        <n v="812176.8786000001" u="1"/>
        <n v="7100.87" u="1"/>
        <n v="229.2" u="1"/>
        <n v="619.2" u="1"/>
        <n v="274.51" u="1"/>
        <n v="2889.936" u="1"/>
        <n v="809.7" u="1"/>
        <n v="159.715" u="1"/>
        <n v="170.365" u="1"/>
        <n v="2464.52" u="1"/>
        <n v="1224.3" u="1"/>
        <n v="4802.1138" u="1"/>
        <n v="1335.02" u="1"/>
        <n v="1472.04" u="1"/>
        <n v="2131.75" u="1"/>
        <n v="1956.04" u="1"/>
        <n v="2407.19" u="1"/>
        <n v="4933.11" u="1"/>
        <n v="2533.73" u="1"/>
        <n v="9937.41" u="1"/>
        <n v="3154.9835" u="1"/>
        <n v="624.2935" u="1"/>
        <n v="884.45" u="1"/>
        <n v="558.67" u="1"/>
        <n v="1895.7323" u="1"/>
        <n v="1516.8013" u="1"/>
        <n v="1215.06" u="1"/>
        <n v="446.86" u="1"/>
        <n v="2924.21" u="1"/>
        <n v="5221.12" u="1"/>
        <n v="851.2007" u="1"/>
        <n v="1465.354" u="1"/>
        <n v="946.5" u="1"/>
        <n v="1152.06" u="1"/>
        <n v="1404.5787" u="1"/>
        <n v="1442.6652" u="1"/>
        <n v="969.0857999999999" u="1"/>
        <n v="1365.8936" u="1"/>
        <n v="1762.9734" u="1"/>
        <n v="19657.91" u="1"/>
        <n v="21751.36" u="1"/>
        <n v="3804.75" u="1"/>
        <n v="22104.9" u="1"/>
        <n v="18021.96" u="1"/>
        <n v="582.6799999999999" u="1"/>
        <n v="1992.42" u="1"/>
        <n v="208.24" u="1"/>
        <n v="5234.2387" u="1"/>
        <n v="1549.9062" u="1"/>
        <n v="832.627" u="1"/>
        <n v="3766.9804" u="1"/>
        <n v="2279.76" u="1"/>
        <n v="2098.71" u="1"/>
        <n v="543.92" u="1"/>
        <n v="24863.772" u="1"/>
        <n v="1559.86" u="1"/>
        <n v="2773.0839" u="1"/>
        <n v="1518.9472" u="1"/>
        <n v="2898.3043" u="1"/>
        <n v="2402.175" u="1"/>
        <n v="2597.3959" u="1"/>
        <n v="18197.04" u="1"/>
        <n v="15062.09" u="1"/>
        <n v="367.09" u="1"/>
        <n v="1238.16" u="1"/>
        <n v="957.35" u="1"/>
        <n v="1997.1" u="1"/>
        <n v="4939.11" u="1"/>
        <n v="97.48" u="1"/>
        <n v="813.27" u="1"/>
        <n v="2785.9" u="1"/>
        <n v="650.1824" u="1"/>
        <n v="826.28" u="1"/>
        <n v="7743.72" u="1"/>
        <n v="432.16" u="1"/>
        <n v="2292.9" u="1"/>
        <n v="193.2" u="1"/>
        <n v="1616" u="1"/>
        <n v="2651.8" u="1"/>
        <n v="3444.7204" u="1"/>
        <n v="783.104" u="1"/>
        <n v="1478.39" u="1"/>
        <n v="637.98" u="1"/>
        <n v="1679.03" u="1"/>
        <n v="431.88" u="1"/>
        <n v="883.2" u="1"/>
        <n v="9015.606599999999" u="1"/>
        <n v="329.8466" u="1"/>
        <n v="694.59" u="1"/>
        <n v="582.3085" u="1"/>
        <n v="38720.82" u="1"/>
        <n v="1168" u="1"/>
        <n v="626.3165" u="1"/>
        <n v="312.4576" u="1"/>
        <n v="1094" u="1"/>
        <n v="1693.6" u="1"/>
        <n v="1417.09" u="1"/>
        <n v="977.52" u="1"/>
        <n v="387" u="1"/>
        <n v="531.6" u="1"/>
        <n v="976.35" u="1"/>
        <n v="219.12" u="1"/>
        <n v="8668.440000000001" u="1"/>
        <n v="1336.31" u="1"/>
        <n v="1127.65" u="1"/>
        <n v="1022.25" u="1"/>
        <n v="623.2" u="1"/>
        <n v="368.63" u="1"/>
        <n v="10184.5" u="1"/>
        <n v="490.5152" u="1"/>
        <n v="176.232" u="1"/>
        <n v="773.136" u="1"/>
        <n v="422.446" u="1"/>
        <n v="476.336" u="1"/>
        <n v="820.2655999999999" u="1"/>
        <n v="289.4752" u="1"/>
        <n v="367.8864" u="1"/>
        <n v="788.72" u="1"/>
        <n v="1306.68" u="1"/>
        <n v="369.6" u="1"/>
        <n v="2213.92" u="1"/>
        <n v="3872.352" u="1"/>
        <n v="1936.176" u="1"/>
        <n v="759" u="1"/>
        <n v="540.55" u="1"/>
        <n v="2237.94" u="1"/>
        <n v="1810.78" u="1"/>
        <n v="2540.53" u="1"/>
        <n v="558.24" u="1"/>
        <n v="694.8" u="1"/>
        <n v="278.4" u="1"/>
        <n v="1956.3" u="1"/>
        <n v="387.39" u="1"/>
        <n v="1038.21" u="1"/>
        <n v="419.92" u="1"/>
        <n v="518.3200000000001" u="1"/>
        <n v="313.11" u="1"/>
        <n v="8032.392" u="1"/>
        <n v="2347.968" u="1"/>
        <n v="206.67" u="1"/>
        <n v="754.2864" u="1"/>
        <n v="387.8" u="1"/>
        <n v="24223.13" u="1"/>
        <n v="699.8" u="1"/>
        <n v="555.6099" u="1"/>
        <n v="41.9" u="1"/>
        <n v="104.23" u="1"/>
        <n v="869.5232" u="1"/>
        <n v="872" u="1"/>
        <n v="79.90000000000001" u="1"/>
        <n v="40.44" u="1"/>
        <n v="1329.37" u="1"/>
        <n v="448.081" u="1"/>
        <n v="4555.3" u="1"/>
        <n v="1374.95" u="1"/>
        <n v="1085.84" u="1"/>
        <n v="445.05" u="1"/>
        <n v="7347.648" u="1"/>
        <n v="717.4272" u="1"/>
        <n v="283.1066" u="1"/>
        <n v="703.5665" u="1"/>
        <n v="3489.09" u="1"/>
        <n v="450.015" u="1"/>
        <n v="477.8816" u="1"/>
        <n v="734.3616" u="1"/>
        <n v="1220" u="1"/>
        <n v="318.25" u="1"/>
        <n v="3236.1302" u="1"/>
        <n v="2908.56" u="1"/>
        <n v="4623.27" u="1"/>
        <n v="196.7056" u="1"/>
        <n v="390.2752" u="1"/>
        <n v="177.24" u="1"/>
        <n v="1442.22" u="1"/>
        <n v="1007.12" u="1"/>
        <n v="31426.72" u="1"/>
        <n v="1357.5852" u="1"/>
        <n v="368.2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" u="1"/>
        <n v="360.72" u="1"/>
        <n v="512.9" u="1"/>
        <n v="1933.03" u="1"/>
        <n v="904.34" u="1"/>
        <n v="1667.02" u="1"/>
        <n v="732.45" u="1"/>
        <n v="195.55" u="1"/>
        <n v="1531.04" u="1"/>
        <n v="553.49" u="1"/>
        <n v="408.42" u="1"/>
        <n v="408.41" u="1"/>
        <n v="874.5599999999999" u="1"/>
        <n v="397.13" u="1"/>
        <n v="789.52" u="1"/>
        <n v="209.99" u="1"/>
        <n v="1049.95" u="1"/>
        <n v="689.97" u="1"/>
        <n v="629.97" u="1"/>
        <n v="577.47" u="1"/>
        <n v="839.96" u="1"/>
        <n v="618.67" u="1"/>
        <n v="21271.488" u="1"/>
        <n v="237600" u="1"/>
        <n v="196.36" u="1"/>
        <n v="439.5552" u="1"/>
        <n v="961.0496000000001" u="1"/>
        <n v="527.7075" u="1"/>
        <n v="629" u="1"/>
        <n v="820.5119999999999" u="1"/>
        <n v="3042" u="1"/>
        <n v="195.715" u="1"/>
        <n v="201.24" u="1"/>
        <n v="2872.4" u="1"/>
        <n v="795.72" u="1"/>
        <n v="594.08" u="1"/>
        <n v="222.49" u="1"/>
        <n v="268.09" u="1"/>
        <n v="2783.8608" u="1"/>
        <n v="1158.76" u="1"/>
        <n v="954.73" u="1"/>
        <n v="720.712" u="1"/>
        <n v="1617.96" u="1"/>
        <n v="233.46" u="1"/>
        <n v="708.71" u="1"/>
        <n v="786.3072" u="1"/>
        <n v="826.224" u="1"/>
        <n v="248.34" u="1"/>
        <n v="1325.072" u="1"/>
        <n v="522.0096" u="1"/>
        <n v="731.85" u="1"/>
        <n v="384.12" u="1"/>
        <n v="159.4768" u="1"/>
        <n v="964.72" u="1"/>
        <n v="49.25" u="1"/>
        <n v="367.2256" u="1"/>
        <n v="403.9392" u="1"/>
        <n v="377.72" u="1"/>
        <n v="177.09" u="1"/>
        <n v="124.05" u="1"/>
        <n v="249.26" u="1"/>
        <n v="164.08" u="1"/>
        <n v="10154.59" u="1"/>
        <n v="1348.9168" u="1"/>
        <n v="358.7136" u="1"/>
        <n v="1973" u="1"/>
        <n v="201.93" u="1"/>
        <n v="175.25" u="1"/>
        <n v="103.77" u="1"/>
        <n v="473.34" u="1"/>
        <n v="1429.032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" u="1"/>
        <n v="685.7536" u="1"/>
        <n v="599.9001" u="1"/>
        <n v="638.7201" u="1"/>
        <n v="429.57" u="1"/>
        <n v="574.8375" u="1"/>
        <n v="364.0896" u="1"/>
        <n v="618.408" u="1"/>
        <n v="177.22" u="1"/>
        <n v="508.368" u="1"/>
        <n v="154.56" u="1"/>
        <n v="485.9456" u="1"/>
        <n v="620.528" u="1"/>
        <n v="420.39" u="1"/>
        <n v="541.92" u="1"/>
        <n v="1251.31" u="1"/>
        <n v="1596.98" u="1"/>
        <n v="525.22" u="1"/>
        <n v="962.1" u="1"/>
        <n v="291.8" u="1"/>
        <n v="1009" u="1"/>
        <n v="1029" u="1"/>
        <n v="701.3200000000001" u="1"/>
        <n v="379" u="1"/>
        <n v="249.6" u="1"/>
        <n v="2043" u="1"/>
        <n v="275.1" u="1"/>
        <n v="914.1" u="1"/>
        <n v="192.165" u="1"/>
        <n v="1093.98" u="1"/>
        <n v="402.6288" u="1"/>
        <n v="677.824" u="1"/>
        <n v="814.184" u="1"/>
        <n v="475.0704" u="1"/>
        <n v="399.9744" u="1"/>
        <n v="218.3552" u="1"/>
        <n v="316.7136" u="1"/>
        <n v="597.352" u="1"/>
        <n v="1070.4064" u="1"/>
        <n v="436.6656" u="1"/>
        <n v="624.4448" u="1"/>
        <n v="641.76" u="1"/>
        <n v="1674.624" u="1"/>
        <n v="345.87" u="1"/>
        <n v="249.8" u="1"/>
        <n v="550.7712" u="1"/>
        <n v="1006.06" u="1"/>
        <n v="725.62" u="1"/>
        <n v="336.12" u="1"/>
        <n v="271.48" u="1"/>
        <n v="745.75" u="1"/>
        <n v="6001.35" u="1"/>
        <n v="19513.86" u="1"/>
        <n v="526.13" u="1"/>
        <n v="496" u="1"/>
        <n v="2344.9" u="1"/>
        <n v="1895.88" u="1"/>
        <n v="1444.72" u="1"/>
        <n v="1017.4" u="1"/>
        <n v="1556.82" u="1"/>
        <n v="459.27" u="1"/>
        <n v="2753.47" u="1"/>
        <n v="1034.92" u="1"/>
        <n v="179.36" u="1"/>
        <n v="633.67" u="1"/>
        <n v="350.47" u="1"/>
        <n v="404.16" u="1"/>
        <n v="1905.46" u="1"/>
        <n v="2650.63" u="1"/>
        <n v="339.17" u="1"/>
        <n v="530.3200000000001" u="1"/>
        <n v="681.67" u="1"/>
        <n v="962.95" u="1"/>
        <n v="3225.44" u="1"/>
        <n v="619.9400000000001" u="1"/>
        <n v="269.04" u="1"/>
        <n v="757.25" u="1"/>
        <n v="1384.42" u="1"/>
        <n v="373" u="1"/>
        <n v="675.9" u="1"/>
        <n v="1764.11" u="1"/>
        <n v="524.25" u="1"/>
        <n v="787.8" u="1"/>
        <n v="449.28" u="1"/>
        <n v="1488.56" u="1"/>
        <n v="269.1" u="1"/>
        <n v="421.71" u="1"/>
        <n v="498.58" u="1"/>
        <n v="213.66" u="1"/>
        <n v="5032.69" u="1"/>
        <n v="3543.27" u="1"/>
        <n v="649.38" u="1"/>
        <n v="1181.76" u="1"/>
        <n v="1233.0802" u="1"/>
        <n v="587.3" u="1"/>
        <n v="3009.86" u="1"/>
        <n v="5312.67" u="1"/>
        <n v="7357.56" u="1"/>
        <n v="3840" u="1"/>
        <n v="9654.110000000001" u="1"/>
        <n v="1847.49" u="1"/>
        <n v="2602.184" u="1"/>
        <n v="218.99" u="1"/>
        <n v="906.72" u="1"/>
        <n v="997.1067" u="1"/>
        <n v="1947.7477" u="1"/>
        <n v="1483.47" u="1"/>
        <n v="3211.25" u="1"/>
        <n v="2381.8" u="1"/>
        <n v="3590.1498" u="1"/>
        <n v="1483.4723" u="1"/>
        <n v="9359" u="1"/>
        <n v="82.09" u="1"/>
        <n v="587.99" u="1"/>
        <n v="45294.25" u="1"/>
        <n v="394" u="1"/>
        <n v="977.8" u="1"/>
        <n v="652.064" u="1"/>
        <n v="299.68" u="1"/>
        <n v="1455.32" u="1"/>
        <n v="1671.55" u="1"/>
        <n v="364.75" u="1"/>
        <n v="3106.7898" u="1"/>
        <n v="219.4" u="1"/>
        <n v="556.38" u="1"/>
        <n v="2351.25" u="1"/>
        <n v="1719.9279" u="1"/>
        <n v="1063.3692" u="1"/>
        <n v="2193.6976" u="1"/>
        <n v="1331.0001" u="1"/>
        <n v="541.365" u="1"/>
        <n v="894.45" u="1"/>
        <n v="7480.1181" u="1"/>
        <n v="2248.8" u="1"/>
        <n v="1292.1976" u="1"/>
        <n v="2817.1844" u="1"/>
        <n v="934.106" u="1"/>
        <n v="1112.04" u="1"/>
        <n v="5459.7234" u="1"/>
        <n v="768" u="1"/>
        <n v="1487.4" u="1"/>
        <n v="1256.269" u="1"/>
        <n v="257.61" u="1"/>
        <n v="909" u="1"/>
        <n v="54.78" u="1"/>
        <n v="9412.272000000001" u="1"/>
        <n v="20524.625" u="1"/>
        <n v="8538.99" u="1"/>
        <n v="1067.6" u="1"/>
        <n v="433.68" u="1"/>
        <n v="1430" u="1"/>
        <n v="376.69" u="1"/>
        <n v="502.25" u="1"/>
        <n v="342.18" u="1"/>
        <n v="283.99" u="1"/>
        <n v="1977.88" u="1"/>
        <n v="4655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1" u="1"/>
        <n v="1894.5" u="1"/>
        <n v="1938.11" u="1"/>
        <n v="412.45" u="1"/>
        <n v="756.92" u="1"/>
        <n v="945.1" u="1"/>
        <n v="18777.66" u="1"/>
        <n v="2472.72" u="1"/>
        <n v="190.98" u="1"/>
        <n v="2725.44" u="1"/>
        <n v="811.12" u="1"/>
        <n v="1240.72" u="1"/>
        <n v="2206.32" u="1"/>
        <n v="859.04" u="1"/>
        <n v="1940.46" u="1"/>
        <n v="1957.52" u="1"/>
        <n v="492.72" u="1"/>
        <n v="449.9" u="1"/>
        <n v="2001.341" u="1"/>
        <n v="1379.0062" u="1"/>
        <n v="1627.39" u="1"/>
        <n v="2607.7337" u="1"/>
        <n v="4699.52" u="1"/>
        <n v="394.8" u="1"/>
        <n v="1348.2" u="1"/>
        <n v="424.26" u="1"/>
        <n v="955.34" u="1"/>
        <n v="625.42" u="1"/>
        <n v="725.84" u="1"/>
        <n v="1532.31" u="1"/>
        <n v="921.9299999999999" u="1"/>
        <n v="508.57" u="1"/>
        <n v="636.59" u="1"/>
        <n v="628.42" u="1"/>
        <n v="455.92" u="1"/>
        <n v="451.14" u="1"/>
        <n v="2527.78" u="1"/>
        <n v="1241.17" u="1"/>
        <n v="285.45" u="1"/>
        <n v="483.84" u="1"/>
        <n v="1858.34" u="1"/>
        <n v="507.3514" u="1"/>
        <n v="431.1" u="1"/>
        <n v="10591.68" u="1"/>
        <n v="626.99" u="1"/>
        <n v="472.2775" u="1"/>
        <n v="1629.45" u="1"/>
        <n v="291" u="1"/>
        <n v="895.9" u="1"/>
        <n v="1392.7398" u="1"/>
        <n v="268.95" u="1"/>
        <n v="278.33" u="1"/>
        <n v="3706.758" u="1"/>
        <n v="791.2632" u="1"/>
        <n v="1599.784" u="1"/>
        <n v="2155.32" u="1"/>
        <n v="825.3" u="1"/>
        <n v="222.17" u="1"/>
        <n v="440.9" u="1"/>
        <n v="185.5" u="1"/>
        <n v="233.36" u="1"/>
        <n v="1279.432" u="1"/>
        <n v="896.896" u="1"/>
        <n v="1018.08" u="1"/>
        <n v="1782.9504" u="1"/>
        <n v="3558.969" u="1"/>
        <n v="2472" u="1"/>
        <n v="201.97" u="1"/>
        <n v="626.48" u="1"/>
        <n v="268.42" u="1"/>
        <n v="717.4299999999999" u="1"/>
        <n v="566.2899" u="1"/>
        <n v="299.98" u="1"/>
        <n v="800.144" u="1"/>
        <n v="342.88" u="1"/>
        <n v="66.09999999999999" u="1"/>
        <n v="65.92" u="1"/>
        <n v="1327.5" u="1"/>
        <n v="1728" u="1"/>
        <n v="716" u="1"/>
        <n v="339.2592" u="1"/>
        <n v="379.9908" u="1"/>
        <n v="1061.5212" u="1"/>
        <n v="2075.45" u="1"/>
        <n v="2152.4658" u="1"/>
        <n v="332.01" u="1"/>
        <n v="1712.56" u="1"/>
        <n v="3950.8895" u="1"/>
        <n v="568" u="1"/>
        <n v="13956.4692" u="1"/>
        <n v="1521.356" u="1"/>
        <n v="1050.8736" u="1"/>
        <n v="381.99" u="1"/>
        <n v="426.37" u="1"/>
        <n v="796.33" u="1"/>
        <n v="759.87" u="1"/>
        <n v="616.4928" u="1"/>
        <n v="610.71" u="1"/>
        <n v="8041.0176" u="1"/>
        <n v="273.8176" u="1"/>
        <n v="1255.5" u="1"/>
        <n v="3750" u="1"/>
        <n v="5400" u="1"/>
        <n v="209.5" u="1"/>
        <n v="68.45" u="1"/>
        <n v="366.04" u="1"/>
        <n v="370.4" u="1"/>
        <n v="886.26" u="1"/>
        <n v="371.0448" u="1"/>
        <n v="163.352" u="1"/>
        <n v="1025.024" u="1"/>
        <n v="245.2576" u="1"/>
        <n v="218.45" u="1"/>
        <n v="382.815" u="1"/>
        <n v="574.665" u="1"/>
        <n v="1060.4799" u="1"/>
        <n v="660.9792" u="1"/>
        <n v="227.41" u="1"/>
        <n v="1310" u="1"/>
        <n v="251.22" u="1"/>
        <n v="250.98" u="1"/>
        <n v="318.9536" u="1"/>
        <n v="1000.5632" u="1"/>
        <n v="683.872" u="1"/>
        <n v="634.8132000000001" u="1"/>
        <n v="1064.952" u="1"/>
        <n v="655.256" u="1"/>
        <n v="199.9872" u="1"/>
        <n v="84.17" u="1"/>
        <n v="199.4" u="1"/>
        <n v="1555.7" u="1"/>
        <n v="212.63" u="1"/>
        <n v="177.305" u="1"/>
        <n v="498.0699" u="1"/>
        <n v="818.41" u="1"/>
        <n v="250.665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2" u="1"/>
        <n v="108.53" u="1"/>
        <n v="4782.98" u="1"/>
        <n v="1366.2" u="1"/>
        <n v="261.88" u="1"/>
        <n v="354.7" u="1"/>
        <n v="950.79" u="1"/>
        <n v="1226.58" u="1"/>
        <n v="152.33" u="1"/>
        <n v="685.9" u="1"/>
        <n v="433.39" u="1"/>
        <n v="649.8" u="1"/>
        <n v="5838.76" u="1"/>
        <n v="753.1799999999999" u="1"/>
        <n v="1319.12" u="1"/>
        <n v="251.12" u="1"/>
        <n v="440.82" u="1"/>
        <n v="440.81" u="1"/>
        <n v="2652.26" u="1"/>
        <n v="437.52" u="1"/>
        <n v="161.52" u="1"/>
        <n v="1253.7" u="1"/>
        <n v="912.86" u="1"/>
        <n v="959.84" u="1"/>
        <n v="3644.6" u="1"/>
        <n v="805.52" u="1"/>
        <n v="918.3099999999999" u="1"/>
        <n v="3884.32" u="1"/>
        <n v="1745.88" u="1"/>
        <n v="2483.7" u="1"/>
        <n v="2483.7084" u="1"/>
        <n v="2234.1588" u="1"/>
        <n v="718.63" u="1"/>
        <n v="739.7501999999999" u="1"/>
        <n v="3601.3582" u="1"/>
        <n v="477.17" u="1"/>
        <n v="502.82" u="1"/>
        <n v="1949.9504" u="1"/>
        <n v="757.1068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" u="1"/>
        <n v="49419.61" u="1"/>
        <n v="1107" u="1"/>
        <n v="1691.5" u="1"/>
        <n v="922.34" u="1"/>
        <n v="562.34" u="1"/>
        <n v="4104.9" u="1"/>
        <n v="423.59" u="1"/>
        <n v="858.67" u="1"/>
        <n v="1457.84" u="1"/>
        <n v="2152.25" u="1"/>
        <n v="819.78" u="1"/>
        <n v="513.47" u="1"/>
        <n v="448.34" u="1"/>
        <n v="582.73" u="1"/>
        <n v="6609.1742" u="1"/>
        <n v="24606.73" u="1"/>
        <n v="1897.77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" u="1"/>
        <n v="1248.4681" u="1"/>
        <n v="1028.243" u="1"/>
        <n v="1821.6792" u="1"/>
        <n v="456" u="1"/>
        <n v="2938.464" u="1"/>
        <n v="684.8755" u="1"/>
        <n v="629.28" u="1"/>
        <n v="678.9657999999999" u="1"/>
        <n v="233.94" u="1"/>
        <n v="213" u="1"/>
        <n v="18700" u="1"/>
        <n v="1776.8" u="1"/>
        <n v="2807.589" u="1"/>
        <n v="4655.805" u="1"/>
        <n v="848.17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" u="1"/>
        <n v="1161.91" u="1"/>
        <n v="453.09" u="1"/>
        <n v="731.54" u="1"/>
        <n v="1199.8" u="1"/>
        <n v="638.9" u="1"/>
        <n v="2836.8007" u="1"/>
        <n v="972.8" u="1"/>
        <n v="1844.6963" u="1"/>
        <n v="986.3200000000001" u="1"/>
        <n v="784.3200000000001" u="1"/>
        <n v="2497.98" u="1"/>
        <n v="1079.7545" u="1"/>
        <n v="184.3855" u="1"/>
        <n v="3280.64" u="1"/>
        <n v="384.64" u="1"/>
        <n v="271.92" u="1"/>
        <n v="701.0651" u="1"/>
        <n v="1384.6104" u="1"/>
        <n v="1824.5648" u="1"/>
        <n v="1105.3814" u="1"/>
        <n v="49561.99" u="1"/>
        <n v="1754.92" u="1"/>
        <n v="11121.92" u="1"/>
        <n v="1028" u="1"/>
        <n v="963.6" u="1"/>
        <n v="6664.45" u="1"/>
        <n v="487.35" u="1"/>
        <n v="676" u="1"/>
        <n v="3171" u="1"/>
        <n v="2091.9" u="1"/>
        <n v="276.75" u="1"/>
        <n v="3273.3" u="1"/>
        <n v="1193.8" u="1"/>
        <n v="426.42" u="1"/>
        <n v="1135.24" u="1"/>
        <n v="563" u="1"/>
        <n v="226.44" u="1"/>
        <n v="1140" u="1"/>
        <n v="1083.95" u="1"/>
        <n v="9909.25" u="1"/>
        <n v="136.64" u="1"/>
        <n v="688" u="1"/>
        <n v="281" u="1"/>
        <n v="1157.1" u="1"/>
        <n v="1047.54" u="1"/>
        <n v="931.26" u="1"/>
        <n v="1013.32" u="1"/>
        <n v="1204.17" u="1"/>
        <n v="323.4" u="1"/>
        <n v="506.68" u="1"/>
        <n v="253.98" u="1"/>
        <n v="216" u="1"/>
        <n v="2779.8" u="1"/>
        <n v="563.66" u="1"/>
        <n v="455" u="1"/>
        <n v="41.69" u="1"/>
        <n v="11449.095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1" u="1"/>
        <n v="1237.8" u="1"/>
        <n v="1302.01" u="1"/>
        <n v="330.23" u="1"/>
        <n v="1087.49" u="1"/>
        <n v="378.46" u="1"/>
        <n v="1499.58" u="1"/>
        <n v="151.92" u="1"/>
        <n v="393.42" u="1"/>
        <n v="3026.91" u="1"/>
        <n v="15550.76" u="1"/>
        <n v="2582.2157" u="1"/>
        <n v="938.9400000000001" u="1"/>
        <n v="4808.41" u="1"/>
        <n v="1271.84" u="1"/>
        <n v="2502.03" u="1"/>
        <n v="1427.15" u="1"/>
        <n v="326.27" u="1"/>
        <n v="4807.7234" u="1"/>
        <n v="326.32" u="1"/>
        <n v="2908.97" u="1"/>
        <n v="2610.64" u="1"/>
        <n v="2338.18" u="1"/>
        <n v="2389.22" u="1"/>
        <n v="2300.73" u="1"/>
        <n v="4177.3" u="1"/>
        <n v="471.5119" u="1"/>
        <n v="328.19" u="1"/>
        <n v="557.0978" u="1"/>
        <n v="1317.3604" u="1"/>
        <n v="2895.0154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11290" u="1"/>
        <n v="2178.99" u="1"/>
        <n v="1472.016" u="1"/>
        <n v="8335" u="1"/>
        <n v="3252" u="1"/>
        <n v="865.6" u="1"/>
        <n v="195" u="1"/>
        <n v="850" u="1"/>
        <n v="278.99" u="1"/>
        <n v="1592" u="1"/>
        <n v="188.6752" u="1"/>
        <n v="893.308" u="1"/>
        <n v="695.0372" u="1"/>
        <n v="902.0232" u="1"/>
        <n v="975.013" u="1"/>
        <n v="1183" u="1"/>
        <n v="12909.39" u="1"/>
        <n v="1331" u="1"/>
        <n v="857.8549" u="1"/>
        <n v="1816.08" u="1"/>
        <n v="68671.56" u="1"/>
        <n v="3960" u="1"/>
        <n v="1128.81" u="1"/>
        <n v="506.36" u="1"/>
        <n v="1260" u="1"/>
        <n v="236.23" u="1"/>
        <n v="213.92" u="1"/>
        <n v="494.2224" u="1"/>
        <n v="177.93" u="1"/>
        <n v="869.296" u="1"/>
        <n v="675.428" u="1"/>
        <n v="952.037" u="1"/>
        <n v="910.1358" u="1"/>
        <n v="570.2" u="1"/>
        <n v="245.86" u="1"/>
        <n v="297.04" u="1"/>
        <n v="1028.79" u="1"/>
        <n v="355.8866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" u="1"/>
        <n v="1011.9415" u="1"/>
        <n v="203.04" u="1"/>
        <n v="175" u="1"/>
        <n v="56.05" u="1"/>
        <n v="1226.8704" u="1"/>
        <n v="847.97" u="1"/>
        <n v="302.51" u="1"/>
        <n v="698.4768" u="1"/>
        <n v="927.97" u="1"/>
        <n v="919.63" u="1"/>
        <n v="950.67" u="1"/>
        <n v="1155.42" u="1"/>
        <n v="574.5824" u="1"/>
        <n v="1930.2304" u="1"/>
        <n v="279.72" u="1"/>
        <n v="679.3920000000001" u="1"/>
        <n v="610.2768" u="1"/>
        <n v="536.8384" u="1"/>
        <n v="1656" u="1"/>
        <n v="2716.52" u="1"/>
        <n v="4633.84" u="1"/>
        <n v="268.4192" u="1"/>
        <n v="418.95" u="1"/>
        <n v="652.5119999999999" u="1"/>
        <n v="831.6672" u="1"/>
        <n v="788.6144" u="1"/>
        <n v="144.7376" u="1"/>
        <n v="411.8352" u="1"/>
        <n v="138.34" u="1"/>
        <n v="969.3" u="1"/>
        <n v="424.8" u="1"/>
        <n v="151.25" u="1"/>
        <n v="3578" u="1"/>
        <n v="400.8704" u="1"/>
        <n v="707.896" u="1"/>
        <n v="4738.24" u="1"/>
        <n v="175.54" u="1"/>
        <n v="502" u="1"/>
        <n v="191.915" u="1"/>
        <n v="737.008" u="1"/>
        <n v="665.4880000000001" u="1"/>
        <n v="699.65" u="1"/>
        <n v="2545.19" u="1"/>
        <n v="1301.2" u="1"/>
        <n v="240.14" u="1"/>
        <n v="1290.18" u="1"/>
        <n v="1037.8" u="1"/>
        <n v="738.8" u="1"/>
        <n v="2953.55" u="1"/>
        <n v="556.8" u="1"/>
        <n v="2227.34" u="1"/>
        <n v="1214.91" u="1"/>
        <n v="1220.57" u="1"/>
        <n v="611.77" u="1"/>
        <n v="588.42" u="1"/>
        <n v="5302.94" u="1"/>
        <n v="4197.4842" u="1"/>
        <n v="1340.17" u="1"/>
        <n v="1532.92" u="1"/>
        <n v="1217.92" u="1"/>
        <n v="589.42" u="1"/>
        <n v="882.0700000000001" u="1"/>
        <n v="1550.26" u="1"/>
        <n v="2040.71" u="1"/>
        <n v="1898.84" u="1"/>
        <n v="1553.17" u="1"/>
        <n v="2395.02" u="1"/>
        <n v="745.72" u="1"/>
        <n v="1094.74" u="1"/>
        <n v="2190" u="1"/>
        <n v="557" u="1"/>
        <n v="793.3184" u="1"/>
        <n v="261.54" u="1"/>
        <n v="660.99" u="1"/>
        <n v="410.43" u="1"/>
        <n v="311.56" u="1"/>
        <n v="260.2768" u="1"/>
        <n v="423.9872" u="1"/>
        <n v="563.3376" u="1"/>
        <n v="227.7856" u="1"/>
        <n v="530.4768" u="1"/>
        <n v="690.952" u="1"/>
        <n v="610.0454999999999" u="1"/>
        <n v="785.2992" u="1"/>
        <n v="243.1296" u="1"/>
        <n v="155.2544" u="1"/>
        <n v="172.1104" u="1"/>
        <n v="507.3152" u="1"/>
        <n v="652.5568" u="1"/>
        <n v="750.7808" u="1"/>
        <n v="253.6576" u="1"/>
        <n v="206.8528" u="1"/>
        <n v="207.7152" u="1"/>
        <n v="380.4864" u="1"/>
        <n v="1935.91" u="1"/>
        <n v="139.14" u="1"/>
        <n v="251.55" u="1"/>
        <n v="15358.48" u="1"/>
        <n v="714.5673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9" u="1"/>
        <n v="598.89" u="1"/>
        <n v="3939.12" u="1"/>
        <n v="462.39" u="1"/>
        <n v="4661.0436" u="1"/>
        <n v="674.5" u="1"/>
        <n v="1360.39" u="1"/>
        <n v="736.53" u="1"/>
        <n v="1858.5" u="1"/>
        <n v="644.385" u="1"/>
        <n v="83.63" u="1"/>
        <n v="85.8" u="1"/>
        <n v="400.8" u="1"/>
        <n v="1138.22" u="1"/>
        <n v="3206.44" u="1"/>
        <n v="1091.8" u="1"/>
        <n v="691.8699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00000000001" u="1"/>
        <n v="805.58" u="1"/>
        <n v="601.85" u="1"/>
        <n v="5662.44" u="1"/>
        <n v="16015.37" u="1"/>
        <n v="13832.2" u="1"/>
        <n v="3030.841" u="1"/>
        <n v="607.6900000000001" u="1"/>
        <n v="1417.31" u="1"/>
        <n v="614.51" u="1"/>
        <n v="550.97" u="1"/>
        <n v="830.22" u="1"/>
        <n v="767.1799999999999" u="1"/>
        <n v="1608.67" u="1"/>
        <n v="328" u="1"/>
        <n v="1144.35" u="1"/>
        <n v="1805.39" u="1"/>
        <n v="453" u="1"/>
        <n v="1511" u="1"/>
        <n v="8530.061400000001" u="1"/>
        <n v="248.81" u="1"/>
        <n v="18945" u="1"/>
        <n v="2858" u="1"/>
        <n v="2173.5" u="1"/>
        <n v="395.28" u="1"/>
        <n v="23153.58" u="1"/>
        <n v="492.3" u="1"/>
        <n v="1590.58" u="1"/>
        <n v="339.9" u="1"/>
        <n v="2336.32" u="1"/>
        <n v="2769.21" u="1"/>
        <n v="1503.84" u="1"/>
        <n v="1318.36" u="1"/>
        <n v="12852" u="1"/>
        <n v="1064.56" u="1"/>
        <n v="1069.34" u="1"/>
        <n v="686.92" u="1"/>
        <n v="1393.42" u="1"/>
        <n v="495.55" u="1"/>
        <n v="333.9" u="1"/>
        <n v="772.13" u="1"/>
        <n v="1406.17" u="1"/>
        <n v="13313.26" u="1"/>
        <n v="2913.196" u="1"/>
        <n v="376.08" u="1"/>
        <n v="873" u="1"/>
        <n v="3969.56" u="1"/>
        <n v="3807.945" u="1"/>
        <n v="5106.08" u="1"/>
        <n v="770" u="1"/>
        <n v="7971.5328" u="1"/>
        <n v="4054" u="1"/>
        <n v="308.7" u="1"/>
        <n v="433.66" u="1"/>
        <n v="87.02" u="1"/>
        <n v="40.4" u="1"/>
        <n v="257.84" u="1"/>
        <n v="1073.6" u="1"/>
        <n v="715.9" u="1"/>
        <n v="1586.03" u="1"/>
        <n v="848.83" u="1"/>
        <n v="499.49" u="1"/>
        <n v="325.9" u="1"/>
        <n v="1421.73" u="1"/>
        <n v="1674.76" u="1"/>
        <n v="1674.78" u="1"/>
        <n v="346.32" u="1"/>
        <n v="1570.49" u="1"/>
        <n v="4046.48" u="1"/>
        <n v="201.77" u="1"/>
        <n v="289.6" u="1"/>
        <n v="1769.44" u="1"/>
        <n v="640.72" u="1"/>
        <n v="2986.91" u="1"/>
        <n v="2986.89" u="1"/>
        <n v="389.98" u="1"/>
        <n v="106.19" u="1"/>
        <n v="4240.8284" u="1"/>
        <n v="1894.35" u="1"/>
        <n v="2518.2" u="1"/>
        <n v="14658.9024" u="1"/>
        <n v="552.83" u="1"/>
        <n v="36890" u="1"/>
        <n v="773.17" u="1"/>
        <n v="436.34" u="1"/>
        <n v="848.92" u="1"/>
        <n v="2540" u="1"/>
        <n v="693.8" u="1"/>
        <n v="1520.42" u="1"/>
        <n v="1035.59" u="1"/>
        <n v="1226.9" u="1"/>
        <n v="176.32" u="1"/>
        <n v="518.17" u="1"/>
        <n v="887.65" u="1"/>
        <n v="880.21" u="1"/>
        <n v="2163.67" u="1"/>
        <n v="15116.0184" u="1"/>
        <n v="28838.0445" u="1"/>
        <n v="5751.26" u="1"/>
        <n v="282" u="1"/>
        <n v="487" u="1"/>
        <n v="7475" u="1"/>
        <n v="547.04" u="1"/>
        <n v="679.14" u="1"/>
        <n v="251" u="1"/>
        <n v="1160" u="1"/>
        <n v="501.93" u="1"/>
        <n v="6433.36" u="1"/>
        <n v="40.46" u="1"/>
        <n v="547.55" u="1"/>
        <n v="285.99" u="1"/>
        <n v="1157.475" u="1"/>
        <n v="865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236" u="1"/>
        <n v="1230" u="1"/>
        <n v="1879.215" u="1"/>
        <n v="786.77" u="1"/>
        <n v="791.6" u="1"/>
        <n v="1237.5" u="1"/>
        <n v="1128.3" u="1"/>
        <n v="6254.18" u="1"/>
        <n v="2582.02" u="1"/>
        <n v="132" u="1"/>
        <n v="618.3200000000001" u="1"/>
        <n v="1671.84" u="1"/>
        <n v="359.12" u="1"/>
        <n v="800.9" u="1"/>
        <n v="674.95" u="1"/>
        <n v="193.08" u="1"/>
        <n v="1863.25" u="1"/>
        <n v="570.8901" u="1"/>
        <n v="8864.448" u="1"/>
        <n v="1399.35" u="1"/>
        <n v="175.66" u="1"/>
        <n v="173.315" u="1"/>
        <n v="353.16" u="1"/>
        <n v="428.119" u="1"/>
        <n v="164.6848" u="1"/>
        <n v="2040" u="1"/>
        <n v="552.3" u="1"/>
        <n v="1582.457" u="1"/>
        <n v="97.94" u="1"/>
        <n v="2200" u="1"/>
        <n v="3553.4505" u="1"/>
        <n v="675.2941" u="1"/>
        <n v="789.6045" u="1"/>
        <n v="1129.6779" u="1"/>
        <n v="822" u="1"/>
        <n v="1559.82" u="1"/>
        <n v="305.37" u="1"/>
        <n v="11247" u="1"/>
        <n v="6756" u="1"/>
        <n v="3824.01" u="1"/>
        <n v="2786" u="1"/>
        <n v="274.84" u="1"/>
        <n v="96.03" u="1"/>
        <n v="472" u="1"/>
        <n v="1464" u="1"/>
        <n v="851.1900000000001" u="1"/>
        <n v="208" u="1"/>
        <n v="550.58" u="1"/>
        <n v="711" u="1"/>
        <n v="338.912" u="1"/>
        <n v="410.5024" u="1"/>
        <n v="714.17" u="1"/>
        <n v="679.3024" u="1"/>
        <n v="725.8496" u="1"/>
        <n v="573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458.4" u="1"/>
        <n v="435.2" u="1"/>
        <n v="1007.84" u="1"/>
        <n v="364.72" u="1"/>
        <n v="377.74" u="1"/>
        <n v="2531.1" u="1"/>
        <n v="2531.07" u="1"/>
        <n v="3006.45" u="1"/>
        <n v="3006.44" u="1"/>
        <n v="584.13" u="1"/>
        <n v="4855.73" u="1"/>
        <n v="2645.87" u="1"/>
        <n v="28230.73" u="1"/>
        <n v="808.92" u="1"/>
        <n v="8428.940000000001" u="1"/>
        <n v="1045.34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8" u="1"/>
        <n v="173.44" u="1"/>
        <n v="654.696" u="1"/>
        <n v="645.456" u="1"/>
        <n v="380.5934" u="1"/>
        <n v="812.05" u="1"/>
        <n v="1230.44" u="1"/>
        <n v="508.8608" u="1"/>
        <n v="734.4512" u="1"/>
        <n v="505.83" u="1"/>
        <n v="812.46" u="1"/>
        <n v="797.88" u="1"/>
        <n v="445.96" u="1"/>
        <n v="489" u="1"/>
        <n v="329.67" u="1"/>
        <n v="7951.68" u="1"/>
        <n v="7945.89" u="1"/>
        <n v="326" u="1"/>
        <n v="1639" u="1"/>
        <n v="978" u="1"/>
        <n v="4731" u="1"/>
        <n v="6071.31" u="1"/>
        <n v="9787.4" u="1"/>
        <n v="4297.75" u="1"/>
        <n v="923.36" u="1"/>
        <n v="185.02" u="1"/>
        <n v="826.5" u="1"/>
        <n v="824.1" u="1"/>
        <n v="8009.52" u="1"/>
        <n v="385.2" u="1"/>
        <n v="468" u="1"/>
        <n v="12775.8" u="1"/>
        <n v="2236.86" u="1"/>
        <n v="2066.32" u="1"/>
        <n v="3150" u="1"/>
        <n v="4492.32" u="1"/>
        <n v="1145" u="1"/>
        <n v="458.85" u="1"/>
        <n v="311.6" u="1"/>
        <n v="2987" u="1"/>
        <n v="7376" u="1"/>
        <n v="5937.48" u="1"/>
        <n v="935.24" u="1"/>
        <n v="4151.4" u="1"/>
        <n v="11053.1" u="1"/>
        <n v="743.75" u="1"/>
        <n v="1421.97" u="1"/>
        <n v="930.496" u="1"/>
        <n v="335.7984" u="1"/>
        <n v="405.2832" u="1"/>
        <n v="362.3004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" u="1"/>
        <n v="507.72" u="1"/>
        <n v="253.88" u="1"/>
        <n v="3137.0976" u="1"/>
        <n v="436.9" u="1"/>
        <n v="388.8" u="1"/>
        <n v="214.61" u="1"/>
        <n v="585.3674999999999" u="1"/>
        <n v="316" u="1"/>
        <n v="3752.4" u="1"/>
        <n v="690.4576" u="1"/>
        <n v="519.6319999999999" u="1"/>
        <n v="875.73" u="1"/>
        <n v="2584.44" u="1"/>
        <n v="601.6416" u="1"/>
        <n v="428.0416" u="1"/>
        <n v="329.3696" u="1"/>
        <n v="446.02" u="1"/>
        <n v="1916.5664" u="1"/>
        <n v="308.58" u="1"/>
        <n v="5338.08" u="1"/>
        <n v="550.3200000000001" u="1"/>
        <n v="148.74" u="1"/>
        <n v="2384.9" u="1"/>
        <n v="171.59" u="1"/>
        <n v="483.54" u="1"/>
        <n v="517.75" u="1"/>
        <n v="1027.9024" u="1"/>
        <n v="802.9" u="1"/>
        <n v="436.7104" u="1"/>
        <n v="128.6" u="1"/>
        <n v="205.01" u="1"/>
        <n v="475.5" u="1"/>
        <n v="748" u="1"/>
        <n v="387.45" u="1"/>
        <n v="583.1616" u="1"/>
        <n v="986.49" u="1"/>
        <n v="894.768" u="1"/>
        <n v="1064.9856" u="1"/>
        <n v="1309" u="1"/>
        <n v="1203.384" u="1"/>
        <n v="1097.6784" u="1"/>
        <n v="763.29" u="1"/>
        <n v="452.475" u="1"/>
        <n v="762.26" u="1"/>
        <n v="495.7425" u="1"/>
        <n v="1446.3" u="1"/>
        <n v="119.97" u="1"/>
        <n v="606.24" u="1"/>
        <n v="2743.2" u="1"/>
        <n v="1116.32" u="1"/>
        <n v="1440.97" u="1"/>
        <n v="1590.39" u="1"/>
        <n v="2590.47" u="1"/>
        <n v="1269.09" u="1"/>
        <n v="1262.17" u="1"/>
        <n v="1253.09" u="1"/>
        <n v="32565.19" u="1"/>
        <n v="1130.59" u="1"/>
        <n v="570.59" u="1"/>
        <n v="1337.17" u="1"/>
        <n v="1133.17" u="1"/>
        <n v="929.09" u="1"/>
        <n v="30790.87" u="1"/>
        <n v="513.3744" u="1"/>
        <n v="84.40000000000001" u="1"/>
        <n v="193.98" u="1"/>
        <n v="907.39" u="1"/>
        <n v="1276.64" u="1"/>
        <n v="464.88" u="1"/>
        <n v="1375.8" u="1"/>
        <n v="393.9" u="1"/>
        <n v="3191.6" u="1"/>
        <n v="980.88" u="1"/>
        <n v="1850.04" u="1"/>
        <n v="20400.96" u="1"/>
        <n v="1178.79" u="1"/>
        <n v="234.73" u="1"/>
        <n v="551.17" u="1"/>
        <n v="1160.84" u="1"/>
        <n v="1068.59" u="1"/>
        <n v="3374.05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" u="1"/>
        <n v="6750.28" u="1"/>
        <n v="10457.52" u="1"/>
        <n v="1240.2" u="1"/>
        <n v="12727" u="1"/>
        <n v="523.1900000000001" u="1"/>
        <n v="1282.14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2" u="1"/>
        <n v="410.92" u="1"/>
        <n v="489.44" u="1"/>
        <n v="1070.15" u="1"/>
        <n v="1076.07" u="1"/>
        <n v="675.95" u="1"/>
        <n v="567.59" u="1"/>
        <n v="4370.5911" u="1"/>
        <n v="6743.386" u="1"/>
        <n v="1497.925" u="1"/>
        <n v="1274.598" u="1"/>
        <n v="1064.8885" u="1"/>
        <n v="1697.66" u="1"/>
        <n v="2609.6224" u="1"/>
        <n v="194.432" u="1"/>
        <n v="494.0544" u="1"/>
        <n v="376.82" u="1"/>
        <n v="6861.45" u="1"/>
        <n v="1116" u="1"/>
        <n v="933.5088" u="1"/>
        <n v="750.9824" u="1"/>
        <n v="901.8464" u="1"/>
        <n v="107.96" u="1"/>
        <n v="2324.32" u="1"/>
        <n v="2188.16" u="1"/>
        <n v="524.208" u="1"/>
        <n v="726.64" u="1"/>
        <n v="2433.6" u="1"/>
        <n v="1051.0116" u="1"/>
        <n v="955.9" u="1"/>
        <n v="10947.81" u="1"/>
        <n v="8818" u="1"/>
        <n v="127.24" u="1"/>
        <n v="14404.595" u="1"/>
        <n v="4918.73" u="1"/>
        <n v="588.84" u="1"/>
        <n v="526.4400000000001" u="1"/>
        <n v="566.04" u="1"/>
        <n v="224.81" u="1"/>
        <n v="854.3053" u="1"/>
        <n v="1565.3902" u="1"/>
        <n v="1406.8208" u="1"/>
        <n v="189.99" u="1"/>
        <n v="609" u="1"/>
        <n v="627.51" u="1"/>
        <n v="1088.96" u="1"/>
        <n v="2146.84" u="1"/>
        <n v="2572.8" u="1"/>
        <n v="3743.712" u="1"/>
        <n v="487.3344" u="1"/>
        <n v="942.95" u="1"/>
        <n v="646" u="1"/>
        <n v="985" u="1"/>
        <n v="7719.2328" u="1"/>
        <n v="1796.058" u="1"/>
        <n v="1860" u="1"/>
        <n v="431" u="1"/>
        <n v="2088" u="1"/>
        <n v="5430" u="1"/>
        <n v="14699.92" u="1"/>
        <n v="1202.83" u="1"/>
        <n v="758" u="1"/>
        <n v="7907.515" u="1"/>
        <n v="1299" u="1"/>
        <n v="606" u="1"/>
        <n v="1434.504" u="1"/>
        <n v="11506.808" u="1"/>
        <n v="174.6" u="1"/>
        <n v="2109.9862" u="1"/>
        <n v="877.5599999999999" u="1"/>
        <n v="204.39" u="1"/>
        <n v="347.27" u="1"/>
        <n v="343.74" u="1"/>
        <n v="183.12" u="1"/>
        <n v="24280.44" u="1"/>
        <n v="156.465" u="1"/>
        <n v="717.6064" u="1"/>
        <n v="375.57" u="1"/>
        <n v="1144.5" u="1"/>
        <n v="344.2208" u="1"/>
        <n v="156.3184" u="1"/>
        <n v="621.2304" u="1"/>
        <n v="218.3328" u="1"/>
        <n v="524.2048" u="1"/>
        <n v="241.4944" u="1"/>
        <n v="239.1648" u="1"/>
        <n v="486.2592" u="1"/>
        <n v="482.71" u="1"/>
        <n v="253.27" u="1"/>
        <n v="227.95" u="1"/>
        <n v="182.79" u="1"/>
        <n v="1590.61" u="1"/>
        <n v="3472.02" u="1"/>
        <n v="444.72" u="1"/>
        <n v="1032.3" u="1"/>
        <n v="848.64" u="1"/>
        <n v="445.2" u="1"/>
        <n v="4629.18" u="1"/>
        <n v="4865.15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1" u="1"/>
        <n v="548.92" u="1"/>
        <n v="71.8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9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6" u="1"/>
        <n v="1035.18" u="1"/>
        <n v="1091.4" u="1"/>
        <n v="1606.2891" u="1"/>
        <n v="1985.6" u="1"/>
        <n v="916.3200000000001" u="1"/>
        <n v="21353.41" u="1"/>
        <n v="50.45" u="1"/>
        <n v="161.99" u="1"/>
        <n v="139.29" u="1"/>
        <n v="12629.1" u="1"/>
        <n v="225.96" u="1"/>
        <n v="225.95" u="1"/>
        <n v="4779.9" u="1"/>
        <n v="10428" u="1"/>
        <n v="1749" u="1"/>
        <n v="1692" u="1"/>
        <n v="925" u="1"/>
        <n v="541.67" u="1"/>
        <n v="30346.9" u="1"/>
        <n v="16628.85" u="1"/>
        <n v="233.64" u="1"/>
        <n v="863.09" u="1"/>
        <n v="671.34" u="1"/>
        <n v="1684" u="1"/>
        <n v="2597.45" u="1"/>
        <n v="170.705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4" u="1"/>
        <n v="1732.87" u="1"/>
        <n v="694.4" u="1"/>
        <n v="1742.91" u="1"/>
        <n v="1467.8" u="1"/>
        <n v="1143.3" u="1"/>
        <n v="2672" u="1"/>
        <n v="3209.0975" u="1"/>
        <n v="486.2" u="1"/>
        <n v="4422.6" u="1"/>
        <n v="4119.6" u="1"/>
        <n v="338" u="1"/>
        <n v="322.28" u="1"/>
        <n v="934.4" u="1"/>
        <n v="113.79" u="1"/>
        <n v="108" u="1"/>
        <n v="2497.95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4" u="1"/>
        <n v="1194.67" u="1"/>
        <n v="463.9" u="1"/>
        <n v="276.67" u="1"/>
        <n v="961.4400000000001" u="1"/>
        <n v="1184.72" u="1"/>
        <n v="994.4299999999999" u="1"/>
        <n v="954.13" u="1"/>
        <n v="766.24" u="1"/>
        <n v="1898.89" u="1"/>
        <n v="1118.84" u="1"/>
        <n v="851.4299999999999" u="1"/>
        <n v="1483.84" u="1"/>
        <n v="1127.97" u="1"/>
        <n v="1986.8" u="1"/>
        <n v="1676.17" u="1"/>
        <n v="859.9" u="1"/>
        <n v="426.114" u="1"/>
        <n v="160.98" u="1"/>
        <n v="643.135" u="1"/>
        <n v="677.148" u="1"/>
        <n v="548.96" u="1"/>
        <n v="217.01" u="1"/>
        <n v="895.34" u="1"/>
        <n v="385.0308" u="1"/>
        <n v="589.2544" u="1"/>
        <n v="11043" u="1"/>
        <n v="1433.7009" u="1"/>
        <n v="1011.6512" u="1"/>
        <n v="789.4656" u="1"/>
        <n v="176.435" u="1"/>
        <n v="159.77" u="1"/>
        <n v="378.79" u="1"/>
        <n v="85.08" u="1"/>
        <n v="638.64" u="1"/>
        <n v="1092.39" u="1"/>
        <n v="1911.28" u="1"/>
        <n v="246.86" u="1"/>
        <n v="543.27" u="1"/>
        <n v="692.96" u="1"/>
        <n v="497.44" u="1"/>
        <n v="2954" u="1"/>
        <n v="2520.93" u="1"/>
        <n v="1117.63" u="1"/>
        <n v="650.78" u="1"/>
        <n v="435.72" u="1"/>
        <n v="204.92" u="1"/>
        <n v="346" u="1"/>
        <n v="188.68" u="1"/>
        <n v="221.4" u="1"/>
        <n v="8605.48" u="1"/>
        <n v="796.22" u="1"/>
        <n v="489.69" u="1"/>
        <n v="4010.72" u="1"/>
        <n v="625.17" u="1"/>
        <n v="1180.77" u="1"/>
        <n v="496.12" u="1"/>
        <n v="1042.5" u="1"/>
        <n v="478.18" u="1"/>
        <n v="990.24" u="1"/>
        <n v="1184" u="1"/>
        <n v="487.5" u="1"/>
        <n v="223.75" u="1"/>
        <n v="458.6" u="1"/>
        <n v="205.7134" u="1"/>
        <n v="171.08" u="1"/>
        <n v="2948.93" u="1"/>
        <n v="2475.68" u="1"/>
        <n v="594.9888" u="1"/>
        <n v="394.9344" u="1"/>
        <n v="155.96" u="1"/>
        <n v="3341.86" u="1"/>
        <n v="379.19" u="1"/>
        <n v="1112.2944" u="1"/>
        <n v="588.3" u="1"/>
        <n v="1657.65" u="1"/>
        <n v="3600.48" u="1"/>
        <n v="852" u="1"/>
        <n v="3132.8" u="1"/>
        <n v="570.29" u="1"/>
        <n v="649.39" u="1"/>
        <n v="755.6319999999999" u="1"/>
        <n v="3325.9808" u="1"/>
        <n v="199.585" u="1"/>
        <n v="234.77" u="1"/>
        <n v="557.0775" u="1"/>
        <n v="2804.5648" u="1"/>
        <n v="848.23" u="1"/>
        <n v="7671" u="1"/>
        <n v="517.4848" u="1"/>
        <n v="884.9344" u="1"/>
        <n v="274.1312" u="1"/>
        <n v="541.2699" u="1"/>
        <n v="375.3456" u="1"/>
        <n v="562.7328" u="1"/>
        <n v="460.64" u="1"/>
        <n v="666.1312" u="1"/>
        <n v="10035.19" u="1"/>
        <n v="4989.24" u="1"/>
        <n v="181.5" u="1"/>
        <n v="325.92" u="1"/>
        <n v="537.6900000000001" u="1"/>
        <n v="805.112" u="1"/>
        <n v="255.7856" u="1"/>
        <n v="168.952" u="1"/>
        <n v="494.7264" u="1"/>
        <n v="511.2128" u="1"/>
        <n v="489.384" u="1"/>
        <n v="79.7384" u="1"/>
        <n v="644.0896" u="1"/>
        <n v="468.4512" u="1"/>
        <n v="316.8928" u="1"/>
        <n v="334.1856" u="1"/>
        <n v="1136.6208" u="1"/>
        <n v="635.6672" u="1"/>
        <n v="269.84" u="1"/>
        <n v="1972.69" u="1"/>
        <n v="1598.78" u="1"/>
        <n v="10839.94" u="1"/>
        <n v="1195.64" u="1"/>
        <n v="176.58" u="1"/>
        <n v="97.02" u="1"/>
        <n v="42.66" u="1"/>
        <n v="889.4400000000001" u="1"/>
        <n v="863.92" u="1"/>
        <n v="1813.04" u="1"/>
        <n v="1026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599999999999" u="1"/>
        <n v="61.77" u="1"/>
        <n v="522.51" u="1"/>
        <n v="1395.83" u="1"/>
        <n v="1139.84" u="1"/>
        <n v="307.82" u="1"/>
        <n v="519.92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00000000001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" u="1"/>
        <n v="891.67" u="1"/>
        <n v="1183.92" u="1"/>
        <n v="2394.22" u="1"/>
        <n v="1387.42" u="1"/>
        <n v="941.9299999999999" u="1"/>
        <n v="1731.67" u="1"/>
        <n v="704.91" u="1"/>
        <n v="1324.08" u="1"/>
        <n v="625.34" u="1"/>
        <n v="939.67" u="1"/>
        <n v="4338.32" u="1"/>
        <n v="405.7872" u="1"/>
        <n v="914" u="1"/>
        <n v="20908.4104" u="1"/>
        <n v="795.99" u="1"/>
        <n v="788.073" u="1"/>
        <n v="699.897" u="1"/>
        <n v="1158.1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6145.5504" u="1"/>
        <n v="2986.14" u="1"/>
        <n v="683.05" u="1"/>
        <n v="708.9" u="1"/>
        <n v="1249.37" u="1"/>
        <n v="399.8" u="1"/>
        <n v="2030.81" u="1"/>
        <n v="2272.06" u="1"/>
        <n v="824.25" u="1"/>
        <n v="1435.99" u="1"/>
        <n v="1450.44" u="1"/>
        <n v="1698.87" u="1"/>
        <n v="600.72" u="1"/>
        <n v="1805.52" u="1"/>
        <n v="2083.12" u="1"/>
        <n v="166.75" u="1"/>
        <n v="409.41" u="1"/>
        <n v="365.4" u="1"/>
        <n v="1055.6" u="1"/>
        <n v="473.92" u="1"/>
        <n v="1519.9" u="1"/>
        <n v="803.17" u="1"/>
        <n v="2550.51" u="1"/>
        <n v="1360.78" u="1"/>
        <n v="1150.24" u="1"/>
        <n v="1634.84" u="1"/>
        <n v="947.09" u="1"/>
        <n v="93.90000000000001" u="1"/>
        <n v="577.4400000000001" u="1"/>
        <n v="665.84" u="1"/>
        <n v="122.16" u="1"/>
        <n v="140.29" u="1"/>
        <n v="118.68" u="1"/>
        <n v="443.67" u="1"/>
        <n v="359.99" u="1"/>
        <n v="289.96" u="1"/>
        <n v="289.94" u="1"/>
        <n v="129.07" u="1"/>
        <n v="772" u="1"/>
        <n v="288.14" u="1"/>
        <n v="699.8200000000001" u="1"/>
        <n v="1312.1901" u="1"/>
        <n v="5916.9396" u="1"/>
        <n v="617.67" u="1"/>
        <n v="1908.2203" u="1"/>
        <n v="1522.86" u="1"/>
        <n v="429.07" u="1"/>
        <n v="8388.1986" u="1"/>
        <n v="286.88" u="1"/>
        <n v="1229.0001" u="1"/>
        <n v="263.75" u="1"/>
        <n v="296.4" u="1"/>
        <n v="603.9999" u="1"/>
        <n v="1428.32" u="1"/>
        <n v="8285.52" u="1"/>
        <n v="8521.709999999999" u="1"/>
        <n v="2755.95" u="1"/>
        <n v="760.23" u="1"/>
        <n v="1129.02" u="1"/>
        <n v="323.91" u="1"/>
        <n v="309.96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4" u="1"/>
        <n v="2217.44" u="1"/>
        <n v="2715.8" u="1"/>
        <n v="1320.32" u="1"/>
        <n v="1199.12" u="1"/>
        <n v="725.28" u="1"/>
        <n v="1107.04" u="1"/>
        <n v="1417.34" u="1"/>
        <n v="701.5" u="1"/>
        <n v="664.42" u="1"/>
        <n v="861.8" u="1"/>
        <n v="1817.76" u="1"/>
        <n v="2397.75" u="1"/>
        <n v="2145.59" u="1"/>
        <n v="645.0700000000001" u="1"/>
        <n v="1017.9" u="1"/>
        <n v="1455" u="1"/>
        <n v="667.75" u="1"/>
        <n v="1430.07" u="1"/>
        <n v="1220.17" u="1"/>
        <n v="2192.68" u="1"/>
        <n v="968" u="1"/>
        <n v="596.58" u="1"/>
        <n v="646.24" u="1"/>
        <n v="171.1248" u="1"/>
        <n v="1835.43" u="1"/>
        <n v="1776.1148" u="1"/>
        <n v="2101.8846" u="1"/>
        <n v="205.1" u="1"/>
        <n v="153.16" u="1"/>
        <n v="1236.704" u="1"/>
        <n v="2871.8592" u="1"/>
        <n v="715.62" u="1"/>
        <n v="294.87" u="1"/>
        <n v="887.3801999999999" u="1"/>
        <n v="1218.53" u="1"/>
        <n v="731.12" u="1"/>
        <n v="292.54" u="1"/>
        <n v="25564.19" u="1"/>
        <n v="13664" u="1"/>
        <n v="14584.48" u="1"/>
        <n v="9502.51" u="1"/>
        <n v="637.5599999999999" u="1"/>
        <n v="384.02" u="1"/>
        <n v="595.0599" u="1"/>
        <n v="172" u="1"/>
        <n v="128.65" u="1"/>
        <n v="1388.772" u="1"/>
        <n v="392.4928" u="1"/>
        <n v="559.2699" u="1"/>
        <n v="3547.9584" u="1"/>
        <n v="498.46" u="1"/>
        <n v="455.4144" u="1"/>
        <n v="459.7824" u="1"/>
        <n v="2295.2" u="1"/>
        <n v="595.2" u="1"/>
        <n v="278.25" u="1"/>
        <n v="5378.09" u="1"/>
        <n v="1124.42" u="1"/>
        <n v="538.0703999999999" u="1"/>
        <n v="366.6" u="1"/>
        <n v="394.912" u="1"/>
        <n v="911.76" u="1"/>
        <n v="203.84" u="1"/>
        <n v="203.28" u="1"/>
        <n v="3835.5" u="1"/>
        <n v="411.1968" u="1"/>
        <n v="671.6" u="1"/>
        <n v="466.335" u="1"/>
        <n v="463.0416" u="1"/>
        <n v="547.688" u="1"/>
        <n v="337.7052" u="1"/>
        <n v="504.8064" u="1"/>
        <n v="2084.25" u="1"/>
        <n v="847.35" u="1"/>
        <n v="665.7" u="1"/>
        <n v="386.93" u="1"/>
        <n v="408.45" u="1"/>
        <n v="7661.54" u="1"/>
        <n v="796.36" u="1"/>
        <n v="353.6512" u="1"/>
        <n v="220.5392" u="1"/>
        <n v="592.032" u="1"/>
        <n v="1002.0864" u="1"/>
        <n v="372.5568" u="1"/>
        <n v="117.3592" u="1"/>
        <n v="1146.47" u="1"/>
        <n v="259.12" u="1"/>
        <n v="1616.84" u="1"/>
        <n v="6580.49" u="1"/>
        <n v="713.17" u="1"/>
        <n v="599.8" u="1"/>
        <n v="802.59" u="1"/>
        <n v="735.08" u="1"/>
        <n v="32241.1" u="1"/>
        <n v="8173.25" u="1"/>
        <n v="5202.66" u="1"/>
        <n v="1059.12" u="1"/>
        <n v="886.3200000000001" u="1"/>
        <n v="1344.8" u="1"/>
        <n v="707.9" u="1"/>
        <n v="2779.92" u="1"/>
        <n v="1828.6" u="1"/>
        <n v="1985.51" u="1"/>
        <n v="278.13" u="1"/>
        <n v="2480.688" u="1"/>
        <n v="1978.494" u="1"/>
        <n v="686.3674999999999" u="1"/>
        <n v="18543.208" u="1"/>
        <n v="10620.388" u="1"/>
        <n v="24.8" u="1"/>
        <n v="1570" u="1"/>
        <n v="1308" u="1"/>
        <n v="4976.7" u="1"/>
        <n v="2532.444" u="1"/>
        <n v="7561.26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86" u="1"/>
        <n v="570.968" u="1"/>
        <n v="1048.96" u="1"/>
        <n v="264.5" u="1"/>
        <n v="403.032" u="1"/>
        <n v="5535" u="1"/>
        <n v="5511" u="1"/>
        <n v="1674" u="1"/>
        <n v="880.561" u="1"/>
        <n v="196" u="1"/>
        <n v="17284.4" u="1"/>
        <n v="5054.8" u="1"/>
        <n v="5435.5" u="1"/>
        <n v="21809.13" u="1"/>
        <n v="1193.226" u="1"/>
        <n v="6978.82" u="1"/>
        <n v="600.6" u="1"/>
        <n v="2199.62" u="1"/>
        <n v="31526.45" u="1"/>
        <n v="4590.1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" u="1"/>
        <n v="384.56" u="1"/>
        <n v="1290" u="1"/>
        <n v="541.1015" u="1"/>
        <n v="576.12" u="1"/>
        <n v="1290.1557" u="1"/>
        <n v="162.49" u="1"/>
        <n v="2743.785" u="1"/>
        <n v="1385.54" u="1"/>
        <n v="799.1" u="1"/>
        <n v="589.8" u="1"/>
        <n v="1330.32" u="1"/>
        <n v="1217.85" u="1"/>
        <n v="1023.29" u="1"/>
        <n v="818.5" u="1"/>
        <n v="1336.02" u="1"/>
        <n v="824.34" u="1"/>
        <n v="668.02" u="1"/>
        <n v="738.65" u="1"/>
        <n v="1983.7" u="1"/>
        <n v="1391.44" u="1"/>
        <n v="1990.15" u="1"/>
        <n v="1497.82" u="1"/>
        <n v="1196.22" u="1"/>
        <n v="936.4" u="1"/>
        <n v="845.4400000000001" u="1"/>
        <n v="1889.84" u="1"/>
        <n v="1372.72" u="1"/>
        <n v="1661.97" u="1"/>
        <n v="981.01" u="1"/>
        <n v="1323.8468" u="1"/>
        <n v="1051.38" u="1"/>
        <n v="2222.98" u="1"/>
        <n v="1606.09" u="1"/>
        <n v="1313.01" u="1"/>
        <n v="17762.86" u="1"/>
        <n v="41017.09" u="1"/>
        <n v="30761.43" u="1"/>
        <n v="344.32" u="1"/>
        <n v="765" u="1"/>
        <n v="614.9808" u="1"/>
        <n v="146.5184" u="1"/>
        <n v="3665.0432" u="1"/>
        <n v="306.7934" u="1"/>
        <n v="521.6736" u="1"/>
        <n v="866.1072" u="1"/>
        <n v="617.568" u="1"/>
        <n v="739.7376" u="1"/>
        <n v="2672.01" u="1"/>
        <n v="4001.96" u="1"/>
        <n v="9624.74" u="1"/>
        <n v="1181.5309" u="1"/>
        <n v="1017.4886" u="1"/>
        <n v="287.88" u="1"/>
        <n v="4347.23" u="1"/>
        <n v="4555.1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" u="1"/>
        <n v="511.0896" u="1"/>
        <n v="259.3248" u="1"/>
        <n v="725.08" u="1"/>
        <n v="340.7264" u="1"/>
        <n v="404.0512" u="1"/>
        <n v="4142.88" u="1"/>
        <n v="1192" u="1"/>
        <n v="5700.08" u="1"/>
        <n v="1097.21" u="1"/>
        <n v="2123.91" u="1"/>
        <n v="655.14" u="1"/>
        <n v="850.5599999999999" u="1"/>
        <n v="520.8" u="1"/>
        <n v="1844.29" u="1"/>
        <n v="1067.5097" u="1"/>
        <n v="4876.74" u="1"/>
        <n v="705.1900000000001" u="1"/>
        <n v="2693.5041" u="1"/>
        <n v="2671.8901" u="1"/>
        <n v="250.69" u="1"/>
        <n v="599.424" u="1"/>
        <n v="275.8896" u="1"/>
        <n v="280.5" u="1"/>
        <n v="1061.27" u="1"/>
        <n v="752.86" u="1"/>
        <n v="740.9400000000001" u="1"/>
        <n v="2716.3349" u="1"/>
        <n v="579.3" u="1"/>
        <n v="223.61" u="1"/>
        <n v="2072.5913" u="1"/>
        <n v="1415.0749" u="1"/>
        <n v="422" u="1"/>
        <n v="784.476" u="1"/>
        <n v="461.39" u="1"/>
        <n v="13111.45" u="1"/>
        <n v="1413.94" u="1"/>
        <n v="440.0928" u="1"/>
        <n v="207.56" u="1"/>
        <n v="592.8525" u="1"/>
        <n v="862.23" u="1"/>
        <n v="1043.5201" u="1"/>
        <n v="489.555" u="1"/>
        <n v="509.92" u="1"/>
        <n v="345.24" u="1"/>
        <n v="507.2928" u="1"/>
        <n v="662.5472" u="1"/>
        <n v="276.0352" u="1"/>
        <n v="377.832" u="1"/>
        <n v="5512.8522" u="1"/>
        <n v="564.6" u="1"/>
        <n v="791.4" u="1"/>
        <n v="2033.32" u="1"/>
        <n v="579.1968000000001" u="1"/>
        <n v="761.3088" u="1"/>
        <n v="714.5712" u="1"/>
        <n v="770.336" u="1"/>
        <n v="455.91" u="1"/>
        <n v="391.92" u="1"/>
        <n v="489.97" u="1"/>
        <n v="1134.9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00000000001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1" u="1"/>
        <n v="360.14" u="1"/>
        <n v="230.32" u="1"/>
        <n v="2186.01" u="1"/>
        <n v="2703" u="1"/>
        <n v="698.1814000000001" u="1"/>
        <n v="2219.9598" u="1"/>
        <n v="1722.1663" u="1"/>
        <n v="647.85" u="1"/>
        <n v="486.7373" u="1"/>
        <n v="496.3373" u="1"/>
        <n v="1956.64" u="1"/>
        <n v="1009.9" u="1"/>
        <n v="1985.74" u="1"/>
        <n v="749.92" u="1"/>
        <n v="993.38" u="1"/>
        <n v="828.67" u="1"/>
        <n v="773.48" u="1"/>
        <n v="1063.42" u="1"/>
        <n v="183.5" u="1"/>
        <n v="2048.31" u="1"/>
        <n v="1157.57" u="1"/>
        <n v="740.84" u="1"/>
        <n v="1025.92" u="1"/>
        <n v="762.55" u="1"/>
        <n v="18876.114" u="1"/>
        <n v="3685.5" u="1"/>
        <n v="1115.28" u="1"/>
        <n v="1186.1164" u="1"/>
        <n v="2674.83" u="1"/>
        <n v="905.45" u="1"/>
        <n v="1992" u="1"/>
        <n v="1858" u="1"/>
        <n v="10176" u="1"/>
        <n v="5515.08" u="1"/>
        <n v="1101.6" u="1"/>
        <n v="19219.66" u="1"/>
        <n v="337.1" u="1"/>
        <n v="2000" u="1"/>
        <n v="875.6" u="1"/>
        <n v="1175.8" u="1"/>
        <n v="248.56" u="1"/>
        <n v="2655" u="1"/>
        <n v="11905.3584" u="1"/>
        <n v="753.712" u="1"/>
        <n v="648.414" u="1"/>
        <n v="2286.024" u="1"/>
        <n v="4067.7" u="1"/>
        <n v="4413.18" u="1"/>
        <n v="226.91" u="1"/>
        <n v="921" u="1"/>
        <n v="638.28" u="1"/>
        <n v="251.75" u="1"/>
        <n v="1967.55" u="1"/>
        <n v="343.4" u="1"/>
        <n v="1049.5" u="1"/>
        <n v="48.86" u="1"/>
        <n v="1309.8" u="1"/>
        <n v="592.8200000000001" u="1"/>
        <n v="921.9" u="1"/>
        <n v="248.6" u="1"/>
      </sharedItems>
    </cacheField>
    <cacheField name="Taxa" uniqueList="1" numFmtId="0" sqlType="0" hierarchy="0" level="0" databaseField="1">
      <sharedItems count="0" containsBlank="1" containsNumber="1" containsString="0" minValue="0" maxValue="4102"/>
    </cacheField>
    <cacheField name="Outras Taxas" uniqueList="1" numFmtId="0" sqlType="0" hierarchy="0" level="0" databaseField="1">
      <sharedItems count="0" containsBlank="1" containsNumber="1" containsString="0" minValue="0" maxValue="1280.15"/>
    </cacheField>
    <cacheField name="Taxa DU" uniqueList="1" numFmtId="0" sqlType="0" hierarchy="0" level="0" databaseField="1">
      <sharedItems count="0" containsBlank="1" containsNumber="1" containsString="0" minValue="0" maxValue="159.94"/>
    </cacheField>
    <cacheField name="Taxa BR" uniqueList="1" numFmtId="0" sqlType="0" hierarchy="0" level="0" databaseField="1">
      <sharedItems count="0" containsBlank="1" containsNumber="1" containsString="0" minValue="0" maxValue="120.08"/>
    </cacheField>
    <cacheField name="Taxa Extra" uniqueList="1" numFmtId="0" sqlType="0" hierarchy="0" level="0" databaseField="1">
      <sharedItems count="0" containsBlank="1" containsNumber="1" containsString="0" minValue="0" maxValue="311.64"/>
    </cacheField>
    <cacheField name="Fee" uniqueList="1" numFmtId="0" sqlType="0" hierarchy="0" level="0" databaseField="1">
      <sharedItems count="0" containsBlank="1" containsNumber="1" containsString="0" minValue="0" maxValue="490.9"/>
    </cacheField>
    <cacheField name="Observação" uniqueList="1" numFmtId="0" sqlType="0" hierarchy="0" level="0" databaseField="1">
      <sharedItems count="0" containsBlank="1"/>
    </cacheField>
    <cacheField name="Mensagem Erro" uniqueList="1" numFmtId="0" sqlType="0" hierarchy="0" level="0" databaseField="1">
      <sharedItems count="0" containsBlank="1"/>
    </cacheField>
    <cacheField name="OBTS" uniqueList="1" numFmtId="0" sqlType="0" hierarchy="0" level="0" databaseField="1">
      <sharedItems count="0" containsBlank="1"/>
    </cacheField>
    <cacheField name="CAMPO" uniqueList="1" numFmtId="0" sqlType="0" hierarchy="0" level="0" databaseField="1">
      <sharedItems count="0" containsBlank="1"/>
    </cacheField>
    <cacheField name="ORIGEM DO ERRO" uniqueList="1" numFmtId="0" sqlType="0" hierarchy="0" level="0" databaseField="1">
      <sharedItems count="0" containsBlank="1"/>
    </cacheField>
    <cacheField name="TIPO DE ERRO" uniqueList="1" numFmtId="0" sqlType="0" hierarchy="0" level="0" databaseField="1">
      <sharedItems count="0" containsBlank="1"/>
    </cacheField>
    <cacheField name="CATEGORIA DE ERRO" uniqueList="1" numFmtId="0" sqlType="0" hierarchy="0" level="0" databaseField="1">
      <sharedItems count="0" containsBlank="1"/>
    </cacheField>
    <cacheField name="EMPRESA" uniqueList="1" numFmtId="0" sqlType="0" hierarchy="0" level="0" databaseField="1">
      <sharedItems count="0" containsBlank="1"/>
    </cacheField>
    <cacheField name="Meses (Data Emissão)" uniqueList="1" numFmtId="0" sqlType="0" hierarchy="0" level="0" databaseField="0">
      <fieldGroup base="12">
        <rangePr autoStart="1" autoEnd="1" groupBy="months" startDate="2025-02-26T10:35:00" endDate="2025-12-05T20:40:00" groupInterval="1"/>
        <groupItems count="14">
          <s v="&lt;26/0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5/12/2025"/>
        </groupItems>
      </fieldGroup>
    </cacheField>
    <cacheField name="Trimestres (Data Emissão)" uniqueList="1" numFmtId="0" sqlType="0" hierarchy="0" level="0" databaseField="0">
      <fieldGroup base="12">
        <rangePr autoStart="1" autoEnd="1" groupBy="quarters" startDate="2025-02-26T10:35:00" endDate="2025-12-05T20:40:00" groupInterval="1"/>
        <groupItems count="6">
          <s v="&lt;26/02/2025"/>
          <s v="Trim1"/>
          <s v="Trim2"/>
          <s v="Trim3"/>
          <s v="Trim4"/>
          <s v="&gt;05/12/2025"/>
        </groupItems>
      </fieldGroup>
    </cacheField>
    <cacheField name="Anos (Data Emissão)" uniqueList="1" numFmtId="0" sqlType="0" hierarchy="0" level="0" databaseField="0">
      <fieldGroup base="12">
        <rangePr autoStart="1" autoEnd="1" groupBy="years" startDate="2025-02-26T10:35:00" endDate="2025-12-05T20:40:00" groupInterval="1"/>
        <groupItems count="3">
          <s v="&lt;26/02/2025"/>
          <s v="2025"/>
          <s v="&gt;05/12/2025"/>
        </groupItems>
      </fieldGroup>
    </cacheField>
    <cacheField name="Meses (Data Inclusão)" uniqueList="1" numFmtId="0" sqlType="0" hierarchy="0" level="0" databaseField="0">
      <fieldGroup base="3">
        <rangePr autoStart="1" autoEnd="1" groupBy="months" startDate="2025-02-26T11:43:30" endDate="2025-11-23T22:22:30" groupInterval="1"/>
        <groupItems count="14">
          <s v="&lt;26/0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11/2025"/>
        </groupItems>
      </fieldGroup>
    </cacheField>
    <cacheField name="Trimestres (Data Inclusão)" uniqueList="1" numFmtId="0" sqlType="0" hierarchy="0" level="0" databaseField="0">
      <fieldGroup base="3">
        <rangePr autoStart="1" autoEnd="1" groupBy="quarters" startDate="2025-02-26T11:43:30" endDate="2025-11-23T22:22:30" groupInterval="1"/>
        <groupItems count="6">
          <s v="&lt;26/02/2025"/>
          <s v="Trim1"/>
          <s v="Trim2"/>
          <s v="Trim3"/>
          <s v="Trim4"/>
          <s v="&gt;23/11/2025"/>
        </groupItems>
      </fieldGroup>
    </cacheField>
    <cacheField name="Anos (Data Inclusão)" uniqueList="1" numFmtId="0" sqlType="0" hierarchy="0" level="0" databaseField="0">
      <fieldGroup base="3">
        <rangePr autoStart="1" autoEnd="1" groupBy="years" startDate="2025-02-26T11:43:30" endDate="2025-11-23T22:22:30" groupInterval="1"/>
        <groupItems count="3">
          <s v="&lt;26/02/2025"/>
          <s v="2025"/>
          <s v="&gt;23/11/2025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601">
  <r>
    <n v="23343399"/>
    <n v="24071145"/>
    <s v="ACC01"/>
    <x v="0"/>
    <d v="2025-11-17T20:56:40"/>
    <x v="0"/>
    <x v="0"/>
    <s v="KOACLC "/>
    <s v="GOVER"/>
    <s v="RODRIGO CALEIRO"/>
    <s v="Juliana dos Santos Pinto"/>
    <s v="Juliana dos Santos Pinto"/>
    <d v="2025-12-05T20:40:00"/>
    <n v="4628623"/>
    <s v="-"/>
    <s v="OFF LINE"/>
    <s v="Cartão de crédito"/>
    <s v="Cartão de crédito"/>
    <x v="0"/>
    <s v="N"/>
    <x v="0"/>
    <s v="Banco Bbm"/>
    <s v="-"/>
    <s v="Latam Airlines Brasil"/>
    <n v="2259761616"/>
    <x v="0"/>
    <s v="-"/>
    <x v="0"/>
    <n v="0"/>
    <n v="0"/>
    <n v="0"/>
    <n v="0"/>
    <n v="0"/>
    <n v="0"/>
    <s v="Reserva importada do sistema Gover. Id: 4628623"/>
    <s v="Tarifa mínima não preenchida! (ACC01)"/>
    <x v="0"/>
    <x v="0"/>
    <s v="Falta de informação Gerencial"/>
    <x v="0"/>
    <s v="Qualidade dos dados"/>
    <s v="GRUPO KONTIK"/>
    <x v="0"/>
  </r>
  <r>
    <n v="23343401"/>
    <n v="24071147"/>
    <s v="ACC01"/>
    <x v="1"/>
    <d v="2025-11-17T20:56:41"/>
    <x v="0"/>
    <x v="0"/>
    <s v="OAIJQM"/>
    <s v="GOVER"/>
    <s v="LEANDRO OMENA SILVA"/>
    <s v="Juliana dos Santos Pinto"/>
    <s v="Juliana dos Santos Pinto"/>
    <d v="2025-11-17T20:40:00"/>
    <n v="4628623"/>
    <s v="-"/>
    <s v="OFF LINE"/>
    <s v="Cartão de crédito"/>
    <s v="Cartão de crédito"/>
    <x v="0"/>
    <s v="N"/>
    <x v="0"/>
    <s v="Banco Bbm"/>
    <s v="-"/>
    <s v="Latam Airlines Brasil"/>
    <n v="2259763463"/>
    <x v="0"/>
    <s v="-"/>
    <x v="0"/>
    <n v="0"/>
    <n v="0"/>
    <n v="0"/>
    <n v="0"/>
    <n v="0"/>
    <n v="0"/>
    <s v="Reserva importada do sistema Gover. Id: 4628623"/>
    <s v="Tarifa mínima não preenchida! (ACC01)"/>
    <x v="0"/>
    <x v="0"/>
    <s v="Falta de informação Gerencial"/>
    <x v="0"/>
    <s v="Qualidade dos dados"/>
    <s v="GRUPO KONTIK"/>
    <x v="0"/>
  </r>
  <r>
    <n v="23278217"/>
    <n v="24010374"/>
    <s v="ACC01"/>
    <x v="2"/>
    <d v="2025-11-07T12:01:15"/>
    <x v="1"/>
    <x v="1"/>
    <n v="20752509"/>
    <s v="GOVER"/>
    <s v="leandro  cardoso da silva"/>
    <s v="Marcos de Oliveira Miklos"/>
    <s v="Marcos de Oliveira Miklos"/>
    <d v="2025-11-07T11:41:00"/>
    <n v="4624880"/>
    <s v="-"/>
    <s v="OFF LINE"/>
    <s v="Cartão de crédito"/>
    <s v="Cartão de crédito"/>
    <x v="1"/>
    <s v="N"/>
    <x v="1"/>
    <s v="Intecom Servicos de Logistica - Extrema"/>
    <s v="-"/>
    <s v="-"/>
    <s v="-"/>
    <x v="1"/>
    <s v="-"/>
    <x v="1"/>
    <n v="12.8"/>
    <n v="0"/>
    <n v="0"/>
    <n v="0"/>
    <n v="0"/>
    <n v="0"/>
    <s v="Reserva importada do sistema Gover. Id: 4624880"/>
    <s v="Fornecedor não preenchido! (ACC01)"/>
    <x v="0"/>
    <x v="1"/>
    <s v="Campo Fornecedor"/>
    <x v="0"/>
    <s v="Sistêmico"/>
    <s v="GRUPO KONTIK"/>
    <x v="1"/>
  </r>
  <r>
    <n v="23318551"/>
    <n v="24048249"/>
    <s v="ACC01"/>
    <x v="3"/>
    <d v="2025-11-13T17:10:51"/>
    <x v="2"/>
    <x v="2"/>
    <n v="20836438"/>
    <s v="GOVER"/>
    <s v="Otávio Francisco Lopes Neto"/>
    <s v="RAIANY DA PAZ VIDAL CORREIA DA SILVA"/>
    <s v="RAIANY DA PAZ VIDAL CORREIA DA SILVA"/>
    <d v="2025-11-13T00:00:00"/>
    <n v="4624739"/>
    <s v="-"/>
    <s v="OFF LINE"/>
    <s v="Cartão de crédito"/>
    <s v="Faturado"/>
    <x v="1"/>
    <s v="N"/>
    <x v="2"/>
    <s v="Biomerieux"/>
    <s v="-"/>
    <s v="-"/>
    <s v="-"/>
    <x v="2"/>
    <s v="-"/>
    <x v="2"/>
    <n v="15.12"/>
    <n v="0"/>
    <n v="0"/>
    <n v="0"/>
    <n v="0"/>
    <n v="0"/>
    <s v="Reserva importada do sistema Gover. Id: 4624739"/>
    <s v="Fornecedor não preenchido! (ACC01)"/>
    <x v="0"/>
    <x v="1"/>
    <s v="Campo Fornecedor"/>
    <x v="0"/>
    <s v="Sistêmico"/>
    <s v="GRUPO KONTIK"/>
    <x v="1"/>
  </r>
  <r>
    <n v="23331586"/>
    <n v="24060548"/>
    <s v="ACC01"/>
    <x v="4"/>
    <d v="2025-11-18T14:35:02"/>
    <x v="0"/>
    <x v="2"/>
    <s v="HLC48G"/>
    <s v="GOVER"/>
    <s v="CAROLINE BALDI ROMANCINI"/>
    <s v="Gover"/>
    <s v="Gover"/>
    <d v="2025-11-15T07:35:00"/>
    <n v="4628463"/>
    <s v="-"/>
    <s v="ON LINE"/>
    <s v="Cartão de crédito"/>
    <s v="Cartão AMEX"/>
    <x v="0"/>
    <s v="N"/>
    <x v="2"/>
    <s v="Biomerieux"/>
    <s v="-"/>
    <s v="Azul Linhas Aereas"/>
    <n v="3024060547"/>
    <x v="2"/>
    <s v="-"/>
    <x v="0"/>
    <n v="0"/>
    <n v="0"/>
    <n v="0"/>
    <n v="0"/>
    <n v="0"/>
    <n v="0"/>
    <s v="Reserva importada do sistema Gover. Id: 4628463"/>
    <s v="Accouting aérea não possui trechos (Bilhete: 3024060547)"/>
    <x v="0"/>
    <x v="2"/>
    <s v="Atualização de Trechos"/>
    <x v="0"/>
    <s v="Qualidade dos dados"/>
    <s v="KONTIK BUSINESS TRAVEL"/>
    <x v="2"/>
  </r>
  <r>
    <n v="23364362"/>
    <n v="24090433"/>
    <s v="ACC01"/>
    <x v="5"/>
    <d v="2025-11-21T08:50:43"/>
    <x v="3"/>
    <x v="3"/>
    <s v="CQLGNH"/>
    <s v="MANUAL"/>
    <s v="LUCIA SALGADO"/>
    <s v="Ana Paula Salgado de Oliveira"/>
    <s v="Ana Paula Salgado de Oliveira"/>
    <d v="2025-11-21T08:35:00"/>
    <s v="-"/>
    <s v="-"/>
    <s v="OFF LINE"/>
    <s v="Invoice"/>
    <s v="Cash"/>
    <x v="0"/>
    <s v="N"/>
    <x v="3"/>
    <s v="Pessoa Fisica - Vendas a Vista"/>
    <s v="-"/>
    <s v="Gol Linhas Aereas"/>
    <n v="2149835214"/>
    <x v="3"/>
    <s v="-"/>
    <x v="3"/>
    <n v="86.83"/>
    <n v="0"/>
    <n v="0"/>
    <n v="0"/>
    <n v="0"/>
    <n v="0"/>
    <s v="-"/>
    <s v="36Faltou informar rateio de centro de custo/projeto abaixo da accounting"/>
    <x v="1"/>
    <x v="3"/>
    <s v="Rateio de centro de custo/projeto"/>
    <x v="1"/>
    <s v="Qualidade dos dados"/>
    <s v="KONTIK BUSINESS TRAVEL"/>
    <x v="3"/>
  </r>
  <r>
    <n v="23364362"/>
    <n v="24090446"/>
    <s v="ACC02"/>
    <x v="5"/>
    <d v="2025-11-21T08:50:43"/>
    <x v="3"/>
    <x v="3"/>
    <s v="CQLGNH"/>
    <s v="MANUAL"/>
    <s v="GIOVANNA OLIVEIRA"/>
    <s v="Ana Paula Salgado de Oliveira"/>
    <s v="Ana Paula Salgado de Oliveira"/>
    <d v="2025-11-21T08:35:00"/>
    <s v="-"/>
    <s v="-"/>
    <s v="OFF LINE"/>
    <s v="Invoice"/>
    <s v="Cash"/>
    <x v="0"/>
    <s v="N"/>
    <x v="3"/>
    <s v="Pessoa Fisica - Vendas a Vista"/>
    <s v="-"/>
    <s v="Gol Linhas Aereas"/>
    <n v="2149835213"/>
    <x v="3"/>
    <s v="-"/>
    <x v="3"/>
    <n v="86.83"/>
    <n v="0"/>
    <n v="0"/>
    <n v="0"/>
    <n v="0"/>
    <n v="0"/>
    <s v="-"/>
    <s v="36Faltou informar rateio de centro de custo/projeto abaixo da accounting"/>
    <x v="1"/>
    <x v="3"/>
    <s v="Rateio de centro de custo/projeto"/>
    <x v="1"/>
    <s v="Qualidade dos dados"/>
    <s v="KONTIK BUSINESS TRAVEL"/>
    <x v="3"/>
  </r>
  <r>
    <n v="23364393"/>
    <n v="24090453"/>
    <s v="ACC"/>
    <x v="6"/>
    <d v="2025-11-21T08:55:39"/>
    <x v="3"/>
    <x v="3"/>
    <s v="YLYZNW"/>
    <s v="MANUAL"/>
    <s v="ANA PAULA OLIVEIRA"/>
    <s v="Ana Paula Salgado de Oliveira"/>
    <s v="Ana Paula Salgado de Oliveira"/>
    <d v="2025-11-21T08:46:00"/>
    <s v="-"/>
    <s v="-"/>
    <s v="OFF LINE"/>
    <s v="Invoice"/>
    <s v="Cash"/>
    <x v="0"/>
    <s v="N"/>
    <x v="3"/>
    <s v="Pessoa Fisica - Vendas a Vista"/>
    <s v="-"/>
    <s v="Gol Linhas Aereas"/>
    <n v="2149835239"/>
    <x v="3"/>
    <s v="-"/>
    <x v="4"/>
    <n v="86.83"/>
    <n v="0"/>
    <n v="0"/>
    <n v="0"/>
    <n v="0"/>
    <n v="0"/>
    <s v="-"/>
    <s v="36Faltou informar rateio de centro de custo/projeto abaixo da accounting"/>
    <x v="1"/>
    <x v="3"/>
    <s v="Rateio de centro de custo/projeto"/>
    <x v="1"/>
    <s v="Qualidade dos dados"/>
    <s v="KONTIK BUSINESS TRAVEL"/>
    <x v="3"/>
  </r>
  <r>
    <n v="23331525"/>
    <n v="24060495"/>
    <s v="ACC01"/>
    <x v="7"/>
    <d v="2025-11-15T16:01:13"/>
    <x v="2"/>
    <x v="2"/>
    <s v="5TZ9P5"/>
    <s v="MANUAL"/>
    <s v="ANTONIO FLAVIO RIBEIRO SANTOS"/>
    <s v="Felipe Aparecido da Silva Neves"/>
    <s v="Felipe Aparecido da Silva Neves"/>
    <d v="2025-11-15T15:05:00"/>
    <s v=" TICKET #797792"/>
    <s v="-"/>
    <s v="OFF LINE"/>
    <s v="Invoice"/>
    <s v="Cartão AMEX"/>
    <x v="0"/>
    <s v="N"/>
    <x v="4"/>
    <s v="Vendas Lazer - Pessoa Fisica"/>
    <s v="-"/>
    <s v="Latam Airlines Brasil"/>
    <n v="2259836288"/>
    <x v="4"/>
    <s v="-"/>
    <x v="5"/>
    <n v="0"/>
    <n v="450"/>
    <n v="0"/>
    <n v="0"/>
    <n v="0"/>
    <n v="0"/>
    <s v="Emergencial: Ticket #797792"/>
    <s v=" Módulo Operações    -&gt; Configurações      -&gt; Configurações do sistema turismo        -&gt; Importação das vendas          -&gt; Entradas/Saídas  Para o "/>
    <x v="1"/>
    <x v="4"/>
    <s v="Forma PG. e REC."/>
    <x v="0"/>
    <s v="Qualidade dos dados"/>
    <s v="KONTIK BUSINESS TRAVEL"/>
    <x v="3"/>
  </r>
  <r>
    <n v="23368835"/>
    <n v="24094795"/>
    <s v="ACC01"/>
    <x v="8"/>
    <d v="2025-11-21T22:48:59"/>
    <x v="3"/>
    <x v="3"/>
    <s v="5UTUDQ"/>
    <s v="TMS"/>
    <s v="CARLOS OLIVEIRA"/>
    <s v="Tms"/>
    <s v="Tms"/>
    <d v="2025-11-21T20:52:00"/>
    <n v="476"/>
    <s v="Taubate / QHP"/>
    <s v="ON LINE"/>
    <s v="Invoice"/>
    <s v="Faturado"/>
    <x v="2"/>
    <s v="N"/>
    <x v="5"/>
    <s v="Zupper Viagens Internas"/>
    <s v="-"/>
    <s v="-"/>
    <s v="-"/>
    <x v="5"/>
    <s v="-"/>
    <x v="6"/>
    <n v="0"/>
    <n v="0"/>
    <n v="0"/>
    <n v="0"/>
    <n v="0"/>
    <n v="0"/>
    <s v="Reserva importada do Sistema TMS. OS: 476"/>
    <s v="Fornecedor não preenchido! (ACC01)"/>
    <x v="2"/>
    <x v="1"/>
    <s v="Campo Fornecedor"/>
    <x v="0"/>
    <s v="Qualidade dos dados"/>
    <s v="ZUPPER VIAGENS"/>
    <x v="4"/>
  </r>
  <r>
    <n v="23364762"/>
    <n v="24090802"/>
    <s v="ACC01"/>
    <x v="9"/>
    <d v="2025-11-21T10:01:31"/>
    <x v="3"/>
    <x v="3"/>
    <s v="OMWEFT"/>
    <s v="MANUAL"/>
    <s v="VICTORIA LUIZA PIRES"/>
    <s v="Felipe Calderano"/>
    <s v="Felipe Calderano"/>
    <d v="2025-11-19T20:44:00"/>
    <n v="6644058"/>
    <s v="-"/>
    <s v="OFF LINE"/>
    <s v="Invoice"/>
    <s v="Cartão convênio"/>
    <x v="0"/>
    <s v="N"/>
    <x v="5"/>
    <s v="Victoria Luiza Pires"/>
    <s v="-"/>
    <s v="Azul Linhas Aereas"/>
    <n v="3024090824"/>
    <x v="6"/>
    <s v="-"/>
    <x v="7"/>
    <n v="0"/>
    <n v="0"/>
    <n v="0"/>
    <n v="0"/>
    <n v="0"/>
    <n v="50"/>
    <s v="-"/>
    <s v="Não foi possível encontrar configuração válida para Administradora de código 1 e Data transação 19/11/2025"/>
    <x v="2"/>
    <x v="5"/>
    <s v="Análise Benner"/>
    <x v="2"/>
    <s v="Qualidade dos dados"/>
    <s v="ZUPPER VIAGENS"/>
    <x v="4"/>
  </r>
  <r>
    <n v="23369523"/>
    <n v="24095406"/>
    <s v="ACC01"/>
    <x v="10"/>
    <d v="2025-11-22T00:24:43"/>
    <x v="4"/>
    <x v="4"/>
    <s v="WQGIMK"/>
    <s v="EBOOKING"/>
    <s v="Ruane Ribeiro"/>
    <s v="Zupper"/>
    <s v="Zupper"/>
    <d v="2025-11-22T00:20:00"/>
    <n v="6964114"/>
    <s v="-"/>
    <s v="OFF LINE"/>
    <s v="Cartão de crédito"/>
    <s v="Cartão de crédito"/>
    <x v="0"/>
    <s v="N"/>
    <x v="5"/>
    <s v="Ruane Pinheiro Ribeiro"/>
    <s v="-"/>
    <s v="Azul Linhas Aereas"/>
    <n v="736459735"/>
    <x v="6"/>
    <s v="-"/>
    <x v="8"/>
    <n v="34.11"/>
    <n v="0"/>
    <n v="0"/>
    <n v="0"/>
    <n v="0"/>
    <n v="92.01000000000001"/>
    <s v="-"/>
    <s v="Não foi possível definir o Local de destino!"/>
    <x v="2"/>
    <x v="6"/>
    <s v="Cadastro incompleto"/>
    <x v="2"/>
    <s v="Sistêmico"/>
    <s v="ZUPPER VIAGENS"/>
    <x v="4"/>
  </r>
  <r>
    <n v="23370806"/>
    <n v="24096247"/>
    <s v="ACC01"/>
    <x v="11"/>
    <d v="2025-11-22T10:03:52"/>
    <x v="4"/>
    <x v="4"/>
    <s v="KTHPWB"/>
    <s v="EBOOKING"/>
    <s v="Mateus Sales"/>
    <s v="Zupper"/>
    <s v="Zupper"/>
    <d v="2025-11-22T10:01:00"/>
    <n v="6964361"/>
    <s v="-"/>
    <s v="OFF LINE"/>
    <s v="Invoice"/>
    <s v="Cartão convênio"/>
    <x v="0"/>
    <s v="N"/>
    <x v="5"/>
    <s v="Leticia Silva"/>
    <s v="-"/>
    <s v="Gol Linhas Aereas"/>
    <n v="2150003105"/>
    <x v="6"/>
    <s v="-"/>
    <x v="9"/>
    <n v="30.32"/>
    <n v="0"/>
    <n v="0"/>
    <n v="0"/>
    <n v="0"/>
    <n v="70.2"/>
    <s v="-"/>
    <s v="Não foi possível definir o Local de destino!"/>
    <x v="2"/>
    <x v="6"/>
    <s v="Cadastro incompleto"/>
    <x v="2"/>
    <s v="Sistêmico"/>
    <s v="ZUPPER VIAGENS"/>
    <x v="4"/>
  </r>
  <r>
    <n v="23370811"/>
    <n v="24096251"/>
    <s v="ACC01"/>
    <x v="12"/>
    <d v="2025-11-22T10:04:09"/>
    <x v="4"/>
    <x v="4"/>
    <s v="KCZEUS"/>
    <s v="EBOOKING"/>
    <s v="Mateus Sales"/>
    <s v="Zupper"/>
    <s v="Zupper"/>
    <d v="2025-11-22T10:02:00"/>
    <n v="6964362"/>
    <s v="-"/>
    <s v="OFF LINE"/>
    <s v="Invoice"/>
    <s v="Cartão convênio"/>
    <x v="0"/>
    <s v="N"/>
    <x v="5"/>
    <s v="Leticia Silva"/>
    <s v="-"/>
    <s v="Latam Airlines Brasil"/>
    <n v="2260820798"/>
    <x v="6"/>
    <s v="-"/>
    <x v="10"/>
    <n v="32.87"/>
    <n v="0"/>
    <n v="0"/>
    <n v="0"/>
    <n v="0"/>
    <n v="94.22"/>
    <s v="-"/>
    <s v="Não foi possível definir o Local de destino!"/>
    <x v="2"/>
    <x v="6"/>
    <s v="Cadastro incompleto"/>
    <x v="2"/>
    <s v="Sistêmico"/>
    <s v="ZUPPER VIAGENS"/>
    <x v="4"/>
  </r>
  <r>
    <n v="23374815"/>
    <n v="24099343"/>
    <s v="ACC01"/>
    <x v="13"/>
    <d v="2025-11-23T11:57:40"/>
    <x v="4"/>
    <x v="4"/>
    <s v="YRG8FH"/>
    <s v="EBOOKING"/>
    <s v="JOSENILDO Sousa"/>
    <s v="Zupper"/>
    <s v="Zupper"/>
    <d v="2025-11-23T11:56:00"/>
    <n v="6965762"/>
    <s v="-"/>
    <s v="OFF LINE"/>
    <s v="Cartão de crédito"/>
    <s v="Cartão de crédito"/>
    <x v="0"/>
    <s v="N"/>
    <x v="5"/>
    <s v="Antonio Carlos Oliveira Silva"/>
    <s v="-"/>
    <s v="Azul Linhas Aereas"/>
    <n v="4703757097"/>
    <x v="6"/>
    <s v="-"/>
    <x v="11"/>
    <n v="33.56"/>
    <n v="0"/>
    <n v="0"/>
    <n v="0"/>
    <n v="0"/>
    <n v="81.83"/>
    <s v="-"/>
    <s v="Não foi possível definir o Local de destino!"/>
    <x v="2"/>
    <x v="6"/>
    <s v="Cadastro incompleto"/>
    <x v="2"/>
    <s v="Sistêmico"/>
    <s v="ZUPPER VIAGENS"/>
    <x v="4"/>
  </r>
  <r>
    <n v="23374867"/>
    <n v="24099389"/>
    <s v="ACC01"/>
    <x v="14"/>
    <d v="2025-11-23T12:21:47"/>
    <x v="4"/>
    <x v="4"/>
    <s v="AQXLPD"/>
    <s v="EBOOKING"/>
    <s v="Wellington Bom Faria"/>
    <s v="Zupper"/>
    <s v="Zupper"/>
    <d v="2025-11-23T12:19:00"/>
    <n v="6963960"/>
    <s v="-"/>
    <s v="OFF LINE"/>
    <s v="Cartão de crédito"/>
    <s v="Cartão de crédito"/>
    <x v="0"/>
    <s v="N"/>
    <x v="5"/>
    <s v="Janisclei Rosa da Silva"/>
    <s v="-"/>
    <s v="Gol Linhas Aereas"/>
    <n v="2150050313"/>
    <x v="6"/>
    <s v="-"/>
    <x v="12"/>
    <n v="54.45"/>
    <n v="0"/>
    <n v="0"/>
    <n v="0"/>
    <n v="0"/>
    <n v="105.23"/>
    <s v="-"/>
    <s v="Não foi possível definir o Local de destino!"/>
    <x v="2"/>
    <x v="6"/>
    <s v="Cadastro incompleto"/>
    <x v="2"/>
    <s v="Sistêmico"/>
    <s v="ZUPPER VIAGENS"/>
    <x v="4"/>
  </r>
  <r>
    <n v="23375079"/>
    <n v="24099570"/>
    <s v="ACC01"/>
    <x v="15"/>
    <d v="2025-11-23T13:27:49"/>
    <x v="4"/>
    <x v="4"/>
    <s v="WCNRVG"/>
    <s v="EBOOKING"/>
    <s v="Gleyson Henrique"/>
    <s v="Zupper"/>
    <s v="Zupper"/>
    <d v="2025-11-23T13:24:00"/>
    <n v="6965893"/>
    <s v="-"/>
    <s v="OFF LINE"/>
    <s v="Invoice"/>
    <s v="Cartão convênio"/>
    <x v="0"/>
    <s v="N"/>
    <x v="5"/>
    <s v="Jovelino Jose dos Santos Neto"/>
    <s v="-"/>
    <s v="Latam Airlines Brasil"/>
    <n v="2260946836"/>
    <x v="6"/>
    <s v="-"/>
    <x v="13"/>
    <n v="33.64"/>
    <n v="0"/>
    <n v="0"/>
    <n v="0"/>
    <n v="0"/>
    <n v="182.7"/>
    <s v="-"/>
    <s v="Não foi possível definir o Local de destino!"/>
    <x v="2"/>
    <x v="6"/>
    <s v="Cadastro incompleto"/>
    <x v="2"/>
    <s v="Sistêmico"/>
    <s v="ZUPPER VIAGENS"/>
    <x v="4"/>
  </r>
  <r>
    <n v="23375080"/>
    <n v="24099571"/>
    <s v="ACC01"/>
    <x v="16"/>
    <d v="2025-11-23T13:27:55"/>
    <x v="4"/>
    <x v="4"/>
    <s v="JH8CGF"/>
    <s v="EBOOKING"/>
    <s v="Gleyson Henrique"/>
    <s v="Zupper"/>
    <s v="Zupper"/>
    <d v="2025-11-23T13:25:00"/>
    <n v="6965892"/>
    <s v="-"/>
    <s v="OFF LINE"/>
    <s v="Invoice"/>
    <s v="Cartão convênio"/>
    <x v="0"/>
    <s v="N"/>
    <x v="5"/>
    <s v="Jovelino Jose dos Santos Neto"/>
    <s v="-"/>
    <s v="Azul Linhas Aereas"/>
    <n v="4745344226"/>
    <x v="6"/>
    <s v="-"/>
    <x v="14"/>
    <n v="58.89"/>
    <n v="0"/>
    <n v="0"/>
    <n v="0"/>
    <n v="0"/>
    <n v="225.04"/>
    <s v="-"/>
    <s v="Não foi possível definir o Local de destino!"/>
    <x v="2"/>
    <x v="6"/>
    <s v="Cadastro incompleto"/>
    <x v="2"/>
    <s v="Sistêmico"/>
    <s v="ZUPPER VIAGENS"/>
    <x v="4"/>
  </r>
  <r>
    <n v="23375531"/>
    <n v="24099958"/>
    <s v="ACC01"/>
    <x v="17"/>
    <d v="2025-11-23T16:03:28"/>
    <x v="4"/>
    <x v="4"/>
    <s v="NWQZWA"/>
    <s v="EBOOKING"/>
    <s v="Jacqueline Nascimento"/>
    <s v="Zupper"/>
    <s v="Zupper"/>
    <d v="2025-11-23T16:01:00"/>
    <n v="6966141"/>
    <s v="-"/>
    <s v="OFF LINE"/>
    <s v="Cartão de crédito"/>
    <s v="Cartão de crédito"/>
    <x v="0"/>
    <s v="N"/>
    <x v="5"/>
    <s v="Manoel Ferreira"/>
    <s v="-"/>
    <s v="Azul Linhas Aereas"/>
    <n v="3480890649"/>
    <x v="6"/>
    <s v="-"/>
    <x v="15"/>
    <n v="52.72"/>
    <n v="0"/>
    <n v="0"/>
    <n v="0"/>
    <n v="0"/>
    <n v="170.35"/>
    <s v="-"/>
    <s v="Não foi possível definir o Local de destino!"/>
    <x v="2"/>
    <x v="6"/>
    <s v="Cadastro incompleto"/>
    <x v="2"/>
    <s v="Sistêmico"/>
    <s v="ZUPPER VIAGENS"/>
    <x v="4"/>
  </r>
  <r>
    <n v="23375531"/>
    <n v="24099959"/>
    <s v="ACC02"/>
    <x v="17"/>
    <d v="2025-11-23T16:03:28"/>
    <x v="4"/>
    <x v="4"/>
    <s v="NWQZWA"/>
    <s v="EBOOKING"/>
    <s v="Valdemir Nascimento"/>
    <s v="Zupper"/>
    <s v="Zupper"/>
    <d v="2025-11-23T16:01:00"/>
    <n v="6966141"/>
    <s v="-"/>
    <s v="OFF LINE"/>
    <s v="Cartão de crédito"/>
    <s v="Cartão de crédito"/>
    <x v="0"/>
    <s v="N"/>
    <x v="5"/>
    <s v="Manoel Ferreira"/>
    <s v="-"/>
    <s v="Azul Linhas Aereas"/>
    <n v="3419141345"/>
    <x v="6"/>
    <s v="-"/>
    <x v="15"/>
    <n v="52.72"/>
    <n v="0"/>
    <n v="0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75531"/>
    <n v="24099960"/>
    <s v="ACC03"/>
    <x v="17"/>
    <d v="2025-11-23T16:03:28"/>
    <x v="4"/>
    <x v="4"/>
    <s v="NWQZWA"/>
    <s v="EBOOKING"/>
    <s v="Guilherme Fiordelmundo"/>
    <s v="Zupper"/>
    <s v="Zupper"/>
    <d v="2025-11-23T16:01:00"/>
    <n v="6966141"/>
    <s v="-"/>
    <s v="OFF LINE"/>
    <s v="Cartão de crédito"/>
    <s v="Cartão de crédito"/>
    <x v="0"/>
    <s v="N"/>
    <x v="5"/>
    <s v="Manoel Ferreira"/>
    <s v="-"/>
    <s v="Azul Linhas Aereas"/>
    <n v="1561590167"/>
    <x v="6"/>
    <s v="-"/>
    <x v="15"/>
    <n v="52.72"/>
    <n v="0"/>
    <n v="0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75531"/>
    <n v="24099961"/>
    <s v="ACC04"/>
    <x v="17"/>
    <d v="2025-11-23T16:03:28"/>
    <x v="4"/>
    <x v="4"/>
    <s v="NWQZWA"/>
    <s v="EBOOKING"/>
    <s v="Gilmar Ferreira"/>
    <s v="Zupper"/>
    <s v="Zupper"/>
    <d v="2025-11-23T16:01:00"/>
    <n v="6966141"/>
    <s v="-"/>
    <s v="OFF LINE"/>
    <s v="Cartão de crédito"/>
    <s v="Cartão de crédito"/>
    <x v="0"/>
    <s v="N"/>
    <x v="5"/>
    <s v="Manoel Ferreira"/>
    <s v="-"/>
    <s v="Azul Linhas Aereas"/>
    <n v="1913571576"/>
    <x v="6"/>
    <s v="-"/>
    <x v="15"/>
    <n v="52.72"/>
    <n v="0"/>
    <n v="0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75531"/>
    <n v="24099962"/>
    <s v="ACC05"/>
    <x v="17"/>
    <d v="2025-11-23T16:03:28"/>
    <x v="4"/>
    <x v="4"/>
    <s v="NWQZWA"/>
    <s v="EBOOKING"/>
    <s v="Maria Eduarda Nascimento"/>
    <s v="Zupper"/>
    <s v="Zupper"/>
    <d v="2025-11-23T16:01:00"/>
    <n v="6966141"/>
    <s v="-"/>
    <s v="OFF LINE"/>
    <s v="Cartão de crédito"/>
    <s v="Cartão de crédito"/>
    <x v="0"/>
    <s v="N"/>
    <x v="5"/>
    <s v="Manoel Ferreira"/>
    <s v="-"/>
    <s v="Azul Linhas Aereas"/>
    <n v="9905373747"/>
    <x v="6"/>
    <s v="-"/>
    <x v="15"/>
    <n v="52.72"/>
    <n v="0"/>
    <n v="0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75889"/>
    <n v="24100236"/>
    <s v="ACC01"/>
    <x v="18"/>
    <d v="2025-11-23T18:03:52"/>
    <x v="4"/>
    <x v="4"/>
    <s v="AARMLS"/>
    <s v="EBOOKING"/>
    <s v="Vinicius Bulle da Silva"/>
    <s v="Zupper"/>
    <s v="Zupper"/>
    <d v="2025-11-23T18:01:00"/>
    <n v="6966293"/>
    <s v="-"/>
    <s v="OFF LINE"/>
    <s v="Invoice"/>
    <s v="Cartão convênio"/>
    <x v="0"/>
    <s v="N"/>
    <x v="5"/>
    <s v="Vinicius Bulle da Silva"/>
    <s v="-"/>
    <s v="Latam Airlines Brasil"/>
    <n v="2260978514"/>
    <x v="6"/>
    <s v="-"/>
    <x v="16"/>
    <n v="31.4"/>
    <n v="0"/>
    <n v="0"/>
    <n v="0"/>
    <n v="0"/>
    <n v="56.95"/>
    <s v="-"/>
    <s v="Não foi possível definir o Local de destino!"/>
    <x v="2"/>
    <x v="6"/>
    <s v="Cadastro incompleto"/>
    <x v="2"/>
    <s v="Sistêmico"/>
    <s v="ZUPPER VIAGENS"/>
    <x v="4"/>
  </r>
  <r>
    <n v="23375897"/>
    <n v="24100240"/>
    <s v="ACC01"/>
    <x v="19"/>
    <d v="2025-11-23T18:04:12"/>
    <x v="4"/>
    <x v="4"/>
    <s v="ACYYEJ"/>
    <s v="EBOOKING"/>
    <s v="Vinicius Bulle da Silva"/>
    <s v="Zupper"/>
    <s v="Zupper"/>
    <d v="2025-11-23T18:02:00"/>
    <n v="6966294"/>
    <s v="-"/>
    <s v="OFF LINE"/>
    <s v="Invoice"/>
    <s v="Cartão convênio"/>
    <x v="0"/>
    <s v="N"/>
    <x v="5"/>
    <s v="Vinicius Bulle da Silva"/>
    <s v="-"/>
    <s v="Gol Linhas Aereas"/>
    <n v="2150068260"/>
    <x v="6"/>
    <s v="-"/>
    <x v="17"/>
    <n v="33.64"/>
    <n v="0"/>
    <n v="0"/>
    <n v="0"/>
    <n v="0"/>
    <n v="65.34"/>
    <s v="-"/>
    <s v="Não foi possível definir o Local de destino!"/>
    <x v="2"/>
    <x v="6"/>
    <s v="Cadastro incompleto"/>
    <x v="2"/>
    <s v="Sistêmico"/>
    <s v="ZUPPER VIAGENS"/>
    <x v="4"/>
  </r>
  <r>
    <n v="23368324"/>
    <n v="24094308"/>
    <s v="ACC01"/>
    <x v="20"/>
    <d v="2025-11-21T20:46:42"/>
    <x v="3"/>
    <x v="3"/>
    <s v="BLUE9D"/>
    <s v="EBOOKING"/>
    <s v="WESLY SILVA"/>
    <s v="Zupper"/>
    <s v="Zupper"/>
    <d v="2025-11-21T20:44:00"/>
    <n v="6963777"/>
    <s v="-"/>
    <s v="OFF LINE"/>
    <s v="Cartão de crédito"/>
    <s v="Cartão de crédito"/>
    <x v="0"/>
    <s v="N"/>
    <x v="5"/>
    <s v="Wesly Henrique da Silva"/>
    <s v="-"/>
    <s v="Azul Linhas Aereas"/>
    <n v="4549935557"/>
    <x v="6"/>
    <s v="-"/>
    <x v="18"/>
    <n v="86.3"/>
    <n v="0"/>
    <n v="0"/>
    <n v="0"/>
    <n v="0"/>
    <n v="305.55"/>
    <s v="-"/>
    <s v="Não foi possível definir o Local de destino!"/>
    <x v="2"/>
    <x v="6"/>
    <s v="Cadastro incompleto"/>
    <x v="2"/>
    <s v="Sistêmico"/>
    <s v="ZUPPER VIAGENS"/>
    <x v="4"/>
  </r>
  <r>
    <n v="23368037"/>
    <n v="24094021"/>
    <s v="ACC01"/>
    <x v="21"/>
    <d v="2025-11-21T19:27:43"/>
    <x v="3"/>
    <x v="3"/>
    <s v="MILDBE"/>
    <s v="EBOOKING"/>
    <s v="Gedson Patrick Araujo Patricio"/>
    <s v="Zupper"/>
    <s v="Zupper"/>
    <d v="2025-11-21T19:24:00"/>
    <n v="6963644"/>
    <s v="-"/>
    <s v="OFF LINE"/>
    <s v="Invoice"/>
    <s v="Cartão convênio"/>
    <x v="0"/>
    <s v="N"/>
    <x v="5"/>
    <s v="Maycon Jhonatan da Silva Almeida"/>
    <s v="-"/>
    <s v="Latam Airlines Brasil"/>
    <n v="2260765059"/>
    <x v="6"/>
    <s v="-"/>
    <x v="19"/>
    <n v="48.16"/>
    <n v="0"/>
    <n v="0"/>
    <n v="0"/>
    <n v="0"/>
    <n v="157.81"/>
    <s v="-"/>
    <s v="Não foi possível definir o Local de destino!"/>
    <x v="2"/>
    <x v="6"/>
    <s v="Cadastro incompleto"/>
    <x v="2"/>
    <s v="Sistêmico"/>
    <s v="ZUPPER VIAGENS"/>
    <x v="4"/>
  </r>
  <r>
    <n v="23368038"/>
    <n v="24094023"/>
    <s v="ACC01"/>
    <x v="22"/>
    <d v="2025-11-21T19:27:50"/>
    <x v="3"/>
    <x v="3"/>
    <s v="WZKBUG"/>
    <s v="EBOOKING"/>
    <s v="Gedson Patrick Araujo Patricio"/>
    <s v="Zupper"/>
    <s v="Zupper"/>
    <d v="2025-11-21T19:25:00"/>
    <n v="6963643"/>
    <s v="-"/>
    <s v="OFF LINE"/>
    <s v="Invoice"/>
    <s v="Cartão convênio"/>
    <x v="0"/>
    <s v="N"/>
    <x v="5"/>
    <s v="Maycon Jhonatan da Silva Almeida"/>
    <s v="-"/>
    <s v="Gol Linhas Aereas"/>
    <n v="2149982416"/>
    <x v="6"/>
    <s v="-"/>
    <x v="20"/>
    <n v="46.2"/>
    <n v="0"/>
    <n v="0"/>
    <n v="0"/>
    <n v="0"/>
    <n v="40.05"/>
    <s v="-"/>
    <s v="Não foi possível definir o Local de destino!"/>
    <x v="2"/>
    <x v="6"/>
    <s v="Cadastro incompleto"/>
    <x v="2"/>
    <s v="Sistêmico"/>
    <s v="ZUPPER VIAGENS"/>
    <x v="4"/>
  </r>
  <r>
    <n v="23365423"/>
    <n v="24091460"/>
    <s v="ACC01"/>
    <x v="23"/>
    <d v="2025-11-21T11:51:46"/>
    <x v="3"/>
    <x v="3"/>
    <s v="AFBWDH"/>
    <s v="EBOOKING"/>
    <s v="apolonio marques"/>
    <s v="Zupper"/>
    <s v="Zupper"/>
    <d v="2025-11-21T11:48:00"/>
    <n v="6963095"/>
    <s v="-"/>
    <s v="OFF LINE"/>
    <s v="Cartão de crédito"/>
    <s v="Cartão de crédito"/>
    <x v="0"/>
    <s v="N"/>
    <x v="5"/>
    <s v="Apolonio Marques"/>
    <s v="-"/>
    <s v="Gol Linhas Aereas"/>
    <n v="2149950541"/>
    <x v="6"/>
    <s v="-"/>
    <x v="21"/>
    <n v="51.67"/>
    <n v="0"/>
    <n v="115.38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65424"/>
    <n v="24091462"/>
    <s v="ACC01"/>
    <x v="23"/>
    <d v="2025-11-21T11:52:10"/>
    <x v="3"/>
    <x v="3"/>
    <s v="MBNVRS"/>
    <s v="EBOOKING"/>
    <s v="apolonio marques"/>
    <s v="Zupper"/>
    <s v="Zupper"/>
    <d v="2025-11-21T11:48:00"/>
    <n v="6963083"/>
    <s v="-"/>
    <s v="OFF LINE"/>
    <s v="Cartão de crédito"/>
    <s v="Cartão de crédito"/>
    <x v="0"/>
    <s v="N"/>
    <x v="5"/>
    <s v="Apolonio Marques"/>
    <s v="-"/>
    <s v="Gol Linhas Aereas"/>
    <n v="2149950178"/>
    <x v="6"/>
    <s v="-"/>
    <x v="22"/>
    <n v="56.78"/>
    <n v="0"/>
    <n v="159.94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65969"/>
    <n v="24091981"/>
    <s v="ACC01"/>
    <x v="24"/>
    <d v="2025-11-21T14:09:49"/>
    <x v="3"/>
    <x v="3"/>
    <s v="NHHV4S"/>
    <s v="EBOOKING"/>
    <s v="Cleise Cavalcanti"/>
    <s v="Zupper"/>
    <s v="Zupper"/>
    <d v="2025-11-21T14:06:00"/>
    <n v="6963258"/>
    <s v="-"/>
    <s v="OFF LINE"/>
    <s v="Cartão de crédito"/>
    <s v="Cartão de crédito"/>
    <x v="0"/>
    <s v="N"/>
    <x v="5"/>
    <s v="Clesia de Miranda Cavalcanti"/>
    <s v="-"/>
    <s v="Azul Linhas Aereas"/>
    <n v="1095556789"/>
    <x v="6"/>
    <s v="-"/>
    <x v="23"/>
    <n v="58.89"/>
    <n v="0"/>
    <n v="0"/>
    <n v="0"/>
    <n v="0"/>
    <n v="87.73999999999999"/>
    <s v="-"/>
    <s v="Não foi possível definir o Local de destino!"/>
    <x v="2"/>
    <x v="6"/>
    <s v="Cadastro incompleto"/>
    <x v="2"/>
    <s v="Sistêmico"/>
    <s v="ZUPPER VIAGENS"/>
    <x v="4"/>
  </r>
  <r>
    <n v="23365969"/>
    <n v="24091982"/>
    <s v="ACC02"/>
    <x v="24"/>
    <d v="2025-11-21T14:09:49"/>
    <x v="3"/>
    <x v="3"/>
    <s v="NHHV4S"/>
    <s v="EBOOKING"/>
    <s v="Asafe Pereira"/>
    <s v="Zupper"/>
    <s v="Zupper"/>
    <d v="2025-11-21T14:06:00"/>
    <n v="6963258"/>
    <s v="-"/>
    <s v="OFF LINE"/>
    <s v="Cartão de crédito"/>
    <s v="Cartão de crédito"/>
    <x v="0"/>
    <s v="N"/>
    <x v="5"/>
    <s v="Clesia de Miranda Cavalcanti"/>
    <s v="-"/>
    <s v="Azul Linhas Aereas"/>
    <n v="3364173574"/>
    <x v="6"/>
    <s v="-"/>
    <x v="23"/>
    <n v="58.89"/>
    <n v="0"/>
    <n v="0"/>
    <n v="0"/>
    <n v="0"/>
    <n v="0"/>
    <s v="-"/>
    <s v="Não foi possível definir o Local de destino!"/>
    <x v="2"/>
    <x v="6"/>
    <s v="Cadastro incompleto"/>
    <x v="2"/>
    <s v="Sistêmico"/>
    <s v="ZUPPER VIAGENS"/>
    <x v="4"/>
  </r>
  <r>
    <n v="23364240"/>
    <n v="24090324"/>
    <s v="ACC01"/>
    <x v="25"/>
    <d v="2025-11-21T08:01:44"/>
    <x v="3"/>
    <x v="3"/>
    <s v="KGBXAW"/>
    <s v="EBOOKING"/>
    <s v="Brenda Silva"/>
    <s v="Zupper"/>
    <s v="Zupper"/>
    <d v="2025-11-21T07:56:00"/>
    <n v="6962774"/>
    <s v="-"/>
    <s v="OFF LINE"/>
    <s v="Invoice"/>
    <s v="Cartão convênio"/>
    <x v="0"/>
    <s v="N"/>
    <x v="5"/>
    <s v="Brenda Sousa da Silva"/>
    <s v="-"/>
    <s v="Latam Airlines Brasil"/>
    <n v="2260660552"/>
    <x v="6"/>
    <s v="-"/>
    <x v="24"/>
    <n v="54.45"/>
    <n v="0"/>
    <n v="0"/>
    <n v="0"/>
    <n v="0"/>
    <n v="180.46"/>
    <s v="-"/>
    <s v="Não foi possível definir o Local de destino!"/>
    <x v="2"/>
    <x v="6"/>
    <s v="Cadastro incompleto"/>
    <x v="2"/>
    <s v="Sistêmico"/>
    <s v="ZUPPER VIAGENS"/>
    <x v="4"/>
  </r>
  <r>
    <n v="23329909"/>
    <n v="24059071"/>
    <s v="ACC05"/>
    <x v="26"/>
    <d v="2025-11-18T09:01:37"/>
    <x v="0"/>
    <x v="2"/>
    <s v="CFLRJQ"/>
    <s v="EBOOKING"/>
    <s v="Ednildo Edgar Goncalves"/>
    <s v="Zupper"/>
    <s v="Zupper"/>
    <d v="2025-11-15T06:49:00"/>
    <n v="6951692"/>
    <s v="-"/>
    <s v="OFF LINE"/>
    <s v="Invoice"/>
    <s v="Cartão convênio"/>
    <x v="0"/>
    <s v="S"/>
    <x v="5"/>
    <s v="Zupper Cartao"/>
    <s v="-"/>
    <s v="Latam Airlines Brasil"/>
    <n v="2259793074"/>
    <x v="6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x v="2"/>
    <x v="7"/>
    <s v="Financeiro Conciliado"/>
    <x v="3"/>
    <s v="Processo Operacional"/>
    <s v="ZUPPER VIAGENS"/>
    <x v="4"/>
  </r>
  <r>
    <n v="23330902"/>
    <n v="24059906"/>
    <s v="ACC01"/>
    <x v="27"/>
    <d v="2025-11-18T09:03:17"/>
    <x v="0"/>
    <x v="2"/>
    <s v="KGVCWI"/>
    <s v="EBOOKING"/>
    <s v="Satila Mateus Abrantes"/>
    <s v="Zupper"/>
    <s v="Zupper"/>
    <d v="2025-11-15T12:43:00"/>
    <n v="6952102"/>
    <s v="-"/>
    <s v="OFF LINE"/>
    <s v="Invoice"/>
    <s v="Cartão convênio"/>
    <x v="0"/>
    <s v="S"/>
    <x v="5"/>
    <s v="Eduardo Santos da Mata"/>
    <s v="-"/>
    <s v="Azul Linhas Aereas"/>
    <n v="9106749780"/>
    <x v="6"/>
    <s v="-"/>
    <x v="26"/>
    <n v="32.87"/>
    <n v="0"/>
    <n v="0"/>
    <n v="0"/>
    <n v="0"/>
    <n v="169.18"/>
    <s v="-"/>
    <s v="Erro excluindo PNR: Não é possivel excluir a accounting de código: 25392354. A mesma está ligada a conciliação de cartão &quot;PAYMEE 17.11.2025.xlsx&quot;"/>
    <x v="2"/>
    <x v="7"/>
    <s v="Financeiro Conciliado"/>
    <x v="3"/>
    <s v="Processo Operacional"/>
    <s v="ZUPPER VIAGENS"/>
    <x v="4"/>
  </r>
  <r>
    <n v="23336013"/>
    <n v="24064301"/>
    <s v="ACC02"/>
    <x v="28"/>
    <d v="2025-11-18T09:17:26"/>
    <x v="0"/>
    <x v="0"/>
    <s v="GMKD4Q"/>
    <s v="EBOOKING"/>
    <s v="Giulianna Brito"/>
    <s v="Zupper"/>
    <s v="Zupper"/>
    <d v="2025-11-16T18:35:00"/>
    <n v="6954279"/>
    <s v="-"/>
    <s v="OFF LINE"/>
    <s v="Invoice"/>
    <s v="Cartão convênio"/>
    <x v="0"/>
    <s v="S"/>
    <x v="5"/>
    <s v="Giulianna Angelica Piason de Brito"/>
    <s v="-"/>
    <s v="Azul Linhas Aereas"/>
    <n v="1961580109"/>
    <x v="6"/>
    <s v="-"/>
    <x v="27"/>
    <n v="58.89"/>
    <n v="0"/>
    <n v="0"/>
    <n v="0"/>
    <n v="0"/>
    <n v="0"/>
    <s v="-"/>
    <s v="Erro excluindo PNR: Não é possivel excluir a accounting de código: 25395430. A mesma está ligada a conciliação de cartão &quot;PAYMEE 17.11.2025.xlsx&quot;"/>
    <x v="2"/>
    <x v="7"/>
    <s v="Financeiro Conciliado"/>
    <x v="3"/>
    <s v="Processo Operacional"/>
    <s v="ZUPPER VIAGENS"/>
    <x v="4"/>
  </r>
  <r>
    <n v="23336392"/>
    <n v="24064696"/>
    <s v="ACC01"/>
    <x v="29"/>
    <d v="2025-11-18T09:17:57"/>
    <x v="0"/>
    <x v="0"/>
    <s v="MJ7MKP"/>
    <s v="EBOOKING"/>
    <s v="Jose Figueiredo"/>
    <s v="Zupper"/>
    <s v="Zupper"/>
    <d v="2025-11-16T20:26:00"/>
    <n v="6954464"/>
    <s v="-"/>
    <s v="OFF LINE"/>
    <s v="Invoice"/>
    <s v="Cartão convênio"/>
    <x v="0"/>
    <s v="S"/>
    <x v="5"/>
    <s v="Jose Antonio de Figueiredo"/>
    <s v="-"/>
    <s v="Azul Linhas Aereas"/>
    <n v="9825033326"/>
    <x v="6"/>
    <s v="-"/>
    <x v="28"/>
    <n v="39.58"/>
    <n v="0"/>
    <n v="0"/>
    <n v="0"/>
    <n v="0"/>
    <n v="405.68"/>
    <s v="-"/>
    <s v="Erro excluindo PNR: Não é possivel excluir a accounting de código: 25395732. A mesma está ligada a conciliação de cartão &quot;PAYMEE 17.11.2025.xlsx&quot;"/>
    <x v="2"/>
    <x v="7"/>
    <s v="Financeiro Conciliado"/>
    <x v="3"/>
    <s v="Processo Operacional"/>
    <s v="ZUPPER VIAGENS"/>
    <x v="4"/>
  </r>
  <r>
    <n v="23336392"/>
    <n v="24064697"/>
    <s v="ACC02"/>
    <x v="29"/>
    <d v="2025-11-18T09:17:57"/>
    <x v="0"/>
    <x v="0"/>
    <s v="MJ7MKP"/>
    <s v="EBOOKING"/>
    <s v="Kelmey Santos"/>
    <s v="Zupper"/>
    <s v="Zupper"/>
    <d v="2025-11-16T20:26:00"/>
    <n v="6954464"/>
    <s v="-"/>
    <s v="OFF LINE"/>
    <s v="Invoice"/>
    <s v="Cartão convênio"/>
    <x v="0"/>
    <s v="S"/>
    <x v="5"/>
    <s v="Jose Antonio de Figueiredo"/>
    <s v="-"/>
    <s v="Azul Linhas Aereas"/>
    <n v="1720811985"/>
    <x v="6"/>
    <s v="-"/>
    <x v="28"/>
    <n v="39.58"/>
    <n v="0"/>
    <n v="0"/>
    <n v="0"/>
    <n v="0"/>
    <n v="0"/>
    <s v="-"/>
    <s v="Erro excluindo PNR: Não é possivel excluir a accounting de código: 25395732. A mesma está ligada a conciliação de cartão &quot;PAYMEE 17.11.2025.xlsx&quot;"/>
    <x v="2"/>
    <x v="7"/>
    <s v="Financeiro Conciliado"/>
    <x v="3"/>
    <s v="Processo Operacional"/>
    <s v="ZUPPER VIAGENS"/>
    <x v="4"/>
  </r>
  <r>
    <n v="23332722"/>
    <n v="24061614"/>
    <s v="ACC01"/>
    <x v="30"/>
    <d v="2025-11-18T09:06:47"/>
    <x v="0"/>
    <x v="2"/>
    <s v="RLZEGZ"/>
    <s v="EBOOKING"/>
    <s v="ADEMIR VALERIO"/>
    <s v="Zupper"/>
    <s v="Zupper"/>
    <d v="2025-11-15T22:00:00"/>
    <n v="6952979"/>
    <s v="-"/>
    <s v="OFF LINE"/>
    <s v="Invoice"/>
    <s v="Cartão convênio"/>
    <x v="0"/>
    <s v="N"/>
    <x v="5"/>
    <s v="Fabiana Sambini"/>
    <s v="-"/>
    <s v="Azul Linhas Aereas"/>
    <n v="3895134748"/>
    <x v="6"/>
    <s v="-"/>
    <x v="29"/>
    <n v="92.53"/>
    <n v="0"/>
    <n v="0"/>
    <n v="0"/>
    <n v="0"/>
    <n v="0"/>
    <s v="-"/>
    <s v="Erro excluindo PNR: Não é possivel excluir a accounting de código: 25393682. A mesma está ligada a conciliação de cartão &quot;PAYMEE 17.11.2025.xlsx&quot;"/>
    <x v="2"/>
    <x v="7"/>
    <s v="Financeiro Conciliado"/>
    <x v="3"/>
    <s v="Processo Operacional"/>
    <s v="ZUPPER VIAGENS"/>
    <x v="4"/>
  </r>
  <r>
    <n v="23333521"/>
    <n v="24062221"/>
    <s v="ACC01"/>
    <x v="31"/>
    <d v="2025-11-18T09:08:53"/>
    <x v="0"/>
    <x v="0"/>
    <s v="WFYUWK"/>
    <s v="EBOOKING"/>
    <s v="Victoria Cruz"/>
    <s v="Zupper"/>
    <s v="Zupper"/>
    <d v="2025-11-16T03:22:00"/>
    <n v="6953294"/>
    <s v="-"/>
    <s v="OFF LINE"/>
    <s v="Invoice"/>
    <s v="Cartão convênio"/>
    <x v="0"/>
    <s v="S"/>
    <x v="5"/>
    <s v="Zupper Cartao"/>
    <s v="-"/>
    <s v="Latam Airlines Brasil"/>
    <n v="2259897267"/>
    <x v="6"/>
    <s v="-"/>
    <x v="30"/>
    <n v="56.78"/>
    <n v="0"/>
    <n v="0"/>
    <n v="0"/>
    <n v="0"/>
    <n v="357.92"/>
    <s v="-"/>
    <s v="Erro excluindo PNR: Não é possivel excluir a accounting de código: 25394052. A mesma está ligada a conciliação de cartão &quot;PAYMEE 17.11.2025.xlsx&quot;"/>
    <x v="2"/>
    <x v="7"/>
    <s v="Financeiro Conciliado"/>
    <x v="3"/>
    <s v="Processo Operacional"/>
    <s v="ZUPPER VIAGENS"/>
    <x v="4"/>
  </r>
  <r>
    <n v="23333521"/>
    <n v="24062222"/>
    <s v="ACC02"/>
    <x v="31"/>
    <d v="2025-11-18T09:08:53"/>
    <x v="0"/>
    <x v="0"/>
    <s v="WFYUWK"/>
    <s v="EBOOKING"/>
    <s v="Benicio Oliveira"/>
    <s v="Zupper"/>
    <s v="Zupper"/>
    <d v="2025-11-16T03:22:00"/>
    <n v="6953294"/>
    <s v="-"/>
    <s v="OFF LINE"/>
    <s v="Invoice"/>
    <s v="Cartão convênio"/>
    <x v="0"/>
    <s v="S"/>
    <x v="5"/>
    <s v="Zupper Cartao"/>
    <s v="-"/>
    <s v="Latam Airlines Brasil"/>
    <n v="2259897268"/>
    <x v="6"/>
    <s v="-"/>
    <x v="30"/>
    <n v="56.78"/>
    <n v="0"/>
    <n v="0"/>
    <n v="0"/>
    <n v="0"/>
    <n v="0"/>
    <s v="-"/>
    <s v="Erro excluindo PNR: Não é possivel excluir a accounting de código: 25394052. A mesma está ligada a conciliação de cartão &quot;PAYMEE 17.11.2025.xlsx&quot;"/>
    <x v="2"/>
    <x v="7"/>
    <s v="Financeiro Conciliado"/>
    <x v="3"/>
    <s v="Processo Operacional"/>
    <s v="ZUPPER VIAGENS"/>
    <x v="4"/>
  </r>
  <r>
    <n v="23336013"/>
    <n v="24064300"/>
    <s v="ACC01"/>
    <x v="28"/>
    <d v="2025-11-18T09:17:26"/>
    <x v="0"/>
    <x v="0"/>
    <s v="GMKD4Q"/>
    <s v="EBOOKING"/>
    <s v="Giullia Delgado"/>
    <s v="Zupper"/>
    <s v="Zupper"/>
    <d v="2025-11-16T18:35:00"/>
    <n v="6954279"/>
    <s v="-"/>
    <s v="OFF LINE"/>
    <s v="Invoice"/>
    <s v="Cartão convênio"/>
    <x v="0"/>
    <s v="S"/>
    <x v="5"/>
    <s v="Giulianna Angelica Piason de Brito"/>
    <s v="-"/>
    <s v="Azul Linhas Aereas"/>
    <n v="970450104"/>
    <x v="6"/>
    <s v="-"/>
    <x v="27"/>
    <n v="58.89"/>
    <n v="0"/>
    <n v="0"/>
    <n v="0"/>
    <n v="0"/>
    <n v="151.32"/>
    <s v="-"/>
    <s v="Erro excluindo PNR: Não é possivel excluir a accounting de código: 25395430. A mesma está ligada a conciliação de cartão &quot;PAYMEE 17.11.2025.xlsx&quot;"/>
    <x v="2"/>
    <x v="7"/>
    <s v="Financeiro Conciliado"/>
    <x v="3"/>
    <s v="Processo Operacional"/>
    <s v="ZUPPER VIAGENS"/>
    <x v="4"/>
  </r>
  <r>
    <n v="23336052"/>
    <n v="24064347"/>
    <s v="ACC05"/>
    <x v="32"/>
    <d v="2025-11-18T09:17:30"/>
    <x v="0"/>
    <x v="0"/>
    <s v="BL8JGG"/>
    <s v="EBOOKING"/>
    <s v="Luisa Delgado"/>
    <s v="Zupper"/>
    <s v="Zupper"/>
    <d v="2025-11-16T18:47:00"/>
    <n v="6954301"/>
    <s v="-"/>
    <s v="OFF LINE"/>
    <s v="Invoice"/>
    <s v="Cartão convênio"/>
    <x v="0"/>
    <s v="S"/>
    <x v="5"/>
    <s v="Giulianna Angelica Piason de Brito"/>
    <s v="-"/>
    <s v="Azul Linhas Aereas"/>
    <n v="2175324568"/>
    <x v="6"/>
    <s v="-"/>
    <x v="0"/>
    <n v="0"/>
    <n v="0"/>
    <n v="0"/>
    <n v="0"/>
    <n v="0"/>
    <n v="0"/>
    <s v="-"/>
    <s v="Erro excluindo PNR: Não é possivel excluir a accounting de código: 25395461. A mesma está ligada a conciliação de cartão &quot;PAYMEE 17.11.2025.xlsx&quot;"/>
    <x v="2"/>
    <x v="7"/>
    <s v="Financeiro Conciliado"/>
    <x v="3"/>
    <s v="Processo Operacional"/>
    <s v="ZUPPER VIAGENS"/>
    <x v="4"/>
  </r>
  <r>
    <n v="23329909"/>
    <n v="24059067"/>
    <s v="ACC01"/>
    <x v="26"/>
    <d v="2025-11-18T09:01:37"/>
    <x v="0"/>
    <x v="2"/>
    <s v="CFLRJQ"/>
    <s v="EBOOKING"/>
    <s v="Rosenir Silva Braga"/>
    <s v="Zupper"/>
    <s v="Zupper"/>
    <d v="2025-11-15T06:49:00"/>
    <n v="6951692"/>
    <s v="-"/>
    <s v="OFF LINE"/>
    <s v="Invoice"/>
    <s v="Cartão convênio"/>
    <x v="0"/>
    <s v="S"/>
    <x v="5"/>
    <s v="Zupper Cartao"/>
    <s v="-"/>
    <s v="Latam Airlines Brasil"/>
    <n v="2259793070"/>
    <x v="6"/>
    <s v="-"/>
    <x v="25"/>
    <n v="55.17"/>
    <n v="0"/>
    <n v="0"/>
    <n v="0"/>
    <n v="0"/>
    <n v="490.9"/>
    <s v="-"/>
    <s v="Erro excluindo PNR: Não é possivel excluir a accounting de código: 25391809. A mesma está ligada a conciliação de cartão &quot;PAYMEE 17.11.2025.xlsx&quot;"/>
    <x v="2"/>
    <x v="7"/>
    <s v="Financeiro Conciliado"/>
    <x v="3"/>
    <s v="Processo Operacional"/>
    <s v="ZUPPER VIAGENS"/>
    <x v="4"/>
  </r>
  <r>
    <n v="23329909"/>
    <n v="24059068"/>
    <s v="ACC02"/>
    <x v="26"/>
    <d v="2025-11-18T09:01:37"/>
    <x v="0"/>
    <x v="2"/>
    <s v="CFLRJQ"/>
    <s v="EBOOKING"/>
    <s v="Girleno Menezes Barbosa"/>
    <s v="Zupper"/>
    <s v="Zupper"/>
    <d v="2025-11-15T06:49:00"/>
    <n v="6951692"/>
    <s v="-"/>
    <s v="OFF LINE"/>
    <s v="Invoice"/>
    <s v="Cartão convênio"/>
    <x v="0"/>
    <s v="S"/>
    <x v="5"/>
    <s v="Zupper Cartao"/>
    <s v="-"/>
    <s v="Latam Airlines Brasil"/>
    <n v="2259793071"/>
    <x v="6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x v="2"/>
    <x v="7"/>
    <s v="Financeiro Conciliado"/>
    <x v="3"/>
    <s v="Processo Operacional"/>
    <s v="ZUPPER VIAGENS"/>
    <x v="4"/>
  </r>
  <r>
    <n v="23329909"/>
    <n v="24059069"/>
    <s v="ACC03"/>
    <x v="26"/>
    <d v="2025-11-18T09:01:37"/>
    <x v="0"/>
    <x v="2"/>
    <s v="CFLRJQ"/>
    <s v="EBOOKING"/>
    <s v="Paulo Vitor Meireles"/>
    <s v="Zupper"/>
    <s v="Zupper"/>
    <d v="2025-11-15T06:49:00"/>
    <n v="6951692"/>
    <s v="-"/>
    <s v="OFF LINE"/>
    <s v="Invoice"/>
    <s v="Cartão convênio"/>
    <x v="0"/>
    <s v="S"/>
    <x v="5"/>
    <s v="Zupper Cartao"/>
    <s v="-"/>
    <s v="Latam Airlines Brasil"/>
    <n v="2259793072"/>
    <x v="6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x v="2"/>
    <x v="7"/>
    <s v="Financeiro Conciliado"/>
    <x v="3"/>
    <s v="Processo Operacional"/>
    <s v="ZUPPER VIAGENS"/>
    <x v="4"/>
  </r>
  <r>
    <n v="23329909"/>
    <n v="24059070"/>
    <s v="ACC04"/>
    <x v="26"/>
    <d v="2025-11-18T09:01:37"/>
    <x v="0"/>
    <x v="2"/>
    <s v="CFLRJQ"/>
    <s v="EBOOKING"/>
    <s v="Emanuel Ribeiro Franca"/>
    <s v="Zupper"/>
    <s v="Zupper"/>
    <d v="2025-11-15T06:49:00"/>
    <n v="6951692"/>
    <s v="-"/>
    <s v="OFF LINE"/>
    <s v="Invoice"/>
    <s v="Cartão convênio"/>
    <x v="0"/>
    <s v="S"/>
    <x v="5"/>
    <s v="Zupper Cartao"/>
    <s v="-"/>
    <s v="Latam Airlines Brasil"/>
    <n v="2259793073"/>
    <x v="6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x v="2"/>
    <x v="7"/>
    <s v="Financeiro Conciliado"/>
    <x v="3"/>
    <s v="Processo Operacional"/>
    <s v="ZUPPER VIAGENS"/>
    <x v="4"/>
  </r>
  <r>
    <n v="23336013"/>
    <n v="24064302"/>
    <s v="ACC03"/>
    <x v="28"/>
    <d v="2025-11-18T09:17:26"/>
    <x v="0"/>
    <x v="0"/>
    <s v="GMKD4Q"/>
    <s v="EBOOKING"/>
    <s v="Felipe Vieira"/>
    <s v="Zupper"/>
    <s v="Zupper"/>
    <d v="2025-11-16T18:35:00"/>
    <n v="6954279"/>
    <s v="-"/>
    <s v="OFF LINE"/>
    <s v="Invoice"/>
    <s v="Cartão convênio"/>
    <x v="0"/>
    <s v="S"/>
    <x v="5"/>
    <s v="Giulianna Angelica Piason de Brito"/>
    <s v="-"/>
    <s v="Azul Linhas Aereas"/>
    <n v="5373137183"/>
    <x v="6"/>
    <s v="-"/>
    <x v="27"/>
    <n v="58.89"/>
    <n v="0"/>
    <n v="0"/>
    <n v="0"/>
    <n v="0"/>
    <n v="0"/>
    <s v="-"/>
    <s v="Erro excluindo PNR: Não é possivel excluir a accounting de código: 25395430. A mesma está ligada a conciliação de cartão &quot;PAYMEE 17.11.2025.xlsx&quot;"/>
    <x v="2"/>
    <x v="7"/>
    <s v="Financeiro Conciliado"/>
    <x v="3"/>
    <s v="Processo Operacional"/>
    <s v="ZUPPER VIAGENS"/>
    <x v="4"/>
  </r>
  <r>
    <n v="23336013"/>
    <n v="24064303"/>
    <s v="ACC04"/>
    <x v="28"/>
    <d v="2025-11-18T09:17:26"/>
    <x v="0"/>
    <x v="0"/>
    <s v="GMKD4Q"/>
    <s v="EBOOKING"/>
    <s v="Rafael Vieira"/>
    <s v="Zupper"/>
    <s v="Zupper"/>
    <d v="2025-11-16T18:35:00"/>
    <n v="6954279"/>
    <s v="-"/>
    <s v="OFF LINE"/>
    <s v="Invoice"/>
    <s v="Cartão convênio"/>
    <x v="0"/>
    <s v="S"/>
    <x v="5"/>
    <s v="Giulianna Angelica Piason de Brito"/>
    <s v="-"/>
    <s v="Azul Linhas Aereas"/>
    <n v="2846058807"/>
    <x v="6"/>
    <s v="-"/>
    <x v="0"/>
    <n v="0"/>
    <n v="0"/>
    <n v="0"/>
    <n v="0"/>
    <n v="0"/>
    <n v="0"/>
    <s v="-"/>
    <s v="Erro excluindo PNR: Não é possivel excluir a accounting de código: 25395430. A mesma está ligada a conciliação de cartão &quot;PAYMEE 17.11.2025.xlsx&quot;"/>
    <x v="2"/>
    <x v="7"/>
    <s v="Financeiro Conciliado"/>
    <x v="3"/>
    <s v="Processo Operacional"/>
    <s v="ZUPPER VIAGENS"/>
    <x v="4"/>
  </r>
  <r>
    <n v="23336013"/>
    <n v="24064304"/>
    <s v="ACC05"/>
    <x v="28"/>
    <d v="2025-11-18T09:17:26"/>
    <x v="0"/>
    <x v="0"/>
    <s v="GMKD4Q"/>
    <s v="EBOOKING"/>
    <s v="Luisa Delgado"/>
    <s v="Zupper"/>
    <s v="Zupper"/>
    <d v="2025-11-16T18:35:00"/>
    <n v="6954279"/>
    <s v="-"/>
    <s v="OFF LINE"/>
    <s v="Invoice"/>
    <s v="Cartão convênio"/>
    <x v="0"/>
    <s v="S"/>
    <x v="5"/>
    <s v="Giulianna Angelica Piason de Brito"/>
    <s v="-"/>
    <s v="Azul Linhas Aereas"/>
    <n v="2252583666"/>
    <x v="6"/>
    <s v="-"/>
    <x v="0"/>
    <n v="0"/>
    <n v="0"/>
    <n v="0"/>
    <n v="0"/>
    <n v="0"/>
    <n v="0"/>
    <s v="-"/>
    <s v="Erro excluindo PNR: Não é possivel excluir a accounting de código: 25395430. A mesma está ligada a conciliação de cartão &quot;PAYMEE 17.11.2025.xlsx&quot;"/>
    <x v="2"/>
    <x v="7"/>
    <s v="Financeiro Conciliado"/>
    <x v="3"/>
    <s v="Processo Operacional"/>
    <s v="ZUPPER VIAGENS"/>
    <x v="4"/>
  </r>
  <r>
    <n v="23336052"/>
    <n v="24064343"/>
    <s v="ACC01"/>
    <x v="32"/>
    <d v="2025-11-18T09:17:30"/>
    <x v="0"/>
    <x v="0"/>
    <s v="BL8JGG"/>
    <s v="EBOOKING"/>
    <s v="Giullia Delgado"/>
    <s v="Zupper"/>
    <s v="Zupper"/>
    <d v="2025-11-16T18:47:00"/>
    <n v="6954301"/>
    <s v="-"/>
    <s v="OFF LINE"/>
    <s v="Invoice"/>
    <s v="Cartão convênio"/>
    <x v="0"/>
    <s v="S"/>
    <x v="5"/>
    <s v="Giulianna Angelica Piason de Brito"/>
    <s v="-"/>
    <s v="Azul Linhas Aereas"/>
    <n v="3340742969"/>
    <x v="6"/>
    <s v="-"/>
    <x v="27"/>
    <n v="58.89"/>
    <n v="0"/>
    <n v="0"/>
    <n v="0"/>
    <n v="0"/>
    <n v="151.32"/>
    <s v="-"/>
    <s v="Erro excluindo PNR: Não é possivel excluir a accounting de código: 25395461. A mesma está ligada a conciliação de cartão &quot;PAYMEE 17.11.2025.xlsx&quot;"/>
    <x v="2"/>
    <x v="7"/>
    <s v="Financeiro Conciliado"/>
    <x v="3"/>
    <s v="Processo Operacional"/>
    <s v="ZUPPER VIAGENS"/>
    <x v="4"/>
  </r>
  <r>
    <n v="23336052"/>
    <n v="24064344"/>
    <s v="ACC02"/>
    <x v="32"/>
    <d v="2025-11-18T09:17:30"/>
    <x v="0"/>
    <x v="0"/>
    <s v="BL8JGG"/>
    <s v="EBOOKING"/>
    <s v="Giulianna Delgado"/>
    <s v="Zupper"/>
    <s v="Zupper"/>
    <d v="2025-11-16T18:47:00"/>
    <n v="6954301"/>
    <s v="-"/>
    <s v="OFF LINE"/>
    <s v="Invoice"/>
    <s v="Cartão convênio"/>
    <x v="0"/>
    <s v="S"/>
    <x v="5"/>
    <s v="Giulianna Angelica Piason de Brito"/>
    <s v="-"/>
    <s v="Azul Linhas Aereas"/>
    <n v="5824548844"/>
    <x v="6"/>
    <s v="-"/>
    <x v="27"/>
    <n v="58.89"/>
    <n v="0"/>
    <n v="0"/>
    <n v="0"/>
    <n v="0"/>
    <n v="0"/>
    <s v="-"/>
    <s v="Erro excluindo PNR: Não é possivel excluir a accounting de código: 25395461. A mesma está ligada a conciliação de cartão &quot;PAYMEE 17.11.2025.xlsx&quot;"/>
    <x v="2"/>
    <x v="7"/>
    <s v="Financeiro Conciliado"/>
    <x v="3"/>
    <s v="Processo Operacional"/>
    <s v="ZUPPER VIAGENS"/>
    <x v="4"/>
  </r>
  <r>
    <n v="23336052"/>
    <n v="24064345"/>
    <s v="ACC03"/>
    <x v="32"/>
    <d v="2025-11-18T09:17:30"/>
    <x v="0"/>
    <x v="0"/>
    <s v="BL8JGG"/>
    <s v="EBOOKING"/>
    <s v="Felipe Vieira"/>
    <s v="Zupper"/>
    <s v="Zupper"/>
    <d v="2025-11-16T18:47:00"/>
    <n v="6954301"/>
    <s v="-"/>
    <s v="OFF LINE"/>
    <s v="Invoice"/>
    <s v="Cartão convênio"/>
    <x v="0"/>
    <s v="S"/>
    <x v="5"/>
    <s v="Giulianna Angelica Piason de Brito"/>
    <s v="-"/>
    <s v="Azul Linhas Aereas"/>
    <n v="6776511627"/>
    <x v="6"/>
    <s v="-"/>
    <x v="27"/>
    <n v="58.89"/>
    <n v="0"/>
    <n v="0"/>
    <n v="0"/>
    <n v="0"/>
    <n v="0"/>
    <s v="-"/>
    <s v="Erro excluindo PNR: Não é possivel excluir a accounting de código: 25395461. A mesma está ligada a conciliação de cartão &quot;PAYMEE 17.11.2025.xlsx&quot;"/>
    <x v="2"/>
    <x v="7"/>
    <s v="Financeiro Conciliado"/>
    <x v="3"/>
    <s v="Processo Operacional"/>
    <s v="ZUPPER VIAGENS"/>
    <x v="4"/>
  </r>
  <r>
    <n v="23336052"/>
    <n v="24064346"/>
    <s v="ACC04"/>
    <x v="32"/>
    <d v="2025-11-18T09:17:30"/>
    <x v="0"/>
    <x v="0"/>
    <s v="BL8JGG"/>
    <s v="EBOOKING"/>
    <s v="Rafael Vieira"/>
    <s v="Zupper"/>
    <s v="Zupper"/>
    <d v="2025-11-16T18:47:00"/>
    <n v="6954301"/>
    <s v="-"/>
    <s v="OFF LINE"/>
    <s v="Invoice"/>
    <s v="Cartão convênio"/>
    <x v="0"/>
    <s v="S"/>
    <x v="5"/>
    <s v="Giulianna Angelica Piason de Brito"/>
    <s v="-"/>
    <s v="Azul Linhas Aereas"/>
    <n v="4961395002"/>
    <x v="6"/>
    <s v="-"/>
    <x v="0"/>
    <n v="0"/>
    <n v="0"/>
    <n v="0"/>
    <n v="0"/>
    <n v="0"/>
    <n v="0"/>
    <s v="-"/>
    <s v="Erro excluindo PNR: Não é possivel excluir a accounting de código: 25395461. A mesma está ligada a conciliação de cartão &quot;PAYMEE 17.11.2025.xlsx&quot;"/>
    <x v="2"/>
    <x v="7"/>
    <s v="Financeiro Conciliado"/>
    <x v="3"/>
    <s v="Processo Operacional"/>
    <s v="ZUPPER VIAGENS"/>
    <x v="4"/>
  </r>
  <r>
    <n v="23365966"/>
    <n v="24091974"/>
    <s v="ACC01"/>
    <x v="33"/>
    <d v="2025-11-21T14:06:31"/>
    <x v="3"/>
    <x v="3"/>
    <s v="JXYBHA"/>
    <s v="EBOOKING"/>
    <s v="PRISCILA DE OLIVEIRA/PAOLA"/>
    <s v="Kontrip"/>
    <s v="Kontrip"/>
    <d v="2025-11-21T11:58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958810"/>
    <x v="7"/>
    <s v="-"/>
    <x v="31"/>
    <n v="47.02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46584"/>
    <n v="24073922"/>
    <s v="ACC01"/>
    <x v="34"/>
    <d v="2025-11-18T12:40:08"/>
    <x v="0"/>
    <x v="0"/>
    <s v="LA9572603ISTA"/>
    <s v="EBOOKING"/>
    <s v="VEIGA/FELIPE"/>
    <s v="Kontrip"/>
    <s v="Kontrip"/>
    <d v="2025-11-18T10:53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202126"/>
    <x v="7"/>
    <s v="-"/>
    <x v="32"/>
    <n v="85.59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46905"/>
    <n v="24074284"/>
    <s v="ACC01"/>
    <x v="35"/>
    <d v="2025-11-18T12:33:57"/>
    <x v="0"/>
    <x v="0"/>
    <s v="UG1W8Y"/>
    <s v="EBOOKING"/>
    <s v="Marcello Sigabinazze/Alexandre"/>
    <s v="Kontrip"/>
    <s v="Kontrip"/>
    <d v="2025-11-18T12:24:00"/>
    <s v="-"/>
    <s v="-"/>
    <s v="OFF LINE"/>
    <s v="Cartão de crédito"/>
    <s v="Cartão de crédito"/>
    <x v="0"/>
    <s v="N"/>
    <x v="6"/>
    <s v="Agencia Mercurio York Viagens e Turismo Ltda"/>
    <s v="-"/>
    <s v="Azul Linhas Aereas"/>
    <n v="667427834"/>
    <x v="7"/>
    <s v="-"/>
    <x v="33"/>
    <n v="84.66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46086"/>
    <n v="24073393"/>
    <s v="ACC02"/>
    <x v="36"/>
    <d v="2025-11-18T10:25:34"/>
    <x v="0"/>
    <x v="0"/>
    <s v="LA9572656FWVK"/>
    <s v="EBOOKING"/>
    <s v="PEDRO BARTILOTTI/JOAO"/>
    <s v="Kontrip"/>
    <s v="Kontrip"/>
    <d v="2025-11-18T10:00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191433"/>
    <x v="7"/>
    <s v="-"/>
    <x v="34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46086"/>
    <n v="24073394"/>
    <s v="ACC03"/>
    <x v="36"/>
    <d v="2025-11-18T10:25:34"/>
    <x v="0"/>
    <x v="0"/>
    <s v="LA9572656FWVK"/>
    <s v="EBOOKING"/>
    <s v="LEANDRA DA CONCEICAO/BERNARDINA"/>
    <s v="Kontrip"/>
    <s v="Kontrip"/>
    <d v="2025-11-18T10:00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191434"/>
    <x v="7"/>
    <s v="-"/>
    <x v="34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46086"/>
    <n v="24073392"/>
    <s v="ACC01"/>
    <x v="36"/>
    <d v="2025-11-18T10:25:34"/>
    <x v="0"/>
    <x v="0"/>
    <s v="LA9572656FWVK"/>
    <s v="EBOOKING"/>
    <s v="BARTILOTTI/PATRICIA"/>
    <s v="Kontrip"/>
    <s v="Kontrip"/>
    <d v="2025-11-18T10:00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191432"/>
    <x v="7"/>
    <s v="-"/>
    <x v="34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46089"/>
    <n v="24073397"/>
    <s v="ACC01"/>
    <x v="37"/>
    <d v="2025-11-18T10:22:15"/>
    <x v="0"/>
    <x v="0"/>
    <s v="JWSTWN"/>
    <s v="EBOOKING"/>
    <s v="Marcello Sigabinazze/Alexandre"/>
    <s v="Kontrip"/>
    <s v="Kontrip"/>
    <d v="2025-11-18T10:09:00"/>
    <s v="-"/>
    <s v="-"/>
    <s v="OFF LINE"/>
    <s v="Cartão de crédito"/>
    <s v="Cartão de crédito"/>
    <x v="0"/>
    <s v="N"/>
    <x v="6"/>
    <s v="Agencia Mercurio York Viagens e Turismo Ltda"/>
    <s v="-"/>
    <s v="Azul Linhas Aereas"/>
    <n v="805013566"/>
    <x v="7"/>
    <s v="-"/>
    <x v="35"/>
    <n v="84.66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47373"/>
    <n v="24074760"/>
    <s v="ACC01"/>
    <x v="38"/>
    <d v="2025-11-18T13:49:05"/>
    <x v="0"/>
    <x v="0"/>
    <s v="LA9578712CYFA"/>
    <s v="EBOOKING"/>
    <s v="RODRIGUES SOUZA/RENATA"/>
    <s v="Kontrip"/>
    <s v="Kontrip"/>
    <d v="2025-11-18T01:39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224770"/>
    <x v="7"/>
    <s v="-"/>
    <x v="36"/>
    <n v="33.64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38317"/>
    <n v="24066122"/>
    <s v="ACC01"/>
    <x v="39"/>
    <d v="2025-11-17T09:13:03"/>
    <x v="0"/>
    <x v="0"/>
    <s v="LA9571642LMOD"/>
    <s v="EBOOKING"/>
    <s v="VEIGA/FELIPE"/>
    <s v="Kontrip"/>
    <s v="Kontrip"/>
    <d v="2025-11-16T11:55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016800"/>
    <x v="7"/>
    <s v="-"/>
    <x v="37"/>
    <n v="85.59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38293"/>
    <n v="24066102"/>
    <s v="ACC01"/>
    <x v="40"/>
    <d v="2025-11-17T09:06:30"/>
    <x v="0"/>
    <x v="0"/>
    <s v="LA9579496FMEX"/>
    <s v="EBOOKING"/>
    <s v="VEIGA/FELIPE"/>
    <s v="Kontrip"/>
    <s v="Kontrip"/>
    <d v="2025-11-16T11:44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60016749"/>
    <x v="7"/>
    <s v="-"/>
    <x v="38"/>
    <n v="85.59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331632"/>
    <n v="24060596"/>
    <s v="ACC01"/>
    <x v="41"/>
    <d v="2025-11-15T16:15:25"/>
    <x v="2"/>
    <x v="2"/>
    <s v="LA9573238YNLB"/>
    <s v="EBOOKING"/>
    <s v="BARTILOTTI/PATRICIA"/>
    <s v="Kontrip"/>
    <s v="Kontrip"/>
    <d v="2025-11-15T04:04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843869"/>
    <x v="7"/>
    <s v="-"/>
    <x v="39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31632"/>
    <n v="24060597"/>
    <s v="ACC02"/>
    <x v="41"/>
    <d v="2025-11-15T16:15:25"/>
    <x v="2"/>
    <x v="2"/>
    <s v="LA9573238YNLB"/>
    <s v="EBOOKING"/>
    <s v="PEDRO BARTILOTTI/JOAO"/>
    <s v="Kontrip"/>
    <s v="Kontrip"/>
    <d v="2025-11-15T04:04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843870"/>
    <x v="7"/>
    <s v="-"/>
    <x v="39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31632"/>
    <n v="24060598"/>
    <s v="ACC03"/>
    <x v="41"/>
    <d v="2025-11-15T16:15:25"/>
    <x v="2"/>
    <x v="2"/>
    <s v="LA9573238YNLB"/>
    <s v="EBOOKING"/>
    <s v="LEANDRA DA CONCEICAO/BERNARDINA"/>
    <s v="Kontrip"/>
    <s v="Kontrip"/>
    <d v="2025-11-15T04:04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843871"/>
    <x v="7"/>
    <s v="-"/>
    <x v="39"/>
    <n v="52.7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35504"/>
    <n v="24063828"/>
    <s v="ACC01"/>
    <x v="42"/>
    <d v="2025-11-16T15:49:04"/>
    <x v="0"/>
    <x v="0"/>
    <s v="QWRMEE"/>
    <s v="EBOOKING"/>
    <s v="SOARES SANTOS/IVANA"/>
    <s v="Kontrip"/>
    <s v="Kontrip"/>
    <d v="2025-11-16T03:40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619797"/>
    <x v="7"/>
    <s v="-"/>
    <x v="40"/>
    <n v="113.34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298506"/>
    <n v="24029456"/>
    <s v="ACC03"/>
    <x v="43"/>
    <d v="2025-11-10T21:01:10"/>
    <x v="2"/>
    <x v="2"/>
    <s v="WCJCRK"/>
    <s v="EBOOKING"/>
    <s v="DIAS/GUSTAVO"/>
    <s v="Kontrip"/>
    <s v="Kontrip"/>
    <d v="2025-11-10T08:53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8906"/>
    <x v="7"/>
    <s v="-"/>
    <x v="41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00986"/>
    <n v="24031601"/>
    <s v="ACC01"/>
    <x v="44"/>
    <d v="2025-11-11T09:30:43"/>
    <x v="2"/>
    <x v="2"/>
    <s v="LKAOZY"/>
    <s v="EBOOKING"/>
    <s v="OLIVEIRA/PRISCILA"/>
    <s v="Kontrip"/>
    <s v="Kontrip"/>
    <d v="2025-11-11T09:14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28029"/>
    <x v="7"/>
    <s v="-"/>
    <x v="42"/>
    <n v="60.62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298602"/>
    <n v="24029562"/>
    <s v="ACC01"/>
    <x v="45"/>
    <d v="2025-11-10T21:16:14"/>
    <x v="2"/>
    <x v="2"/>
    <s v="LA9578646MFJQ"/>
    <s v="EBOOKING"/>
    <s v="Calheira/Patrici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0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02"/>
    <n v="24029563"/>
    <s v="ACC02"/>
    <x v="45"/>
    <d v="2025-11-10T21:16:14"/>
    <x v="2"/>
    <x v="2"/>
    <s v="LA9578646MFJQ"/>
    <s v="EBOOKING"/>
    <s v="Souza/Carolin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1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02"/>
    <n v="24029564"/>
    <s v="ACC03"/>
    <x v="45"/>
    <d v="2025-11-10T21:16:14"/>
    <x v="2"/>
    <x v="2"/>
    <s v="LA9578646MFJQ"/>
    <s v="EBOOKING"/>
    <s v="Rayanne Brito Morais/Nan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2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02"/>
    <n v="24029565"/>
    <s v="ACC04"/>
    <x v="45"/>
    <d v="2025-11-10T21:16:14"/>
    <x v="2"/>
    <x v="2"/>
    <s v="LA9578646MFJQ"/>
    <s v="EBOOKING"/>
    <s v="VIEIRA BARRETO/LUCIAN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3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02"/>
    <n v="24029566"/>
    <s v="ACC05"/>
    <x v="45"/>
    <d v="2025-11-10T21:16:14"/>
    <x v="2"/>
    <x v="2"/>
    <s v="LA9578646MFJQ"/>
    <s v="EBOOKING"/>
    <s v="Cristiane Santos/Andrei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4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02"/>
    <n v="24029567"/>
    <s v="ACC06"/>
    <x v="45"/>
    <d v="2025-11-10T21:16:14"/>
    <x v="2"/>
    <x v="2"/>
    <s v="LA9578646MFJQ"/>
    <s v="EBOOKING"/>
    <s v="Cavalcanti de Sa/Talita"/>
    <s v="Kontrip"/>
    <s v="Kontrip"/>
    <d v="2025-11-10T09:0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055745"/>
    <x v="7"/>
    <s v="-"/>
    <x v="43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31"/>
    <n v="24029609"/>
    <s v="ACC01"/>
    <x v="46"/>
    <d v="2025-11-10T21:24:38"/>
    <x v="2"/>
    <x v="2"/>
    <s v="FJPLXB"/>
    <s v="EBOOKING"/>
    <s v="Rios/Aline"/>
    <s v="Kontrip"/>
    <s v="Kontrip"/>
    <d v="2025-11-10T09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0370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707"/>
    <n v="24029687"/>
    <s v="ACC01"/>
    <x v="47"/>
    <d v="2025-11-10T21:37:14"/>
    <x v="2"/>
    <x v="2"/>
    <s v="WBFXKJ"/>
    <s v="EBOOKING"/>
    <s v="Vilela/Lidiany"/>
    <s v="Kontrip"/>
    <s v="Kontrip"/>
    <d v="2025-11-10T09:31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1515"/>
    <x v="7"/>
    <s v="-"/>
    <x v="41"/>
    <n v="60.62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298631"/>
    <n v="24029614"/>
    <s v="ACC05"/>
    <x v="46"/>
    <d v="2025-11-10T21:24:38"/>
    <x v="2"/>
    <x v="2"/>
    <s v="FJPLXB"/>
    <s v="EBOOKING"/>
    <s v="Faria/Catarina"/>
    <s v="Kontrip"/>
    <s v="Kontrip"/>
    <d v="2025-11-10T09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0374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31"/>
    <n v="24029610"/>
    <s v="ACC02"/>
    <x v="46"/>
    <d v="2025-11-10T21:24:38"/>
    <x v="2"/>
    <x v="2"/>
    <s v="FJPLXB"/>
    <s v="EBOOKING"/>
    <s v="Eduardo dias de Azevedo/Carlos"/>
    <s v="Kontrip"/>
    <s v="Kontrip"/>
    <d v="2025-11-10T09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0371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31"/>
    <n v="24029611"/>
    <s v="ACC03"/>
    <x v="46"/>
    <d v="2025-11-10T21:24:38"/>
    <x v="2"/>
    <x v="2"/>
    <s v="FJPLXB"/>
    <s v="EBOOKING"/>
    <s v="Mota/Luiza"/>
    <s v="Kontrip"/>
    <s v="Kontrip"/>
    <d v="2025-11-10T09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0372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631"/>
    <n v="24029612"/>
    <s v="ACC04"/>
    <x v="46"/>
    <d v="2025-11-10T21:24:38"/>
    <x v="2"/>
    <x v="2"/>
    <s v="FJPLXB"/>
    <s v="EBOOKING"/>
    <s v="Varjao/Lorena"/>
    <s v="Kontrip"/>
    <s v="Kontrip"/>
    <d v="2025-11-10T09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10373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300846"/>
    <n v="24031455"/>
    <s v="ACC01"/>
    <x v="48"/>
    <d v="2025-11-11T09:01:40"/>
    <x v="2"/>
    <x v="2"/>
    <s v="LA9577795OSVJ"/>
    <s v="EBOOKING"/>
    <s v="ANGE ARAUJO/ENY"/>
    <s v="Kontrip"/>
    <s v="Kontrip"/>
    <d v="2025-11-11T08:3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100812"/>
    <x v="7"/>
    <s v="-"/>
    <x v="44"/>
    <n v="52.72"/>
    <n v="0"/>
    <n v="0"/>
    <n v="0"/>
    <n v="0"/>
    <n v="0"/>
    <s v="obs"/>
    <s v="Centro de custo não preenchido! (ACC02)"/>
    <x v="3"/>
    <x v="8"/>
    <s v="Falta de informação Gerencial"/>
    <x v="0"/>
    <s v="Qualidade dos dados"/>
    <s v="KONTRIP VIAGENS"/>
    <x v="5"/>
  </r>
  <r>
    <n v="23300846"/>
    <n v="24031456"/>
    <s v="ACC02"/>
    <x v="48"/>
    <d v="2025-11-11T09:01:40"/>
    <x v="2"/>
    <x v="2"/>
    <s v="LA9577795OSVJ"/>
    <s v="EBOOKING"/>
    <s v="Dias/Eloa"/>
    <s v="Kontrip"/>
    <s v="Kontrip"/>
    <d v="2025-11-11T08:3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9100813"/>
    <x v="7"/>
    <s v="-"/>
    <x v="44"/>
    <n v="52.72"/>
    <n v="0"/>
    <n v="0"/>
    <n v="0"/>
    <n v="0"/>
    <n v="0"/>
    <s v="obs"/>
    <s v="Centro de custo não preenchido! (ACC02)"/>
    <x v="3"/>
    <x v="8"/>
    <s v="Falta de informação Gerencial"/>
    <x v="0"/>
    <s v="Qualidade dos dados"/>
    <s v="KONTRIP VIAGENS"/>
    <x v="5"/>
  </r>
  <r>
    <n v="23298506"/>
    <n v="24029454"/>
    <s v="ACC01"/>
    <x v="43"/>
    <d v="2025-11-10T21:01:10"/>
    <x v="2"/>
    <x v="2"/>
    <s v="WCJCRK"/>
    <s v="EBOOKING"/>
    <s v="ANGE ARAUJO/ENY"/>
    <s v="Kontrip"/>
    <s v="Kontrip"/>
    <d v="2025-11-10T08:53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8904"/>
    <x v="7"/>
    <s v="-"/>
    <x v="41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298506"/>
    <n v="24029455"/>
    <s v="ACC02"/>
    <x v="43"/>
    <d v="2025-11-10T21:01:10"/>
    <x v="2"/>
    <x v="2"/>
    <s v="WCJCRK"/>
    <s v="EBOOKING"/>
    <s v="Dias/Eloa"/>
    <s v="Kontrip"/>
    <s v="Kontrip"/>
    <d v="2025-11-10T08:53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8905"/>
    <x v="7"/>
    <s v="-"/>
    <x v="41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298545"/>
    <n v="24029504"/>
    <s v="ACC02"/>
    <x v="49"/>
    <d v="2025-11-10T21:06:17"/>
    <x v="2"/>
    <x v="2"/>
    <s v="CYTJTB"/>
    <s v="EBOOKING"/>
    <s v="Malaquias Santos/Elder"/>
    <s v="Kontrip"/>
    <s v="Kontrip"/>
    <d v="2025-11-10T08:5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9030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545"/>
    <n v="24029505"/>
    <s v="ACC03"/>
    <x v="49"/>
    <d v="2025-11-10T21:06:17"/>
    <x v="2"/>
    <x v="2"/>
    <s v="CYTJTB"/>
    <s v="EBOOKING"/>
    <s v="Costa/Isabel"/>
    <s v="Kontrip"/>
    <s v="Kontrip"/>
    <d v="2025-11-10T08:5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9031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545"/>
    <n v="24029506"/>
    <s v="ACC04"/>
    <x v="49"/>
    <d v="2025-11-10T21:06:17"/>
    <x v="2"/>
    <x v="2"/>
    <s v="CYTJTB"/>
    <s v="EBOOKING"/>
    <s v="Luz Santos/Uendeo"/>
    <s v="Kontrip"/>
    <s v="Kontrip"/>
    <d v="2025-11-10T08:5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9032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0"/>
    <n v="24029350"/>
    <s v="ACC01"/>
    <x v="50"/>
    <d v="2025-11-10T20:44:08"/>
    <x v="2"/>
    <x v="2"/>
    <s v="FMGGRI"/>
    <s v="EBOOKING"/>
    <s v="Costa/Isabel"/>
    <s v="Kontrip"/>
    <s v="Kontrip"/>
    <d v="2025-11-10T08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459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0"/>
    <n v="24029351"/>
    <s v="ACC02"/>
    <x v="50"/>
    <d v="2025-11-10T20:44:08"/>
    <x v="2"/>
    <x v="2"/>
    <s v="FMGGRI"/>
    <s v="EBOOKING"/>
    <s v="Malaquias Santos/Elder"/>
    <s v="Kontrip"/>
    <s v="Kontrip"/>
    <d v="2025-11-10T08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460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0"/>
    <n v="24029352"/>
    <s v="ACC03"/>
    <x v="50"/>
    <d v="2025-11-10T20:44:08"/>
    <x v="2"/>
    <x v="2"/>
    <s v="FMGGRI"/>
    <s v="EBOOKING"/>
    <s v="Luz Santos/Uendeo"/>
    <s v="Kontrip"/>
    <s v="Kontrip"/>
    <d v="2025-11-10T08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461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0"/>
    <n v="24029353"/>
    <s v="ACC04"/>
    <x v="50"/>
    <d v="2025-11-10T20:44:08"/>
    <x v="2"/>
    <x v="2"/>
    <s v="FMGGRI"/>
    <s v="EBOOKING"/>
    <s v="Hasselmann/Bruna"/>
    <s v="Kontrip"/>
    <s v="Kontrip"/>
    <d v="2025-11-10T08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462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0"/>
    <n v="24029354"/>
    <s v="ACC05"/>
    <x v="50"/>
    <d v="2025-11-10T20:44:08"/>
    <x v="2"/>
    <x v="2"/>
    <s v="FMGGRI"/>
    <s v="EBOOKING"/>
    <s v="Maciel/Marcela"/>
    <s v="Kontrip"/>
    <s v="Kontrip"/>
    <d v="2025-11-10T08:15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463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545"/>
    <n v="24029502"/>
    <s v="ACC01"/>
    <x v="49"/>
    <d v="2025-11-10T21:06:17"/>
    <x v="2"/>
    <x v="2"/>
    <s v="CYTJTB"/>
    <s v="EBOOKING"/>
    <s v="Hasselmann/Bruna"/>
    <s v="Kontrip"/>
    <s v="Kontrip"/>
    <d v="2025-11-10T08:5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9029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545"/>
    <n v="24029507"/>
    <s v="ACC05"/>
    <x v="49"/>
    <d v="2025-11-10T21:06:17"/>
    <x v="2"/>
    <x v="2"/>
    <s v="CYTJTB"/>
    <s v="EBOOKING"/>
    <s v="Maciel/Marcela"/>
    <s v="Kontrip"/>
    <s v="Kontrip"/>
    <d v="2025-11-10T08:5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9033"/>
    <x v="7"/>
    <s v="-"/>
    <x v="41"/>
    <n v="60.6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7"/>
    <n v="24029360"/>
    <s v="ACC01"/>
    <x v="51"/>
    <d v="2025-11-10T20:45:48"/>
    <x v="2"/>
    <x v="2"/>
    <s v="IWCSOS"/>
    <s v="EBOOKING"/>
    <s v="Vilela/Lidiany"/>
    <s v="Kontrip"/>
    <s v="Kontrip"/>
    <d v="2025-11-10T06:1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815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7"/>
    <n v="24029362"/>
    <s v="ACC02"/>
    <x v="51"/>
    <d v="2025-11-10T20:45:48"/>
    <x v="2"/>
    <x v="2"/>
    <s v="IWCSOS"/>
    <s v="EBOOKING"/>
    <s v="Mota/Luiza"/>
    <s v="Kontrip"/>
    <s v="Kontrip"/>
    <d v="2025-11-10T06:1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816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7"/>
    <n v="24029364"/>
    <s v="ACC03"/>
    <x v="51"/>
    <d v="2025-11-10T20:45:48"/>
    <x v="2"/>
    <x v="2"/>
    <s v="IWCSOS"/>
    <s v="EBOOKING"/>
    <s v="OLIVEIRA/PRISCILA"/>
    <s v="Kontrip"/>
    <s v="Kontrip"/>
    <d v="2025-11-10T06:1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817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7"/>
    <n v="24029365"/>
    <s v="ACC04"/>
    <x v="51"/>
    <d v="2025-11-10T20:45:48"/>
    <x v="2"/>
    <x v="2"/>
    <s v="IWCSOS"/>
    <s v="EBOOKING"/>
    <s v="Varjao/Lorena"/>
    <s v="Kontrip"/>
    <s v="Kontrip"/>
    <d v="2025-11-10T06:1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818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98427"/>
    <n v="24029367"/>
    <s v="ACC05"/>
    <x v="51"/>
    <d v="2025-11-10T20:45:48"/>
    <x v="2"/>
    <x v="2"/>
    <s v="IWCSOS"/>
    <s v="EBOOKING"/>
    <s v="Faria/Catarina"/>
    <s v="Kontrip"/>
    <s v="Kontrip"/>
    <d v="2025-11-10T06:1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207819"/>
    <x v="7"/>
    <s v="-"/>
    <x v="41"/>
    <n v="52.72"/>
    <n v="0"/>
    <n v="0"/>
    <n v="0"/>
    <n v="0"/>
    <n v="0"/>
    <s v="obs"/>
    <s v=" Centro de custo não preenchido! (ACC03) Verificação d"/>
    <x v="3"/>
    <x v="8"/>
    <s v="Falta de informação Gerencial"/>
    <x v="0"/>
    <s v="Qualidade dos dados"/>
    <s v="KONTRIP VIAGENS"/>
    <x v="5"/>
  </r>
  <r>
    <n v="23274601"/>
    <n v="24007279"/>
    <s v="ACC02"/>
    <x v="52"/>
    <d v="2025-11-06T20:27:20"/>
    <x v="1"/>
    <x v="1"/>
    <s v="LA9579914AWQT"/>
    <s v="EBOOKING"/>
    <s v="PEDRO BARTILOTTI/JOAO"/>
    <s v="Kontrip"/>
    <s v="Kontrip"/>
    <d v="2025-11-06T08:1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8477241"/>
    <x v="7"/>
    <s v="-"/>
    <x v="45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274601"/>
    <n v="24007278"/>
    <s v="ACC01"/>
    <x v="52"/>
    <d v="2025-11-06T20:27:20"/>
    <x v="1"/>
    <x v="1"/>
    <s v="LA9579914AWQT"/>
    <s v="EBOOKING"/>
    <s v="BARTILOTTI/PATRICIA"/>
    <s v="Kontrip"/>
    <s v="Kontrip"/>
    <d v="2025-11-06T08:1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8477240"/>
    <x v="7"/>
    <s v="-"/>
    <x v="45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274601"/>
    <n v="24007280"/>
    <s v="ACC03"/>
    <x v="52"/>
    <d v="2025-11-06T20:27:20"/>
    <x v="1"/>
    <x v="1"/>
    <s v="LA9579914AWQT"/>
    <s v="EBOOKING"/>
    <s v="DA CONCEICAO/BERNARDINA"/>
    <s v="Kontrip"/>
    <s v="Kontrip"/>
    <d v="2025-11-06T08:18:00"/>
    <s v="-"/>
    <s v="-"/>
    <s v="OFF LINE"/>
    <s v="Cartão de crédito"/>
    <s v="Cartão de crédito"/>
    <x v="0"/>
    <s v="N"/>
    <x v="6"/>
    <s v="Agencia Mercurio York Viagens e Turismo Ltda"/>
    <s v="-"/>
    <s v="Latam Airlines Brasil"/>
    <n v="2258477242"/>
    <x v="7"/>
    <s v="-"/>
    <x v="45"/>
    <n v="60.62"/>
    <n v="0"/>
    <n v="0"/>
    <n v="0"/>
    <n v="0"/>
    <n v="0"/>
    <s v="obs"/>
    <s v=" Centro de custo não preenchido! (ACC03)"/>
    <x v="3"/>
    <x v="8"/>
    <s v="Falta de informação Gerencial"/>
    <x v="0"/>
    <s v="Qualidade dos dados"/>
    <s v="KONTRIP VIAGENS"/>
    <x v="5"/>
  </r>
  <r>
    <n v="23372676"/>
    <n v="24097838"/>
    <s v="ACC01"/>
    <x v="53"/>
    <d v="2025-11-22T20:39:39"/>
    <x v="4"/>
    <x v="4"/>
    <s v="EENPBK"/>
    <s v="EBOOKING"/>
    <s v="ANGE ARAUJO/ENY"/>
    <s v="Kontrip"/>
    <s v="Kontrip"/>
    <d v="2025-11-20T07:2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50030508"/>
    <x v="7"/>
    <s v="-"/>
    <x v="46"/>
    <n v="52.72"/>
    <n v="0"/>
    <n v="0"/>
    <n v="0"/>
    <n v="0"/>
    <n v="0"/>
    <s v="obs"/>
    <s v="Centro de custo não preenchido! (ACC02)"/>
    <x v="3"/>
    <x v="8"/>
    <s v="Falta de informação Gerencial"/>
    <x v="0"/>
    <s v="Qualidade dos dados"/>
    <s v="KONTRIP VIAGENS"/>
    <x v="5"/>
  </r>
  <r>
    <n v="23372676"/>
    <n v="24097839"/>
    <s v="ACC02"/>
    <x v="53"/>
    <d v="2025-11-22T20:39:39"/>
    <x v="4"/>
    <x v="4"/>
    <s v="EENPBK"/>
    <s v="EBOOKING"/>
    <s v="Dias/Eloa"/>
    <s v="Kontrip"/>
    <s v="Kontrip"/>
    <d v="2025-11-20T07:27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50030509"/>
    <x v="7"/>
    <s v="-"/>
    <x v="46"/>
    <n v="52.72"/>
    <n v="0"/>
    <n v="0"/>
    <n v="0"/>
    <n v="0"/>
    <n v="0"/>
    <s v="obs"/>
    <s v="Centro de custo não preenchido! (ACC02)"/>
    <x v="3"/>
    <x v="8"/>
    <s v="Falta de informação Gerencial"/>
    <x v="0"/>
    <s v="Qualidade dos dados"/>
    <s v="KONTRIP VIAGENS"/>
    <x v="5"/>
  </r>
  <r>
    <n v="23362325"/>
    <n v="24088853"/>
    <s v="ACC01"/>
    <x v="54"/>
    <d v="2025-11-20T19:42:36"/>
    <x v="3"/>
    <x v="3"/>
    <s v="EHOQSQ"/>
    <s v="EBOOKING"/>
    <s v="CONCEICAO/RONILDO"/>
    <s v="Kontrip"/>
    <s v="Kontrip"/>
    <d v="2025-11-20T07:34:00"/>
    <s v="-"/>
    <s v="-"/>
    <s v="OFF LINE"/>
    <s v="Cartão de crédito"/>
    <s v="Cartão de crédito"/>
    <x v="0"/>
    <s v="N"/>
    <x v="6"/>
    <s v="Agencia Mercurio York Viagens e Turismo Ltda"/>
    <s v="-"/>
    <s v="Gol Linhas Aereas"/>
    <n v="2149920186"/>
    <x v="7"/>
    <s v="-"/>
    <x v="47"/>
    <n v="113.34"/>
    <n v="0"/>
    <n v="0"/>
    <n v="0"/>
    <n v="0"/>
    <n v="0"/>
    <s v="obs"/>
    <s v="Centro de custo não preenchido! (ACC01)"/>
    <x v="3"/>
    <x v="8"/>
    <s v="Falta de informação Gerencial"/>
    <x v="0"/>
    <s v="Qualidade dos dados"/>
    <s v="KONTRIP VIAGENS"/>
    <x v="5"/>
  </r>
  <r>
    <n v="23133216"/>
    <n v="23879711"/>
    <s v="ACC01"/>
    <x v="55"/>
    <d v="2025-11-11T07:51:03"/>
    <x v="2"/>
    <x v="5"/>
    <s v="YQISLX"/>
    <s v="GOVER"/>
    <s v="Talita Da Trindade Reis"/>
    <s v="Gover"/>
    <s v="Gover"/>
    <d v="2025-10-17T15:42:00"/>
    <n v="4614960"/>
    <s v="-"/>
    <s v="ON LINE"/>
    <s v="Invoice"/>
    <s v="Cartão convênio"/>
    <x v="0"/>
    <s v="N"/>
    <x v="7"/>
    <s v="Hypera S.a."/>
    <s v="-"/>
    <s v="Latam Airlines Brasil"/>
    <n v="2255422465"/>
    <x v="8"/>
    <s v="-"/>
    <x v="48"/>
    <n v="191.2"/>
    <n v="0"/>
    <n v="0"/>
    <n v="0"/>
    <n v="0"/>
    <n v="0"/>
    <s v="Reserva importada do sistema Gover. Id: 4614960"/>
    <s v="Erro excluindo PNR: Não é possivel excluir a accounting de código: 25222646. A mesma está ligada a conciliação de cartão &quot;ANTECIPAÇÃO REDE "/>
    <x v="0"/>
    <x v="7"/>
    <s v="Financeiro Conciliado"/>
    <x v="3"/>
    <s v="Processo Operacional"/>
    <s v="GRUPO KONTIK"/>
    <x v="0"/>
  </r>
  <r>
    <n v="23119164"/>
    <n v="23866795"/>
    <s v="ACC01"/>
    <x v="56"/>
    <d v="2025-11-11T07:49:59"/>
    <x v="2"/>
    <x v="5"/>
    <s v="LFHSLZ"/>
    <s v="GOVER"/>
    <s v="Luis Fernando Garisto Calejon"/>
    <s v="Gover"/>
    <s v="Gover"/>
    <d v="2025-10-15T16:18:00"/>
    <n v="4612456"/>
    <s v="-"/>
    <s v="ON LINE"/>
    <s v="Invoice"/>
    <s v="Cartão convênio"/>
    <x v="0"/>
    <s v="N"/>
    <x v="7"/>
    <s v="Hypera S.a."/>
    <s v="-"/>
    <s v="Latam Airlines Brasil"/>
    <n v="2255087627"/>
    <x v="8"/>
    <s v="-"/>
    <x v="49"/>
    <n v="95.20999999999999"/>
    <n v="0"/>
    <n v="0"/>
    <n v="0"/>
    <n v="0"/>
    <n v="0"/>
    <s v="Reserva importada do sistema Gover. Id: 4612456"/>
    <s v="Erro excluindo PNR: Não é possivel excluir a accounting de código: 25209820. A mesma está ligada a conciliação de cartão &quot;ANTECIPAÇÃO REDE "/>
    <x v="0"/>
    <x v="7"/>
    <s v="Financeiro Conciliado"/>
    <x v="3"/>
    <s v="Processo Operacional"/>
    <s v="GRUPO KONTIK"/>
    <x v="0"/>
  </r>
  <r>
    <n v="23200481"/>
    <n v="23936672"/>
    <s v="ACC01"/>
    <x v="57"/>
    <d v="2025-10-27T08:56:44"/>
    <x v="5"/>
    <x v="6"/>
    <n v="20574139"/>
    <s v="GOVER"/>
    <s v="ANDRE HENRIQUE BATISTA DA SILVA"/>
    <s v="Gover"/>
    <s v="Gover"/>
    <d v="2025-10-21T17:30:00"/>
    <n v="4616918"/>
    <s v="-"/>
    <s v="OFF LINE"/>
    <s v="Cartão de crédito"/>
    <s v="Cartão de crédito"/>
    <x v="1"/>
    <s v="N"/>
    <x v="7"/>
    <s v="Hypera S.a."/>
    <s v="-"/>
    <s v="-"/>
    <s v="-"/>
    <x v="8"/>
    <s v="-"/>
    <x v="50"/>
    <n v="0"/>
    <n v="0"/>
    <n v="0"/>
    <n v="0"/>
    <n v="0"/>
    <n v="0"/>
    <s v="Reserva importada do sistema Gover. Id: 4616918"/>
    <s v="Fornecedor não preenchido! (ACC01)"/>
    <x v="0"/>
    <x v="1"/>
    <s v="Campo Fornecedor"/>
    <x v="0"/>
    <s v="Sistêmico"/>
    <s v="GRUPO KONTIK"/>
    <x v="1"/>
  </r>
  <r>
    <n v="23296023"/>
    <n v="24026844"/>
    <s v="ACC01"/>
    <x v="58"/>
    <d v="2025-11-10T16:31:12"/>
    <x v="2"/>
    <x v="2"/>
    <s v="SBSHVV-1"/>
    <s v="MANUAL"/>
    <s v="ANA BIGUILIN AVANCO"/>
    <s v="WAGNER PAULINO"/>
    <s v="WAGNER PAULINO"/>
    <d v="2025-11-03T16:15:00"/>
    <n v="4622775"/>
    <s v="-"/>
    <s v="OFF LINE"/>
    <s v="Outros"/>
    <s v="Cartão de crédito"/>
    <x v="0"/>
    <s v="N"/>
    <x v="7"/>
    <s v="Hypera S.a."/>
    <s v="-"/>
    <s v="Gol Linhas Aereas"/>
    <n v="4434919217"/>
    <x v="8"/>
    <s v="-"/>
    <x v="51"/>
    <n v="0"/>
    <n v="0"/>
    <n v="0"/>
    <n v="0"/>
    <n v="0"/>
    <n v="0"/>
    <s v="Reserva importada do sistema Gover. Id: 4622775"/>
    <s v=" Módulo Operações    -&gt; Configurações      -&gt; Configurações do sistema turismo        -&gt; Importação das vendas          -&gt; Entradas/Saídas  Para o "/>
    <x v="1"/>
    <x v="4"/>
    <s v="Forma PG. e REC."/>
    <x v="0"/>
    <s v="Qualidade dos dados"/>
    <s v="KONTIK BUSINESS TRAVEL"/>
    <x v="3"/>
  </r>
  <r>
    <n v="23328346"/>
    <n v="24057897"/>
    <s v="ACC01"/>
    <x v="59"/>
    <d v="2025-11-17T11:56:13"/>
    <x v="0"/>
    <x v="2"/>
    <s v="ENLCWS"/>
    <s v="SABRE"/>
    <s v="HUELLER/ANDREAS"/>
    <s v="Flavia Constanzi do Nascimento"/>
    <s v="CT"/>
    <d v="2025-11-14T00:00:00"/>
    <s v="ENLCWS"/>
    <s v="-"/>
    <s v="ON LINE"/>
    <s v="Cartão de crédito"/>
    <s v="Cartão AMEX"/>
    <x v="0"/>
    <s v="N"/>
    <x v="8"/>
    <s v="Robert Bosch Limitada - 908a"/>
    <s v="Cliente FEE no POS"/>
    <s v="Lufthansa"/>
    <n v="5580610877"/>
    <x v="9"/>
    <s v="-"/>
    <x v="52"/>
    <n v="59.54"/>
    <n v="963.48"/>
    <n v="0"/>
    <n v="59.54"/>
    <n v="0"/>
    <n v="19.2"/>
    <s v="Reserva importada por HubTravel"/>
    <s v="9748659/6262832&quot; possui uma transação de cartão efetivada"/>
    <x v="4"/>
    <x v="7"/>
    <s v="Financeiro Conciliado"/>
    <x v="3"/>
    <s v="Qualidade dos dados"/>
    <s v="GRUPO KONTIK"/>
    <x v="0"/>
  </r>
  <r>
    <n v="23346434"/>
    <n v="24073751"/>
    <s v="ACC01"/>
    <x v="60"/>
    <d v="2025-11-18T11:19:50"/>
    <x v="0"/>
    <x v="0"/>
    <s v="QVFSPET"/>
    <s v="SABRE"/>
    <s v="ALBUQUERQUE/ALESSANDRO SANTANA"/>
    <s v="Ernani Afranio dos Santos"/>
    <s v="Ernani Afranio dos Santos"/>
    <d v="2025-11-18T07:59:00"/>
    <s v="EMAIL"/>
    <s v="-"/>
    <s v="ON LINE"/>
    <s v="Invoice"/>
    <s v="Faturado"/>
    <x v="1"/>
    <s v="N"/>
    <x v="8"/>
    <s v="Johnson Controls Hitachi Ar Condicionado do Brasil Ltda"/>
    <s v="-"/>
    <s v="-"/>
    <s v="-"/>
    <x v="9"/>
    <s v="-"/>
    <x v="53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6"/>
  </r>
  <r>
    <n v="23355502"/>
    <n v="24082474"/>
    <s v="ACC01"/>
    <x v="61"/>
    <d v="2025-11-19T16:06:36"/>
    <x v="3"/>
    <x v="3"/>
    <s v="EBBGGTT"/>
    <s v="SABRE"/>
    <s v="ALBUQUERQUE/ALESSANDRO SANTANA"/>
    <s v="Valeria Domingues Cavalcante"/>
    <s v="Valeria Domingues Cavalcante"/>
    <d v="2025-11-19T12:43:00"/>
    <s v="EMAIL"/>
    <s v="-"/>
    <s v="OFF LINE"/>
    <s v="Invoice"/>
    <s v="Faturado"/>
    <x v="1"/>
    <s v="N"/>
    <x v="8"/>
    <s v="Johnson Controls Hitachi Ar Condicionado do Brasil Ltda"/>
    <s v="-"/>
    <s v="-"/>
    <s v="-"/>
    <x v="9"/>
    <s v="-"/>
    <x v="54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5649"/>
    <n v="24082618"/>
    <s v="ACC01"/>
    <x v="62"/>
    <d v="2025-11-19T16:31:45"/>
    <x v="3"/>
    <x v="3"/>
    <s v="JKCHSO"/>
    <s v="SABRE"/>
    <s v="MEDEIRO CABRAL NETO/LAERSON"/>
    <s v="Valeria Domingues Cavalcante"/>
    <s v="Valeria Domingues Cavalcante"/>
    <d v="2025-11-14T11:09:00"/>
    <s v="EMAIL"/>
    <s v="-"/>
    <s v="OFF LINE"/>
    <s v="Invoice"/>
    <s v="Faturado"/>
    <x v="0"/>
    <s v="N"/>
    <x v="8"/>
    <s v="Johnson Controls Hitachi Ar Condicionado do Brasil Ltda"/>
    <s v="-"/>
    <s v="Azul Linhas Aereas"/>
    <n v="7700081115"/>
    <x v="9"/>
    <s v="-"/>
    <x v="0"/>
    <n v="0"/>
    <n v="0"/>
    <n v="0"/>
    <n v="0"/>
    <n v="0"/>
    <n v="0"/>
    <s v="Reserva importada por HubTravel"/>
    <s v="Tarifa mínima não preenchida! (ACC01)"/>
    <x v="4"/>
    <x v="0"/>
    <s v="Falta de informação Gerencial"/>
    <x v="0"/>
    <s v="Qualidade dos dados"/>
    <s v="KONTIK BUSINESS TRAVEL"/>
    <x v="6"/>
  </r>
  <r>
    <n v="23349294"/>
    <n v="24076730"/>
    <s v="ACC01"/>
    <x v="63"/>
    <d v="2025-11-18T17:37:05"/>
    <x v="0"/>
    <x v="0"/>
    <s v="GWJOSXT"/>
    <s v="SABRE"/>
    <s v="APARECIDA DOS SANTOS/JAQUELINE"/>
    <s v="Valeria Domingues Cavalcante"/>
    <s v="Valeria Domingues Cavalcante"/>
    <d v="2025-11-18T14:32:00"/>
    <s v="EMAIL"/>
    <s v="-"/>
    <s v="OFF LINE"/>
    <s v="Invoice"/>
    <s v="Faturado"/>
    <x v="1"/>
    <s v="N"/>
    <x v="8"/>
    <s v="Johnson Controls Hitachi Ar Condicionado do Brasil Ltda"/>
    <s v="-"/>
    <s v="-"/>
    <s v="-"/>
    <x v="9"/>
    <s v="-"/>
    <x v="55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4203"/>
    <n v="24081192"/>
    <s v="ACC01"/>
    <x v="64"/>
    <d v="2025-11-19T13:48:57"/>
    <x v="3"/>
    <x v="3"/>
    <s v="LCKOKUT"/>
    <s v="SABRE"/>
    <s v="FERREIRA DE OLIVEIRA/ALEX"/>
    <s v="Valeria Domingues Cavalcante"/>
    <s v="Valeria Domingues Cavalcante"/>
    <d v="2025-11-19T10:38:00"/>
    <s v="EMAIL"/>
    <s v="-"/>
    <s v="OFF LINE"/>
    <s v="Invoice"/>
    <s v="Faturado"/>
    <x v="1"/>
    <s v="N"/>
    <x v="8"/>
    <s v="Johnson Controls Hitachi Ar Condicionado do Brasil Ltda"/>
    <s v="-"/>
    <s v="-"/>
    <s v="-"/>
    <x v="9"/>
    <s v="-"/>
    <x v="5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4392"/>
    <n v="24081364"/>
    <s v="ACC01"/>
    <x v="65"/>
    <d v="2025-11-19T14:30:52"/>
    <x v="3"/>
    <x v="3"/>
    <s v="CQANYTT"/>
    <s v="SABRE"/>
    <s v="DOS SANTOS SOARES/ANTONIO MARCOS"/>
    <s v="Valeria Domingues Cavalcante"/>
    <s v="Valeria Domingues Cavalcante"/>
    <d v="2025-11-19T11:21:00"/>
    <s v="EMAIL"/>
    <s v="-"/>
    <s v="OFF LINE"/>
    <s v="Invoice"/>
    <s v="Faturado"/>
    <x v="1"/>
    <s v="N"/>
    <x v="8"/>
    <s v="Johnson Controls Hitachi Ar Condicionado do Brasil Ltda"/>
    <s v="-"/>
    <s v="-"/>
    <s v="-"/>
    <x v="9"/>
    <s v="-"/>
    <x v="57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00751"/>
    <n v="24031381"/>
    <s v="ACC01"/>
    <x v="66"/>
    <d v="2025-11-11T08:15:34"/>
    <x v="2"/>
    <x v="2"/>
    <n v="20789396"/>
    <s v="GOVER"/>
    <s v="Auro Augusto Baier"/>
    <s v="Wilson Jose Araujo de Gusmao Junior"/>
    <s v="Wilson Jose Araujo de Gusmao Junior"/>
    <d v="2025-11-11T08:10:00"/>
    <n v="4625715"/>
    <s v="-"/>
    <s v="OFF LINE"/>
    <s v="Cartão de crédito"/>
    <s v="Cartão de crédito"/>
    <x v="1"/>
    <s v="N"/>
    <x v="9"/>
    <s v="Intercement Nacoes Unidas"/>
    <s v="-"/>
    <s v="-"/>
    <s v="-"/>
    <x v="10"/>
    <s v="-"/>
    <x v="58"/>
    <n v="13.8"/>
    <n v="0"/>
    <n v="0"/>
    <n v="0"/>
    <n v="0"/>
    <n v="0"/>
    <s v="Reserva importada do sistema Gover. Id: 4625715"/>
    <s v="Fornecedor não preenchido! (ACC01)"/>
    <x v="0"/>
    <x v="1"/>
    <s v="Campo Fornecedor"/>
    <x v="0"/>
    <s v="Sistêmico"/>
    <s v="GRUPO KONTIK"/>
    <x v="1"/>
  </r>
  <r>
    <n v="23325092"/>
    <n v="24054568"/>
    <s v="ACC01"/>
    <x v="67"/>
    <d v="2025-11-14T14:13:16"/>
    <x v="2"/>
    <x v="2"/>
    <n v="5187263"/>
    <s v="GOVER"/>
    <s v="Carlos Alberto Pereira de Moraes"/>
    <s v="Wilson Jose Araujo de Gusmao Junior"/>
    <s v="Wilson Jose Araujo de Gusmao Junior"/>
    <d v="2025-11-14T13:28:00"/>
    <n v="4628080"/>
    <s v="-"/>
    <s v="OFF LINE"/>
    <s v="Cartão de crédito"/>
    <s v="Cartão de crédito"/>
    <x v="1"/>
    <s v="N"/>
    <x v="9"/>
    <s v="Intercement Nacoes Unidas"/>
    <s v="-"/>
    <s v="Hotel Cordeiro"/>
    <s v="-"/>
    <x v="11"/>
    <s v="-"/>
    <x v="59"/>
    <n v="0"/>
    <n v="0"/>
    <n v="0"/>
    <n v="0"/>
    <n v="0"/>
    <n v="0"/>
    <s v="Reserva importada do sistema Gover. Id: 4628080"/>
    <s v="Canal de venda não preenchido! (ACC01)"/>
    <x v="0"/>
    <x v="9"/>
    <s v="Falta de informação Gerencial"/>
    <x v="0"/>
    <s v="Qualidade dos dados"/>
    <s v="KONTIK BUSINESS TRAVEL"/>
    <x v="3"/>
  </r>
  <r>
    <n v="23325094"/>
    <n v="24054569"/>
    <s v="ACC01"/>
    <x v="68"/>
    <d v="2025-11-14T14:13:18"/>
    <x v="2"/>
    <x v="2"/>
    <s v="AVD5WSRU6A"/>
    <s v="GOVER"/>
    <s v="Carlos Alberto Pereira de Moraes"/>
    <s v="Wilson Jose Araujo de Gusmao Junior"/>
    <s v="Wilson Jose Araujo de Gusmao Junior"/>
    <d v="2025-11-14T13:30:00"/>
    <n v="4628080"/>
    <s v="Localiza - Br - Sp - Sorocaba - Jardim Pelegrino Endereço: Av. Dom Aguirre, N 2393 2393 Jardim Peleg"/>
    <s v="OFF LINE"/>
    <s v="Invoice"/>
    <s v="Faturado"/>
    <x v="2"/>
    <s v="N"/>
    <x v="9"/>
    <s v="Intercement Nacoes Unidas"/>
    <s v="-"/>
    <s v="Localiza - Br - Sp - Sorocaba - Jardim Pelegrino"/>
    <s v="-"/>
    <x v="11"/>
    <s v="-"/>
    <x v="60"/>
    <n v="0"/>
    <n v="0"/>
    <n v="0"/>
    <n v="0"/>
    <n v="0"/>
    <n v="0"/>
    <s v="Reserva importada do sistema Gover. Id: 4628080"/>
    <s v="Canal de venda não preenchido! (ACC01)"/>
    <x v="0"/>
    <x v="9"/>
    <s v="Falta de informação Gerencial"/>
    <x v="0"/>
    <s v="Qualidade dos dados"/>
    <s v="KONTIK BUSINESS TRAVEL"/>
    <x v="3"/>
  </r>
  <r>
    <n v="23204725"/>
    <n v="23941038"/>
    <s v="ACC01"/>
    <x v="69"/>
    <d v="2025-10-27T19:21:39"/>
    <x v="5"/>
    <x v="6"/>
    <n v="20575541"/>
    <s v="GOVER"/>
    <s v="THALES HENRIQUE TORRES DE ALMEIDA"/>
    <s v="Gover"/>
    <s v="Gover"/>
    <d v="2025-10-27T09:39:00"/>
    <n v="4618951"/>
    <s v="-"/>
    <s v="ON LINE"/>
    <s v="Cartão de crédito"/>
    <s v="Cartão de crédito"/>
    <x v="1"/>
    <s v="N"/>
    <x v="9"/>
    <s v="Intercement Nacoes Unidas"/>
    <s v="-"/>
    <s v="-"/>
    <s v="-"/>
    <x v="10"/>
    <s v="-"/>
    <x v="61"/>
    <n v="0"/>
    <n v="0"/>
    <n v="0"/>
    <n v="0"/>
    <n v="0"/>
    <n v="0"/>
    <s v="Reserva importada do sistema Gover. Id: 4618951"/>
    <s v="Fornecedor não preenchido! (ACC01)"/>
    <x v="0"/>
    <x v="1"/>
    <s v="Campo Fornecedor"/>
    <x v="0"/>
    <s v="Sistêmico"/>
    <s v="GRUPO KONTIK"/>
    <x v="1"/>
  </r>
  <r>
    <n v="23331587"/>
    <n v="24060549"/>
    <s v="ACC01"/>
    <x v="70"/>
    <d v="2025-11-15T16:16:11"/>
    <x v="2"/>
    <x v="2"/>
    <s v="HFUTNY"/>
    <s v="GOVER"/>
    <s v="Ederson Belo da Silva"/>
    <s v="Gover"/>
    <s v="Gover"/>
    <d v="2025-11-15T08:11:00"/>
    <n v="4628581"/>
    <s v="-"/>
    <s v="ON LINE"/>
    <s v="Cartão de crédito"/>
    <s v="Cartão AMEX"/>
    <x v="0"/>
    <s v="N"/>
    <x v="9"/>
    <s v="Intercement Nacoes Unidas"/>
    <s v="-"/>
    <s v="Azul Linhas Aereas"/>
    <n v="3024060548"/>
    <x v="11"/>
    <s v="-"/>
    <x v="0"/>
    <n v="0"/>
    <n v="0"/>
    <n v="0"/>
    <n v="0"/>
    <n v="0"/>
    <n v="0"/>
    <s v="Reserva importada do sistema Gover. Id: 4628581"/>
    <s v="Accouting aérea não possui trechos (Bilhete: 3024060548)"/>
    <x v="0"/>
    <x v="2"/>
    <s v="Atualização de Trechos"/>
    <x v="0"/>
    <s v="Qualidade dos dados"/>
    <s v="KONTIK BUSINESS TRAVEL"/>
    <x v="2"/>
  </r>
  <r>
    <n v="23331588"/>
    <n v="24060550"/>
    <s v="ACC01"/>
    <x v="71"/>
    <d v="2025-11-15T16:16:12"/>
    <x v="2"/>
    <x v="2"/>
    <s v="VGYL6Y"/>
    <s v="GOVER"/>
    <s v="Antero  Alves Neto"/>
    <s v="Gover"/>
    <s v="Gover"/>
    <d v="2025-11-15T12:18:00"/>
    <n v="4628641"/>
    <s v="-"/>
    <s v="ON LINE"/>
    <s v="Cartão de crédito"/>
    <s v="Cartão AMEX"/>
    <x v="0"/>
    <s v="N"/>
    <x v="9"/>
    <s v="Intercement Nacoes Unidas"/>
    <s v="-"/>
    <s v="Azul Linhas Aereas"/>
    <n v="3024060549"/>
    <x v="10"/>
    <s v="-"/>
    <x v="0"/>
    <n v="0"/>
    <n v="0"/>
    <n v="0"/>
    <n v="0"/>
    <n v="0"/>
    <n v="0"/>
    <s v="Reserva importada do sistema Gover. Id: 4628641"/>
    <s v="Accouting aérea não possui trechos (Bilhete: 3024060549)"/>
    <x v="0"/>
    <x v="2"/>
    <s v="Atualização de Trechos"/>
    <x v="0"/>
    <s v="Qualidade dos dados"/>
    <s v="KONTIK BUSINESS TRAVEL"/>
    <x v="2"/>
  </r>
  <r>
    <n v="23226222"/>
    <n v="23961296"/>
    <s v="ACC01"/>
    <x v="72"/>
    <d v="2025-10-30T19:35:56"/>
    <x v="5"/>
    <x v="6"/>
    <n v="20647002"/>
    <s v="GOVER"/>
    <s v="Wilson Perussi  Okiyama"/>
    <s v="Gover"/>
    <s v="Gover"/>
    <d v="2025-10-30T17:56:00"/>
    <n v="4621395"/>
    <s v="-"/>
    <s v="ON LINE"/>
    <s v="Cartão de crédito"/>
    <s v="Cartão de crédito"/>
    <x v="1"/>
    <s v="N"/>
    <x v="9"/>
    <s v="Intercement Nacoes Unidas"/>
    <s v="-"/>
    <s v="-"/>
    <s v="-"/>
    <x v="10"/>
    <s v="-"/>
    <x v="62"/>
    <n v="34.5"/>
    <n v="0"/>
    <n v="0"/>
    <n v="0"/>
    <n v="0"/>
    <n v="0"/>
    <s v="Reserva importada do sistema Gover. Id: 4621395"/>
    <s v="Fornecedor não preenchido! (ACC01)"/>
    <x v="0"/>
    <x v="1"/>
    <s v="Campo Fornecedor"/>
    <x v="0"/>
    <s v="Sistêmico"/>
    <s v="GRUPO KONTIK"/>
    <x v="1"/>
  </r>
  <r>
    <n v="23226223"/>
    <n v="23961297"/>
    <s v="ACC01"/>
    <x v="73"/>
    <d v="2025-10-30T19:35:56"/>
    <x v="5"/>
    <x v="6"/>
    <n v="20647077"/>
    <s v="GOVER"/>
    <s v="Wilson Perussi  Okiyama"/>
    <s v="Gover"/>
    <s v="Gover"/>
    <d v="2025-10-30T17:59:00"/>
    <n v="4621398"/>
    <s v="-"/>
    <s v="ON LINE"/>
    <s v="Cartão de crédito"/>
    <s v="Cartão de crédito"/>
    <x v="1"/>
    <s v="N"/>
    <x v="9"/>
    <s v="Intercement Nacoes Unidas"/>
    <s v="-"/>
    <s v="-"/>
    <s v="-"/>
    <x v="10"/>
    <s v="-"/>
    <x v="63"/>
    <n v="0"/>
    <n v="0"/>
    <n v="0"/>
    <n v="0"/>
    <n v="0"/>
    <n v="0"/>
    <s v="Reserva importada do sistema Gover. Id: 4621398"/>
    <s v="Fornecedor não preenchido! (ACC01)"/>
    <x v="0"/>
    <x v="1"/>
    <s v="Campo Fornecedor"/>
    <x v="0"/>
    <s v="Sistêmico"/>
    <s v="GRUPO KONTIK"/>
    <x v="1"/>
  </r>
  <r>
    <n v="23263086"/>
    <n v="23995554"/>
    <s v="ACC01"/>
    <x v="74"/>
    <d v="2025-11-05T18:06:19"/>
    <x v="1"/>
    <x v="1"/>
    <n v="20713368"/>
    <s v="GOVER"/>
    <s v="JEFFERSON ALVES DE CASTRO"/>
    <s v="Gover"/>
    <s v="Gover"/>
    <d v="2025-11-05T09:57:00"/>
    <n v="4623846"/>
    <s v="-"/>
    <s v="ON LINE"/>
    <s v="Cartão de crédito"/>
    <s v="Cartão de crédito"/>
    <x v="1"/>
    <s v="N"/>
    <x v="9"/>
    <s v="Intercement Nacoes Unidas"/>
    <s v="-"/>
    <s v="-"/>
    <s v="-"/>
    <x v="10"/>
    <s v="-"/>
    <x v="61"/>
    <n v="0"/>
    <n v="0"/>
    <n v="0"/>
    <n v="0"/>
    <n v="0"/>
    <n v="0"/>
    <s v="Reserva importada do sistema Gover. Id: 4623846"/>
    <s v="Fornecedor não preenchido! (ACC01)"/>
    <x v="0"/>
    <x v="1"/>
    <s v="Campo Fornecedor"/>
    <x v="0"/>
    <s v="Sistêmico"/>
    <s v="GRUPO KONTIK"/>
    <x v="1"/>
  </r>
  <r>
    <n v="23346303"/>
    <n v="24073606"/>
    <s v="ACC01"/>
    <x v="75"/>
    <d v="2025-11-18T10:55:07"/>
    <x v="0"/>
    <x v="0"/>
    <n v="5192565"/>
    <s v="GOVER"/>
    <s v="Wilson Perussi Okiyama"/>
    <s v="Rafaela Leitao Oliveira"/>
    <s v="Rafaela Leitao Oliveira"/>
    <d v="2025-11-18T00:00:00"/>
    <n v="4627784"/>
    <s v="-"/>
    <s v="OFF LINE"/>
    <s v="Invoice"/>
    <s v="Faturado"/>
    <x v="1"/>
    <s v="N"/>
    <x v="9"/>
    <s v="Intercement Nacoes Unidas"/>
    <s v="-"/>
    <s v="-"/>
    <s v="-"/>
    <x v="10"/>
    <s v="-"/>
    <x v="64"/>
    <n v="0"/>
    <n v="0"/>
    <n v="0"/>
    <n v="0"/>
    <n v="0"/>
    <n v="0"/>
    <s v="Reserva importada do sistema Gover. Id: 4627784"/>
    <s v="Fornecedor não preenchido! (ACC01)"/>
    <x v="0"/>
    <x v="1"/>
    <s v="Campo Fornecedor"/>
    <x v="0"/>
    <s v="Sistêmico"/>
    <s v="GRUPO KONTIK"/>
    <x v="1"/>
  </r>
  <r>
    <n v="23338393"/>
    <n v="24066186"/>
    <s v="ACC01"/>
    <x v="76"/>
    <d v="2025-11-17T09:26:28"/>
    <x v="0"/>
    <x v="0"/>
    <n v="20859966"/>
    <s v="GOVER"/>
    <s v="Ederson Belo da Silva"/>
    <s v="Marcos de Oliveira Miklos"/>
    <s v="Marcos de Oliveira Miklos"/>
    <d v="2025-11-15T00:00:00"/>
    <n v="4628585"/>
    <s v="-"/>
    <s v="OFF LINE"/>
    <s v="Cartão de crédito"/>
    <s v="Cartão de crédito"/>
    <x v="1"/>
    <s v="N"/>
    <x v="9"/>
    <s v="Intercement Nacoes Unidas"/>
    <s v="-"/>
    <s v="-"/>
    <s v="-"/>
    <x v="10"/>
    <s v="-"/>
    <x v="65"/>
    <n v="0"/>
    <n v="0"/>
    <n v="0"/>
    <n v="0"/>
    <n v="0"/>
    <n v="0"/>
    <s v="Reserva importada do sistema Gover. Id: 4628585"/>
    <s v="Fornecedor não preenchido! (ACC01)"/>
    <x v="0"/>
    <x v="1"/>
    <s v="Campo Fornecedor"/>
    <x v="0"/>
    <s v="Sistêmico"/>
    <s v="GRUPO KONTIK"/>
    <x v="1"/>
  </r>
  <r>
    <n v="23356273"/>
    <n v="24083259"/>
    <s v="ACC01"/>
    <x v="77"/>
    <d v="2025-11-19T18:06:59"/>
    <x v="3"/>
    <x v="3"/>
    <s v="MV4H58XBNAQBR"/>
    <s v="GOVER"/>
    <s v="Guilherme Souza Silveira"/>
    <s v="RAYSSA MARTINS FERREIRA"/>
    <s v="RAYSSA MARTINS FERREIRA"/>
    <d v="2025-11-19T11:51:00"/>
    <n v="4630048"/>
    <s v="Movida - Br - Mg - Mvd - Ipatinga Endereço: Avenida Pedro Linhares Gomes, 3900"/>
    <s v="OFF LINE"/>
    <s v="Invoice"/>
    <s v="Faturado"/>
    <x v="2"/>
    <s v="N"/>
    <x v="9"/>
    <s v="Intercement Nacoes Unidas"/>
    <s v="-"/>
    <s v="Movida - Br - Mg - Ipatinga - Shopping Vale do Aco"/>
    <s v="-"/>
    <x v="10"/>
    <s v="-"/>
    <x v="66"/>
    <n v="0"/>
    <n v="0"/>
    <n v="0"/>
    <n v="0"/>
    <n v="0"/>
    <n v="0"/>
    <s v="Reserva importada do sistema Gover. Id: 4630048"/>
    <s v="Fornecedor não preenchido! (ACC01)"/>
    <x v="0"/>
    <x v="1"/>
    <s v="Campo Fornecedor"/>
    <x v="0"/>
    <s v="Qualidade dos dados"/>
    <s v="KONTIK BUSINESS TRAVEL"/>
    <x v="2"/>
  </r>
  <r>
    <n v="23203709"/>
    <n v="23939935"/>
    <s v="ACC01"/>
    <x v="78"/>
    <d v="2025-10-27T16:25:53"/>
    <x v="5"/>
    <x v="6"/>
    <n v="20587875"/>
    <s v="GOVER"/>
    <s v="Paulo Sergio Rodrigues"/>
    <s v="RAYSSA MARTINS FERREIRA"/>
    <s v="RAYSSA MARTINS FERREIRA"/>
    <d v="2025-10-27T00:00:00"/>
    <n v="4619116"/>
    <s v="-"/>
    <s v="OFF LINE"/>
    <s v="Cartão de crédito"/>
    <s v="Cartão de crédito"/>
    <x v="1"/>
    <s v="N"/>
    <x v="9"/>
    <s v="Intercement Nacoes Unidas"/>
    <s v="-"/>
    <s v="-"/>
    <s v="-"/>
    <x v="10"/>
    <s v="-"/>
    <x v="67"/>
    <n v="0"/>
    <n v="0"/>
    <n v="0"/>
    <n v="0"/>
    <n v="0"/>
    <n v="0"/>
    <s v="Reserva importada do sistema Gover. Id: 4619116"/>
    <s v="Fornecedor não preenchido! (ACC01)"/>
    <x v="0"/>
    <x v="1"/>
    <s v="Campo Fornecedor"/>
    <x v="0"/>
    <s v="Sistêmico"/>
    <s v="GRUPO KONTIK"/>
    <x v="1"/>
  </r>
  <r>
    <n v="23325144"/>
    <n v="24054619"/>
    <s v="ACC01"/>
    <x v="79"/>
    <d v="2025-11-15T16:25:34"/>
    <x v="2"/>
    <x v="2"/>
    <s v="CJLRBH1"/>
    <s v="TMS"/>
    <s v="GIORGIO FRANCESCHETTI"/>
    <s v="Jose de Oliveira Cunha"/>
    <s v="Jose de Oliveira Cunha"/>
    <d v="2025-11-14T11:23:00"/>
    <n v="14794"/>
    <s v="-"/>
    <s v="OFF LINE"/>
    <s v="Invoice"/>
    <s v="Cartão convênio"/>
    <x v="0"/>
    <s v="N"/>
    <x v="10"/>
    <s v="Braskem - Camacari"/>
    <s v="-"/>
    <s v="Gol Linhas Aereas"/>
    <n v="2149484073"/>
    <x v="12"/>
    <s v="-"/>
    <x v="68"/>
    <n v="0"/>
    <n v="0"/>
    <n v="0"/>
    <n v="0"/>
    <n v="0"/>
    <n v="0"/>
    <s v="Reserva importada do Sistema TMS. OS: 14794"/>
    <s v="23Ocorreu o erro 'The INSERT statement conflicted with the FOREIGN KEY constraint &quot;FK_1416_10421&quot;. The conflict occurred in database &quot;Corporativo&quot;, "/>
    <x v="5"/>
    <x v="3"/>
    <s v="Mais de um campo não preenchido"/>
    <x v="0"/>
    <s v="Sistêmico"/>
    <s v="GRUPO KONTIK"/>
    <x v="0"/>
  </r>
  <r>
    <n v="23367248"/>
    <n v="24093268"/>
    <s v="ACC01"/>
    <x v="80"/>
    <d v="2025-11-21T22:15:58"/>
    <x v="3"/>
    <x v="3"/>
    <s v="5UOC0A"/>
    <s v="TMS"/>
    <s v="AMANDA COPSTEIN"/>
    <s v="ADRIANA MIRANDA COUTINHO"/>
    <s v="ADRIANA MIRANDA COUTINHO"/>
    <d v="2025-11-21T11:03:00"/>
    <n v="15071"/>
    <s v="Manaus / AM, Brasil (MAO)"/>
    <s v="OFF LINE"/>
    <s v="Invoice"/>
    <s v="Faturado"/>
    <x v="2"/>
    <s v="N"/>
    <x v="10"/>
    <s v="Braskem - Camacari"/>
    <s v="-"/>
    <s v="-"/>
    <s v="-"/>
    <x v="12"/>
    <s v="-"/>
    <x v="69"/>
    <n v="0"/>
    <n v="0"/>
    <n v="0"/>
    <n v="0"/>
    <n v="0"/>
    <n v="0"/>
    <s v="Reserva importada do Sistema TMS. OS: 15071"/>
    <s v="Fornecedor não preenchido! (ACC01)"/>
    <x v="5"/>
    <x v="1"/>
    <s v="Campo Fornecedor"/>
    <x v="0"/>
    <s v="Qualidade dos dados"/>
    <s v="KONTIK BUSINESS TRAVEL"/>
    <x v="2"/>
  </r>
  <r>
    <n v="23358171"/>
    <n v="24085183"/>
    <s v="ACC01"/>
    <x v="81"/>
    <d v="2025-11-19T23:42:35"/>
    <x v="3"/>
    <x v="3"/>
    <s v="5TXW9L"/>
    <s v="TMS"/>
    <s v="MARCELO BENINCA"/>
    <s v="Carlos Henrique da Silva"/>
    <s v="Carlos Henrique da Silva"/>
    <d v="2025-11-19T16:58:00"/>
    <n v="15014"/>
    <s v="-"/>
    <s v="OFF LINE"/>
    <s v="Cartão de crédito"/>
    <s v="Cartão de crédito"/>
    <x v="1"/>
    <s v="N"/>
    <x v="10"/>
    <s v="Braskem - Camacari"/>
    <s v="-"/>
    <s v="Slaviero Sao Paulo Ibirapuera"/>
    <s v="-"/>
    <x v="12"/>
    <s v="-"/>
    <x v="70"/>
    <n v="0"/>
    <n v="0"/>
    <n v="0"/>
    <n v="0"/>
    <n v="0"/>
    <n v="0"/>
    <s v="Reserva importada do Sistema TMS. OS: 15014"/>
    <s v="23Ocorreu o erro 'The INSERT statement conflicted with the FOREIGN KEY constraint &quot;FK_1416_10421&quot;. The conflict occurred in database &quot;Corporativo&quot;, "/>
    <x v="5"/>
    <x v="3"/>
    <s v="Mais de um campo não preenchido"/>
    <x v="0"/>
    <s v="Sistêmico"/>
    <s v="KONTIK BUSINESS TRAVEL"/>
    <x v="2"/>
  </r>
  <r>
    <n v="23355402"/>
    <n v="24082371"/>
    <s v="ACC01"/>
    <x v="82"/>
    <d v="2025-11-19T22:18:18"/>
    <x v="3"/>
    <x v="3"/>
    <s v="5TGSXO"/>
    <s v="TMS"/>
    <s v="MAURICIO CARDOSO"/>
    <s v="Renato Ferreira Gomes"/>
    <s v="Renato Ferreira Gomes"/>
    <d v="2025-11-19T10:48:00"/>
    <n v="15002"/>
    <s v="Belo Horizonte / BHZ"/>
    <s v="OFF LINE"/>
    <s v="Invoice"/>
    <s v="Faturado"/>
    <x v="2"/>
    <s v="N"/>
    <x v="10"/>
    <s v="Braskem - Camacari"/>
    <s v="-"/>
    <s v="Movida - Br - Mg - Lagoa Santa - Ponte de Pedra"/>
    <s v="-"/>
    <x v="12"/>
    <s v="-"/>
    <x v="71"/>
    <n v="0"/>
    <n v="0"/>
    <n v="0"/>
    <n v="0"/>
    <n v="0"/>
    <n v="0"/>
    <s v="Reserva importada do Sistema TMS. OS: 15002"/>
    <s v="Fornecedor não preenchido! (ACC01)"/>
    <x v="5"/>
    <x v="1"/>
    <s v="Campo Fornecedor"/>
    <x v="0"/>
    <s v="Qualidade dos dados"/>
    <s v="KONTIK BUSINESS TRAVEL"/>
    <x v="2"/>
  </r>
  <r>
    <n v="23367245"/>
    <n v="24093265"/>
    <s v="ACC01"/>
    <x v="83"/>
    <d v="2025-11-21T18:17:57"/>
    <x v="3"/>
    <x v="3"/>
    <s v="5UUDP1"/>
    <s v="TMS"/>
    <s v="MAURICIO SANTOS"/>
    <s v="Renato Ferreira Gomes"/>
    <s v="Renato Ferreira Gomes"/>
    <d v="2025-11-21T11:57:00"/>
    <n v="15080"/>
    <s v="São Paulo / SP, Brasil - Congonhas (CGH)"/>
    <s v="OFF LINE"/>
    <s v="Invoice"/>
    <s v="Faturado"/>
    <x v="2"/>
    <s v="N"/>
    <x v="10"/>
    <s v="Braskem - Camacari"/>
    <s v="-"/>
    <s v="-"/>
    <s v="-"/>
    <x v="12"/>
    <s v="-"/>
    <x v="72"/>
    <n v="0"/>
    <n v="0"/>
    <n v="0"/>
    <n v="0"/>
    <n v="0"/>
    <n v="0"/>
    <s v="Reserva importada do Sistema TMS. OS: 15080"/>
    <s v="Fornecedor não preenchido! (ACC01)"/>
    <x v="5"/>
    <x v="1"/>
    <s v="Campo Fornecedor"/>
    <x v="0"/>
    <s v="Qualidade dos dados"/>
    <s v="KONTIK BUSINESS TRAVEL"/>
    <x v="2"/>
  </r>
  <r>
    <n v="23376667"/>
    <n v="24100904"/>
    <s v="ACC01"/>
    <x v="84"/>
    <d v="2025-11-23T22:25:45"/>
    <x v="4"/>
    <x v="4"/>
    <s v="5UJ6UA"/>
    <s v="TMS"/>
    <s v="DANILO PACHECO"/>
    <s v="Tms"/>
    <s v="Tms"/>
    <d v="2025-11-23T19:11:00"/>
    <n v="15100"/>
    <s v="Juazeiro do Norte / JDO"/>
    <s v="ON LINE"/>
    <s v="Invoice"/>
    <s v="Faturado"/>
    <x v="2"/>
    <s v="N"/>
    <x v="10"/>
    <s v="Braskem - Camacari"/>
    <s v="-"/>
    <s v="-"/>
    <s v="-"/>
    <x v="12"/>
    <s v="-"/>
    <x v="73"/>
    <n v="0"/>
    <n v="0"/>
    <n v="0"/>
    <n v="0"/>
    <n v="0"/>
    <n v="0"/>
    <s v="Reserva importada do Sistema TMS. OS: 15100"/>
    <s v="Fornecedor não preenchido! (ACC01)"/>
    <x v="5"/>
    <x v="1"/>
    <s v="Campo Fornecedor"/>
    <x v="0"/>
    <s v="Qualidade dos dados"/>
    <s v="KONTIK BUSINESS TRAVEL"/>
    <x v="2"/>
  </r>
  <r>
    <n v="23375609"/>
    <n v="24100025"/>
    <s v="ACC01"/>
    <x v="85"/>
    <d v="2025-11-23T22:15:44"/>
    <x v="4"/>
    <x v="4"/>
    <s v="5ULE7Z"/>
    <s v="TMS"/>
    <s v="KATLEN SCHLICKMANN"/>
    <s v="Tms"/>
    <s v="Tms"/>
    <d v="2025-11-23T15:01:00"/>
    <n v="15094"/>
    <s v="Goiânia / GYN"/>
    <s v="ON LINE"/>
    <s v="Invoice"/>
    <s v="Faturado"/>
    <x v="2"/>
    <s v="N"/>
    <x v="10"/>
    <s v="Braskem - Camacari"/>
    <s v="-"/>
    <s v="-"/>
    <s v="-"/>
    <x v="12"/>
    <s v="-"/>
    <x v="74"/>
    <n v="0"/>
    <n v="0"/>
    <n v="0"/>
    <n v="0"/>
    <n v="0"/>
    <n v="0"/>
    <s v="Reserva importada do Sistema TMS. OS: 15094"/>
    <s v="Fornecedor não preenchido! (ACC01)"/>
    <x v="5"/>
    <x v="1"/>
    <s v="Campo Fornecedor"/>
    <x v="0"/>
    <s v="Qualidade dos dados"/>
    <s v="KONTIK BUSINESS TRAVEL"/>
    <x v="2"/>
  </r>
  <r>
    <n v="23358153"/>
    <n v="24085165"/>
    <s v="ACC01"/>
    <x v="86"/>
    <d v="2025-11-19T22:17:44"/>
    <x v="3"/>
    <x v="3"/>
    <s v="ECCAAK"/>
    <s v="TMS"/>
    <s v="CLAUDIO SPERB"/>
    <s v="Tms"/>
    <s v="Tms"/>
    <d v="2025-11-19T17:04:00"/>
    <n v="15050"/>
    <s v="-"/>
    <s v="ON LINE"/>
    <s v="Cartão de crédito"/>
    <s v="Cartão AMEX"/>
    <x v="0"/>
    <s v="N"/>
    <x v="10"/>
    <s v="Braskem - Camacari"/>
    <s v="-"/>
    <s v="Latam Airlines Brasil"/>
    <n v="5580596440"/>
    <x v="12"/>
    <s v="-"/>
    <x v="75"/>
    <n v="60.62"/>
    <n v="0"/>
    <n v="0"/>
    <n v="0"/>
    <n v="0"/>
    <n v="0"/>
    <s v="Reserva importada do Sistema TMS. OS: 15050"/>
    <s v="23Ocorreu o erro 'The INSERT statement conflicted with the FOREIGN KEY constraint &quot;FK_1416_10421&quot;. The conflict occurred in database &quot;Corporativo&quot;, "/>
    <x v="5"/>
    <x v="3"/>
    <s v="Mais de um campo não preenchido"/>
    <x v="0"/>
    <s v="Sistêmico"/>
    <s v="KONTIK BUSINESS TRAVEL"/>
    <x v="2"/>
  </r>
  <r>
    <n v="23358161"/>
    <n v="24085173"/>
    <s v="ACC01"/>
    <x v="87"/>
    <d v="2025-11-21T11:01:53"/>
    <x v="3"/>
    <x v="3"/>
    <s v="5TIZ9O"/>
    <s v="TMS"/>
    <s v="HUGO ROCHA"/>
    <s v="Tms"/>
    <s v="Tms"/>
    <d v="2025-11-19T15:46:00"/>
    <n v="15041"/>
    <s v="Joinville / JOI"/>
    <s v="ON LINE"/>
    <s v="Invoice"/>
    <s v="Faturado"/>
    <x v="2"/>
    <s v="N"/>
    <x v="10"/>
    <s v="Braskem - Camacari"/>
    <s v="-"/>
    <s v="Localiza - Br - Sc - Joinville - Aventureiro"/>
    <s v="-"/>
    <x v="12"/>
    <s v="-"/>
    <x v="76"/>
    <n v="0"/>
    <n v="0"/>
    <n v="0"/>
    <n v="0"/>
    <n v="0"/>
    <n v="0"/>
    <s v="Reserva importada do Sistema TMS. OS: 15041"/>
    <s v="23Ocorreu o erro 'The INSERT statement conflicted with the FOREIGN KEY constraint &quot;FK_1416_10421&quot;. The conflict occurred in database &quot;Corporativo&quot;, "/>
    <x v="5"/>
    <x v="3"/>
    <s v="Mais de um campo não preenchido"/>
    <x v="0"/>
    <s v="Sistêmico"/>
    <s v="KONTIK BUSINESS TRAVEL"/>
    <x v="2"/>
  </r>
  <r>
    <n v="23352115"/>
    <n v="24079382"/>
    <s v="ACC01"/>
    <x v="88"/>
    <d v="2025-11-19T22:16:17"/>
    <x v="3"/>
    <x v="3"/>
    <s v="5T2O4I"/>
    <s v="TMS"/>
    <s v="LUIS ANDRE"/>
    <s v="Tms"/>
    <s v="Tms"/>
    <d v="2025-11-18T16:04:00"/>
    <n v="14983"/>
    <s v="São Paulo / SAO"/>
    <s v="ON LINE"/>
    <s v="Invoice"/>
    <s v="Faturado"/>
    <x v="2"/>
    <s v="N"/>
    <x v="10"/>
    <s v="Braskem - Camacari"/>
    <s v="-"/>
    <s v="Localiza - Br - Sp - Guarulhos - Aeroporto"/>
    <s v="-"/>
    <x v="12"/>
    <s v="-"/>
    <x v="77"/>
    <n v="0"/>
    <n v="0"/>
    <n v="0"/>
    <n v="0"/>
    <n v="0"/>
    <n v="0"/>
    <s v="Reserva importada do Sistema TMS. OS: 14983"/>
    <s v="Fornecedor não preenchido! (ACC01)"/>
    <x v="5"/>
    <x v="1"/>
    <s v="Campo Fornecedor"/>
    <x v="0"/>
    <s v="Qualidade dos dados"/>
    <s v="KONTIK BUSINESS TRAVEL"/>
    <x v="2"/>
  </r>
  <r>
    <n v="23346972"/>
    <n v="24074350"/>
    <s v="ACC01"/>
    <x v="89"/>
    <d v="2025-11-18T12:55:42"/>
    <x v="0"/>
    <x v="0"/>
    <s v="YZMFWS"/>
    <s v="SABRE"/>
    <s v="FLAUSINO/KARINA"/>
    <s v="Paulo Roberto Mendes da Silva"/>
    <s v="Paulo Roberto Mendes da Silva"/>
    <d v="2025-11-18T07:55:00"/>
    <s v="FUXFTN"/>
    <s v="-"/>
    <s v="OFF LINE"/>
    <s v="Cartão de crédito"/>
    <s v="Cartão de crédito"/>
    <x v="0"/>
    <s v="N"/>
    <x v="11"/>
    <s v="Parexel International Pesquisas Clinicas Ltda"/>
    <s v="-"/>
    <s v="Gol Linhas Aereas"/>
    <n v="2149734876"/>
    <x v="13"/>
    <s v="-"/>
    <x v="78"/>
    <n v="52.72"/>
    <n v="0"/>
    <n v="0"/>
    <n v="0"/>
    <n v="0"/>
    <n v="0"/>
    <s v="Reserva importada por HubTravel"/>
    <s v="Matrícula não preenchida! (ACC01) Projeto não preenchido! (ACC01)"/>
    <x v="4"/>
    <x v="10"/>
    <s v="Falta de informação Gerencial"/>
    <x v="0"/>
    <s v="Qualidade dos dados"/>
    <s v="KONTIK BUSINESS TRAVEL"/>
    <x v="6"/>
  </r>
  <r>
    <n v="23355683"/>
    <n v="24082659"/>
    <s v="ACC01"/>
    <x v="90"/>
    <d v="2025-11-19T16:52:12"/>
    <x v="3"/>
    <x v="3"/>
    <s v="HGFPBF"/>
    <s v="SABRE"/>
    <s v="STRINGHINI/RENATA DO CARMO"/>
    <s v="Paulo Roberto Mendes da Silva"/>
    <s v="Paulo Roberto Mendes da Silva"/>
    <d v="2025-11-17T12:16:00"/>
    <s v="FQHEAJ"/>
    <s v="-"/>
    <s v="OFF LINE"/>
    <s v="Cartão de crédito"/>
    <s v="Cartão de crédito"/>
    <x v="0"/>
    <s v="N"/>
    <x v="11"/>
    <s v="Parexel International Pesquisas Clinicas Ltda"/>
    <s v="-"/>
    <s v="Gol Linhas Aereas"/>
    <n v="2149699956"/>
    <x v="13"/>
    <s v="-"/>
    <x v="79"/>
    <n v="120.08"/>
    <n v="0"/>
    <n v="0"/>
    <n v="0"/>
    <n v="0"/>
    <n v="0"/>
    <s v="Reserva importada por HubTravel"/>
    <s v="Matrícula não preenchida! (ACC01) Projeto não preenchido! (ACC01)"/>
    <x v="4"/>
    <x v="10"/>
    <s v="Falta de informação Gerencial"/>
    <x v="0"/>
    <s v="Qualidade dos dados"/>
    <s v="KONTIK BUSINESS TRAVEL"/>
    <x v="6"/>
  </r>
  <r>
    <n v="23367516"/>
    <n v="24093524"/>
    <s v="ACC01"/>
    <x v="91"/>
    <d v="2025-11-21T17:42:14"/>
    <x v="3"/>
    <x v="3"/>
    <s v="AICXFU"/>
    <s v="SABRE"/>
    <s v="SOLDATELLI/OTAVIO"/>
    <s v="Paulo Roberto Mendes da Silva"/>
    <s v="Paulo Roberto Mendes da Silva"/>
    <d v="2025-11-21T08:08:00"/>
    <s v="XIR9KS"/>
    <s v="-"/>
    <s v="OFF LINE"/>
    <s v="Cartão de crédito"/>
    <s v="Cartão de crédito"/>
    <x v="0"/>
    <s v="N"/>
    <x v="11"/>
    <s v="Parexel International Pesquisas Clinicas Ltda"/>
    <s v="-"/>
    <s v="Azul Linhas Aereas"/>
    <n v="7700081275"/>
    <x v="13"/>
    <s v="-"/>
    <x v="80"/>
    <n v="33.56"/>
    <n v="0"/>
    <n v="0"/>
    <n v="0"/>
    <n v="0"/>
    <n v="0"/>
    <s v="Reserva importada por HubTravel"/>
    <s v="Matrícula não preenchida! (ACC01) Projeto não preenchido! (ACC01)"/>
    <x v="4"/>
    <x v="10"/>
    <s v="Falta de informação Gerencial"/>
    <x v="0"/>
    <s v="Qualidade dos dados"/>
    <s v="KONTIK BUSINESS TRAVEL"/>
    <x v="6"/>
  </r>
  <r>
    <n v="23367517"/>
    <n v="24093525"/>
    <s v="ACC01"/>
    <x v="92"/>
    <d v="2025-11-21T17:42:15"/>
    <x v="3"/>
    <x v="3"/>
    <s v="MCXZEA"/>
    <s v="SABRE"/>
    <s v="SOLDATELLI/OTAVIO"/>
    <s v="Paulo Roberto Mendes da Silva"/>
    <s v="Paulo Roberto Mendes da Silva"/>
    <d v="2025-11-21T08:22:00"/>
    <s v="NWPBHN"/>
    <s v="-"/>
    <s v="OFF LINE"/>
    <s v="Cartão de crédito"/>
    <s v="Cartão de crédito"/>
    <x v="0"/>
    <s v="N"/>
    <x v="11"/>
    <s v="Parexel International Pesquisas Clinicas Ltda"/>
    <s v="-"/>
    <s v="Azul Linhas Aereas"/>
    <n v="7700081276"/>
    <x v="13"/>
    <s v="-"/>
    <x v="81"/>
    <n v="36.4"/>
    <n v="0"/>
    <n v="0"/>
    <n v="0"/>
    <n v="0"/>
    <n v="0"/>
    <s v="Reserva importada por HubTravel"/>
    <s v="Matrícula não preenchida! (ACC01) Projeto não preenchido! (ACC01)"/>
    <x v="4"/>
    <x v="10"/>
    <s v="Falta de informação Gerencial"/>
    <x v="0"/>
    <s v="Qualidade dos dados"/>
    <s v="KONTIK BUSINESS TRAVEL"/>
    <x v="6"/>
  </r>
  <r>
    <n v="23318066"/>
    <n v="24047709"/>
    <s v="ACC01"/>
    <x v="93"/>
    <d v="2025-11-17T11:30:40"/>
    <x v="0"/>
    <x v="2"/>
    <s v="WSIWOD"/>
    <s v="SABRE"/>
    <s v="MACHADO DA COSTA/JOAO PEDRO"/>
    <s v="Clayton Alves de Rezende"/>
    <s v="Paulo Roberto Mendes da Silva"/>
    <d v="2025-11-12T13:03:00"/>
    <s v="WSIWOD"/>
    <s v="-"/>
    <s v="ON LINE"/>
    <s v="Cartão de crédito"/>
    <s v="Cartão AMEX"/>
    <x v="0"/>
    <s v="N"/>
    <x v="12"/>
    <s v="Wallenius"/>
    <s v="-"/>
    <s v="Latam Airlines Brasil"/>
    <n v="5580597973"/>
    <x v="14"/>
    <s v="-"/>
    <x v="82"/>
    <n v="33.64"/>
    <n v="0"/>
    <n v="0"/>
    <n v="33.64"/>
    <n v="0"/>
    <n v="0"/>
    <s v="Reserva importada por HubTravel"/>
    <s v="Matrícula não preenchida! (ACC01)"/>
    <x v="4"/>
    <x v="11"/>
    <s v="Falta de informação Gerencial"/>
    <x v="0"/>
    <s v="Qualidade dos dados"/>
    <s v="GRUPO KONTIK"/>
    <x v="0"/>
  </r>
  <r>
    <n v="23294965"/>
    <n v="24025861"/>
    <s v="ACC01"/>
    <x v="94"/>
    <d v="2025-11-10T13:01:06"/>
    <x v="2"/>
    <x v="2"/>
    <s v="OXDYGJT"/>
    <s v="SABRE"/>
    <s v="LIBERATO/RAPHAEL HENRIQUE DE"/>
    <s v="WS"/>
    <s v="WS"/>
    <d v="2025-11-08T06:19:00"/>
    <s v="OXDYGJ"/>
    <s v="-"/>
    <s v="ON LINE"/>
    <s v="Cartão de crédito"/>
    <s v="Cartão de crédito"/>
    <x v="1"/>
    <s v="N"/>
    <x v="12"/>
    <s v="Wallenius"/>
    <s v="-"/>
    <s v="-"/>
    <s v="-"/>
    <x v="14"/>
    <s v="-"/>
    <x v="83"/>
    <n v="63.45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11039"/>
    <n v="24041353"/>
    <s v="ACC01"/>
    <x v="95"/>
    <d v="2025-11-12T15:18:20"/>
    <x v="2"/>
    <x v="2"/>
    <s v="WLSFFPT"/>
    <s v="SABRE"/>
    <s v="PENAYO/OSCAR AUGUSTO JOSE MR"/>
    <s v="WS"/>
    <s v="WS"/>
    <d v="2025-11-11T06:55:00"/>
    <s v="WLSFFP"/>
    <s v="-"/>
    <s v="ON LINE"/>
    <s v="Cartão de crédito"/>
    <s v="Cartão de crédito"/>
    <x v="1"/>
    <s v="N"/>
    <x v="13"/>
    <s v="Vertex Farmaceutica do Brasil"/>
    <s v="-"/>
    <s v="-"/>
    <s v="-"/>
    <x v="13"/>
    <s v="-"/>
    <x v="84"/>
    <n v="20.91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64935"/>
    <n v="24090976"/>
    <s v="ACC01"/>
    <x v="96"/>
    <d v="2025-11-21T11:05:27"/>
    <x v="3"/>
    <x v="3"/>
    <s v="MSIENX"/>
    <s v="SABRE"/>
    <s v="RODRIGUES ALVES/MATEUS"/>
    <s v="Paulo Roberto Mendes da Silva"/>
    <s v="Paulo Roberto Mendes da Silva"/>
    <d v="2025-11-21T06:23:00"/>
    <s v="NUMBER"/>
    <s v="-"/>
    <s v="OFF LINE"/>
    <s v="Cartão de crédito"/>
    <s v="Cartão de crédito"/>
    <x v="0"/>
    <s v="N"/>
    <x v="13"/>
    <s v="Vertex Farmaceutica do Brasil"/>
    <s v="-"/>
    <s v="Azul Linhas Aereas"/>
    <n v="7700081243"/>
    <x v="13"/>
    <s v="-"/>
    <x v="85"/>
    <n v="33.56"/>
    <n v="0"/>
    <n v="0"/>
    <n v="0"/>
    <n v="0"/>
    <n v="0"/>
    <s v="Reserva importada por HubTravel"/>
    <s v="Centro de custo não preenchido! (ACC01) Empenho/departamento não preenchido! (ACC01) Finalidade não preenchida! (ACC01)"/>
    <x v="4"/>
    <x v="10"/>
    <s v="Falta de informação Gerencial"/>
    <x v="0"/>
    <s v="Qualidade dos dados"/>
    <s v="KONTIK BUSINESS TRAVEL"/>
    <x v="6"/>
  </r>
  <r>
    <n v="23364936"/>
    <n v="24090977"/>
    <s v="ACC01"/>
    <x v="97"/>
    <d v="2025-11-21T11:06:32"/>
    <x v="3"/>
    <x v="3"/>
    <s v="MSIENXT"/>
    <s v="SABRE"/>
    <s v="RODRIGUES ALVES/MATEUS"/>
    <s v="Paulo Roberto Mendes da Silva"/>
    <s v="Paulo Roberto Mendes da Silva"/>
    <d v="2025-11-21T06:23:00"/>
    <s v="NUMBER"/>
    <s v="-"/>
    <s v="OFF LINE"/>
    <s v="Cartão de crédito"/>
    <s v="Cartão de crédito"/>
    <x v="1"/>
    <s v="N"/>
    <x v="13"/>
    <s v="Vertex Farmaceutica do Brasil"/>
    <s v="-"/>
    <s v="-"/>
    <s v="-"/>
    <x v="13"/>
    <s v="-"/>
    <x v="86"/>
    <n v="34.54"/>
    <n v="0"/>
    <n v="0"/>
    <n v="0"/>
    <n v="0"/>
    <n v="0"/>
    <s v="Reserva importada por HubTravel"/>
    <s v="Centro de custo não preenchido! (ACC01) Empenho/departamento não preenchido! (ACC01)"/>
    <x v="4"/>
    <x v="10"/>
    <s v="Falta de informação Gerencial"/>
    <x v="0"/>
    <s v="Qualidade dos dados"/>
    <s v="KONTIK BUSINESS TRAVEL"/>
    <x v="6"/>
  </r>
  <r>
    <n v="23348220"/>
    <n v="24075614"/>
    <s v="ACC01"/>
    <x v="98"/>
    <d v="2025-11-19T16:35:48"/>
    <x v="3"/>
    <x v="0"/>
    <s v="CBCICV"/>
    <s v="SABRE"/>
    <s v="MELO/RENATA FRANCO DE ALMEIDA MS"/>
    <s v="Paulo Roberto Mendes da Silva"/>
    <s v="Paulo Roberto Mendes da Silva"/>
    <d v="2025-11-17T16:08:00"/>
    <s v="WMTPII"/>
    <s v="-"/>
    <s v="OFF LINE"/>
    <s v="Cartão de crédito"/>
    <s v="Cartão de crédito"/>
    <x v="0"/>
    <s v="N"/>
    <x v="13"/>
    <s v="Vertex Farmaceutica do Brasil"/>
    <s v="-"/>
    <s v="Gol Linhas Aereas"/>
    <n v="2149697669"/>
    <x v="13"/>
    <s v="-"/>
    <x v="87"/>
    <n v="60.62"/>
    <n v="0"/>
    <n v="0"/>
    <n v="0"/>
    <n v="0"/>
    <n v="0"/>
    <s v="Reserva importada por HubTravel"/>
    <s v="Empenho/departamento não preenchido! (ACC01) Finalidade não preenchida! (ACC01)"/>
    <x v="4"/>
    <x v="10"/>
    <s v="Falta de informação Gerencial"/>
    <x v="0"/>
    <s v="Qualidade dos dados"/>
    <s v="KONTIK BUSINESS TRAVEL"/>
    <x v="6"/>
  </r>
  <r>
    <n v="23353275"/>
    <n v="24080233"/>
    <s v="ACC01"/>
    <x v="99"/>
    <d v="2025-11-19T10:31:23"/>
    <x v="3"/>
    <x v="3"/>
    <s v="DGHNWAT"/>
    <s v="SABRE"/>
    <s v="FILHO/ROMEL TOLENTINO"/>
    <s v="Paulo Roberto Mendes da Silva"/>
    <s v="Paulo Roberto Mendes da Silva"/>
    <d v="2025-11-17T09:40:00"/>
    <s v="DGHNWA"/>
    <s v="-"/>
    <s v="ON LINE"/>
    <s v="Cartão de crédito"/>
    <s v="Cartão de crédito"/>
    <x v="1"/>
    <s v="N"/>
    <x v="14"/>
    <s v="Iron Mountain"/>
    <s v="-"/>
    <s v="Sheraton Maria Isabel Hotel &amp; Towers"/>
    <s v="-"/>
    <x v="15"/>
    <s v="-"/>
    <x v="88"/>
    <n v="328.59"/>
    <n v="0"/>
    <n v="0"/>
    <n v="0"/>
    <n v="0"/>
    <n v="0"/>
    <s v="Reserva importada por HubTravel"/>
    <s v="Matrícula não preenchida! (ACC01)"/>
    <x v="4"/>
    <x v="11"/>
    <s v="Falta de informação Gerencial"/>
    <x v="0"/>
    <s v="Qualidade dos dados"/>
    <s v="KONTIK BUSINESS TRAVEL"/>
    <x v="6"/>
  </r>
  <r>
    <n v="23355692"/>
    <n v="24082665"/>
    <s v="ACC01"/>
    <x v="100"/>
    <d v="2025-11-19T16:36:56"/>
    <x v="3"/>
    <x v="3"/>
    <s v="DOEZAFT"/>
    <s v="SABRE"/>
    <s v="FERNANDES/CARLA SCOTT"/>
    <s v="Paulo Roberto Mendes da Silva"/>
    <s v="Paulo Roberto Mendes da Silva"/>
    <d v="2025-11-19T07:32:00"/>
    <s v="DOEBVK"/>
    <s v="-"/>
    <s v="OFF LINE"/>
    <s v="Cartão de crédito"/>
    <s v="Cartão de crédito"/>
    <x v="1"/>
    <s v="N"/>
    <x v="14"/>
    <s v="Iron Mountain"/>
    <s v="-"/>
    <s v="-"/>
    <s v="-"/>
    <x v="15"/>
    <s v="-"/>
    <x v="89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15306"/>
    <n v="24045088"/>
    <s v="ACC01"/>
    <x v="101"/>
    <d v="2025-11-13T08:00:57"/>
    <x v="2"/>
    <x v="2"/>
    <s v="5TEQXS"/>
    <s v="LEMONTECH"/>
    <s v="BARBOSA/KARLA"/>
    <s v="Danilo dos Santos Alves Cardoso"/>
    <s v="Danilo dos Santos Alves Cardoso"/>
    <d v="2025-11-12T17:30:00"/>
    <n v="18019074"/>
    <s v="-"/>
    <s v="OFF LINE"/>
    <s v="Invoice"/>
    <s v="Faturado"/>
    <x v="3"/>
    <s v="N"/>
    <x v="15"/>
    <s v="Benner Sistemas - Blumenau"/>
    <s v="-"/>
    <s v="Azul Linhas Aereas"/>
    <s v="-"/>
    <x v="4"/>
    <s v="-"/>
    <x v="90"/>
    <n v="1"/>
    <n v="0"/>
    <n v="0"/>
    <n v="0"/>
    <n v="0"/>
    <n v="0"/>
    <s v="Reserva importada do Sistema Lemontech. Solicitação: 18019074"/>
    <s v="Empenho/departamento não preenchido! (ACC01)"/>
    <x v="6"/>
    <x v="12"/>
    <s v="Falta de informação Gerencial"/>
    <x v="0"/>
    <s v="Qualidade dos dados"/>
    <s v="KONTIK BUSINESS TRAVEL"/>
    <x v="3"/>
  </r>
  <r>
    <n v="23365967"/>
    <n v="24091975"/>
    <s v="ACC01"/>
    <x v="102"/>
    <d v="2025-11-21T14:06:36"/>
    <x v="3"/>
    <x v="3"/>
    <s v="HPVHSA"/>
    <s v="EBOOKING"/>
    <s v="RODRIGUES JUNIOR/JACQUES"/>
    <s v="Kontrip"/>
    <s v="Kontrip"/>
    <d v="2025-11-19T06:34:00"/>
    <s v="-"/>
    <s v="-"/>
    <s v="OFF LINE"/>
    <s v="Cartão de crédito"/>
    <s v="Cartão de crédito"/>
    <x v="0"/>
    <s v="N"/>
    <x v="16"/>
    <s v="Mebr Varejo de Joias"/>
    <s v="-"/>
    <s v="Gol Linhas Aereas"/>
    <n v="2149958729"/>
    <x v="7"/>
    <s v="-"/>
    <x v="91"/>
    <n v="97.29000000000001"/>
    <n v="0"/>
    <n v="0"/>
    <n v="0"/>
    <n v="0"/>
    <n v="407.04"/>
    <s v="obs"/>
    <s v="Não foi possível encontrar configuração válida para Administradora de código 1 e Data Emissão 19/11/2025"/>
    <x v="3"/>
    <x v="5"/>
    <s v="Análise Benner"/>
    <x v="2"/>
    <s v="Qualidade dos dados"/>
    <s v="KONTRIP VIAGENS"/>
    <x v="5"/>
  </r>
  <r>
    <n v="23365967"/>
    <n v="24091976"/>
    <s v="ACC02"/>
    <x v="102"/>
    <d v="2025-11-21T14:06:36"/>
    <x v="3"/>
    <x v="3"/>
    <s v="HPVHSA"/>
    <s v="EBOOKING"/>
    <s v="RODRIGUES/THAIS"/>
    <s v="Kontrip"/>
    <s v="Kontrip"/>
    <d v="2025-11-19T06:34:00"/>
    <s v="-"/>
    <s v="-"/>
    <s v="OFF LINE"/>
    <s v="Cartão de crédito"/>
    <s v="Cartão de crédito"/>
    <x v="0"/>
    <s v="N"/>
    <x v="16"/>
    <s v="Mebr Varejo de Joias"/>
    <s v="-"/>
    <s v="Gol Linhas Aereas"/>
    <n v="2149958730"/>
    <x v="7"/>
    <s v="-"/>
    <x v="91"/>
    <n v="97.29000000000001"/>
    <n v="0"/>
    <n v="0"/>
    <n v="0"/>
    <n v="0"/>
    <n v="0"/>
    <s v="obs"/>
    <s v="Não foi possível encontrar configuração válida para Administradora de código 1 e Data Emissão 19/11/2025"/>
    <x v="3"/>
    <x v="5"/>
    <s v="Análise Benner"/>
    <x v="2"/>
    <s v="Qualidade dos dados"/>
    <s v="KONTRIP VIAGENS"/>
    <x v="5"/>
  </r>
  <r>
    <n v="23365967"/>
    <n v="24091977"/>
    <s v="ACC03"/>
    <x v="102"/>
    <d v="2025-11-21T14:06:36"/>
    <x v="3"/>
    <x v="3"/>
    <s v="HPVHSA"/>
    <s v="EBOOKING"/>
    <s v="RODRIGUES NETO/JACQUES"/>
    <s v="Kontrip"/>
    <s v="Kontrip"/>
    <d v="2025-11-19T06:34:00"/>
    <s v="-"/>
    <s v="-"/>
    <s v="OFF LINE"/>
    <s v="Cartão de crédito"/>
    <s v="Cartão de crédito"/>
    <x v="0"/>
    <s v="N"/>
    <x v="16"/>
    <s v="Mebr Varejo de Joias"/>
    <s v="-"/>
    <s v="Gol Linhas Aereas"/>
    <n v="2149958731"/>
    <x v="7"/>
    <s v="-"/>
    <x v="91"/>
    <n v="97.29000000000001"/>
    <n v="0"/>
    <n v="0"/>
    <n v="0"/>
    <n v="0"/>
    <n v="0"/>
    <s v="obs"/>
    <s v="Não foi possível encontrar configuração válida para Administradora de código 1 e Data Emissão 19/11/2025"/>
    <x v="3"/>
    <x v="5"/>
    <s v="Análise Benner"/>
    <x v="2"/>
    <s v="Qualidade dos dados"/>
    <s v="KONTRIP VIAGENS"/>
    <x v="5"/>
  </r>
  <r>
    <n v="23343359"/>
    <n v="24071111"/>
    <s v="ACC01"/>
    <x v="103"/>
    <d v="2025-11-17T21:52:46"/>
    <x v="0"/>
    <x v="0"/>
    <s v="5TC67Y"/>
    <s v="TMS"/>
    <s v="DANIEL CAVALCANTE"/>
    <s v="Deise Fernanda Franca de Souza"/>
    <s v="Deise Fernanda Franca de Souza"/>
    <d v="2025-11-17T17:06:00"/>
    <n v="18880"/>
    <s v="-"/>
    <s v="OFF LINE"/>
    <s v="Invoice"/>
    <s v="Faturado"/>
    <x v="3"/>
    <s v="N"/>
    <x v="17"/>
    <s v="Petroreconcavo"/>
    <s v="-"/>
    <s v="-"/>
    <s v="-"/>
    <x v="16"/>
    <s v="-"/>
    <x v="92"/>
    <n v="0"/>
    <n v="0"/>
    <n v="0"/>
    <n v="0"/>
    <n v="0"/>
    <n v="0"/>
    <s v="Reserva importada do Sistema TMS. OS: 18880"/>
    <s v="Fornecedor não preenchido! (ACC01)"/>
    <x v="5"/>
    <x v="1"/>
    <s v="Campo Fornecedor"/>
    <x v="0"/>
    <s v="Qualidade dos dados"/>
    <s v="KONTIK BUSINESS TRAVEL"/>
    <x v="2"/>
  </r>
  <r>
    <n v="23270939"/>
    <n v="24003353"/>
    <s v="ACC01"/>
    <x v="104"/>
    <d v="2025-11-06T13:15:38"/>
    <x v="1"/>
    <x v="1"/>
    <s v="H20736308"/>
    <s v="GOVER"/>
    <s v="Luciano Russo Hoehne"/>
    <s v="Emilia Alejandra Pacheco Maraboli"/>
    <s v="Emilia Alejandra Pacheco Maraboli"/>
    <d v="2025-11-06T13:00:00"/>
    <n v="4624667"/>
    <s v="-"/>
    <s v="OFF LINE"/>
    <s v="Pagamento direto"/>
    <s v="Pagamento direto"/>
    <x v="1"/>
    <s v="N"/>
    <x v="18"/>
    <s v="Fm Global - Servicos"/>
    <s v="Cliente FEE no POS"/>
    <s v="Ipe Hotel"/>
    <s v="-"/>
    <x v="17"/>
    <s v="-"/>
    <x v="93"/>
    <n v="0"/>
    <n v="0"/>
    <n v="0"/>
    <n v="0"/>
    <n v="0"/>
    <n v="0"/>
    <s v="Reserva importada do sistema Gover. Id: 4624667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56178"/>
    <n v="24083168"/>
    <s v="ACC01"/>
    <x v="105"/>
    <d v="2025-11-19T17:55:20"/>
    <x v="3"/>
    <x v="3"/>
    <s v="MV3025GBGMBR"/>
    <s v="GOVER"/>
    <s v="Renata Fernandes Vieira Camargo"/>
    <s v="RAYSSA MARTINS FERREIRA"/>
    <s v="RAYSSA MARTINS FERREIRA"/>
    <d v="2025-11-19T17:39:00"/>
    <n v="4630169"/>
    <s v="Movida - Br - Sp - Sao Paulo - Pinheiros Endereço: Avenida Reboucas, 3970 Pinheiros"/>
    <s v="OFF LINE"/>
    <s v="Invoice"/>
    <s v="Faturado"/>
    <x v="2"/>
    <s v="N"/>
    <x v="19"/>
    <s v="Unica Sp"/>
    <s v="-"/>
    <s v="Movida - Br - Sp - Sao Paulo - Pinheiros"/>
    <s v="-"/>
    <x v="1"/>
    <s v="-"/>
    <x v="94"/>
    <n v="0"/>
    <n v="0"/>
    <n v="0"/>
    <n v="0"/>
    <n v="0"/>
    <n v="0"/>
    <s v="Reserva importada do sistema Gover. Id: 4630169"/>
    <s v="Fornecedor não preenchido! (ACC01)"/>
    <x v="0"/>
    <x v="1"/>
    <s v="Campo Fornecedor"/>
    <x v="0"/>
    <s v="Qualidade dos dados"/>
    <s v="KONTIK BUSINESS TRAVEL"/>
    <x v="2"/>
  </r>
  <r>
    <n v="23340862"/>
    <n v="24068640"/>
    <s v="ACC01"/>
    <x v="106"/>
    <d v="2025-11-17T15:15:18"/>
    <x v="0"/>
    <x v="0"/>
    <s v="5T8CQ6"/>
    <s v="MANUAL"/>
    <s v="EVALDO ALVES DA SILVA JUNIOR"/>
    <s v="Rafaela Leitao Oliveira"/>
    <s v="Rafaela Leitao Oliveira"/>
    <d v="2025-11-17T15:05:00"/>
    <s v="EMAIL"/>
    <s v="-"/>
    <s v="OFF LINE"/>
    <s v="Invoice"/>
    <s v="Faturado"/>
    <x v="3"/>
    <s v="N"/>
    <x v="20"/>
    <s v="Falcon Goiania"/>
    <s v="-"/>
    <s v="Aguiar Locacao e Turismo"/>
    <s v="-"/>
    <x v="4"/>
    <s v="-"/>
    <x v="95"/>
    <n v="10.95"/>
    <n v="0"/>
    <n v="0"/>
    <n v="0"/>
    <n v="0"/>
    <n v="0"/>
    <s v="-"/>
    <s v="Não foi possível encontrar um contrato válido para o fornecedor 391813 (Código fornecedor) "/>
    <x v="1"/>
    <x v="14"/>
    <s v="Análise Cadastro"/>
    <x v="0"/>
    <s v="Qualidade dos dados"/>
    <s v="KONTIK BUSINESS TRAVEL"/>
    <x v="3"/>
  </r>
  <r>
    <n v="23211265"/>
    <n v="23947173"/>
    <s v="ACC01"/>
    <x v="107"/>
    <d v="2025-11-11T08:07:06"/>
    <x v="2"/>
    <x v="6"/>
    <s v="EPSYAF"/>
    <s v="GOVER"/>
    <s v="Willians Valter Fiori Da Cruz"/>
    <s v="Gover"/>
    <s v="Gover"/>
    <d v="2025-10-28T16:51:00"/>
    <n v="4619655"/>
    <s v="-"/>
    <s v="ON LINE"/>
    <s v="Invoice"/>
    <s v="Cartão convênio"/>
    <x v="0"/>
    <s v="N"/>
    <x v="20"/>
    <s v="Falcon Goiania"/>
    <s v="-"/>
    <s v="Latam Airlines Brasil"/>
    <n v="2256986008"/>
    <x v="18"/>
    <s v="-"/>
    <x v="96"/>
    <n v="108.92"/>
    <n v="0"/>
    <n v="0"/>
    <n v="0"/>
    <n v="0"/>
    <n v="0"/>
    <s v="Reserva importada do sistema Gover. Id: 4619655"/>
    <s v="Erro excluindo PNR: Não é possivel excluir a accounting de código: 25283752. A mesma está ligada a conciliação de cartão &quot;REDE 03.11.2025.xlsx&quot;"/>
    <x v="0"/>
    <x v="7"/>
    <s v="Financeiro Conciliado"/>
    <x v="3"/>
    <s v="Processo Operacional"/>
    <s v="GRUPO KONTIK"/>
    <x v="0"/>
  </r>
  <r>
    <n v="23277839"/>
    <n v="24009990"/>
    <s v="ACC01"/>
    <x v="108"/>
    <d v="2025-11-07T11:10:44"/>
    <x v="1"/>
    <x v="1"/>
    <n v="20607600"/>
    <s v="GOVER"/>
    <s v="Renato Dhiego Vidal de Amorim"/>
    <s v="Gover"/>
    <s v="Gover"/>
    <d v="2025-10-28T16:02:00"/>
    <n v="4620205"/>
    <s v="-"/>
    <s v="ON LINE"/>
    <s v="Cartão de crédito"/>
    <s v="Cartão de crédito"/>
    <x v="1"/>
    <s v="N"/>
    <x v="20"/>
    <s v="Falcon Goiania"/>
    <s v="-"/>
    <s v="-"/>
    <s v="-"/>
    <x v="18"/>
    <s v="-"/>
    <x v="97"/>
    <n v="0"/>
    <n v="0"/>
    <n v="0"/>
    <n v="0"/>
    <n v="0"/>
    <n v="0"/>
    <s v="Reserva importada do sistema Gover. Id: 4620205"/>
    <s v="Fornecedor não preenchido! (ACC01)"/>
    <x v="0"/>
    <x v="1"/>
    <s v="Campo Fornecedor"/>
    <x v="0"/>
    <s v="Sistêmico"/>
    <s v="GRUPO KONTIK"/>
    <x v="1"/>
  </r>
  <r>
    <n v="23366752"/>
    <n v="24092778"/>
    <s v="ACC01"/>
    <x v="109"/>
    <d v="2025-11-24T02:00:57"/>
    <x v="4"/>
    <x v="3"/>
    <s v="5U26UM"/>
    <s v="TMS"/>
    <s v="PRISCILA M DE SOUZA"/>
    <s v="Tms"/>
    <s v="Tms"/>
    <d v="2025-11-21T14:13:00"/>
    <n v="48000"/>
    <s v="-"/>
    <s v="OFF LINE"/>
    <s v="Invoice"/>
    <s v="Faturado"/>
    <x v="3"/>
    <s v="N"/>
    <x v="21"/>
    <s v="Htb Engenharia e Construcao"/>
    <s v="-"/>
    <s v="-"/>
    <s v="-"/>
    <x v="19"/>
    <s v="-"/>
    <x v="98"/>
    <n v="52.73"/>
    <n v="0"/>
    <n v="0"/>
    <n v="0"/>
    <n v="0"/>
    <n v="0"/>
    <s v="Reserva importada do Sistema TMS. OS: 48000"/>
    <s v="Fornecedor não preenchido! (ACC01)"/>
    <x v="5"/>
    <x v="1"/>
    <s v="Campo Fornecedor"/>
    <x v="0"/>
    <s v="Qualidade dos dados"/>
    <s v="KONTIK BUSINESS TRAVEL"/>
    <x v="2"/>
  </r>
  <r>
    <n v="23366753"/>
    <n v="24092779"/>
    <s v="ACC01"/>
    <x v="110"/>
    <d v="2025-11-24T02:00:57"/>
    <x v="4"/>
    <x v="3"/>
    <s v="5UEHUM"/>
    <s v="TMS"/>
    <s v="DACILIA AQUIE M DE SOUZA"/>
    <s v="Tms"/>
    <s v="Tms"/>
    <d v="2025-11-21T14:04:00"/>
    <n v="47999"/>
    <s v="-"/>
    <s v="OFF LINE"/>
    <s v="Invoice"/>
    <s v="Faturado"/>
    <x v="3"/>
    <s v="N"/>
    <x v="21"/>
    <s v="Htb Engenharia e Construcao"/>
    <s v="-"/>
    <s v="-"/>
    <s v="-"/>
    <x v="19"/>
    <s v="-"/>
    <x v="98"/>
    <n v="52.73"/>
    <n v="0"/>
    <n v="0"/>
    <n v="0"/>
    <n v="0"/>
    <n v="0"/>
    <s v="Reserva importada do Sistema TMS. OS: 47999"/>
    <s v="Fornecedor não preenchido! (ACC01)"/>
    <x v="5"/>
    <x v="1"/>
    <s v="Campo Fornecedor"/>
    <x v="0"/>
    <s v="Qualidade dos dados"/>
    <s v="KONTIK BUSINESS TRAVEL"/>
    <x v="2"/>
  </r>
  <r>
    <n v="23361375"/>
    <n v="24087947"/>
    <s v="ACC01"/>
    <x v="111"/>
    <d v="2025-11-24T01:55:12"/>
    <x v="4"/>
    <x v="3"/>
    <s v="5UN0BB"/>
    <s v="TMS"/>
    <s v="THIAGO COELHO SA"/>
    <s v="Tms"/>
    <s v="Tms"/>
    <d v="2025-11-20T14:32:00"/>
    <n v="47995"/>
    <s v="-"/>
    <s v="OFF LINE"/>
    <s v="Invoice"/>
    <s v="Faturado"/>
    <x v="3"/>
    <s v="N"/>
    <x v="21"/>
    <s v="Htb Engenharia e Construcao"/>
    <s v="-"/>
    <s v="-"/>
    <s v="-"/>
    <x v="19"/>
    <s v="-"/>
    <x v="99"/>
    <n v="47.88"/>
    <n v="0"/>
    <n v="0"/>
    <n v="0"/>
    <n v="0"/>
    <n v="0"/>
    <s v="Reserva importada do Sistema TMS. OS: 47995"/>
    <s v="Fornecedor não preenchido! (ACC01)"/>
    <x v="5"/>
    <x v="1"/>
    <s v="Campo Fornecedor"/>
    <x v="0"/>
    <s v="Qualidade dos dados"/>
    <s v="KONTIK BUSINESS TRAVEL"/>
    <x v="2"/>
  </r>
  <r>
    <n v="23338315"/>
    <n v="24066135"/>
    <s v="ACC01"/>
    <x v="112"/>
    <d v="2025-11-17T09:15:30"/>
    <x v="0"/>
    <x v="0"/>
    <n v="16658033"/>
    <s v="MANUAL"/>
    <s v="EURICACIO EMANUEL OLIVEIRA DUARTE NUNES"/>
    <s v="Cintya Cocco Figueiredo"/>
    <s v="Cintya Cocco Figueiredo"/>
    <d v="2025-11-17T09:07:00"/>
    <n v="47265"/>
    <s v="-"/>
    <s v="OFF LINE"/>
    <s v="Invoice"/>
    <s v="Faturado"/>
    <x v="3"/>
    <s v="N"/>
    <x v="21"/>
    <s v="Htb Construcoes"/>
    <s v="-"/>
    <s v="Real Expresso"/>
    <s v="-"/>
    <x v="19"/>
    <s v="-"/>
    <x v="100"/>
    <n v="0"/>
    <n v="0"/>
    <n v="0"/>
    <n v="0"/>
    <n v="0"/>
    <n v="0"/>
    <s v="-"/>
    <s v="Não foi possível encontrar um contrato válido para o fornecedor 665136 (Código fornecedor) "/>
    <x v="1"/>
    <x v="14"/>
    <s v="Análise Cadastro"/>
    <x v="0"/>
    <s v="Qualidade dos dados"/>
    <s v="KONTIK BUSINESS TRAVEL"/>
    <x v="3"/>
  </r>
  <r>
    <n v="23366757"/>
    <n v="24092783"/>
    <s v="ACC01"/>
    <x v="113"/>
    <d v="2025-11-21T16:05:30"/>
    <x v="3"/>
    <x v="3"/>
    <s v="5URY70"/>
    <s v="TMS"/>
    <s v="PAES B. DE AZEVEDO/MARCELA"/>
    <s v="Claudia Lucia Stella"/>
    <s v="Claudia Lucia Stella"/>
    <d v="2025-11-21T11:11:00"/>
    <n v="47986"/>
    <s v="-"/>
    <s v="OFF LINE"/>
    <s v="Cartão de crédito"/>
    <s v="Cartão AMEX"/>
    <x v="0"/>
    <s v="N"/>
    <x v="21"/>
    <s v="Htb Engenharia e Construcao"/>
    <s v="-"/>
    <s v="Azul Linhas Aereas"/>
    <n v="3024092783"/>
    <x v="19"/>
    <s v="-"/>
    <x v="0"/>
    <n v="200"/>
    <n v="0"/>
    <n v="0"/>
    <n v="0"/>
    <n v="0"/>
    <n v="0"/>
    <s v="Reserva importada do Sistema TMS. OS: 47986"/>
    <s v="Tarifa mínima não preenchida! (ACC01)"/>
    <x v="5"/>
    <x v="0"/>
    <s v="Falta de informação Gerencial"/>
    <x v="0"/>
    <s v="Qualidade dos dados"/>
    <s v="KONTIK BUSINESS TRAVEL"/>
    <x v="3"/>
  </r>
  <r>
    <n v="23327311"/>
    <n v="24056912"/>
    <s v="ACC01"/>
    <x v="114"/>
    <d v="2025-11-14T19:45:54"/>
    <x v="2"/>
    <x v="2"/>
    <s v="GYDXLH"/>
    <s v="TMS"/>
    <s v="VANESSA CHAGAS"/>
    <s v="Herbert Amancio de Santana"/>
    <s v="Tms"/>
    <d v="2025-11-14T17:53:00"/>
    <n v="105502"/>
    <s v="-"/>
    <s v="ON LINE"/>
    <s v="Invoice"/>
    <s v="Faturado"/>
    <x v="0"/>
    <s v="N"/>
    <x v="22"/>
    <s v="Brasil Center Comunicacoes Ltda"/>
    <s v="-"/>
    <s v="Gol Linhas Aereas"/>
    <n v="2149509801"/>
    <x v="20"/>
    <s v="-"/>
    <x v="101"/>
    <n v="120.57"/>
    <n v="0"/>
    <n v="0"/>
    <n v="0"/>
    <n v="0"/>
    <n v="0"/>
    <s v="Reserva importada do Sistema TMS. OS: 105502"/>
    <s v="Matrícula não preenchida! (ACC01)"/>
    <x v="5"/>
    <x v="11"/>
    <s v="Falta de informação Gerencial"/>
    <x v="0"/>
    <s v="Qualidade dos dados"/>
    <s v="KONTIK BUSINESS TRAVEL"/>
    <x v="3"/>
  </r>
  <r>
    <n v="23185906"/>
    <n v="23923894"/>
    <s v="ACC01"/>
    <x v="115"/>
    <d v="2025-10-24T13:00:02"/>
    <x v="6"/>
    <x v="5"/>
    <s v="5Q98BM"/>
    <s v="TMS"/>
    <s v="JORGE GOMES DA SILVA BASI"/>
    <s v="Larissa Nunes dos Santos"/>
    <s v="Larissa Nunes dos Santos"/>
    <d v="2025-10-24T09:00:00"/>
    <n v="92506"/>
    <s v="-"/>
    <s v="OFF LINE"/>
    <s v="Cartão de crédito"/>
    <s v="Cartão de crédito"/>
    <x v="1"/>
    <s v="N"/>
    <x v="22"/>
    <s v="Claro Sao Paulo (santo Amaro)"/>
    <s v="-"/>
    <s v="Catuai Hotel"/>
    <s v="-"/>
    <x v="20"/>
    <s v="-"/>
    <x v="102"/>
    <n v="0"/>
    <n v="0"/>
    <n v="0"/>
    <n v="0"/>
    <n v="0"/>
    <n v="0"/>
    <s v="Reserva importada do Sistema TMS. OS: 92506"/>
    <s v="Matrícula não preenchida! (ACC01)"/>
    <x v="5"/>
    <x v="11"/>
    <s v="Falta de informação Gerencial"/>
    <x v="0"/>
    <s v="Qualidade dos dados"/>
    <s v="KONTIK BUSINESS TRAVEL"/>
    <x v="3"/>
  </r>
  <r>
    <n v="23305059"/>
    <n v="24035710"/>
    <s v="ACC01"/>
    <x v="116"/>
    <d v="2025-11-24T06:55:10"/>
    <x v="4"/>
    <x v="2"/>
    <s v="5TUA1B"/>
    <s v="TMS"/>
    <s v="PAULLINE RAMOS"/>
    <s v="Herbert Amancio de Santana"/>
    <s v="Herbert Amancio de Santana"/>
    <d v="2025-11-11T15:48:00"/>
    <n v="91053"/>
    <s v="-"/>
    <s v="OFF LINE"/>
    <s v="Cartão de crédito"/>
    <s v="Cartão de crédito"/>
    <x v="1"/>
    <s v="N"/>
    <x v="22"/>
    <s v="Brasil Center Comunicacoes Ltda"/>
    <s v="-"/>
    <s v="VILA MAR EMPREENDIMENTO HOTELEIRO LTDA"/>
    <s v="-"/>
    <x v="20"/>
    <s v="-"/>
    <x v="103"/>
    <n v="0"/>
    <n v="0"/>
    <n v="0"/>
    <n v="0"/>
    <n v="0"/>
    <n v="0"/>
    <s v="Reserva importada do Sistema TMS. OS: 91053"/>
    <s v="Pr"/>
    <x v="5"/>
    <x v="5"/>
    <s v="Análise Benner"/>
    <x v="2"/>
    <s v="Qualidade dos dados"/>
    <s v="KONTIK BUSINESS TRAVEL"/>
    <x v="3"/>
  </r>
  <r>
    <n v="23305060"/>
    <n v="24035711"/>
    <s v="ACC01"/>
    <x v="117"/>
    <d v="2025-11-24T06:55:10"/>
    <x v="4"/>
    <x v="2"/>
    <s v="5TIQQM"/>
    <s v="TMS"/>
    <s v="LUCIANA COSTA DA FONSECA"/>
    <s v="Herbert Amancio de Santana"/>
    <s v="Herbert Amancio de Santana"/>
    <d v="2025-11-11T15:49:00"/>
    <n v="91050"/>
    <s v="-"/>
    <s v="OFF LINE"/>
    <s v="Cartão de crédito"/>
    <s v="Cartão de crédito"/>
    <x v="1"/>
    <s v="N"/>
    <x v="22"/>
    <s v="Brasil Center Comunicacoes Ltda"/>
    <s v="-"/>
    <s v="VILA MAR EMPREENDIMENTO HOTELEIRO LTDA"/>
    <s v="-"/>
    <x v="20"/>
    <s v="-"/>
    <x v="103"/>
    <n v="0"/>
    <n v="0"/>
    <n v="0"/>
    <n v="0"/>
    <n v="0"/>
    <n v="0"/>
    <s v="Reserva importada do Sistema TMS. OS: 91050"/>
    <s v="Pr"/>
    <x v="5"/>
    <x v="5"/>
    <s v="Análise Benner"/>
    <x v="2"/>
    <s v="Qualidade dos dados"/>
    <s v="KONTIK BUSINESS TRAVEL"/>
    <x v="3"/>
  </r>
  <r>
    <n v="23250311"/>
    <n v="23983359"/>
    <s v="ACC01"/>
    <x v="118"/>
    <d v="2025-11-03T22:32:31"/>
    <x v="1"/>
    <x v="1"/>
    <s v="5RG55M"/>
    <s v="TMS"/>
    <s v="JORGE GOMES DA SILVA BASI"/>
    <s v="Lucy de Freitas Paes Brazil"/>
    <s v="Lucy de Freitas Paes Brazil"/>
    <d v="2025-11-03T17:46:00"/>
    <n v="101248"/>
    <s v="-"/>
    <s v="OFF LINE"/>
    <s v="Cartão de crédito"/>
    <s v="Cartão de crédito"/>
    <x v="1"/>
    <s v="N"/>
    <x v="22"/>
    <s v="Claro Sao Paulo (santo Amaro)"/>
    <s v="-"/>
    <s v="Hotel Veneza"/>
    <s v="-"/>
    <x v="20"/>
    <s v="-"/>
    <x v="104"/>
    <n v="0"/>
    <n v="0"/>
    <n v="0"/>
    <n v="0"/>
    <n v="0"/>
    <n v="0"/>
    <s v="Reserva importada do Sistema TMS. OS: 101248"/>
    <s v="Matrícula não preenchida! (ACC01)"/>
    <x v="5"/>
    <x v="11"/>
    <s v="Falta de informação Gerencial"/>
    <x v="0"/>
    <s v="Qualidade dos dados"/>
    <s v="KONTIK BUSINESS TRAVEL"/>
    <x v="3"/>
  </r>
  <r>
    <n v="23338445"/>
    <n v="24066249"/>
    <s v="ACC01"/>
    <x v="119"/>
    <d v="2025-11-17T09:45:19"/>
    <x v="0"/>
    <x v="0"/>
    <n v="3582"/>
    <s v="GOVER"/>
    <s v="Rodrigo Teixeira dos Anjos"/>
    <s v="Marcos de Oliveira Miklos"/>
    <s v="Marcos de Oliveira Miklos"/>
    <d v="2025-11-17T00:00:00"/>
    <n v="4628335"/>
    <s v="-"/>
    <s v="OFF LINE"/>
    <s v="Cartão de crédito"/>
    <s v="Cartão de crédito"/>
    <x v="1"/>
    <s v="N"/>
    <x v="23"/>
    <s v="Santista Textil Americana"/>
    <s v="-"/>
    <s v="Hotel Bergozza"/>
    <s v="-"/>
    <x v="11"/>
    <s v="-"/>
    <x v="105"/>
    <n v="0"/>
    <n v="0"/>
    <n v="0"/>
    <n v="0"/>
    <n v="0"/>
    <n v="0"/>
    <s v="Reserva importada do sistema Gover. Id: 4628335"/>
    <s v="Canal de venda não preenchido! (ACC01)"/>
    <x v="0"/>
    <x v="9"/>
    <s v="Falta de informação Gerencial"/>
    <x v="0"/>
    <s v="Qualidade dos dados"/>
    <s v="KONTIK BUSINESS TRAVEL"/>
    <x v="3"/>
  </r>
  <r>
    <n v="23325715"/>
    <n v="24055216"/>
    <s v="ACC01"/>
    <x v="120"/>
    <d v="2025-11-14T16:02:07"/>
    <x v="2"/>
    <x v="2"/>
    <n v="218134842"/>
    <s v="GOVER"/>
    <s v="Maurício  Fabiano Kruger"/>
    <s v="ALEXANDRE DA CONCEIÇÃO ALVES"/>
    <s v="ALEXANDRE DA CONCEIÇÃO ALVES"/>
    <d v="2025-11-14T18:00:00"/>
    <n v="4628172"/>
    <s v="-"/>
    <s v="OFF LINE"/>
    <s v="Cartão de crédito"/>
    <s v="Cartão de crédito"/>
    <x v="1"/>
    <s v="N"/>
    <x v="23"/>
    <s v="Santista Textil Americana"/>
    <s v="-"/>
    <s v="Ibis Americana"/>
    <s v="-"/>
    <x v="11"/>
    <s v="-"/>
    <x v="106"/>
    <n v="137.55"/>
    <n v="0"/>
    <n v="0"/>
    <n v="0"/>
    <n v="0"/>
    <n v="0"/>
    <s v="Reserva importada do sistema Gover. Id: 4628172"/>
    <s v="Canal de venda não preenchido! (ACC01)"/>
    <x v="0"/>
    <x v="9"/>
    <s v="Falta de informação Gerencial"/>
    <x v="0"/>
    <s v="Qualidade dos dados"/>
    <s v="KONTIK BUSINESS TRAVEL"/>
    <x v="3"/>
  </r>
  <r>
    <n v="23325716"/>
    <n v="24055217"/>
    <s v="ACC01"/>
    <x v="121"/>
    <d v="2025-11-14T16:02:09"/>
    <x v="2"/>
    <x v="2"/>
    <n v="218134842"/>
    <s v="GOVER"/>
    <s v="Maurício  Fabiano Kruger"/>
    <s v="ALEXANDRE DA CONCEIÇÃO ALVES"/>
    <s v="ALEXANDRE DA CONCEIÇÃO ALVES"/>
    <d v="2025-11-14T19:00:00"/>
    <n v="4628174"/>
    <s v="-"/>
    <s v="OFF LINE"/>
    <s v="Cartão de crédito"/>
    <s v="Cartão de crédito"/>
    <x v="1"/>
    <s v="N"/>
    <x v="23"/>
    <s v="Santista Textil Americana"/>
    <s v="-"/>
    <s v="Ibis Americana"/>
    <s v="-"/>
    <x v="11"/>
    <s v="-"/>
    <x v="106"/>
    <n v="137.55"/>
    <n v="0"/>
    <n v="0"/>
    <n v="0"/>
    <n v="0"/>
    <n v="0"/>
    <s v="Reserva importada do sistema Gover. Id: 4628174"/>
    <s v="Canal de venda não preenchido! (ACC01)"/>
    <x v="0"/>
    <x v="9"/>
    <s v="Falta de informação Gerencial"/>
    <x v="0"/>
    <s v="Qualidade dos dados"/>
    <s v="KONTIK BUSINESS TRAVEL"/>
    <x v="3"/>
  </r>
  <r>
    <n v="23325720"/>
    <n v="24055218"/>
    <s v="ACC01"/>
    <x v="122"/>
    <d v="2025-11-14T16:02:10"/>
    <x v="2"/>
    <x v="2"/>
    <n v="218134842"/>
    <s v="GOVER"/>
    <s v="Maurício  Fabiano Kruger"/>
    <s v="ALEXANDRE DA CONCEIÇÃO ALVES"/>
    <s v="ALEXANDRE DA CONCEIÇÃO ALVES"/>
    <d v="2025-11-14T19:00:00"/>
    <n v="4628176"/>
    <s v="-"/>
    <s v="OFF LINE"/>
    <s v="Cartão de crédito"/>
    <s v="Cartão de crédito"/>
    <x v="1"/>
    <s v="N"/>
    <x v="23"/>
    <s v="Santista Textil Americana"/>
    <s v="-"/>
    <s v="Ibis Americana"/>
    <s v="-"/>
    <x v="11"/>
    <s v="-"/>
    <x v="107"/>
    <n v="209"/>
    <n v="0"/>
    <n v="0"/>
    <n v="0"/>
    <n v="0"/>
    <n v="0"/>
    <s v="Reserva importada do sistema Gover. Id: 4628176"/>
    <s v="Canal de venda não preenchido! (ACC01)"/>
    <x v="0"/>
    <x v="9"/>
    <s v="Falta de informação Gerencial"/>
    <x v="0"/>
    <s v="Qualidade dos dados"/>
    <s v="KONTIK BUSINESS TRAVEL"/>
    <x v="3"/>
  </r>
  <r>
    <n v="23295473"/>
    <n v="24026323"/>
    <s v="ACC01"/>
    <x v="123"/>
    <d v="2025-11-10T14:55:25"/>
    <x v="2"/>
    <x v="2"/>
    <s v="SPDL5K    "/>
    <s v="MANUAL"/>
    <s v="RAFAEL MORETTI ROHRER"/>
    <s v="Juliana Cardoso"/>
    <s v="Juliana Cardoso"/>
    <d v="2025-11-07T14:50:00"/>
    <s v="-"/>
    <s v="-"/>
    <s v="OFF LINE"/>
    <s v="Cartão de crédito"/>
    <s v="Cartão de crédito"/>
    <x v="0"/>
    <s v="N"/>
    <x v="24"/>
    <s v="Aceflex do Nordeste Contentores Flexiveis Ltda"/>
    <s v="-"/>
    <s v="Azul Linhas Aereas"/>
    <n v="3024026322"/>
    <x v="7"/>
    <s v="-"/>
    <x v="108"/>
    <n v="84.66"/>
    <n v="0"/>
    <n v="0"/>
    <n v="0"/>
    <n v="0"/>
    <n v="402.18"/>
    <s v="-"/>
    <s v="35Ocorreu a seguinte exceção ao gerar a ordem de venda: Ocorreu a seguinte exceção ao inserir o item da ordem de venda:  Faltou informar rateio de "/>
    <x v="3"/>
    <x v="3"/>
    <s v="Rateio de centro de custo/projeto"/>
    <x v="1"/>
    <s v="Qualidade dos dados"/>
    <s v="KONTRIP VIAGENS"/>
    <x v="5"/>
  </r>
  <r>
    <n v="23295473"/>
    <n v="24026336"/>
    <s v="ACC02"/>
    <x v="123"/>
    <d v="2025-11-10T14:55:25"/>
    <x v="2"/>
    <x v="2"/>
    <s v="SPDL5K    "/>
    <s v="MANUAL"/>
    <s v="RODRIGO AUGUSTO RISSO DE CASTRO"/>
    <s v="Juliana Cardoso"/>
    <s v="Juliana Cardoso"/>
    <d v="2025-11-07T14:50:00"/>
    <s v="-"/>
    <s v="-"/>
    <s v="OFF LINE"/>
    <s v="Cartão de crédito"/>
    <s v="Cartão de crédito"/>
    <x v="0"/>
    <s v="N"/>
    <x v="24"/>
    <s v="Aceflex do Nordeste Contentores Flexiveis Ltda"/>
    <s v="-"/>
    <s v="Azul Linhas Aereas"/>
    <n v="3024026340"/>
    <x v="7"/>
    <s v="-"/>
    <x v="108"/>
    <n v="84.66"/>
    <n v="0"/>
    <n v="0"/>
    <n v="0"/>
    <n v="0"/>
    <n v="0"/>
    <s v="-"/>
    <s v="35Ocorreu a seguinte exceção ao gerar a ordem de venda: Ocorreu a seguinte exceção ao inserir o item da ordem de venda:  Faltou informar rateio de "/>
    <x v="3"/>
    <x v="3"/>
    <s v="Rateio de centro de custo/projeto"/>
    <x v="1"/>
    <s v="Qualidade dos dados"/>
    <s v="KONTRIP VIAGENS"/>
    <x v="5"/>
  </r>
  <r>
    <n v="23295473"/>
    <n v="24026346"/>
    <s v="ACC03"/>
    <x v="123"/>
    <d v="2025-11-10T14:55:25"/>
    <x v="2"/>
    <x v="2"/>
    <s v="SPDL5K    "/>
    <s v="MANUAL"/>
    <s v="FELIPE GUSTAVO RIZZI"/>
    <s v="Juliana Cardoso"/>
    <s v="Juliana Cardoso"/>
    <d v="2025-11-07T14:50:00"/>
    <s v="-"/>
    <s v="-"/>
    <s v="OFF LINE"/>
    <s v="Cartão de crédito"/>
    <s v="Cartão de crédito"/>
    <x v="0"/>
    <s v="N"/>
    <x v="24"/>
    <s v="Aceflex do Nordeste Contentores Flexiveis Ltda"/>
    <s v="-"/>
    <s v="Azul Linhas Aereas"/>
    <n v="3024026349"/>
    <x v="7"/>
    <s v="-"/>
    <x v="108"/>
    <n v="84.66"/>
    <n v="0"/>
    <n v="0"/>
    <n v="0"/>
    <n v="0"/>
    <n v="0"/>
    <s v="-"/>
    <s v="35Ocorreu a seguinte exceção ao gerar a ordem de venda: Ocorreu a seguinte exceção ao inserir o item da ordem de venda:  Faltou informar rateio de "/>
    <x v="3"/>
    <x v="3"/>
    <s v="Rateio de centro de custo/projeto"/>
    <x v="1"/>
    <s v="Qualidade dos dados"/>
    <s v="KONTRIP VIAGENS"/>
    <x v="5"/>
  </r>
  <r>
    <n v="23364854"/>
    <n v="24090891"/>
    <s v="ACC01"/>
    <x v="124"/>
    <d v="2025-11-21T10:15:34"/>
    <x v="3"/>
    <x v="3"/>
    <s v="5UKVXM"/>
    <s v="MANUAL"/>
    <s v="HENRIQUE OCTAVIO SOARES"/>
    <s v="Juliana Cardoso"/>
    <s v="Juliana Cardoso"/>
    <d v="2025-11-19T10:09:00"/>
    <s v="-"/>
    <s v="-"/>
    <s v="OFF LINE"/>
    <s v="Invoice"/>
    <s v="Cartão convênio"/>
    <x v="0"/>
    <s v="N"/>
    <x v="24"/>
    <s v="Berkan"/>
    <s v="-"/>
    <s v="Azul Linhas Aereas"/>
    <n v="3024090890"/>
    <x v="7"/>
    <s v="-"/>
    <x v="109"/>
    <n v="46.72"/>
    <n v="0"/>
    <n v="0"/>
    <n v="0"/>
    <n v="0"/>
    <n v="204.46"/>
    <s v="-"/>
    <s v="36Faltou informar rateio de centro de custo/projeto abaixo da accounting"/>
    <x v="3"/>
    <x v="3"/>
    <s v="Rateio de centro de custo/projeto"/>
    <x v="1"/>
    <s v="Qualidade dos dados"/>
    <s v="KONTRIP VIAGENS"/>
    <x v="5"/>
  </r>
  <r>
    <n v="23364854"/>
    <n v="24090898"/>
    <s v="ACC02"/>
    <x v="124"/>
    <d v="2025-11-21T10:15:34"/>
    <x v="3"/>
    <x v="3"/>
    <s v="5UKVXM"/>
    <s v="MANUAL"/>
    <s v="ARTHUR HENRIQUE WEISE OLIVEIRA"/>
    <s v="Juliana Cardoso"/>
    <s v="Juliana Cardoso"/>
    <d v="2025-11-19T10:09:00"/>
    <s v="-"/>
    <s v="-"/>
    <s v="OFF LINE"/>
    <s v="Invoice"/>
    <s v="Cartão convênio"/>
    <x v="0"/>
    <s v="N"/>
    <x v="24"/>
    <s v="Berkan"/>
    <s v="-"/>
    <s v="Azul Linhas Aereas"/>
    <n v="3024090899"/>
    <x v="7"/>
    <s v="-"/>
    <x v="109"/>
    <n v="46.72"/>
    <n v="0"/>
    <n v="0"/>
    <n v="0"/>
    <n v="0"/>
    <n v="0"/>
    <s v="-"/>
    <s v="36Faltou informar rateio de centro de custo/projeto abaixo da accounting"/>
    <x v="3"/>
    <x v="3"/>
    <s v="Rateio de centro de custo/projeto"/>
    <x v="1"/>
    <s v="Qualidade dos dados"/>
    <s v="KONTRIP VIAGENS"/>
    <x v="5"/>
  </r>
  <r>
    <n v="23365658"/>
    <n v="24091682"/>
    <s v="ACC01"/>
    <x v="125"/>
    <d v="2025-11-21T12:45:49"/>
    <x v="3"/>
    <x v="3"/>
    <s v="THVE4S"/>
    <s v="MANUAL"/>
    <s v="EVANILDO FELIX DE SOUSA"/>
    <s v="Juliana Cardoso"/>
    <s v="Juliana Cardoso"/>
    <d v="2025-11-19T12:39:00"/>
    <s v="-"/>
    <s v="-"/>
    <s v="OFF LINE"/>
    <s v="Cartão de crédito"/>
    <s v="Cartão de crédito"/>
    <x v="0"/>
    <s v="N"/>
    <x v="24"/>
    <s v="Kontrip - Vendas Cartao de Credito"/>
    <s v="-"/>
    <s v="Azul Linhas Aereas"/>
    <n v="3024091681"/>
    <x v="7"/>
    <s v="-"/>
    <x v="110"/>
    <n v="80.83"/>
    <n v="0"/>
    <n v="0"/>
    <n v="0"/>
    <n v="0"/>
    <n v="207.32"/>
    <s v="-"/>
    <s v="35Ocorreu a seguinte exceção ao gerar a ordem de venda: Ocorreu a seguinte exceção ao inserir o item da ordem de venda:  Faltou informar rateio de "/>
    <x v="3"/>
    <x v="3"/>
    <s v="Rateio de centro de custo/projeto"/>
    <x v="1"/>
    <s v="Qualidade dos dados"/>
    <s v="KONTRIP VIAGENS"/>
    <x v="5"/>
  </r>
  <r>
    <n v="23365658"/>
    <n v="24091690"/>
    <s v="ACC02"/>
    <x v="125"/>
    <d v="2025-11-21T12:45:49"/>
    <x v="3"/>
    <x v="3"/>
    <s v="THVE4S"/>
    <s v="MANUAL"/>
    <s v="JOAO PEDRO GARCIA DE OLIVEIRA"/>
    <s v="Juliana Cardoso"/>
    <s v="Juliana Cardoso"/>
    <d v="2025-11-19T12:39:00"/>
    <s v="-"/>
    <s v="-"/>
    <s v="OFF LINE"/>
    <s v="Cartão de crédito"/>
    <s v="Cartão de crédito"/>
    <x v="0"/>
    <s v="N"/>
    <x v="24"/>
    <s v="Kontrip - Vendas Cartao de Credito"/>
    <s v="-"/>
    <s v="Azul Linhas Aereas"/>
    <n v="3024091697"/>
    <x v="7"/>
    <s v="-"/>
    <x v="110"/>
    <n v="80.83"/>
    <n v="0"/>
    <n v="0"/>
    <n v="0"/>
    <n v="0"/>
    <n v="0"/>
    <s v="-"/>
    <s v="35Ocorreu a seguinte exceção ao gerar a ordem de venda: Ocorreu a seguinte exceção ao inserir o item da ordem de venda:  Faltou informar rateio de "/>
    <x v="3"/>
    <x v="3"/>
    <s v="Rateio de centro de custo/projeto"/>
    <x v="1"/>
    <s v="Qualidade dos dados"/>
    <s v="KONTRIP VIAGENS"/>
    <x v="5"/>
  </r>
  <r>
    <n v="23366691"/>
    <n v="24092867"/>
    <s v="ACC01"/>
    <x v="126"/>
    <d v="2025-11-21T16:05:12"/>
    <x v="3"/>
    <x v="3"/>
    <s v="ESRENQ"/>
    <s v="MANUAL"/>
    <s v="GUSTAVO DE OLIVEIRA PINTO"/>
    <s v="Juliana Cardoso"/>
    <s v="Juliana Cardoso"/>
    <d v="2025-03-10T15:52:00"/>
    <s v="-"/>
    <s v="-"/>
    <s v="OFF LINE"/>
    <s v="Invoice"/>
    <s v="Cartão convênio"/>
    <x v="0"/>
    <s v="N"/>
    <x v="24"/>
    <s v="Smart Electric Engenharia e Sistemas Ltda"/>
    <s v="-"/>
    <s v="Gol Linhas Aereas"/>
    <n v="2133181079"/>
    <x v="7"/>
    <s v="-"/>
    <x v="111"/>
    <n v="0"/>
    <n v="0"/>
    <n v="0"/>
    <n v="0"/>
    <n v="0"/>
    <n v="0"/>
    <s v="-"/>
    <s v="Validação do documento: Documento está dentro de um período financeiro já fechado!"/>
    <x v="3"/>
    <x v="5"/>
    <s v="Análise Benner"/>
    <x v="2"/>
    <s v="Qualidade dos dados"/>
    <s v="KONTRIP VIAGENS"/>
    <x v="5"/>
  </r>
  <r>
    <n v="23368281"/>
    <n v="24094259"/>
    <s v="ACC01"/>
    <x v="127"/>
    <d v="2025-11-21T20:37:02"/>
    <x v="3"/>
    <x v="3"/>
    <s v="MSYNSE"/>
    <s v="EBOOKING"/>
    <s v="Moreira Dos Santos/Vinicius"/>
    <s v="Kontrip"/>
    <s v="Kontrip"/>
    <d v="2025-11-21T08:07:00"/>
    <s v="-"/>
    <s v="-"/>
    <s v="OFF LINE"/>
    <s v="Cartão de crédito"/>
    <s v="Cartão de crédito"/>
    <x v="0"/>
    <s v="N"/>
    <x v="24"/>
    <s v="Kontrip - Vendas Cartao de Credito"/>
    <s v="-"/>
    <s v="Azul Linhas Aereas"/>
    <n v="530562902"/>
    <x v="7"/>
    <s v="-"/>
    <x v="112"/>
    <n v="33.64"/>
    <n v="0"/>
    <n v="0"/>
    <n v="0"/>
    <n v="0"/>
    <n v="23.43"/>
    <s v="obs"/>
    <s v="Não foi possível encontrar configuração válida para Administradora de código 1 e Data Emissão 21/11/2025"/>
    <x v="3"/>
    <x v="5"/>
    <s v="Análise Benner"/>
    <x v="2"/>
    <s v="Qualidade dos dados"/>
    <s v="KONTRIP VIAGENS"/>
    <x v="5"/>
  </r>
  <r>
    <n v="23367558"/>
    <n v="24093556"/>
    <s v="ACC01"/>
    <x v="128"/>
    <d v="2025-11-21T17:28:01"/>
    <x v="3"/>
    <x v="3"/>
    <s v="FIWPMH"/>
    <s v="EBOOKING"/>
    <s v="TORQUATO LOPES DA SILVA/SELHO"/>
    <s v="Kontrip"/>
    <s v="Kontrip"/>
    <d v="2025-11-19T04:22:00"/>
    <s v="-"/>
    <s v="-"/>
    <s v="OFF LINE"/>
    <s v="Cartão de crédito"/>
    <s v="Cartão de crédito"/>
    <x v="0"/>
    <s v="N"/>
    <x v="24"/>
    <s v="Mopar Engenharia"/>
    <s v="-"/>
    <s v="Gol Linhas Aereas"/>
    <n v="2149973428"/>
    <x v="7"/>
    <s v="-"/>
    <x v="113"/>
    <n v="109.6"/>
    <n v="0"/>
    <n v="0"/>
    <n v="0"/>
    <n v="0"/>
    <n v="157.32"/>
    <s v="obs"/>
    <s v="Não foi possível encontrar configuração válida para Administradora de código 1 e Data Emissão 19/11/2025"/>
    <x v="3"/>
    <x v="5"/>
    <s v="Análise Benner"/>
    <x v="2"/>
    <s v="Qualidade dos dados"/>
    <s v="KONTRIP VIAGENS"/>
    <x v="5"/>
  </r>
  <r>
    <n v="23281044"/>
    <n v="24013228"/>
    <s v="ACC01"/>
    <x v="129"/>
    <d v="2025-11-17T11:30:38"/>
    <x v="0"/>
    <x v="1"/>
    <s v="JRWMOT"/>
    <s v="SABRE"/>
    <s v="ANJO/CRISTIANO GIRALDES SANTO"/>
    <s v="Itamar de Souza"/>
    <s v="WS"/>
    <d v="2025-11-06T00:00:00"/>
    <s v="JRWMOT"/>
    <s v="-"/>
    <s v="ON LINE"/>
    <s v="?"/>
    <s v="TKT"/>
    <x v="0"/>
    <s v="N"/>
    <x v="25"/>
    <s v="Elanco - Morumbi"/>
    <s v="-"/>
    <s v="Latam Airlines Brasil"/>
    <n v="5580558176"/>
    <x v="13"/>
    <s v="-"/>
    <x v="0"/>
    <n v="0"/>
    <n v="346.5"/>
    <n v="0"/>
    <n v="0"/>
    <n v="0"/>
    <n v="0"/>
    <s v="Reserva importada por HubTravel"/>
    <s v="Este cliente não possui permissão para usar este tipo de pagamento e recebimento para este produto."/>
    <x v="4"/>
    <x v="13"/>
    <s v="Forma PG. e REC."/>
    <x v="0"/>
    <s v="Qualidade dos dados"/>
    <s v="GRUPO KONTIK"/>
    <x v="0"/>
  </r>
  <r>
    <n v="23316551"/>
    <n v="24046212"/>
    <s v="ACC01"/>
    <x v="130"/>
    <d v="2025-11-13T12:49:54"/>
    <x v="2"/>
    <x v="2"/>
    <s v="SHRJWVT"/>
    <s v="SABRE"/>
    <s v="DOURADO/JOANNA"/>
    <s v="WS"/>
    <s v="WS"/>
    <d v="2025-11-13T07:44:00"/>
    <s v="SHRJWV"/>
    <s v="-"/>
    <s v="ON LINE"/>
    <s v="Cartão de crédito"/>
    <s v="Cartão de crédito"/>
    <x v="1"/>
    <s v="N"/>
    <x v="25"/>
    <s v="Elanco - Morumbi"/>
    <s v="-"/>
    <s v="-"/>
    <s v="-"/>
    <x v="13"/>
    <s v="-"/>
    <x v="114"/>
    <n v="43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08736"/>
    <n v="24039008"/>
    <s v="ACC01"/>
    <x v="131"/>
    <d v="2025-11-12T09:25:39"/>
    <x v="2"/>
    <x v="2"/>
    <s v="JYKWVQT"/>
    <s v="SABRE"/>
    <s v="EMERICH/EDUARDO FERRARI MR"/>
    <s v="WS"/>
    <s v="WS"/>
    <d v="2025-11-12T05:42:00"/>
    <s v="JYKWVQ"/>
    <s v="-"/>
    <s v="ON LINE"/>
    <s v="Cartão de crédito"/>
    <s v="Cartão de crédito"/>
    <x v="1"/>
    <s v="N"/>
    <x v="25"/>
    <s v="Elanco - Morumbi"/>
    <s v="-"/>
    <s v="-"/>
    <s v="-"/>
    <x v="13"/>
    <s v="-"/>
    <x v="115"/>
    <n v="36.21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09353"/>
    <n v="24039628"/>
    <s v="ACC01"/>
    <x v="132"/>
    <d v="2025-11-12T11:26:26"/>
    <x v="2"/>
    <x v="2"/>
    <s v="GYMMNWC"/>
    <s v="SABRE"/>
    <s v="EMERICH/EDUARDO FERRARI MR"/>
    <s v="WS"/>
    <s v="WS"/>
    <d v="2025-11-12T07:31:00"/>
    <s v="GYMMNW"/>
    <s v="MCI"/>
    <s v="ON LINE"/>
    <s v="Invoice"/>
    <s v="Faturado"/>
    <x v="2"/>
    <s v="N"/>
    <x v="25"/>
    <s v="Elanco - Morumbi"/>
    <s v="-"/>
    <s v="-"/>
    <s v="-"/>
    <x v="13"/>
    <s v="-"/>
    <x v="11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222311"/>
    <n v="23957300"/>
    <s v="ACC01"/>
    <x v="133"/>
    <d v="2025-10-30T10:01:32"/>
    <x v="5"/>
    <x v="6"/>
    <s v="QOMJYZC"/>
    <s v="SABRE"/>
    <s v="VALARELLI/RODRIGO LECHUGO"/>
    <s v="WS"/>
    <s v="WS"/>
    <d v="2025-10-29T17:48:00"/>
    <s v="QOMJYZ"/>
    <s v="BZN"/>
    <s v="ON LINE"/>
    <s v="Invoice"/>
    <s v="Faturado"/>
    <x v="2"/>
    <s v="N"/>
    <x v="25"/>
    <s v="Elanco - Morumbi"/>
    <s v="-"/>
    <s v="-"/>
    <s v="-"/>
    <x v="13"/>
    <s v="-"/>
    <x v="117"/>
    <n v="98.89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157789"/>
    <n v="23901852"/>
    <s v="ACC01"/>
    <x v="134"/>
    <d v="2025-10-21T15:08:19"/>
    <x v="6"/>
    <x v="5"/>
    <s v="WYTKJHT"/>
    <s v="SABRE"/>
    <s v="VALARELLI/RODRIGO LECHUGO"/>
    <s v="WS"/>
    <s v="WS"/>
    <d v="2025-10-21T09:09:00"/>
    <s v="WYTKJH"/>
    <s v="-"/>
    <s v="ON LINE"/>
    <s v="Cartão de crédito"/>
    <s v="Cartão de crédito"/>
    <x v="1"/>
    <s v="N"/>
    <x v="25"/>
    <s v="Elanco - Morumbi"/>
    <s v="-"/>
    <s v="-"/>
    <s v="-"/>
    <x v="13"/>
    <s v="-"/>
    <x v="118"/>
    <n v="70.48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252798"/>
    <n v="23985459"/>
    <s v="ACC01"/>
    <x v="135"/>
    <d v="2025-11-04T09:12:40"/>
    <x v="1"/>
    <x v="1"/>
    <s v="GMKZKJT"/>
    <s v="SABRE"/>
    <s v="VALARELLI/RODRIGO LECHUGO"/>
    <s v="WS"/>
    <s v="WS"/>
    <d v="2025-11-03T20:22:00"/>
    <s v="GMKZKJ"/>
    <s v="-"/>
    <s v="ON LINE"/>
    <s v="Cartão de crédito"/>
    <s v="Cartão de crédito"/>
    <x v="1"/>
    <s v="N"/>
    <x v="25"/>
    <s v="Elanco - Morumbi"/>
    <s v="-"/>
    <s v="-"/>
    <s v="-"/>
    <x v="13"/>
    <s v="-"/>
    <x v="119"/>
    <n v="18.16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268877"/>
    <n v="24001029"/>
    <s v="ACC01"/>
    <x v="136"/>
    <d v="2025-11-06T08:55:30"/>
    <x v="1"/>
    <x v="1"/>
    <s v="DKQKGDT"/>
    <s v="SABRE"/>
    <s v="VALARELLI/RODRIGO LECHUGO"/>
    <s v="WS"/>
    <s v="WS"/>
    <d v="2025-11-05T21:48:00"/>
    <s v="DKQKGD"/>
    <s v="-"/>
    <s v="ON LINE"/>
    <s v="Cartão de crédito"/>
    <s v="Cartão de crédito"/>
    <x v="1"/>
    <s v="N"/>
    <x v="25"/>
    <s v="Elanco - Morumbi"/>
    <s v="-"/>
    <s v="-"/>
    <s v="-"/>
    <x v="13"/>
    <s v="-"/>
    <x v="120"/>
    <n v="29.48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249504"/>
    <n v="23982535"/>
    <s v="ACC01"/>
    <x v="137"/>
    <d v="2025-11-03T19:54:13"/>
    <x v="1"/>
    <x v="1"/>
    <s v="LXKHEET"/>
    <s v="SABRE"/>
    <s v="WAQUIL/VANESSA ALVES"/>
    <s v="WS"/>
    <s v="WS"/>
    <d v="2025-11-03T09:59:00"/>
    <s v="LXKHEE"/>
    <s v="-"/>
    <s v="ON LINE"/>
    <s v="Cartão de crédito"/>
    <s v="Cartão de crédito"/>
    <x v="1"/>
    <s v="N"/>
    <x v="25"/>
    <s v="Elanco - Morumbi"/>
    <s v="-"/>
    <s v="-"/>
    <s v="-"/>
    <x v="13"/>
    <s v="-"/>
    <x v="121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249504"/>
    <n v="23982536"/>
    <s v="ACC02"/>
    <x v="137"/>
    <d v="2025-11-03T19:54:13"/>
    <x v="1"/>
    <x v="1"/>
    <s v="LXKHEET"/>
    <s v="SABRE"/>
    <s v="WAQUIL/VANESSA ALVES"/>
    <s v="WS"/>
    <s v="WS"/>
    <d v="2025-11-03T09:59:00"/>
    <s v="LXKHEE"/>
    <s v="-"/>
    <s v="ON LINE"/>
    <s v="Cartão de crédito"/>
    <s v="Cartão de crédito"/>
    <x v="1"/>
    <s v="N"/>
    <x v="25"/>
    <s v="Elanco - Morumbi"/>
    <s v="-"/>
    <s v="-"/>
    <s v="-"/>
    <x v="13"/>
    <s v="-"/>
    <x v="122"/>
    <n v="15.91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24328"/>
    <n v="24053803"/>
    <s v="ACC01"/>
    <x v="138"/>
    <d v="2025-11-14T13:21:50"/>
    <x v="2"/>
    <x v="2"/>
    <s v="5T7PLE"/>
    <s v="TMS"/>
    <s v="FELIPE WAKAMI"/>
    <s v="Viviane Novaes Araujo"/>
    <s v="Viviane Novaes Araujo"/>
    <d v="2025-11-14T11:17:00"/>
    <n v="246631"/>
    <s v="-"/>
    <s v="OFF LINE"/>
    <s v="Cartão de crédito"/>
    <s v="Cartão de crédito"/>
    <x v="1"/>
    <s v="N"/>
    <x v="26"/>
    <s v="Kpmg Consultoria"/>
    <s v="-"/>
    <s v="-"/>
    <s v="-"/>
    <x v="21"/>
    <s v="-"/>
    <x v="123"/>
    <n v="0"/>
    <n v="0"/>
    <n v="0"/>
    <n v="0"/>
    <n v="239.75"/>
    <n v="0"/>
    <s v="Reserva importada do Sistema TMS. OS: 246631"/>
    <s v="Fornecedor não preenchido! (ACC01)"/>
    <x v="5"/>
    <x v="1"/>
    <s v="Campo Fornecedor"/>
    <x v="0"/>
    <s v="Qualidade dos dados"/>
    <s v="KONTIK BUSINESS TRAVEL"/>
    <x v="2"/>
  </r>
  <r>
    <n v="23309843"/>
    <n v="24040141"/>
    <s v="ACC01"/>
    <x v="139"/>
    <d v="2025-11-12T12:50:43"/>
    <x v="2"/>
    <x v="2"/>
    <s v="5TFZOB"/>
    <s v="TMS"/>
    <s v="TAMARA AZEVEDO"/>
    <s v="Viviane Novaes Araujo"/>
    <s v="Viviane Novaes Araujo"/>
    <d v="2025-11-12T08:06:00"/>
    <n v="245708"/>
    <s v="-"/>
    <s v="OFF LINE"/>
    <s v="Cartão de crédito"/>
    <s v="Cartão de crédito"/>
    <x v="1"/>
    <s v="N"/>
    <x v="26"/>
    <s v="Kpmg"/>
    <s v="-"/>
    <s v="-"/>
    <s v="-"/>
    <x v="21"/>
    <s v="-"/>
    <x v="124"/>
    <n v="0"/>
    <n v="0"/>
    <n v="0"/>
    <n v="0"/>
    <n v="0"/>
    <n v="0"/>
    <s v="Reserva importada do Sistema TMS. OS: 245708"/>
    <s v="Fornecedor não preenchido! (ACC01)"/>
    <x v="5"/>
    <x v="1"/>
    <s v="Campo Fornecedor"/>
    <x v="0"/>
    <s v="Qualidade dos dados"/>
    <s v="KONTIK BUSINESS TRAVEL"/>
    <x v="2"/>
  </r>
  <r>
    <n v="23304665"/>
    <n v="24035315"/>
    <s v="ACC01"/>
    <x v="140"/>
    <d v="2025-11-11T18:37:16"/>
    <x v="2"/>
    <x v="2"/>
    <s v="5RLBNO"/>
    <s v="TMS"/>
    <s v="FABIAN SOUSA"/>
    <s v="Viviane Novaes Araujo"/>
    <s v="Viviane Novaes Araujo"/>
    <d v="2025-11-11T17:41:00"/>
    <n v="245710"/>
    <s v="-"/>
    <s v="OFF LINE"/>
    <s v="Cartão de crédito"/>
    <s v="Cartão de crédito"/>
    <x v="1"/>
    <s v="N"/>
    <x v="26"/>
    <s v="Kpmg"/>
    <s v="-"/>
    <s v="-"/>
    <s v="-"/>
    <x v="21"/>
    <s v="-"/>
    <x v="125"/>
    <n v="0"/>
    <n v="0"/>
    <n v="0"/>
    <n v="0"/>
    <n v="0"/>
    <n v="0"/>
    <s v="Reserva importada do Sistema TMS. OS: 245710"/>
    <s v="Fornecedor não preenchido! (ACC01)"/>
    <x v="5"/>
    <x v="1"/>
    <s v="Campo Fornecedor"/>
    <x v="0"/>
    <s v="Qualidade dos dados"/>
    <s v="KONTIK BUSINESS TRAVEL"/>
    <x v="2"/>
  </r>
  <r>
    <n v="23304672"/>
    <n v="24035319"/>
    <s v="ACC01"/>
    <x v="141"/>
    <d v="2025-11-11T18:37:31"/>
    <x v="2"/>
    <x v="2"/>
    <s v="5RZQ9O"/>
    <s v="TMS"/>
    <s v="RICARDO RIBEIRO"/>
    <s v="Viviane Novaes Araujo"/>
    <s v="Viviane Novaes Araujo"/>
    <d v="2025-11-11T17:45:00"/>
    <n v="245709"/>
    <s v="-"/>
    <s v="OFF LINE"/>
    <s v="Cartão de crédito"/>
    <s v="Cartão de crédito"/>
    <x v="1"/>
    <s v="N"/>
    <x v="26"/>
    <s v="Kpmg"/>
    <s v="-"/>
    <s v="-"/>
    <s v="-"/>
    <x v="21"/>
    <s v="-"/>
    <x v="125"/>
    <n v="0"/>
    <n v="0"/>
    <n v="0"/>
    <n v="0"/>
    <n v="0"/>
    <n v="0"/>
    <s v="Reserva importada do Sistema TMS. OS: 245709"/>
    <s v="Fornecedor não preenchido! (ACC01)"/>
    <x v="5"/>
    <x v="1"/>
    <s v="Campo Fornecedor"/>
    <x v="0"/>
    <s v="Qualidade dos dados"/>
    <s v="KONTIK BUSINESS TRAVEL"/>
    <x v="2"/>
  </r>
  <r>
    <n v="23258431"/>
    <n v="23991214"/>
    <s v="ACC01"/>
    <x v="142"/>
    <d v="2025-11-04T22:21:09"/>
    <x v="1"/>
    <x v="1"/>
    <s v="5RF5ZS"/>
    <s v="TMS"/>
    <s v="RICARDO FILHO"/>
    <s v="Viviane Novaes Araujo"/>
    <s v="Viviane Novaes Araujo"/>
    <d v="2025-11-04T17:19:00"/>
    <n v="243800"/>
    <s v="San Francisco / CA, Estados Unidos - San Francisco International Airport (SFO)"/>
    <s v="OFF LINE"/>
    <s v="Invoice"/>
    <s v="Faturado"/>
    <x v="2"/>
    <s v="N"/>
    <x v="26"/>
    <s v="Kpmg Consultoria"/>
    <s v="-"/>
    <s v="-"/>
    <s v="-"/>
    <x v="21"/>
    <s v="-"/>
    <x v="126"/>
    <n v="0"/>
    <n v="0"/>
    <n v="0"/>
    <n v="0"/>
    <n v="0"/>
    <n v="0"/>
    <s v="Reserva importada do Sistema TMS. OS: 243800"/>
    <s v="Fornecedor não preenchido! (ACC01)"/>
    <x v="5"/>
    <x v="1"/>
    <s v="Campo Fornecedor"/>
    <x v="0"/>
    <s v="Qualidade dos dados"/>
    <s v="KONTIK BUSINESS TRAVEL"/>
    <x v="3"/>
  </r>
  <r>
    <n v="23180366"/>
    <n v="23918648"/>
    <s v="ACC01"/>
    <x v="143"/>
    <d v="2025-10-23T18:31:01"/>
    <x v="6"/>
    <x v="5"/>
    <s v="5P56LI"/>
    <s v="TMS"/>
    <s v="BERNARDO NETO"/>
    <s v="Viviane Novaes Araujo"/>
    <s v="Viviane Novaes Araujo"/>
    <d v="2025-10-23T13:07:00"/>
    <n v="240862"/>
    <s v="-"/>
    <s v="OFF LINE"/>
    <s v="Invoice"/>
    <s v="Faturado"/>
    <x v="3"/>
    <s v="N"/>
    <x v="26"/>
    <s v="Kpmg"/>
    <s v="-"/>
    <s v="-"/>
    <s v="-"/>
    <x v="21"/>
    <s v="-"/>
    <x v="127"/>
    <n v="0"/>
    <n v="0"/>
    <n v="0"/>
    <n v="0"/>
    <n v="0"/>
    <n v="0"/>
    <s v="Reserva importada do Sistema TMS. OS: 240862"/>
    <s v="Fornecedor não preenchido! (ACC01)"/>
    <x v="5"/>
    <x v="1"/>
    <s v="Campo Fornecedor"/>
    <x v="0"/>
    <s v="Qualidade dos dados"/>
    <s v="KONTIK BUSINESS TRAVEL"/>
    <x v="2"/>
  </r>
  <r>
    <n v="23255424"/>
    <n v="23988076"/>
    <s v="ACC01"/>
    <x v="144"/>
    <d v="2025-11-04T16:26:07"/>
    <x v="1"/>
    <x v="1"/>
    <s v="5R46V1"/>
    <s v="TMS"/>
    <s v="JAMES JACKSON"/>
    <s v="Viviane Novaes Araujo"/>
    <s v="Viviane Novaes Araujo"/>
    <d v="2025-11-04T13:48:00"/>
    <n v="242891"/>
    <s v="-"/>
    <s v="OFF LINE"/>
    <s v="Cartão de crédito"/>
    <s v="Cartão de crédito"/>
    <x v="1"/>
    <s v="N"/>
    <x v="26"/>
    <s v="Kpmg Consultoria"/>
    <s v="-"/>
    <s v="-"/>
    <s v="-"/>
    <x v="21"/>
    <s v="-"/>
    <x v="128"/>
    <n v="0"/>
    <n v="0"/>
    <n v="0"/>
    <n v="0"/>
    <n v="172"/>
    <n v="0"/>
    <s v="Reserva importada do Sistema TMS. OS: 242891"/>
    <s v="Fornecedor não preenchido! (ACC01)"/>
    <x v="5"/>
    <x v="1"/>
    <s v="Campo Fornecedor"/>
    <x v="0"/>
    <s v="Qualidade dos dados"/>
    <s v="KONTIK BUSINESS TRAVEL"/>
    <x v="2"/>
  </r>
  <r>
    <n v="23366442"/>
    <n v="24092478"/>
    <s v="ACC01"/>
    <x v="145"/>
    <d v="2025-11-21T16:06:01"/>
    <x v="3"/>
    <x v="3"/>
    <s v="5UAZ6M"/>
    <s v="TMS"/>
    <s v="JOHN DEPMAN"/>
    <s v="Viviane Novaes Araujo"/>
    <s v="Viviane Novaes Araujo"/>
    <d v="2025-11-21T10:06:00"/>
    <n v="247990"/>
    <s v="-"/>
    <s v="OFF LINE"/>
    <s v="Invoice"/>
    <s v="Faturado"/>
    <x v="3"/>
    <s v="N"/>
    <x v="26"/>
    <s v="Kpmg"/>
    <s v="-"/>
    <s v="-"/>
    <s v="-"/>
    <x v="21"/>
    <s v="-"/>
    <x v="129"/>
    <n v="0"/>
    <n v="0"/>
    <n v="0"/>
    <n v="0"/>
    <n v="0"/>
    <n v="0"/>
    <s v="Reserva importada do Sistema TMS. OS: 247990"/>
    <s v="Fornecedor não preenchido! (ACC01)"/>
    <x v="5"/>
    <x v="1"/>
    <s v="Campo Fornecedor"/>
    <x v="0"/>
    <s v="Qualidade dos dados"/>
    <s v="KONTIK BUSINESS TRAVEL"/>
    <x v="2"/>
  </r>
  <r>
    <n v="23273640"/>
    <n v="24006302"/>
    <s v="ACC01"/>
    <x v="146"/>
    <d v="2025-11-19T13:07:23"/>
    <x v="3"/>
    <x v="1"/>
    <s v="5R6OQT"/>
    <s v="TMS"/>
    <s v="RODRIGO MONTEIRO"/>
    <s v="Valeria Bottino da Silva"/>
    <s v="Valeria Bottino da Silva"/>
    <d v="2025-11-06T16:50:00"/>
    <n v="244439"/>
    <s v="-"/>
    <s v="OFF LINE"/>
    <s v="Cartão de crédito"/>
    <s v="Cartão de crédito"/>
    <x v="1"/>
    <s v="N"/>
    <x v="26"/>
    <s v="Kpmg Consultoria"/>
    <s v="-"/>
    <s v="Hotel Express Confort - Inativo"/>
    <s v="-"/>
    <x v="21"/>
    <s v="-"/>
    <x v="130"/>
    <n v="0"/>
    <n v="0"/>
    <n v="0"/>
    <n v="0"/>
    <n v="0"/>
    <n v="0"/>
    <s v="Reserva importada do Sistema TMS. OS: 244439"/>
    <s v="Não foi possível encontrar um contrato válido para o fornecedor 7907 (Código fornecedor) "/>
    <x v="5"/>
    <x v="14"/>
    <s v="Análise Cadastro"/>
    <x v="0"/>
    <s v="Qualidade dos dados"/>
    <s v="KONTIK BUSINESS TRAVEL"/>
    <x v="2"/>
  </r>
  <r>
    <n v="23282572"/>
    <n v="24014929"/>
    <s v="ACC01"/>
    <x v="147"/>
    <d v="2025-11-07T23:11:59"/>
    <x v="1"/>
    <x v="1"/>
    <s v="5RQQ96"/>
    <s v="TMS"/>
    <s v="ULYSSES PEREIRA"/>
    <s v="Valeria Bottino da Silva"/>
    <s v="Valeria Bottino da Silva"/>
    <d v="2025-11-07T18:15:00"/>
    <n v="244641"/>
    <s v="-"/>
    <s v="OFF LINE"/>
    <s v="Cartão de crédito"/>
    <s v="Cartão de crédito"/>
    <x v="1"/>
    <s v="N"/>
    <x v="26"/>
    <s v="Kpmg Consultoria"/>
    <s v="-"/>
    <s v="-"/>
    <s v="-"/>
    <x v="21"/>
    <s v="-"/>
    <x v="131"/>
    <n v="0"/>
    <n v="0"/>
    <n v="0"/>
    <n v="0"/>
    <n v="0"/>
    <n v="0"/>
    <s v="Reserva importada do Sistema TMS. OS: 244641"/>
    <s v="Fornecedor não preenchido! (ACC01)"/>
    <x v="5"/>
    <x v="1"/>
    <s v="Campo Fornecedor"/>
    <x v="0"/>
    <s v="Qualidade dos dados"/>
    <s v="KONTIK BUSINESS TRAVEL"/>
    <x v="2"/>
  </r>
  <r>
    <n v="23304762"/>
    <n v="24035410"/>
    <s v="ACC01"/>
    <x v="148"/>
    <d v="2025-11-11T18:55:25"/>
    <x v="2"/>
    <x v="2"/>
    <s v="5R27O9"/>
    <s v="TMS"/>
    <s v="ULYSSES PEREIRA"/>
    <s v="Valeria Bottino da Silva"/>
    <s v="Valeria Bottino da Silva"/>
    <d v="2025-11-11T17:08:00"/>
    <n v="245251"/>
    <s v="-"/>
    <s v="OFF LINE"/>
    <s v="Cartão de crédito"/>
    <s v="Cartão de crédito"/>
    <x v="1"/>
    <s v="N"/>
    <x v="26"/>
    <s v="Kpmg Consultoria"/>
    <s v="-"/>
    <s v="-"/>
    <s v="-"/>
    <x v="21"/>
    <s v="-"/>
    <x v="132"/>
    <n v="0"/>
    <n v="0"/>
    <n v="0"/>
    <n v="0"/>
    <n v="0"/>
    <n v="0"/>
    <s v="Reserva importada do Sistema TMS. OS: 245251"/>
    <s v="Fornecedor não preenchido! (ACC01)"/>
    <x v="5"/>
    <x v="1"/>
    <s v="Campo Fornecedor"/>
    <x v="0"/>
    <s v="Qualidade dos dados"/>
    <s v="KONTIK BUSINESS TRAVEL"/>
    <x v="2"/>
  </r>
  <r>
    <n v="23340746"/>
    <n v="24068506"/>
    <s v="ACC01"/>
    <x v="149"/>
    <d v="2025-11-17T16:38:15"/>
    <x v="0"/>
    <x v="0"/>
    <s v="5T8LMY"/>
    <s v="TMS"/>
    <s v="PABLO FERNANDES"/>
    <s v="Valeria Bottino da Silva"/>
    <s v="Valeria Bottino da Silva"/>
    <d v="2025-11-17T14:42:00"/>
    <n v="246374"/>
    <s v="Florianópolis / SC, Brasil (FLN)"/>
    <s v="OFF LINE"/>
    <s v="Invoice"/>
    <s v="Faturado"/>
    <x v="2"/>
    <s v="N"/>
    <x v="26"/>
    <s v="Kpmg Consultoria"/>
    <s v="-"/>
    <s v="Movida - Br - Sc - Florianopolis - Carianos - Box Patio"/>
    <s v="-"/>
    <x v="21"/>
    <s v="-"/>
    <x v="133"/>
    <n v="0"/>
    <n v="1280.15"/>
    <n v="0"/>
    <n v="0"/>
    <n v="0"/>
    <n v="0"/>
    <s v="Reserva importada do Sistema TMS. OS: 246374"/>
    <s v="Fornecedor não preenchido! (ACC01)"/>
    <x v="5"/>
    <x v="1"/>
    <s v="Campo Fornecedor"/>
    <x v="0"/>
    <s v="Qualidade dos dados"/>
    <s v="KONTIK BUSINESS TRAVEL"/>
    <x v="3"/>
  </r>
  <r>
    <n v="23347686"/>
    <n v="24075063"/>
    <s v="ACC01"/>
    <x v="150"/>
    <d v="2025-11-18T14:47:03"/>
    <x v="0"/>
    <x v="0"/>
    <s v="5T6T4J"/>
    <s v="TMS"/>
    <s v="MATHEUS BRITO"/>
    <s v="Valeria Bottino da Silva"/>
    <s v="Valeria Bottino da Silva"/>
    <d v="2025-11-18T11:41:00"/>
    <n v="247503"/>
    <s v="Tangara da Serra / MT, Brasil - Aeroporto Tangará da Serra (TGQ)"/>
    <s v="OFF LINE"/>
    <s v="Invoice"/>
    <s v="Faturado"/>
    <x v="2"/>
    <s v="N"/>
    <x v="26"/>
    <s v="Kpmg"/>
    <s v="-"/>
    <s v="Localiza - Br - Mt - Tangara da Serra - Triangulo"/>
    <s v="-"/>
    <x v="21"/>
    <s v="-"/>
    <x v="134"/>
    <n v="0"/>
    <n v="287.11"/>
    <n v="0"/>
    <n v="0"/>
    <n v="0"/>
    <n v="0"/>
    <s v="Reserva importada do Sistema TMS. OS: 247503"/>
    <s v="Fornecedor não preenchido! (ACC01)"/>
    <x v="5"/>
    <x v="1"/>
    <s v="Campo Fornecedor"/>
    <x v="0"/>
    <s v="Qualidade dos dados"/>
    <s v="KONTIK BUSINESS TRAVEL"/>
    <x v="3"/>
  </r>
  <r>
    <n v="23366446"/>
    <n v="24092482"/>
    <s v="ACC01"/>
    <x v="151"/>
    <d v="2025-11-21T16:06:25"/>
    <x v="3"/>
    <x v="3"/>
    <s v="5UFZ60"/>
    <s v="TMS"/>
    <s v="RODRIGO MONTEIRO"/>
    <s v="Valeria Bottino da Silva"/>
    <s v="Valeria Bottino da Silva"/>
    <d v="2025-11-21T10:18:00"/>
    <n v="247938"/>
    <s v="-"/>
    <s v="OFF LINE"/>
    <s v="Cartão de crédito"/>
    <s v="Cartão de crédito"/>
    <x v="1"/>
    <s v="N"/>
    <x v="26"/>
    <s v="Kpmg Consultoria"/>
    <s v="-"/>
    <s v="-"/>
    <s v="-"/>
    <x v="21"/>
    <s v="-"/>
    <x v="135"/>
    <n v="0"/>
    <n v="0"/>
    <n v="0"/>
    <n v="0"/>
    <n v="0"/>
    <n v="0"/>
    <s v="Reserva importada do Sistema TMS. OS: 247938"/>
    <s v="Fornecedor não preenchido! (ACC01)"/>
    <x v="5"/>
    <x v="1"/>
    <s v="Campo Fornecedor"/>
    <x v="0"/>
    <s v="Qualidade dos dados"/>
    <s v="KONTIK BUSINESS TRAVEL"/>
    <x v="2"/>
  </r>
  <r>
    <n v="23340738"/>
    <n v="24068497"/>
    <s v="ACC01"/>
    <x v="152"/>
    <d v="2025-11-17T16:38:02"/>
    <x v="0"/>
    <x v="0"/>
    <s v="5TQOPH"/>
    <s v="TMS"/>
    <s v="MANUEL SOUSA"/>
    <s v="Donizete Alves de Souza"/>
    <s v="Donizete Alves de Souza"/>
    <d v="2025-11-17T14:56:00"/>
    <n v="247092"/>
    <s v="-"/>
    <s v="OFF LINE"/>
    <s v="Cartão de crédito"/>
    <s v="Cartão de crédito"/>
    <x v="1"/>
    <s v="N"/>
    <x v="26"/>
    <s v="Kpmg Consultoria"/>
    <s v="-"/>
    <s v="-"/>
    <s v="-"/>
    <x v="21"/>
    <s v="-"/>
    <x v="136"/>
    <n v="0"/>
    <n v="0"/>
    <n v="0"/>
    <n v="0"/>
    <n v="0"/>
    <n v="0"/>
    <s v="Reserva importada do Sistema TMS. OS: 247092"/>
    <s v="Fornecedor não preenchido! (ACC01)"/>
    <x v="5"/>
    <x v="1"/>
    <s v="Campo Fornecedor"/>
    <x v="0"/>
    <s v="Qualidade dos dados"/>
    <s v="KONTIK BUSINESS TRAVEL"/>
    <x v="2"/>
  </r>
  <r>
    <n v="23297825"/>
    <n v="24028685"/>
    <s v="ACC01"/>
    <x v="153"/>
    <d v="2025-11-10T20:33:55"/>
    <x v="2"/>
    <x v="2"/>
    <s v="5R8LTK"/>
    <s v="TMS"/>
    <s v="FABRICIO ROYER"/>
    <s v="Donizete Alves de Souza"/>
    <s v="Donizete Alves de Souza"/>
    <d v="2025-11-10T18:46:00"/>
    <n v="245339"/>
    <s v="-"/>
    <s v="OFF LINE"/>
    <s v="Cartão de crédito"/>
    <s v="Cartão de crédito"/>
    <x v="1"/>
    <s v="N"/>
    <x v="26"/>
    <s v="Kpmg Consultoria"/>
    <s v="-"/>
    <s v="-"/>
    <s v="-"/>
    <x v="21"/>
    <s v="-"/>
    <x v="137"/>
    <n v="0"/>
    <n v="0"/>
    <n v="0"/>
    <n v="0"/>
    <n v="0"/>
    <n v="0"/>
    <s v="Reserva importada do Sistema TMS. OS: 245339"/>
    <s v="Fornecedor não preenchido! (ACC01)"/>
    <x v="5"/>
    <x v="1"/>
    <s v="Campo Fornecedor"/>
    <x v="0"/>
    <s v="Qualidade dos dados"/>
    <s v="KONTIK BUSINESS TRAVEL"/>
    <x v="2"/>
  </r>
  <r>
    <n v="23297826"/>
    <n v="24028686"/>
    <s v="ACC01"/>
    <x v="154"/>
    <d v="2025-11-10T20:35:25"/>
    <x v="2"/>
    <x v="2"/>
    <s v="5ROOGI"/>
    <s v="TMS"/>
    <s v="RICARDO FILHO"/>
    <s v="Donizete Alves de Souza"/>
    <s v="Donizete Alves de Souza"/>
    <d v="2025-11-10T18:50:00"/>
    <n v="245338"/>
    <s v="-"/>
    <s v="OFF LINE"/>
    <s v="Cartão de crédito"/>
    <s v="Cartão de crédito"/>
    <x v="1"/>
    <s v="N"/>
    <x v="26"/>
    <s v="Kpmg Consultoria"/>
    <s v="-"/>
    <s v="-"/>
    <s v="-"/>
    <x v="21"/>
    <s v="-"/>
    <x v="137"/>
    <n v="0"/>
    <n v="0"/>
    <n v="0"/>
    <n v="0"/>
    <n v="0"/>
    <n v="0"/>
    <s v="Reserva importada do Sistema TMS. OS: 245338"/>
    <s v="Fornecedor não preenchido! (ACC01)"/>
    <x v="5"/>
    <x v="1"/>
    <s v="Campo Fornecedor"/>
    <x v="0"/>
    <s v="Qualidade dos dados"/>
    <s v="KONTIK BUSINESS TRAVEL"/>
    <x v="2"/>
  </r>
  <r>
    <n v="23282585"/>
    <n v="24014942"/>
    <s v="ACC01"/>
    <x v="155"/>
    <d v="2025-11-07T23:15:31"/>
    <x v="1"/>
    <x v="1"/>
    <s v="5RAXO6"/>
    <s v="TMS"/>
    <s v="ALEJANDRO BARRAN ZUBARAN"/>
    <s v="Marcio Jose da Silva"/>
    <s v="Marcio Jose da Silva"/>
    <d v="2025-11-07T19:22:00"/>
    <n v="244169"/>
    <s v="-"/>
    <s v="OFF LINE"/>
    <s v="Cartão de crédito"/>
    <s v="Cartão de crédito"/>
    <x v="1"/>
    <s v="N"/>
    <x v="26"/>
    <s v="Kpmg Assessores"/>
    <s v="-"/>
    <s v="-"/>
    <s v="-"/>
    <x v="21"/>
    <s v="-"/>
    <x v="138"/>
    <n v="0"/>
    <n v="0"/>
    <n v="0"/>
    <n v="0"/>
    <n v="311.64"/>
    <n v="0"/>
    <s v="Reserva importada do Sistema TMS. OS: 244169"/>
    <s v="Fornecedor não preenchido! (ACC01)"/>
    <x v="5"/>
    <x v="1"/>
    <s v="Campo Fornecedor"/>
    <x v="0"/>
    <s v="Qualidade dos dados"/>
    <s v="KONTIK BUSINESS TRAVEL"/>
    <x v="2"/>
  </r>
  <r>
    <n v="23255380"/>
    <n v="23988033"/>
    <s v="ACC01"/>
    <x v="156"/>
    <d v="2025-11-06T13:15:40"/>
    <x v="1"/>
    <x v="1"/>
    <s v="5RPFFQ"/>
    <s v="TMS"/>
    <s v="SAMIA GIRAO"/>
    <s v="Eduardo Vinicius Souto Longo"/>
    <s v="Eduardo Vinicius Souto Longo"/>
    <d v="2025-11-04T15:53:00"/>
    <n v="243550"/>
    <s v="-"/>
    <s v="OFF LINE"/>
    <s v="Cartão de crédito"/>
    <s v="Cartão de crédito"/>
    <x v="1"/>
    <s v="N"/>
    <x v="26"/>
    <s v="Kpmg Assessores"/>
    <s v="-"/>
    <s v="Blue Tree Premium Congonhas Inativo"/>
    <s v="-"/>
    <x v="21"/>
    <s v="-"/>
    <x v="139"/>
    <n v="0"/>
    <n v="0"/>
    <n v="0"/>
    <n v="0"/>
    <n v="0"/>
    <n v="0"/>
    <s v="Reserva importada do Sistema TMS. OS: 243550"/>
    <s v="Não foi possível encontrar um contrato válido para o fornecedor 27169 (Código fornecedor) "/>
    <x v="5"/>
    <x v="14"/>
    <s v="Análise Cadastro"/>
    <x v="0"/>
    <s v="Qualidade dos dados"/>
    <s v="KONTIK BUSINESS TRAVEL"/>
    <x v="2"/>
  </r>
  <r>
    <n v="23366488"/>
    <n v="24092524"/>
    <s v="ACC01"/>
    <x v="157"/>
    <d v="2025-11-21T16:11:53"/>
    <x v="3"/>
    <x v="3"/>
    <s v="5UH3Y0"/>
    <s v="TMS"/>
    <s v="PAULO PEREIRA"/>
    <s v="Eduardo Vinicius Souto Longo"/>
    <s v="Eduardo Vinicius Souto Longo"/>
    <d v="2025-11-21T15:30:00"/>
    <n v="247108"/>
    <s v="-"/>
    <s v="OFF LINE"/>
    <s v="Cartão de crédito"/>
    <s v="Cartão de crédito"/>
    <x v="1"/>
    <s v="N"/>
    <x v="26"/>
    <s v="Kpmg"/>
    <s v="-"/>
    <s v="-"/>
    <s v="-"/>
    <x v="21"/>
    <s v="-"/>
    <x v="140"/>
    <n v="0"/>
    <n v="0"/>
    <n v="0"/>
    <n v="0"/>
    <n v="0"/>
    <n v="0"/>
    <s v="Reserva importada do Sistema TMS. OS: 247108"/>
    <s v="Fornecedor não preenchido! (ACC01)"/>
    <x v="5"/>
    <x v="1"/>
    <s v="Campo Fornecedor"/>
    <x v="0"/>
    <s v="Qualidade dos dados"/>
    <s v="KONTIK BUSINESS TRAVEL"/>
    <x v="2"/>
  </r>
  <r>
    <n v="23366495"/>
    <n v="24092531"/>
    <s v="ACC01"/>
    <x v="158"/>
    <d v="2025-11-21T16:12:38"/>
    <x v="3"/>
    <x v="3"/>
    <s v="5UAFY0"/>
    <s v="TMS"/>
    <s v="LUIZ JUNIOR"/>
    <s v="Eduardo Vinicius Souto Longo"/>
    <s v="Eduardo Vinicius Souto Longo"/>
    <d v="2025-11-21T15:37:00"/>
    <n v="247919"/>
    <s v="-"/>
    <s v="OFF LINE"/>
    <s v="Cartão de crédito"/>
    <s v="Cartão de crédito"/>
    <x v="1"/>
    <s v="N"/>
    <x v="26"/>
    <s v="Kpmg Consultoria"/>
    <s v="-"/>
    <s v="-"/>
    <s v="-"/>
    <x v="21"/>
    <s v="-"/>
    <x v="131"/>
    <n v="0"/>
    <n v="0"/>
    <n v="0"/>
    <n v="0"/>
    <n v="0"/>
    <n v="0"/>
    <s v="Reserva importada do Sistema TMS. OS: 247919"/>
    <s v="Fornecedor não preenchido! (ACC01)"/>
    <x v="5"/>
    <x v="1"/>
    <s v="Campo Fornecedor"/>
    <x v="0"/>
    <s v="Qualidade dos dados"/>
    <s v="KONTIK BUSINESS TRAVEL"/>
    <x v="2"/>
  </r>
  <r>
    <n v="23368510"/>
    <n v="24094472"/>
    <s v="ACC01"/>
    <x v="159"/>
    <d v="2025-11-21T21:51:18"/>
    <x v="3"/>
    <x v="3"/>
    <s v="5UFLZA"/>
    <s v="TMS"/>
    <s v="TALISE SILVA"/>
    <s v="Eduardo Vinicius Souto Longo"/>
    <s v="Eduardo Vinicius Souto Longo"/>
    <d v="2025-11-21T18:42:00"/>
    <n v="248451"/>
    <s v="Passo Fundo / RS, Brasil (PFB)"/>
    <s v="OFF LINE"/>
    <s v="Invoice"/>
    <s v="Faturado"/>
    <x v="2"/>
    <s v="N"/>
    <x v="26"/>
    <s v="Kpmg"/>
    <s v="-"/>
    <s v="-"/>
    <s v="-"/>
    <x v="21"/>
    <s v="-"/>
    <x v="141"/>
    <n v="0"/>
    <n v="0"/>
    <n v="0"/>
    <n v="0"/>
    <n v="0"/>
    <n v="0"/>
    <s v="Reserva importada do Sistema TMS. OS: 248451"/>
    <s v="Fornecedor não preenchido! (ACC01)"/>
    <x v="5"/>
    <x v="1"/>
    <s v="Campo Fornecedor"/>
    <x v="0"/>
    <s v="Qualidade dos dados"/>
    <s v="KONTIK BUSINESS TRAVEL"/>
    <x v="3"/>
  </r>
  <r>
    <n v="23368625"/>
    <n v="24094578"/>
    <s v="ACC01"/>
    <x v="160"/>
    <d v="2025-11-21T22:07:30"/>
    <x v="3"/>
    <x v="3"/>
    <s v="5UI5SZ"/>
    <s v="TMS"/>
    <s v="RODRIGO MONTEIRO"/>
    <s v="Eduardo Vinicius Souto Longo"/>
    <s v="Eduardo Vinicius Souto Longo"/>
    <d v="2025-11-21T16:44:00"/>
    <n v="247940"/>
    <s v="-"/>
    <s v="OFF LINE"/>
    <s v="Cartão de crédito"/>
    <s v="Cartão de crédito"/>
    <x v="1"/>
    <s v="N"/>
    <x v="26"/>
    <s v="Kpmg Consultoria"/>
    <s v="-"/>
    <s v="-"/>
    <s v="-"/>
    <x v="21"/>
    <s v="-"/>
    <x v="142"/>
    <n v="0"/>
    <n v="0"/>
    <n v="0"/>
    <n v="0"/>
    <n v="0"/>
    <n v="0"/>
    <s v="Reserva importada do Sistema TMS. OS: 247940"/>
    <s v="Fornecedor não preenchido! (ACC01)"/>
    <x v="5"/>
    <x v="1"/>
    <s v="Campo Fornecedor"/>
    <x v="0"/>
    <s v="Qualidade dos dados"/>
    <s v="KONTIK BUSINESS TRAVEL"/>
    <x v="2"/>
  </r>
  <r>
    <n v="23368532"/>
    <n v="24094492"/>
    <s v="ACC01"/>
    <x v="161"/>
    <d v="2025-11-21T21:55:51"/>
    <x v="3"/>
    <x v="3"/>
    <s v="5UN02Q"/>
    <s v="TMS"/>
    <s v="ISMAEL MARTINS"/>
    <s v="Tms"/>
    <s v="Tms"/>
    <d v="2025-11-21T16:43:00"/>
    <n v="248422"/>
    <s v="Goiânia / GYN"/>
    <s v="ON LINE"/>
    <s v="Invoice"/>
    <s v="Faturado"/>
    <x v="2"/>
    <s v="N"/>
    <x v="26"/>
    <s v="Kpmg"/>
    <s v="-"/>
    <s v="-"/>
    <s v="-"/>
    <x v="21"/>
    <s v="-"/>
    <x v="143"/>
    <n v="0"/>
    <n v="0"/>
    <n v="0"/>
    <n v="0"/>
    <n v="0"/>
    <n v="0"/>
    <s v="Reserva importada do Sistema TMS. OS: 248422"/>
    <s v="Fornecedor não preenchido! (ACC01)"/>
    <x v="5"/>
    <x v="1"/>
    <s v="Campo Fornecedor"/>
    <x v="0"/>
    <s v="Qualidade dos dados"/>
    <s v="KONTIK BUSINESS TRAVEL"/>
    <x v="2"/>
  </r>
  <r>
    <n v="23368534"/>
    <n v="24094494"/>
    <s v="ACC01"/>
    <x v="162"/>
    <d v="2025-11-21T21:55:56"/>
    <x v="3"/>
    <x v="3"/>
    <s v="5UAQSA"/>
    <s v="TMS"/>
    <s v="JOAO BRANDAO"/>
    <s v="Tms"/>
    <s v="Tms"/>
    <d v="2025-11-21T16:43:00"/>
    <n v="248421"/>
    <s v="Goiânia / GYN"/>
    <s v="ON LINE"/>
    <s v="Invoice"/>
    <s v="Faturado"/>
    <x v="2"/>
    <s v="N"/>
    <x v="26"/>
    <s v="Kpmg"/>
    <s v="-"/>
    <s v="-"/>
    <s v="-"/>
    <x v="21"/>
    <s v="-"/>
    <x v="143"/>
    <n v="0"/>
    <n v="0"/>
    <n v="0"/>
    <n v="0"/>
    <n v="0"/>
    <n v="0"/>
    <s v="Reserva importada do Sistema TMS. OS: 248421"/>
    <s v="Fornecedor não preenchido! (ACC01)"/>
    <x v="5"/>
    <x v="1"/>
    <s v="Campo Fornecedor"/>
    <x v="0"/>
    <s v="Qualidade dos dados"/>
    <s v="KONTIK BUSINESS TRAVEL"/>
    <x v="2"/>
  </r>
  <r>
    <n v="23366328"/>
    <n v="24092364"/>
    <s v="ACC01"/>
    <x v="163"/>
    <d v="2025-11-21T15:40:50"/>
    <x v="3"/>
    <x v="3"/>
    <s v="5UGZGM"/>
    <s v="TMS"/>
    <s v="DENIS ANDRADE"/>
    <s v="Tms"/>
    <s v="Tms"/>
    <d v="2025-11-21T15:09:00"/>
    <n v="248449"/>
    <s v="Goiânia / GYN"/>
    <s v="ON LINE"/>
    <s v="Invoice"/>
    <s v="Faturado"/>
    <x v="2"/>
    <s v="N"/>
    <x v="26"/>
    <s v="Kpmg Consultoria"/>
    <s v="-"/>
    <s v="-"/>
    <s v="-"/>
    <x v="21"/>
    <s v="-"/>
    <x v="144"/>
    <n v="0"/>
    <n v="0"/>
    <n v="0"/>
    <n v="0"/>
    <n v="0"/>
    <n v="0"/>
    <s v="Reserva importada do Sistema TMS. OS: 248449"/>
    <s v="Fornecedor não preenchido! (ACC01)"/>
    <x v="5"/>
    <x v="1"/>
    <s v="Campo Fornecedor"/>
    <x v="0"/>
    <s v="Qualidade dos dados"/>
    <s v="KONTIK BUSINESS TRAVEL"/>
    <x v="2"/>
  </r>
  <r>
    <n v="23366329"/>
    <n v="24092365"/>
    <s v="ACC01"/>
    <x v="164"/>
    <d v="2025-11-21T15:40:51"/>
    <x v="3"/>
    <x v="3"/>
    <s v="5UY1GB"/>
    <s v="TMS"/>
    <s v="ELAYNE SOUZA"/>
    <s v="Tms"/>
    <s v="Tms"/>
    <d v="2025-11-21T14:49:00"/>
    <n v="248444"/>
    <s v="Cuiaba / CGB"/>
    <s v="ON LINE"/>
    <s v="Invoice"/>
    <s v="Faturado"/>
    <x v="2"/>
    <s v="N"/>
    <x v="26"/>
    <s v="Kpmg"/>
    <s v="-"/>
    <s v="-"/>
    <s v="-"/>
    <x v="21"/>
    <s v="-"/>
    <x v="145"/>
    <n v="0"/>
    <n v="0"/>
    <n v="0"/>
    <n v="0"/>
    <n v="0"/>
    <n v="0"/>
    <s v="Reserva importada do Sistema TMS. OS: 248444"/>
    <s v="Fornecedor não preenchido! (ACC01)"/>
    <x v="5"/>
    <x v="1"/>
    <s v="Campo Fornecedor"/>
    <x v="0"/>
    <s v="Qualidade dos dados"/>
    <s v="KONTIK BUSINESS TRAVEL"/>
    <x v="2"/>
  </r>
  <r>
    <n v="23366333"/>
    <n v="24092369"/>
    <s v="ACC01"/>
    <x v="165"/>
    <d v="2025-11-21T15:41:12"/>
    <x v="3"/>
    <x v="3"/>
    <s v="5UIZTM"/>
    <s v="TMS"/>
    <s v="RENAN LIRA"/>
    <s v="Tms"/>
    <s v="Tms"/>
    <d v="2025-11-21T12:45:00"/>
    <n v="248408"/>
    <s v="São Paulo / SAO"/>
    <s v="ON LINE"/>
    <s v="Invoice"/>
    <s v="Faturado"/>
    <x v="2"/>
    <s v="N"/>
    <x v="26"/>
    <s v="Kpmg"/>
    <s v="-"/>
    <s v="-"/>
    <s v="-"/>
    <x v="21"/>
    <s v="-"/>
    <x v="146"/>
    <n v="0"/>
    <n v="0"/>
    <n v="0"/>
    <n v="0"/>
    <n v="0"/>
    <n v="0"/>
    <s v="Reserva importada do Sistema TMS. OS: 248408"/>
    <s v="Fornecedor não preenchido! (ACC01)"/>
    <x v="5"/>
    <x v="1"/>
    <s v="Campo Fornecedor"/>
    <x v="0"/>
    <s v="Qualidade dos dados"/>
    <s v="KONTIK BUSINESS TRAVEL"/>
    <x v="2"/>
  </r>
  <r>
    <n v="23366337"/>
    <n v="24092373"/>
    <s v="ACC01"/>
    <x v="166"/>
    <d v="2025-11-21T15:41:27"/>
    <x v="3"/>
    <x v="3"/>
    <s v="5UB2TP"/>
    <s v="TMS"/>
    <s v="ERYK SILVA"/>
    <s v="Tms"/>
    <s v="Tms"/>
    <d v="2025-11-21T13:45:00"/>
    <n v="248397"/>
    <s v="Uberlândia / UDI"/>
    <s v="ON LINE"/>
    <s v="Invoice"/>
    <s v="Faturado"/>
    <x v="2"/>
    <s v="N"/>
    <x v="26"/>
    <s v="Kpmg"/>
    <s v="-"/>
    <s v="-"/>
    <s v="-"/>
    <x v="21"/>
    <s v="-"/>
    <x v="147"/>
    <n v="0"/>
    <n v="0"/>
    <n v="0"/>
    <n v="0"/>
    <n v="0"/>
    <n v="0"/>
    <s v="Reserva importada do Sistema TMS. OS: 248397"/>
    <s v="Fornecedor não preenchido! (ACC01)"/>
    <x v="5"/>
    <x v="1"/>
    <s v="Campo Fornecedor"/>
    <x v="0"/>
    <s v="Qualidade dos dados"/>
    <s v="KONTIK BUSINESS TRAVEL"/>
    <x v="2"/>
  </r>
  <r>
    <n v="23366346"/>
    <n v="24092382"/>
    <s v="ACC01"/>
    <x v="167"/>
    <d v="2025-11-21T15:42:25"/>
    <x v="3"/>
    <x v="3"/>
    <s v="5UYWTM"/>
    <s v="TMS"/>
    <s v="KAUAN CARVALHO"/>
    <s v="Tms"/>
    <s v="Tms"/>
    <d v="2025-11-21T12:33:00"/>
    <n v="248384"/>
    <s v="Sinop / OPS"/>
    <s v="ON LINE"/>
    <s v="Invoice"/>
    <s v="Faturado"/>
    <x v="2"/>
    <s v="N"/>
    <x v="26"/>
    <s v="Kpmg"/>
    <s v="-"/>
    <s v="-"/>
    <s v="-"/>
    <x v="21"/>
    <s v="-"/>
    <x v="148"/>
    <n v="0"/>
    <n v="0"/>
    <n v="0"/>
    <n v="0"/>
    <n v="0"/>
    <n v="0"/>
    <s v="Reserva importada do Sistema TMS. OS: 248384"/>
    <s v="Fornecedor não preenchido! (ACC01)"/>
    <x v="5"/>
    <x v="1"/>
    <s v="Campo Fornecedor"/>
    <x v="0"/>
    <s v="Qualidade dos dados"/>
    <s v="KONTIK BUSINESS TRAVEL"/>
    <x v="2"/>
  </r>
  <r>
    <n v="23366353"/>
    <n v="24092389"/>
    <s v="ACC01"/>
    <x v="168"/>
    <d v="2025-11-21T15:42:47"/>
    <x v="3"/>
    <x v="3"/>
    <s v="5UB3G0"/>
    <s v="TMS"/>
    <s v="DAVI MONTEIRO"/>
    <s v="Tms"/>
    <s v="Tms"/>
    <d v="2025-11-21T11:57:00"/>
    <n v="248377"/>
    <s v="Londrina / LDB"/>
    <s v="ON LINE"/>
    <s v="Invoice"/>
    <s v="Faturado"/>
    <x v="2"/>
    <s v="N"/>
    <x v="26"/>
    <s v="Kpmg"/>
    <s v="-"/>
    <s v="-"/>
    <s v="-"/>
    <x v="21"/>
    <s v="-"/>
    <x v="149"/>
    <n v="0"/>
    <n v="0"/>
    <n v="0"/>
    <n v="0"/>
    <n v="0"/>
    <n v="0"/>
    <s v="Reserva importada do Sistema TMS. OS: 248377"/>
    <s v="Fornecedor não preenchido! (ACC01)"/>
    <x v="5"/>
    <x v="1"/>
    <s v="Campo Fornecedor"/>
    <x v="0"/>
    <s v="Qualidade dos dados"/>
    <s v="KONTIK BUSINESS TRAVEL"/>
    <x v="2"/>
  </r>
  <r>
    <n v="23366369"/>
    <n v="24092405"/>
    <s v="ACC01"/>
    <x v="169"/>
    <d v="2025-11-21T15:46:48"/>
    <x v="3"/>
    <x v="3"/>
    <s v="5UF4G0"/>
    <s v="TMS"/>
    <s v="LEONARDO LIMA"/>
    <s v="Tms"/>
    <s v="Tms"/>
    <d v="2025-11-21T13:44:00"/>
    <n v="248352"/>
    <s v="Campo Grande / CGR"/>
    <s v="ON LINE"/>
    <s v="Invoice"/>
    <s v="Faturado"/>
    <x v="2"/>
    <s v="N"/>
    <x v="26"/>
    <s v="Kpmg"/>
    <s v="-"/>
    <s v="-"/>
    <s v="-"/>
    <x v="21"/>
    <s v="-"/>
    <x v="150"/>
    <n v="0"/>
    <n v="0"/>
    <n v="0"/>
    <n v="0"/>
    <n v="0"/>
    <n v="0"/>
    <s v="Reserva importada do Sistema TMS. OS: 248352"/>
    <s v="Fornecedor não preenchido! (ACC01)"/>
    <x v="5"/>
    <x v="1"/>
    <s v="Campo Fornecedor"/>
    <x v="0"/>
    <s v="Qualidade dos dados"/>
    <s v="KONTIK BUSINESS TRAVEL"/>
    <x v="2"/>
  </r>
  <r>
    <n v="23366384"/>
    <n v="24092420"/>
    <s v="ACC01"/>
    <x v="170"/>
    <d v="2025-11-21T15:51:14"/>
    <x v="3"/>
    <x v="3"/>
    <s v="5UI55B"/>
    <s v="TMS"/>
    <s v="BRUNO ZAPOLA"/>
    <s v="Tms"/>
    <s v="Tms"/>
    <d v="2025-11-21T13:46:00"/>
    <n v="248340"/>
    <s v="Barreiras / BRA"/>
    <s v="ON LINE"/>
    <s v="Invoice"/>
    <s v="Faturado"/>
    <x v="2"/>
    <s v="N"/>
    <x v="26"/>
    <s v="Kpmg"/>
    <s v="-"/>
    <s v="-"/>
    <s v="-"/>
    <x v="21"/>
    <s v="-"/>
    <x v="151"/>
    <n v="0"/>
    <n v="0"/>
    <n v="0"/>
    <n v="0"/>
    <n v="0"/>
    <n v="0"/>
    <s v="Reserva importada do Sistema TMS. OS: 248340"/>
    <s v="Fornecedor não preenchido! (ACC01)"/>
    <x v="5"/>
    <x v="1"/>
    <s v="Campo Fornecedor"/>
    <x v="0"/>
    <s v="Qualidade dos dados"/>
    <s v="KONTIK BUSINESS TRAVEL"/>
    <x v="2"/>
  </r>
  <r>
    <n v="23366396"/>
    <n v="24092432"/>
    <s v="ACC01"/>
    <x v="171"/>
    <d v="2025-11-21T15:51:57"/>
    <x v="3"/>
    <x v="3"/>
    <s v="5U7YGB"/>
    <s v="TMS"/>
    <s v="BRAYAN LIRA"/>
    <s v="Tms"/>
    <s v="Tms"/>
    <d v="2025-11-21T11:33:00"/>
    <n v="248307"/>
    <s v="Recife / REC"/>
    <s v="ON LINE"/>
    <s v="Invoice"/>
    <s v="Faturado"/>
    <x v="2"/>
    <s v="N"/>
    <x v="26"/>
    <s v="Kpmg"/>
    <s v="-"/>
    <s v="-"/>
    <s v="-"/>
    <x v="21"/>
    <s v="-"/>
    <x v="152"/>
    <n v="0"/>
    <n v="0"/>
    <n v="0"/>
    <n v="0"/>
    <n v="0"/>
    <n v="0"/>
    <s v="Reserva importada do Sistema TMS. OS: 248307"/>
    <s v="Fornecedor não preenchido! (ACC01)"/>
    <x v="5"/>
    <x v="1"/>
    <s v="Campo Fornecedor"/>
    <x v="0"/>
    <s v="Qualidade dos dados"/>
    <s v="KONTIK BUSINESS TRAVEL"/>
    <x v="2"/>
  </r>
  <r>
    <n v="23350218"/>
    <n v="24077608"/>
    <s v="ACC01"/>
    <x v="172"/>
    <d v="2025-11-18T20:55:55"/>
    <x v="0"/>
    <x v="0"/>
    <s v="5TXFBK"/>
    <s v="TMS"/>
    <s v="ISABELLE SILVA"/>
    <s v="Tms"/>
    <s v="Tms"/>
    <d v="2025-11-18T18:01:00"/>
    <n v="247662"/>
    <s v="Uberlândia / UDI"/>
    <s v="ON LINE"/>
    <s v="Invoice"/>
    <s v="Faturado"/>
    <x v="2"/>
    <s v="N"/>
    <x v="26"/>
    <s v="Kpmg"/>
    <s v="-"/>
    <s v="Movida - Br - Mg - Uberlandia - Aeroporto"/>
    <s v="-"/>
    <x v="21"/>
    <s v="-"/>
    <x v="153"/>
    <n v="0"/>
    <n v="0"/>
    <n v="0"/>
    <n v="0"/>
    <n v="0"/>
    <n v="0"/>
    <s v="Reserva importada do Sistema TMS. OS: 247662"/>
    <s v="Fornecedor não preenchido! (ACC01)"/>
    <x v="5"/>
    <x v="1"/>
    <s v="Campo Fornecedor"/>
    <x v="0"/>
    <s v="Qualidade dos dados"/>
    <s v="KONTIK BUSINESS TRAVEL"/>
    <x v="2"/>
  </r>
  <r>
    <n v="23355365"/>
    <n v="24082334"/>
    <s v="ACC01"/>
    <x v="173"/>
    <d v="2025-11-19T16:40:47"/>
    <x v="3"/>
    <x v="3"/>
    <s v="5TRMSN"/>
    <s v="TMS"/>
    <s v="LAURA CARDOSO"/>
    <s v="Tms"/>
    <s v="Tms"/>
    <d v="2025-11-19T15:25:00"/>
    <n v="248035"/>
    <s v="Ribeirão Preto / RAO"/>
    <s v="ON LINE"/>
    <s v="Invoice"/>
    <s v="Faturado"/>
    <x v="2"/>
    <s v="N"/>
    <x v="26"/>
    <s v="Kpmg"/>
    <s v="-"/>
    <s v="Movida - Br - Sp - Ribeirao Preto - Pq Ind Cel Quito Junqueira"/>
    <s v="-"/>
    <x v="21"/>
    <s v="-"/>
    <x v="154"/>
    <n v="0"/>
    <n v="0"/>
    <n v="0"/>
    <n v="0"/>
    <n v="0"/>
    <n v="0"/>
    <s v="Reserva importada do Sistema TMS. OS: 248035"/>
    <s v="Fornecedor não preenchido! (ACC01)"/>
    <x v="5"/>
    <x v="1"/>
    <s v="Campo Fornecedor"/>
    <x v="0"/>
    <s v="Qualidade dos dados"/>
    <s v="KONTIK BUSINESS TRAVEL"/>
    <x v="2"/>
  </r>
  <r>
    <n v="23368487"/>
    <n v="24094449"/>
    <s v="ACC01"/>
    <x v="174"/>
    <d v="2025-11-21T21:45:50"/>
    <x v="3"/>
    <x v="3"/>
    <s v="5UGUZ1"/>
    <s v="TMS"/>
    <s v="ELAYNE SOUZA"/>
    <s v="Tms"/>
    <s v="Tms"/>
    <d v="2025-11-21T17:52:00"/>
    <n v="248485"/>
    <s v="Teresina / THE"/>
    <s v="ON LINE"/>
    <s v="Invoice"/>
    <s v="Faturado"/>
    <x v="2"/>
    <s v="N"/>
    <x v="26"/>
    <s v="Kpmg"/>
    <s v="-"/>
    <s v="-"/>
    <s v="-"/>
    <x v="21"/>
    <s v="-"/>
    <x v="155"/>
    <n v="0"/>
    <n v="0"/>
    <n v="0"/>
    <n v="0"/>
    <n v="0"/>
    <n v="0"/>
    <s v="Reserva importada do Sistema TMS. OS: 248485"/>
    <s v="Fornecedor não preenchido! (ACC01)"/>
    <x v="5"/>
    <x v="1"/>
    <s v="Campo Fornecedor"/>
    <x v="0"/>
    <s v="Qualidade dos dados"/>
    <s v="KONTIK BUSINESS TRAVEL"/>
    <x v="2"/>
  </r>
  <r>
    <n v="23340042"/>
    <n v="24067823"/>
    <s v="ACC01"/>
    <x v="175"/>
    <d v="2025-11-17T14:40:48"/>
    <x v="0"/>
    <x v="0"/>
    <s v="5TZX75"/>
    <s v="TMS"/>
    <s v="LUCAS LIMA"/>
    <s v="Tuane Cristina Alves de Oliveira"/>
    <s v="Tuane Cristina Alves de Oliveira"/>
    <d v="2025-11-17T13:56:00"/>
    <n v="246851"/>
    <s v="Natal / RN, Brasil (NAT)"/>
    <s v="OFF LINE"/>
    <s v="Invoice"/>
    <s v="Faturado"/>
    <x v="2"/>
    <s v="N"/>
    <x v="26"/>
    <s v="Kpmg Consultoria"/>
    <s v="-"/>
    <s v="Movida - Br - Rn - Natal - Ponta Negra"/>
    <s v="-"/>
    <x v="21"/>
    <s v="-"/>
    <x v="156"/>
    <n v="0"/>
    <n v="0"/>
    <n v="0"/>
    <n v="0"/>
    <n v="0"/>
    <n v="0"/>
    <s v="Reserva importada do Sistema TMS. OS: 246851"/>
    <s v="Fornecedor não preenchido! (ACC01)"/>
    <x v="5"/>
    <x v="1"/>
    <s v="Campo Fornecedor"/>
    <x v="0"/>
    <s v="Qualidade dos dados"/>
    <s v="KONTIK BUSINESS TRAVEL"/>
    <x v="3"/>
  </r>
  <r>
    <n v="23153469"/>
    <n v="23898056"/>
    <s v="ACC01"/>
    <x v="176"/>
    <d v="2025-10-20T23:16:11"/>
    <x v="6"/>
    <x v="5"/>
    <s v="5PDXH4"/>
    <s v="TMS"/>
    <s v="OSCAR ADORNO"/>
    <s v="Tuane Cristina Alves de Oliveira"/>
    <s v="Tuane Cristina Alves de Oliveira"/>
    <d v="2025-10-20T19:49:00"/>
    <n v="239454"/>
    <s v="-"/>
    <s v="OFF LINE"/>
    <s v="Invoice"/>
    <s v="Faturado"/>
    <x v="3"/>
    <s v="N"/>
    <x v="26"/>
    <s v="Kpmg Consultoria"/>
    <s v="-"/>
    <s v="-"/>
    <s v="-"/>
    <x v="21"/>
    <s v="-"/>
    <x v="157"/>
    <n v="0"/>
    <n v="0"/>
    <n v="0"/>
    <n v="0"/>
    <n v="0"/>
    <n v="0"/>
    <s v="Reserva importada do Sistema TMS. OS: 239454"/>
    <s v="Fornecedor não preenchido! (ACC01)"/>
    <x v="5"/>
    <x v="1"/>
    <s v="Campo Fornecedor"/>
    <x v="0"/>
    <s v="Qualidade dos dados"/>
    <s v="KONTIK BUSINESS TRAVEL"/>
    <x v="2"/>
  </r>
  <r>
    <n v="23312351"/>
    <n v="24042662"/>
    <s v="ACC01"/>
    <x v="177"/>
    <d v="2025-11-19T13:08:30"/>
    <x v="3"/>
    <x v="2"/>
    <s v="5T5QTA"/>
    <s v="TMS"/>
    <s v="RODRIGO MONTEIRO"/>
    <s v="Tuane Cristina Alves de Oliveira"/>
    <s v="Tuane Cristina Alves de Oliveira"/>
    <d v="2025-11-12T15:18:00"/>
    <n v="245258"/>
    <s v="-"/>
    <s v="OFF LINE"/>
    <s v="Cartão de crédito"/>
    <s v="Cartão de crédito"/>
    <x v="1"/>
    <s v="N"/>
    <x v="26"/>
    <s v="Kpmg Consultoria"/>
    <s v="-"/>
    <s v="Hotel Express Confort - Inativo"/>
    <s v="-"/>
    <x v="21"/>
    <s v="-"/>
    <x v="158"/>
    <n v="0"/>
    <n v="0"/>
    <n v="0"/>
    <n v="0"/>
    <n v="0"/>
    <n v="0"/>
    <s v="Reserva importada do Sistema TMS. OS: 245258"/>
    <s v="Não foi possível encontrar um contrato válido para o fornecedor 7907 (Código fornecedor) "/>
    <x v="5"/>
    <x v="14"/>
    <s v="Análise Cadastro"/>
    <x v="0"/>
    <s v="Qualidade dos dados"/>
    <s v="KONTIK BUSINESS TRAVEL"/>
    <x v="2"/>
  </r>
  <r>
    <n v="23312366"/>
    <n v="24042679"/>
    <s v="ACC01"/>
    <x v="178"/>
    <d v="2025-11-12T19:11:42"/>
    <x v="2"/>
    <x v="2"/>
    <s v="5TM3TQ"/>
    <s v="TMS"/>
    <s v="RICARDO LOCKS"/>
    <s v="Tuane Cristina Alves de Oliveira"/>
    <s v="Tuane Cristina Alves de Oliveira"/>
    <d v="2025-11-12T17:12:00"/>
    <n v="244889"/>
    <s v="-"/>
    <s v="OFF LINE"/>
    <s v="Cartão de crédito"/>
    <s v="Cartão de crédito"/>
    <x v="1"/>
    <s v="N"/>
    <x v="26"/>
    <s v="Kpmg"/>
    <s v="-"/>
    <s v="-"/>
    <s v="-"/>
    <x v="21"/>
    <s v="-"/>
    <x v="159"/>
    <n v="0"/>
    <n v="0"/>
    <n v="0"/>
    <n v="0"/>
    <n v="0"/>
    <n v="0"/>
    <s v="Reserva importada do Sistema TMS. OS: 244889"/>
    <s v="Fornecedor não preenchido! (ACC01)"/>
    <x v="5"/>
    <x v="1"/>
    <s v="Campo Fornecedor"/>
    <x v="0"/>
    <s v="Qualidade dos dados"/>
    <s v="KONTIK BUSINESS TRAVEL"/>
    <x v="2"/>
  </r>
  <r>
    <n v="23088209"/>
    <n v="23838794"/>
    <s v="ACC01"/>
    <x v="179"/>
    <d v="2025-10-10T20:01:47"/>
    <x v="6"/>
    <x v="5"/>
    <s v="5OTOC3"/>
    <s v="TMS"/>
    <s v="BERTIE WALKER"/>
    <s v="Tuane Cristina Alves de Oliveira"/>
    <s v="Tuane Cristina Alves de Oliveira"/>
    <d v="2025-10-10T17:24:00"/>
    <n v="237877"/>
    <s v="-"/>
    <s v="OFF LINE"/>
    <s v="Cartão de crédito"/>
    <s v="Cartão de crédito"/>
    <x v="1"/>
    <s v="N"/>
    <x v="26"/>
    <s v="Kpmg Assessores"/>
    <s v="-"/>
    <s v="-"/>
    <s v="-"/>
    <x v="21"/>
    <s v="-"/>
    <x v="160"/>
    <n v="0"/>
    <n v="0"/>
    <n v="0"/>
    <n v="0"/>
    <n v="0"/>
    <n v="0"/>
    <s v="Reserva importada do Sistema TMS. OS: 237877"/>
    <s v="Fornecedor não preenchido! (ACC01)"/>
    <x v="5"/>
    <x v="1"/>
    <s v="Campo Fornecedor"/>
    <x v="0"/>
    <s v="Qualidade dos dados"/>
    <s v="KONTIK BUSINESS TRAVEL"/>
    <x v="2"/>
  </r>
  <r>
    <n v="23088212"/>
    <n v="23838797"/>
    <s v="ACC01"/>
    <x v="180"/>
    <d v="2025-10-10T20:02:18"/>
    <x v="6"/>
    <x v="5"/>
    <s v="5O8O33"/>
    <s v="TMS"/>
    <s v="JOHN MCCALLALEACY"/>
    <s v="Tuane Cristina Alves de Oliveira"/>
    <s v="Tuane Cristina Alves de Oliveira"/>
    <d v="2025-10-10T17:22:00"/>
    <n v="237876"/>
    <s v="-"/>
    <s v="OFF LINE"/>
    <s v="Cartão de crédito"/>
    <s v="Cartão de crédito"/>
    <x v="1"/>
    <s v="N"/>
    <x v="26"/>
    <s v="Kpmg Assessores"/>
    <s v="-"/>
    <s v="-"/>
    <s v="-"/>
    <x v="21"/>
    <s v="-"/>
    <x v="160"/>
    <n v="0"/>
    <n v="0"/>
    <n v="0"/>
    <n v="0"/>
    <n v="0"/>
    <n v="0"/>
    <s v="Reserva importada do Sistema TMS. OS: 237876"/>
    <s v="Fornecedor não preenchido! (ACC01)"/>
    <x v="5"/>
    <x v="1"/>
    <s v="Campo Fornecedor"/>
    <x v="0"/>
    <s v="Qualidade dos dados"/>
    <s v="KONTIK BUSINESS TRAVEL"/>
    <x v="2"/>
  </r>
  <r>
    <n v="23088216"/>
    <n v="23838801"/>
    <s v="ACC01"/>
    <x v="181"/>
    <d v="2025-10-10T20:03:06"/>
    <x v="6"/>
    <x v="5"/>
    <s v="5OQBVC"/>
    <s v="TMS"/>
    <s v="NADIA MONTOTO"/>
    <s v="Tuane Cristina Alves de Oliveira"/>
    <s v="Tuane Cristina Alves de Oliveira"/>
    <d v="2025-10-10T17:21:00"/>
    <n v="237874"/>
    <s v="-"/>
    <s v="OFF LINE"/>
    <s v="Cartão de crédito"/>
    <s v="Cartão de crédito"/>
    <x v="1"/>
    <s v="N"/>
    <x v="26"/>
    <s v="Kpmg Assessores"/>
    <s v="-"/>
    <s v="-"/>
    <s v="-"/>
    <x v="21"/>
    <s v="-"/>
    <x v="161"/>
    <n v="0"/>
    <n v="0"/>
    <n v="0"/>
    <n v="0"/>
    <n v="0"/>
    <n v="0"/>
    <s v="Reserva importada do Sistema TMS. OS: 237874"/>
    <s v="Fornecedor não preenchido! (ACC01)"/>
    <x v="5"/>
    <x v="1"/>
    <s v="Campo Fornecedor"/>
    <x v="0"/>
    <s v="Qualidade dos dados"/>
    <s v="KONTIK BUSINESS TRAVEL"/>
    <x v="2"/>
  </r>
  <r>
    <n v="23350270"/>
    <n v="24077658"/>
    <s v="ACC01"/>
    <x v="182"/>
    <d v="2025-11-18T21:05:08"/>
    <x v="0"/>
    <x v="0"/>
    <s v="5TUU0I"/>
    <s v="TMS"/>
    <s v="PEDRO JUNIOR"/>
    <s v="Tuane Cristina Alves de Oliveira"/>
    <s v="Tuane Cristina Alves de Oliveira"/>
    <d v="2025-11-18T17:31:00"/>
    <n v="247366"/>
    <s v="Juazeiro do Norte / CE, Brasil (JDO)"/>
    <s v="OFF LINE"/>
    <s v="Invoice"/>
    <s v="Faturado"/>
    <x v="2"/>
    <s v="N"/>
    <x v="26"/>
    <s v="Kpmg"/>
    <s v="-"/>
    <s v="Movida - Br - Ce - Juazeiro do Norte - Aeroporto"/>
    <s v="-"/>
    <x v="21"/>
    <s v="-"/>
    <x v="162"/>
    <n v="0"/>
    <n v="0"/>
    <n v="0"/>
    <n v="0"/>
    <n v="0"/>
    <n v="0"/>
    <s v="Reserva importada do Sistema TMS. OS: 247366"/>
    <s v="Fornecedor não preenchido! (ACC01)"/>
    <x v="5"/>
    <x v="1"/>
    <s v="Campo Fornecedor"/>
    <x v="0"/>
    <s v="Qualidade dos dados"/>
    <s v="KONTIK BUSINESS TRAVEL"/>
    <x v="3"/>
  </r>
  <r>
    <n v="23357276"/>
    <n v="24084282"/>
    <s v="ACC01"/>
    <x v="183"/>
    <d v="2025-11-19T21:36:44"/>
    <x v="3"/>
    <x v="3"/>
    <s v="5TD74N"/>
    <s v="TMS"/>
    <s v="CARLOS TAKAUTHI"/>
    <s v="Tuane Cristina Alves de Oliveira"/>
    <s v="Tuane Cristina Alves de Oliveira"/>
    <d v="2025-11-19T17:18:00"/>
    <n v="247538"/>
    <s v="São José do Rio Preto / SP, Brasil (SJP)"/>
    <s v="OFF LINE"/>
    <s v="Invoice"/>
    <s v="Faturado"/>
    <x v="2"/>
    <s v="N"/>
    <x v="26"/>
    <s v="Kpmg"/>
    <s v="-"/>
    <s v="Localiza - Br - Sp - Sao Jose do Rio Preto - Jardim Novo Aeroporto"/>
    <s v="-"/>
    <x v="21"/>
    <s v="-"/>
    <x v="163"/>
    <n v="0"/>
    <n v="0"/>
    <n v="0"/>
    <n v="0"/>
    <n v="0"/>
    <n v="0"/>
    <s v="Reserva importada do Sistema TMS. OS: 247538"/>
    <s v="Fornecedor não preenchido! (ACC01)"/>
    <x v="5"/>
    <x v="1"/>
    <s v="Campo Fornecedor"/>
    <x v="0"/>
    <s v="Qualidade dos dados"/>
    <s v="KONTIK BUSINESS TRAVEL"/>
    <x v="3"/>
  </r>
  <r>
    <n v="23357282"/>
    <n v="24084288"/>
    <s v="ACC01"/>
    <x v="184"/>
    <d v="2025-11-19T21:36:58"/>
    <x v="3"/>
    <x v="3"/>
    <s v="5T67F9"/>
    <s v="TMS"/>
    <s v="THAYNA LIMA"/>
    <s v="Tuane Cristina Alves de Oliveira"/>
    <s v="Tuane Cristina Alves de Oliveira"/>
    <d v="2025-11-19T17:32:00"/>
    <n v="247449"/>
    <s v="Itatiba / SP, Brasil (CPQ)"/>
    <s v="OFF LINE"/>
    <s v="Invoice"/>
    <s v="Faturado"/>
    <x v="2"/>
    <s v="N"/>
    <x v="26"/>
    <s v="Kpmg"/>
    <s v="-"/>
    <s v="Localiza - Br - Sp - Atibaia - Alvinopolis"/>
    <s v="-"/>
    <x v="21"/>
    <s v="-"/>
    <x v="164"/>
    <n v="0"/>
    <n v="0"/>
    <n v="0"/>
    <n v="0"/>
    <n v="0"/>
    <n v="0"/>
    <s v="Reserva importada do Sistema TMS. OS: 247449"/>
    <s v="Fornecedor não preenchido! (ACC01)"/>
    <x v="5"/>
    <x v="1"/>
    <s v="Campo Fornecedor"/>
    <x v="0"/>
    <s v="Qualidade dos dados"/>
    <s v="KONTIK BUSINESS TRAVEL"/>
    <x v="3"/>
  </r>
  <r>
    <n v="23357303"/>
    <n v="24084311"/>
    <s v="ACC01"/>
    <x v="185"/>
    <d v="2025-11-19T21:40:53"/>
    <x v="3"/>
    <x v="3"/>
    <s v="5TI8R9"/>
    <s v="TMS"/>
    <s v="PAULO JUNIOR"/>
    <s v="Tuane Cristina Alves de Oliveira"/>
    <s v="Tuane Cristina Alves de Oliveira"/>
    <d v="2025-11-19T17:52:00"/>
    <n v="247156"/>
    <s v="Navegantes / SC, Brasil (NVT)"/>
    <s v="OFF LINE"/>
    <s v="Invoice"/>
    <s v="Faturado"/>
    <x v="2"/>
    <s v="N"/>
    <x v="26"/>
    <s v="Kpmg Consultoria"/>
    <s v="-"/>
    <s v="Movida - Br - Sc - Navegantes - Centro"/>
    <s v="-"/>
    <x v="21"/>
    <s v="-"/>
    <x v="165"/>
    <n v="0"/>
    <n v="0"/>
    <n v="0"/>
    <n v="0"/>
    <n v="0"/>
    <n v="0"/>
    <s v="Reserva importada do Sistema TMS. OS: 247156"/>
    <s v="Fornecedor não preenchido! (ACC01)"/>
    <x v="5"/>
    <x v="1"/>
    <s v="Campo Fornecedor"/>
    <x v="0"/>
    <s v="Qualidade dos dados"/>
    <s v="KONTIK BUSINESS TRAVEL"/>
    <x v="3"/>
  </r>
  <r>
    <n v="23366471"/>
    <n v="24092507"/>
    <s v="ACC01"/>
    <x v="186"/>
    <d v="2025-11-21T16:11:19"/>
    <x v="3"/>
    <x v="3"/>
    <s v="5UUSHM"/>
    <s v="TMS"/>
    <s v="GUILHERME SILVA"/>
    <s v="Tuane Cristina Alves de Oliveira"/>
    <s v="Tuane Cristina Alves de Oliveira"/>
    <d v="2025-11-21T12:03:00"/>
    <n v="247794"/>
    <s v="Uberlândia / MG, Brasil (UDI)"/>
    <s v="OFF LINE"/>
    <s v="Invoice"/>
    <s v="Faturado"/>
    <x v="2"/>
    <s v="N"/>
    <x v="26"/>
    <s v="Kpmg Consultoria"/>
    <s v="-"/>
    <s v="-"/>
    <s v="-"/>
    <x v="21"/>
    <s v="-"/>
    <x v="166"/>
    <n v="0"/>
    <n v="0"/>
    <n v="0"/>
    <n v="0"/>
    <n v="0"/>
    <n v="0"/>
    <s v="Reserva importada do Sistema TMS. OS: 247794"/>
    <s v="Fornecedor não preenchido! (ACC01)"/>
    <x v="5"/>
    <x v="1"/>
    <s v="Campo Fornecedor"/>
    <x v="0"/>
    <s v="Qualidade dos dados"/>
    <s v="KONTIK BUSINESS TRAVEL"/>
    <x v="3"/>
  </r>
  <r>
    <n v="23366473"/>
    <n v="24092509"/>
    <s v="ACC01"/>
    <x v="187"/>
    <d v="2025-11-21T16:11:19"/>
    <x v="3"/>
    <x v="3"/>
    <s v="5U8260"/>
    <s v="TMS"/>
    <s v="DAVI SANTOS"/>
    <s v="Tuane Cristina Alves de Oliveira"/>
    <s v="Tuane Cristina Alves de Oliveira"/>
    <d v="2025-11-21T12:12:00"/>
    <n v="247785"/>
    <s v="Sinop / MT, Brasil (OPS)"/>
    <s v="OFF LINE"/>
    <s v="Invoice"/>
    <s v="Faturado"/>
    <x v="2"/>
    <s v="N"/>
    <x v="26"/>
    <s v="Kpmg Consultoria"/>
    <s v="-"/>
    <s v="-"/>
    <s v="-"/>
    <x v="21"/>
    <s v="-"/>
    <x v="167"/>
    <n v="0"/>
    <n v="0"/>
    <n v="0"/>
    <n v="0"/>
    <n v="0"/>
    <n v="0"/>
    <s v="Reserva importada do Sistema TMS. OS: 247785"/>
    <s v="Fornecedor não preenchido! (ACC01)"/>
    <x v="5"/>
    <x v="1"/>
    <s v="Campo Fornecedor"/>
    <x v="0"/>
    <s v="Qualidade dos dados"/>
    <s v="KONTIK BUSINESS TRAVEL"/>
    <x v="3"/>
  </r>
  <r>
    <n v="23366475"/>
    <n v="24092511"/>
    <s v="ACC01"/>
    <x v="188"/>
    <d v="2025-11-21T16:11:19"/>
    <x v="3"/>
    <x v="3"/>
    <s v="5UOX6P"/>
    <s v="TMS"/>
    <s v="GUSTAVO ROCHA"/>
    <s v="Tuane Cristina Alves de Oliveira"/>
    <s v="Tuane Cristina Alves de Oliveira"/>
    <d v="2025-11-21T12:23:00"/>
    <n v="247751"/>
    <s v="Cuiaba / MT, Brasil (CGB)"/>
    <s v="OFF LINE"/>
    <s v="Invoice"/>
    <s v="Faturado"/>
    <x v="2"/>
    <s v="N"/>
    <x v="26"/>
    <s v="Kpmg Consultoria"/>
    <s v="-"/>
    <s v="-"/>
    <s v="-"/>
    <x v="21"/>
    <s v="-"/>
    <x v="166"/>
    <n v="0"/>
    <n v="0"/>
    <n v="0"/>
    <n v="0"/>
    <n v="0"/>
    <n v="0"/>
    <s v="Reserva importada do Sistema TMS. OS: 247751"/>
    <s v="Fornecedor não preenchido! (ACC01)"/>
    <x v="5"/>
    <x v="1"/>
    <s v="Campo Fornecedor"/>
    <x v="0"/>
    <s v="Qualidade dos dados"/>
    <s v="KONTIK BUSINESS TRAVEL"/>
    <x v="3"/>
  </r>
  <r>
    <n v="23366476"/>
    <n v="24092512"/>
    <s v="ACC01"/>
    <x v="189"/>
    <d v="2025-11-21T16:11:19"/>
    <x v="3"/>
    <x v="3"/>
    <s v="5U0CHM"/>
    <s v="TMS"/>
    <s v="JEFERSON ALMEIDA"/>
    <s v="Tuane Cristina Alves de Oliveira"/>
    <s v="Tuane Cristina Alves de Oliveira"/>
    <d v="2025-11-21T12:17:00"/>
    <n v="247750"/>
    <s v="Cuiaba / MT, Brasil (CGB)"/>
    <s v="OFF LINE"/>
    <s v="Invoice"/>
    <s v="Faturado"/>
    <x v="2"/>
    <s v="N"/>
    <x v="26"/>
    <s v="Kpmg Consultoria"/>
    <s v="-"/>
    <s v="-"/>
    <s v="-"/>
    <x v="21"/>
    <s v="-"/>
    <x v="166"/>
    <n v="0"/>
    <n v="0"/>
    <n v="0"/>
    <n v="0"/>
    <n v="0"/>
    <n v="0"/>
    <s v="Reserva importada do Sistema TMS. OS: 247750"/>
    <s v="Fornecedor não preenchido! (ACC01)"/>
    <x v="5"/>
    <x v="1"/>
    <s v="Campo Fornecedor"/>
    <x v="0"/>
    <s v="Qualidade dos dados"/>
    <s v="KONTIK BUSINESS TRAVEL"/>
    <x v="3"/>
  </r>
  <r>
    <n v="23366481"/>
    <n v="24092517"/>
    <s v="ACC01"/>
    <x v="190"/>
    <d v="2025-11-21T16:11:42"/>
    <x v="3"/>
    <x v="3"/>
    <s v="5UV3HB"/>
    <s v="TMS"/>
    <s v="HELDER SILVA"/>
    <s v="Tuane Cristina Alves de Oliveira"/>
    <s v="Tuane Cristina Alves de Oliveira"/>
    <d v="2025-11-21T12:09:00"/>
    <n v="247526"/>
    <s v="Florianópolis / SC, Brasil (FLN)"/>
    <s v="OFF LINE"/>
    <s v="Invoice"/>
    <s v="Faturado"/>
    <x v="2"/>
    <s v="N"/>
    <x v="26"/>
    <s v="Kpmg"/>
    <s v="-"/>
    <s v="-"/>
    <s v="-"/>
    <x v="21"/>
    <s v="-"/>
    <x v="168"/>
    <n v="0"/>
    <n v="0"/>
    <n v="0"/>
    <n v="0"/>
    <n v="0"/>
    <n v="0"/>
    <s v="Reserva importada do Sistema TMS. OS: 247526"/>
    <s v="Fornecedor não preenchido! (ACC01)"/>
    <x v="5"/>
    <x v="1"/>
    <s v="Campo Fornecedor"/>
    <x v="0"/>
    <s v="Qualidade dos dados"/>
    <s v="KONTIK BUSINESS TRAVEL"/>
    <x v="3"/>
  </r>
  <r>
    <n v="23366443"/>
    <n v="24092479"/>
    <s v="ACC01"/>
    <x v="191"/>
    <d v="2025-11-21T16:06:01"/>
    <x v="3"/>
    <x v="3"/>
    <s v="5UD16P"/>
    <s v="TMS"/>
    <s v="GABRIELY PAZ"/>
    <s v="Tuane Cristina Alves de Oliveira"/>
    <s v="Tuane Cristina Alves de Oliveira"/>
    <d v="2025-11-21T12:30:00"/>
    <n v="247950"/>
    <s v="Sao Jose dos Pinhais / PR, Brasil (CWB)"/>
    <s v="OFF LINE"/>
    <s v="Invoice"/>
    <s v="Faturado"/>
    <x v="2"/>
    <s v="N"/>
    <x v="26"/>
    <s v="Kpmg Consultoria"/>
    <s v="-"/>
    <s v="-"/>
    <s v="-"/>
    <x v="21"/>
    <s v="-"/>
    <x v="169"/>
    <n v="0"/>
    <n v="0"/>
    <n v="0"/>
    <n v="0"/>
    <n v="0"/>
    <n v="0"/>
    <s v="Reserva importada do Sistema TMS. OS: 247950"/>
    <s v="Fornecedor não preenchido! (ACC01)"/>
    <x v="5"/>
    <x v="1"/>
    <s v="Campo Fornecedor"/>
    <x v="0"/>
    <s v="Qualidade dos dados"/>
    <s v="KONTIK BUSINESS TRAVEL"/>
    <x v="3"/>
  </r>
  <r>
    <n v="23327016"/>
    <n v="24056628"/>
    <s v="ACC01"/>
    <x v="192"/>
    <d v="2025-11-17T06:10:39"/>
    <x v="0"/>
    <x v="2"/>
    <s v="5TG544"/>
    <s v="TMS"/>
    <s v="FERNANDO LIANI"/>
    <s v="Tms"/>
    <s v="Tms"/>
    <d v="2025-11-14T17:34:00"/>
    <n v="246890"/>
    <s v="-"/>
    <s v="ON LINE"/>
    <s v="Cartão de crédito"/>
    <s v="Cartão de crédito"/>
    <x v="1"/>
    <s v="N"/>
    <x v="26"/>
    <s v="Kpmg"/>
    <s v="-"/>
    <s v="Brasil 21 Convention Suites - Inativo"/>
    <s v="-"/>
    <x v="21"/>
    <s v="-"/>
    <x v="170"/>
    <n v="0"/>
    <n v="0"/>
    <n v="0"/>
    <n v="0"/>
    <n v="24.71"/>
    <n v="0"/>
    <s v="Reserva importada do Sistema TMS. OS: 246890"/>
    <s v="Não foi possível encontrar um contrato válido para o fornecedor 17987 (Código fornecedor) "/>
    <x v="5"/>
    <x v="14"/>
    <s v="Análise Cadastro"/>
    <x v="0"/>
    <s v="Qualidade dos dados"/>
    <s v="KONTIK BUSINESS TRAVEL"/>
    <x v="2"/>
  </r>
  <r>
    <n v="23342694"/>
    <n v="24070443"/>
    <s v="ACC01"/>
    <x v="193"/>
    <d v="2025-11-17T20:25:30"/>
    <x v="0"/>
    <x v="0"/>
    <s v="5TNSRY"/>
    <s v="TMS"/>
    <s v="LEONARDO LIMA"/>
    <s v="Tms"/>
    <s v="Tms"/>
    <d v="2025-11-17T17:49:00"/>
    <n v="247339"/>
    <s v="Uberlândia / UDI"/>
    <s v="ON LINE"/>
    <s v="Invoice"/>
    <s v="Faturado"/>
    <x v="2"/>
    <s v="N"/>
    <x v="26"/>
    <s v="Kpmg"/>
    <s v="-"/>
    <s v="Movida - Br - Mg - Uberlandia - Aeroporto"/>
    <s v="-"/>
    <x v="21"/>
    <s v="-"/>
    <x v="171"/>
    <n v="0"/>
    <n v="0"/>
    <n v="0"/>
    <n v="0"/>
    <n v="0"/>
    <n v="0"/>
    <s v="Reserva importada do Sistema TMS. OS: 247339"/>
    <s v="Fornecedor não preenchido! (ACC01)"/>
    <x v="5"/>
    <x v="1"/>
    <s v="Campo Fornecedor"/>
    <x v="0"/>
    <s v="Qualidade dos dados"/>
    <s v="KONTIK BUSINESS TRAVEL"/>
    <x v="2"/>
  </r>
  <r>
    <n v="23342705"/>
    <n v="24070455"/>
    <s v="ACC01"/>
    <x v="194"/>
    <d v="2025-11-17T20:25:57"/>
    <x v="0"/>
    <x v="0"/>
    <s v="5TWEF6"/>
    <s v="TMS"/>
    <s v="JOAO BRANDAO"/>
    <s v="Tms"/>
    <s v="Tms"/>
    <d v="2025-11-17T16:49:00"/>
    <n v="247314"/>
    <s v="Goiânia / GYN"/>
    <s v="ON LINE"/>
    <s v="Invoice"/>
    <s v="Faturado"/>
    <x v="2"/>
    <s v="N"/>
    <x v="26"/>
    <s v="Kpmg"/>
    <s v="-"/>
    <s v="Movida - Br - Go - Goiania - Santa Genoveva - Aeroporto"/>
    <s v="-"/>
    <x v="21"/>
    <s v="-"/>
    <x v="172"/>
    <n v="0"/>
    <n v="0"/>
    <n v="0"/>
    <n v="0"/>
    <n v="0"/>
    <n v="0"/>
    <s v="Reserva importada do Sistema TMS. OS: 247314"/>
    <s v="Fornecedor não preenchido! (ACC01)"/>
    <x v="5"/>
    <x v="1"/>
    <s v="Campo Fornecedor"/>
    <x v="0"/>
    <s v="Qualidade dos dados"/>
    <s v="KONTIK BUSINESS TRAVEL"/>
    <x v="2"/>
  </r>
  <r>
    <n v="23364575"/>
    <n v="24090615"/>
    <s v="ACC01"/>
    <x v="195"/>
    <d v="2025-11-21T09:45:25"/>
    <x v="3"/>
    <x v="3"/>
    <n v="20715405"/>
    <s v="GOVER"/>
    <s v="Karla Barbosa"/>
    <s v="Gover"/>
    <s v="Gover"/>
    <d v="2025-11-05T11:10:00"/>
    <n v="4623915"/>
    <s v="-"/>
    <s v="ON LINE"/>
    <s v="Pagamento direto"/>
    <s v="Pagamento direto"/>
    <x v="1"/>
    <s v="N"/>
    <x v="27"/>
    <s v="Diageo Brasil"/>
    <s v="Cliente FEE no POS"/>
    <s v="Master Premium Grande Hotel"/>
    <s v="-"/>
    <x v="22"/>
    <s v="-"/>
    <x v="173"/>
    <n v="0"/>
    <n v="0"/>
    <n v="0"/>
    <n v="0"/>
    <n v="0"/>
    <n v="0"/>
    <s v="Reserva importada do sistema Gover. Id: 4623915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64576"/>
    <n v="24090616"/>
    <s v="ACC01"/>
    <x v="196"/>
    <d v="2025-11-21T09:45:25"/>
    <x v="3"/>
    <x v="3"/>
    <n v="20716687"/>
    <s v="GOVER"/>
    <s v="Karla Barbosa"/>
    <s v="Gover"/>
    <s v="Gover"/>
    <d v="2025-11-05T11:51:00"/>
    <n v="4623963"/>
    <s v="-"/>
    <s v="ON LINE"/>
    <s v="Pagamento direto"/>
    <s v="Pagamento direto"/>
    <x v="1"/>
    <s v="N"/>
    <x v="27"/>
    <s v="Diageo Brasil"/>
    <s v="Cliente FEE no POS"/>
    <s v="Ez Moema Hotel"/>
    <s v="-"/>
    <x v="22"/>
    <s v="-"/>
    <x v="174"/>
    <n v="0"/>
    <n v="0"/>
    <n v="0"/>
    <n v="0"/>
    <n v="0"/>
    <n v="0"/>
    <s v="Reserva importada do sistema Gover. Id: 4623963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64578"/>
    <n v="24090617"/>
    <s v="ACC01"/>
    <x v="196"/>
    <d v="2025-11-21T09:45:25"/>
    <x v="3"/>
    <x v="3"/>
    <n v="20722456"/>
    <s v="GOVER"/>
    <s v="Karla Barbosa"/>
    <s v="Gover"/>
    <s v="Gover"/>
    <d v="2025-11-05T15:36:00"/>
    <n v="4624148"/>
    <s v="-"/>
    <s v="ON LINE"/>
    <s v="Pagamento direto"/>
    <s v="Pagamento direto"/>
    <x v="1"/>
    <s v="N"/>
    <x v="27"/>
    <s v="Diageo Brasil"/>
    <s v="Cliente FEE no POS"/>
    <s v="San Michel Hotel"/>
    <s v="-"/>
    <x v="22"/>
    <s v="-"/>
    <x v="175"/>
    <n v="9.5"/>
    <n v="0"/>
    <n v="0"/>
    <n v="0"/>
    <n v="0"/>
    <n v="0"/>
    <s v="Reserva importada do sistema Gover. Id: 4624148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202562"/>
    <n v="23938738"/>
    <s v="ACC01"/>
    <x v="197"/>
    <d v="2025-11-24T06:55:09"/>
    <x v="4"/>
    <x v="6"/>
    <s v="5QQR2W"/>
    <s v="TMS"/>
    <s v="MATHEUS ONCINS GUIDA"/>
    <s v="Tms"/>
    <s v="Tms"/>
    <d v="2025-10-27T09:09:00"/>
    <n v="4155"/>
    <s v="-"/>
    <s v="ON LINE"/>
    <s v="Cartão de crédito"/>
    <s v="Cartão de crédito"/>
    <x v="1"/>
    <s v="N"/>
    <x v="28"/>
    <s v="Orizon"/>
    <s v="-"/>
    <s v="Ibis Rio de Janeiro Porto Atlantico (combo Com Novotel)"/>
    <s v="-"/>
    <x v="23"/>
    <s v="-"/>
    <x v="176"/>
    <n v="0"/>
    <n v="0"/>
    <n v="0"/>
    <n v="0"/>
    <n v="23.5"/>
    <n v="0"/>
    <s v="Reserva importada do Sistema TMS. OS: 4155"/>
    <s v="V"/>
    <x v="5"/>
    <x v="5"/>
    <s v="Análise Benner"/>
    <x v="2"/>
    <s v="Qualidade dos dados"/>
    <s v="KONTIK BUSINESS TRAVEL"/>
    <x v="3"/>
  </r>
  <r>
    <n v="21721135"/>
    <n v="22644986"/>
    <s v="ACC01"/>
    <x v="198"/>
    <d v="2025-11-07T16:55:10"/>
    <x v="1"/>
    <x v="5"/>
    <s v="4VZ88I"/>
    <s v="TMS"/>
    <s v="MATEUS TAVARES"/>
    <s v="Tms"/>
    <s v="Tms"/>
    <d v="2025-02-26T10:35:00"/>
    <n v="101346"/>
    <s v="-"/>
    <s v="ON LINE"/>
    <s v="Pagamento direto"/>
    <s v="Pagamento direto"/>
    <x v="1"/>
    <s v="S"/>
    <x v="29"/>
    <s v="Deloitte Consultores - Rio de Janeiro"/>
    <s v="-"/>
    <s v="Blue Tree Premium Morumbi"/>
    <s v="-"/>
    <x v="24"/>
    <s v="-"/>
    <x v="177"/>
    <n v="0"/>
    <n v="0"/>
    <n v="0"/>
    <n v="0"/>
    <n v="21"/>
    <n v="0"/>
    <s v="Reserva importada do Sistema TMS. OS: 101346"/>
    <s v="Erro excluindo PNR: Erro ao excluir documento financeiro: Documento está dentro de um período financeiro já fechado!"/>
    <x v="5"/>
    <x v="5"/>
    <s v="Análise Benner"/>
    <x v="2"/>
    <s v="Qualidade dos dados"/>
    <s v="KONTIK BUSINESS TRAVEL"/>
    <x v="3"/>
  </r>
  <r>
    <n v="23350443"/>
    <n v="24077832"/>
    <s v="ACC01"/>
    <x v="199"/>
    <d v="2025-11-18T21:15:49"/>
    <x v="0"/>
    <x v="0"/>
    <s v="OTUYXO1"/>
    <s v="TMS"/>
    <s v="RODRIGO FERNANDES"/>
    <s v="Adriana Dias de Grano"/>
    <s v="Adriana Dias de Grano"/>
    <d v="2025-11-18T19:05:00"/>
    <n v="119426"/>
    <s v="-"/>
    <s v="OFF LINE"/>
    <s v="Cartão de crédito"/>
    <s v="Cartão AMEX"/>
    <x v="0"/>
    <s v="N"/>
    <x v="29"/>
    <s v="Deloitte Consultores - Sao Paulo"/>
    <s v="-"/>
    <s v="Gol Linhas Aereas"/>
    <n v="2149775014"/>
    <x v="24"/>
    <s v="-"/>
    <x v="0"/>
    <n v="0"/>
    <n v="0"/>
    <n v="0"/>
    <n v="0"/>
    <n v="0"/>
    <n v="0"/>
    <s v="Reserva importada do Sistema TMS. OS: 119426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350447"/>
    <n v="24077836"/>
    <s v="ACC01"/>
    <x v="200"/>
    <d v="2025-11-18T21:15:53"/>
    <x v="0"/>
    <x v="0"/>
    <s v="ONPIVH1"/>
    <s v="TMS"/>
    <s v="LAIS COSTA"/>
    <s v="Adriana Dias de Grano"/>
    <s v="Adriana Dias de Grano"/>
    <d v="2025-11-18T18:56:00"/>
    <n v="119423"/>
    <s v="-"/>
    <s v="OFF LINE"/>
    <s v="Cartão de crédito"/>
    <s v="Cartão AMEX"/>
    <x v="0"/>
    <s v="N"/>
    <x v="29"/>
    <s v="Deloitte Consultores - Sao Paulo"/>
    <s v="-"/>
    <s v="Gol Linhas Aereas"/>
    <n v="2149774204"/>
    <x v="24"/>
    <s v="-"/>
    <x v="0"/>
    <n v="0"/>
    <n v="0"/>
    <n v="0"/>
    <n v="0"/>
    <n v="0"/>
    <n v="0"/>
    <s v="Reserva importada do Sistema TMS. OS: 119423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350449"/>
    <n v="24077837"/>
    <s v="ACC01"/>
    <x v="201"/>
    <d v="2025-11-18T21:15:53"/>
    <x v="0"/>
    <x v="0"/>
    <s v="FBDCUI1"/>
    <s v="TMS"/>
    <s v="JULIO CHACON"/>
    <s v="Adriana Dias de Grano"/>
    <s v="Adriana Dias de Grano"/>
    <d v="2025-11-18T18:49:00"/>
    <n v="119422"/>
    <s v="-"/>
    <s v="OFF LINE"/>
    <s v="Cartão de crédito"/>
    <s v="Cartão AMEX"/>
    <x v="0"/>
    <s v="N"/>
    <x v="29"/>
    <s v="Deloitte Auditores - Sao Paulo"/>
    <s v="-"/>
    <s v="Gol Linhas Aereas"/>
    <n v="2149773506"/>
    <x v="24"/>
    <s v="-"/>
    <x v="0"/>
    <n v="0"/>
    <n v="0"/>
    <n v="0"/>
    <n v="0"/>
    <n v="0"/>
    <n v="0"/>
    <s v="Reserva importada do Sistema TMS. OS: 119422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319648"/>
    <n v="24049371"/>
    <s v="ACC01"/>
    <x v="202"/>
    <d v="2025-11-13T20:01:35"/>
    <x v="2"/>
    <x v="2"/>
    <s v="5TALQC"/>
    <s v="TMS"/>
    <s v="THAIS SOBRINHO"/>
    <s v="Adriana Dias de Grano"/>
    <s v="Adriana Dias de Grano"/>
    <d v="2025-11-13T16:24:00"/>
    <n v="118818"/>
    <s v="Suzano / SP, Brasil (SAO)"/>
    <s v="OFF LINE"/>
    <s v="Pagamento direto"/>
    <s v="Pagamento direto"/>
    <x v="2"/>
    <s v="N"/>
    <x v="29"/>
    <s v="Deloitte Auditores - Sao Paulo"/>
    <s v="-"/>
    <s v="Movida - Br - Sp - Suzano - Vila Figueira -"/>
    <s v="-"/>
    <x v="24"/>
    <s v="-"/>
    <x v="178"/>
    <n v="0"/>
    <n v="79.97"/>
    <n v="0"/>
    <n v="0"/>
    <n v="0"/>
    <n v="0"/>
    <s v="Reserva importada do Sistema TMS. OS: 118818"/>
    <s v="Fornecedor não preenchido! (ACC01)"/>
    <x v="5"/>
    <x v="1"/>
    <s v="Campo Fornecedor"/>
    <x v="0"/>
    <s v="Qualidade dos dados"/>
    <s v="KONTIK BUSINESS TRAVEL"/>
    <x v="2"/>
  </r>
  <r>
    <n v="21958084"/>
    <n v="22853091"/>
    <s v="ACC01"/>
    <x v="203"/>
    <d v="2025-11-11T08:46:38"/>
    <x v="2"/>
    <x v="5"/>
    <s v="FVRELX1"/>
    <s v="TMS"/>
    <s v="PRISCILA PEREIRA"/>
    <s v="Adriana Dias de Grano"/>
    <s v="Adriana Dias de Grano"/>
    <d v="2025-04-09T18:16:00"/>
    <n v="103800"/>
    <s v="-"/>
    <s v="OFF LINE"/>
    <s v="Cartão de crédito"/>
    <s v="Cartão AMEX"/>
    <x v="0"/>
    <s v="N"/>
    <x v="29"/>
    <s v="Deloitte Consultores - Sao Paulo"/>
    <s v="-"/>
    <s v="Gol Linhas Aereas"/>
    <n v="2135764403"/>
    <x v="24"/>
    <s v="-"/>
    <x v="0"/>
    <n v="0"/>
    <n v="0"/>
    <n v="0"/>
    <n v="0"/>
    <n v="0"/>
    <n v="0"/>
    <s v="Reserva importada do Sistema TMS. OS: 103800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1878709"/>
    <n v="22784732"/>
    <s v="ACC01"/>
    <x v="204"/>
    <d v="2025-11-11T08:45:57"/>
    <x v="2"/>
    <x v="5"/>
    <s v="HMRP3N1"/>
    <s v="TMS"/>
    <s v="ILVANIR CASTRO"/>
    <s v="Adriana Dias de Grano"/>
    <s v="Adriana Dias de Grano"/>
    <d v="2025-03-25T18:23:00"/>
    <n v="102823"/>
    <s v="-"/>
    <s v="OFF LINE"/>
    <s v="Cartão de crédito"/>
    <s v="Cartão AMEX"/>
    <x v="0"/>
    <s v="N"/>
    <x v="29"/>
    <s v="Deloitte Operate Services"/>
    <s v="-"/>
    <s v="Azul Linhas Aereas"/>
    <n v="3022784732"/>
    <x v="24"/>
    <s v="-"/>
    <x v="0"/>
    <n v="0"/>
    <n v="0"/>
    <n v="0"/>
    <n v="0"/>
    <n v="0"/>
    <n v="0"/>
    <s v="Reserva importada do Sistema TMS. OS: 102823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282856"/>
    <n v="24015207"/>
    <s v="ACC01"/>
    <x v="205"/>
    <d v="2025-11-07T23:49:34"/>
    <x v="1"/>
    <x v="1"/>
    <s v="5RW2MJ"/>
    <s v="TMS"/>
    <s v="NIVALDO MELLO"/>
    <s v="SAMANTHA OLIVEIRA NASCIMENTO"/>
    <s v="SAMANTHA OLIVEIRA NASCIMENTO"/>
    <d v="2025-11-07T18:01:00"/>
    <n v="116838"/>
    <s v="-"/>
    <s v="OFF LINE"/>
    <s v="Pagamento direto"/>
    <s v="Pagamento direto"/>
    <x v="1"/>
    <s v="N"/>
    <x v="29"/>
    <s v="Deloitte Consultores - Sao Paulo"/>
    <s v="-"/>
    <s v="-"/>
    <s v="-"/>
    <x v="24"/>
    <s v="-"/>
    <x v="179"/>
    <n v="0"/>
    <n v="0"/>
    <n v="0"/>
    <n v="0"/>
    <n v="0"/>
    <n v="0"/>
    <s v="Reserva importada do Sistema TMS. OS: 116838"/>
    <s v="Fornecedor não preenchido! (ACC01)"/>
    <x v="5"/>
    <x v="1"/>
    <s v="Campo Fornecedor"/>
    <x v="0"/>
    <s v="Qualidade dos dados"/>
    <s v="KONTIK BUSINESS TRAVEL"/>
    <x v="2"/>
  </r>
  <r>
    <n v="23289403"/>
    <n v="24020833"/>
    <s v="ACC01"/>
    <x v="206"/>
    <d v="2025-11-09T11:45:46"/>
    <x v="2"/>
    <x v="2"/>
    <s v="5RNFC7"/>
    <s v="MANUAL"/>
    <s v="GABRIEL NOGUEIRA MUNHOZ"/>
    <s v="Felipe Aparecido da Silva Neves"/>
    <s v="Felipe Aparecido da Silva Neves"/>
    <d v="2025-11-09T11:36:00"/>
    <s v="TICKET #778314"/>
    <s v="-"/>
    <s v="OFF LINE"/>
    <s v="Pagamento direto"/>
    <s v="Cartão de crédito"/>
    <x v="1"/>
    <s v="N"/>
    <x v="29"/>
    <s v="Deloitte Consultores - Sao Paulo"/>
    <s v="-"/>
    <s v="Blue Tree Towers Fortaleza"/>
    <s v="-"/>
    <x v="4"/>
    <s v="-"/>
    <x v="180"/>
    <n v="0"/>
    <n v="0"/>
    <n v="0"/>
    <n v="0"/>
    <n v="0"/>
    <n v="0"/>
    <s v="Emergencial: Ticket #778314"/>
    <s v=" Módulo Operações    -&gt; Configurações      -&gt; Configurações do sistema turismo        -&gt; Importação das vendas          -&gt; Entradas/Saídas  Para o "/>
    <x v="1"/>
    <x v="4"/>
    <s v="Forma PG. e REC."/>
    <x v="0"/>
    <s v="Qualidade dos dados"/>
    <s v="KONTIK BUSINESS TRAVEL"/>
    <x v="3"/>
  </r>
  <r>
    <n v="23305170"/>
    <n v="24035818"/>
    <s v="ACC01"/>
    <x v="207"/>
    <d v="2025-11-11T19:35:53"/>
    <x v="2"/>
    <x v="2"/>
    <s v="5TVVAP"/>
    <s v="TMS"/>
    <s v="WELLENSOHN COSTA"/>
    <s v="Cintya Cocco Figueiredo"/>
    <s v="Cintya Cocco Figueiredo"/>
    <d v="2025-11-11T13:29:00"/>
    <n v="118602"/>
    <s v="-"/>
    <s v="OFF LINE"/>
    <s v="Pagamento direto"/>
    <s v="Pagamento direto"/>
    <x v="1"/>
    <s v="N"/>
    <x v="29"/>
    <s v="Deloitte Assessoria - Recife"/>
    <s v="-"/>
    <s v="-"/>
    <s v="-"/>
    <x v="24"/>
    <s v="-"/>
    <x v="181"/>
    <n v="0"/>
    <n v="0"/>
    <n v="0"/>
    <n v="0"/>
    <n v="0"/>
    <n v="0"/>
    <s v="Reserva importada do Sistema TMS. OS: 118602"/>
    <s v="Fornecedor não preenchido! (ACC01)"/>
    <x v="5"/>
    <x v="1"/>
    <s v="Campo Fornecedor"/>
    <x v="0"/>
    <s v="Qualidade dos dados"/>
    <s v="KONTIK BUSINESS TRAVEL"/>
    <x v="2"/>
  </r>
  <r>
    <n v="23329212"/>
    <n v="24058646"/>
    <s v="ACC01"/>
    <x v="208"/>
    <d v="2025-11-15T01:33:43"/>
    <x v="2"/>
    <x v="2"/>
    <s v="5TY1P5"/>
    <s v="TMS"/>
    <s v="CAUE OLIVEIRA"/>
    <s v="Cintya Cocco Figueiredo"/>
    <s v="Cintya Cocco Figueiredo"/>
    <d v="2025-11-14T19:24:00"/>
    <n v="118875"/>
    <s v="Carajas / PA, Brasil (CKS)"/>
    <s v="OFF LINE"/>
    <s v="Pagamento direto"/>
    <s v="Pagamento direto"/>
    <x v="2"/>
    <s v="N"/>
    <x v="29"/>
    <s v="Deloitte Consultores - Sao Paulo"/>
    <s v="-"/>
    <s v="Movida - Br - Pa - Parauapebas - Carajas"/>
    <s v="-"/>
    <x v="24"/>
    <s v="-"/>
    <x v="182"/>
    <n v="0"/>
    <n v="116.54"/>
    <n v="0"/>
    <n v="0"/>
    <n v="0"/>
    <n v="0"/>
    <s v="Reserva importada do Sistema TMS. OS: 118875"/>
    <s v="Fornecedor não preenchido! (ACC01)"/>
    <x v="5"/>
    <x v="1"/>
    <s v="Campo Fornecedor"/>
    <x v="0"/>
    <s v="Qualidade dos dados"/>
    <s v="KONTIK BUSINESS TRAVEL"/>
    <x v="2"/>
  </r>
  <r>
    <n v="23368259"/>
    <n v="24094237"/>
    <s v="ACC01"/>
    <x v="209"/>
    <d v="2025-11-21T20:51:26"/>
    <x v="3"/>
    <x v="3"/>
    <s v="AIJFVM"/>
    <s v="SABRE"/>
    <s v="BERLINSKY/PAULO ANDRE"/>
    <s v="Beatrys Ferreira Rocha"/>
    <s v="WS"/>
    <d v="2025-11-21T08:26:00"/>
    <s v="AIJFVM"/>
    <s v="-"/>
    <s v="ON LINE"/>
    <s v="Cartão de crédito"/>
    <s v="Cartão de crédito"/>
    <x v="0"/>
    <s v="N"/>
    <x v="30"/>
    <s v="New Skies"/>
    <s v="-"/>
    <s v="American Airlines"/>
    <n v="5580637777"/>
    <x v="13"/>
    <s v="-"/>
    <x v="183"/>
    <n v="60.41"/>
    <n v="425.3"/>
    <n v="0"/>
    <n v="60.41"/>
    <n v="0"/>
    <n v="0"/>
    <s v="Reserva importada por HubTravel"/>
    <s v="Centro de custo não preenchido! (ACC01) Empenho/departamento não preenchido! (ACC01) Matrícula não preenchida! (ACC01)"/>
    <x v="4"/>
    <x v="10"/>
    <s v="Falta de informação Gerencial"/>
    <x v="0"/>
    <s v="Qualidade dos dados"/>
    <s v="GRUPO KONTIK"/>
    <x v="0"/>
  </r>
  <r>
    <n v="23342531"/>
    <n v="24070278"/>
    <s v="ACC01"/>
    <x v="210"/>
    <d v="2025-11-19T06:10:44"/>
    <x v="3"/>
    <x v="0"/>
    <s v="FQYEWIT"/>
    <s v="SABRE"/>
    <s v="ALENCAR/FABIO FRANCO COSTA DE MR"/>
    <s v="WS"/>
    <s v="WS"/>
    <d v="2025-11-17T07:56:00"/>
    <s v="FQYEWI"/>
    <s v="-"/>
    <s v="ON LINE"/>
    <s v="Cartão de crédito"/>
    <s v="Cartão de crédito"/>
    <x v="1"/>
    <s v="N"/>
    <x v="30"/>
    <s v="Ses Dth"/>
    <s v="-"/>
    <s v="Hyatt Place Dc Georgetown West"/>
    <s v="-"/>
    <x v="13"/>
    <s v="-"/>
    <x v="184"/>
    <n v="89.05"/>
    <n v="0"/>
    <n v="0"/>
    <n v="0"/>
    <n v="0"/>
    <n v="0"/>
    <s v="Reserva importada por HubTravel"/>
    <s v="Centro de custo não preenchido! (ACC01) Empenho/departamento não preenchido! (ACC01) Matrícula não preenchida! (ACC01)"/>
    <x v="4"/>
    <x v="10"/>
    <s v="Falta de informação Gerencial"/>
    <x v="0"/>
    <s v="Qualidade dos dados"/>
    <s v="KONTIK BUSINESS TRAVEL"/>
    <x v="2"/>
  </r>
  <r>
    <n v="23252906"/>
    <n v="23985547"/>
    <s v="ACC01"/>
    <x v="211"/>
    <d v="2025-11-04T09:40:47"/>
    <x v="1"/>
    <x v="1"/>
    <s v="QXKNDR"/>
    <s v="GOVER"/>
    <s v="THASSIA CONTI DE ALBUQUERQUE"/>
    <s v="Gover"/>
    <s v="Gover"/>
    <d v="2025-11-04T09:28:00"/>
    <n v="4623151"/>
    <s v="-"/>
    <s v="ON LINE"/>
    <s v="Pagamento direto"/>
    <s v="Pagamento direto"/>
    <x v="1"/>
    <s v="N"/>
    <x v="31"/>
    <s v="Firmenich"/>
    <s v="-"/>
    <s v="-"/>
    <s v="-"/>
    <x v="25"/>
    <s v="-"/>
    <x v="185"/>
    <n v="34.23"/>
    <n v="0"/>
    <n v="0"/>
    <n v="0"/>
    <n v="0"/>
    <n v="0"/>
    <s v="Reserva importada do sistema Gover. Id: 4623151"/>
    <s v="Fornecedor não preenchido! (ACC01)"/>
    <x v="0"/>
    <x v="1"/>
    <s v="Campo Fornecedor"/>
    <x v="0"/>
    <s v="Sistêmico"/>
    <s v="GRUPO KONTIK"/>
    <x v="1"/>
  </r>
  <r>
    <n v="23355982"/>
    <n v="24082945"/>
    <s v="ACC01"/>
    <x v="212"/>
    <d v="2025-11-19T17:16:25"/>
    <x v="3"/>
    <x v="3"/>
    <s v="EARTCC"/>
    <s v="GOVER"/>
    <s v="RAFAEL LIMA DE OLIVEIRA"/>
    <s v="Gover"/>
    <s v="Gover"/>
    <d v="2025-11-18T14:46:00"/>
    <n v="4629648"/>
    <s v="-"/>
    <s v="OFF LINE"/>
    <s v="Invoice"/>
    <s v="Faturado"/>
    <x v="1"/>
    <s v="N"/>
    <x v="31"/>
    <s v="Firmenich"/>
    <s v="-"/>
    <s v="-"/>
    <s v="-"/>
    <x v="25"/>
    <s v="-"/>
    <x v="186"/>
    <n v="21.08"/>
    <n v="0"/>
    <n v="0"/>
    <n v="0"/>
    <n v="0"/>
    <n v="0"/>
    <s v="Reserva importada do sistema Gover. Id: 4629648"/>
    <s v="Fornecedor não preenchido! (ACC01)"/>
    <x v="0"/>
    <x v="1"/>
    <s v="Campo Fornecedor"/>
    <x v="0"/>
    <s v="Sistêmico"/>
    <s v="GRUPO KONTIK"/>
    <x v="1"/>
  </r>
  <r>
    <n v="23355482"/>
    <n v="24082457"/>
    <s v="ACC01"/>
    <x v="213"/>
    <d v="2025-11-19T16:07:02"/>
    <x v="3"/>
    <x v="3"/>
    <s v="5TOCXO"/>
    <s v="LEMONTECH"/>
    <s v="AMPARO GARCIA/CRISTIANO"/>
    <s v="Maria Clara Landeira Mezavila"/>
    <s v="Maria Clara Landeira Mezavila"/>
    <d v="2025-11-19T00:00:00"/>
    <n v="18057731"/>
    <s v="-"/>
    <s v="ON LINE"/>
    <s v="Invoice"/>
    <s v="Faturado"/>
    <x v="1"/>
    <s v="N"/>
    <x v="32"/>
    <s v="Bristow"/>
    <s v="-"/>
    <s v="-"/>
    <s v="-"/>
    <x v="26"/>
    <s v="-"/>
    <x v="187"/>
    <n v="0"/>
    <n v="0"/>
    <n v="0"/>
    <n v="0"/>
    <n v="0"/>
    <n v="0"/>
    <s v="Reserva importada do Sistema Lemontech. Solicitação: 18057731"/>
    <s v="Fornecedor não preenchido! (ACC01)"/>
    <x v="6"/>
    <x v="1"/>
    <s v="Campo Fornecedor"/>
    <x v="0"/>
    <s v="Qualidade dos dados"/>
    <s v="KONTIK BUSINESS TRAVEL"/>
    <x v="2"/>
  </r>
  <r>
    <n v="23356593"/>
    <n v="24083591"/>
    <s v="ACC01"/>
    <x v="214"/>
    <d v="2025-11-20T05:03:07"/>
    <x v="3"/>
    <x v="3"/>
    <s v="CNTEDBT"/>
    <s v="SABRE"/>
    <s v="DIAS DE OLIVEIRA/JOAO RAFAEL RAFAEL MR"/>
    <s v="WS"/>
    <s v="WS"/>
    <d v="2025-11-19T12:14:00"/>
    <s v="CNTEDB"/>
    <s v="-"/>
    <s v="ON LINE"/>
    <s v="Cartão de crédito"/>
    <s v="Cartão de crédito"/>
    <x v="1"/>
    <s v="N"/>
    <x v="33"/>
    <s v="Black e Decker do Brasil Ltda"/>
    <s v="Cliente FEE no POS"/>
    <s v="-"/>
    <s v="-"/>
    <x v="13"/>
    <s v="-"/>
    <x v="188"/>
    <n v="32.85"/>
    <n v="0"/>
    <n v="0"/>
    <n v="0"/>
    <n v="0"/>
    <n v="8"/>
    <s v="Reserva importada por HubTravel"/>
    <s v="Fornecedor não preenchido! (ACC01)"/>
    <x v="4"/>
    <x v="1"/>
    <s v="Campo Fornecedor"/>
    <x v="0"/>
    <s v="Sistêmico"/>
    <s v="GRUPO KONTIK"/>
    <x v="1"/>
  </r>
  <r>
    <n v="23367852"/>
    <n v="24093844"/>
    <s v="ACC01"/>
    <x v="215"/>
    <d v="2025-11-21T19:06:19"/>
    <x v="3"/>
    <x v="3"/>
    <s v="WRUPWNT"/>
    <s v="SABRE"/>
    <s v="DIAS/BLOTON ALAOR DA ROSA"/>
    <s v="Paulo Roberto Mendes da Silva"/>
    <s v="Paulo Roberto Mendes da Silva"/>
    <d v="2025-11-21T15:18:00"/>
    <s v="WRUPWN"/>
    <s v="-"/>
    <s v="ON LINE"/>
    <s v="Invoice"/>
    <s v="Faturado"/>
    <x v="1"/>
    <s v="N"/>
    <x v="33"/>
    <s v="Bdb Ferramentas do Brasil Ltda"/>
    <s v="Cliente FEE no POS"/>
    <s v="Ibis Novo Hamburgo"/>
    <s v="-"/>
    <x v="13"/>
    <s v="-"/>
    <x v="189"/>
    <n v="0"/>
    <n v="0"/>
    <n v="0"/>
    <n v="0"/>
    <n v="0"/>
    <n v="0"/>
    <s v="Reserva importada por HubTravel"/>
    <s v="Centro de custo não preenchido! (ACC01)"/>
    <x v="4"/>
    <x v="8"/>
    <s v="Falta de informação Gerencial"/>
    <x v="0"/>
    <s v="Qualidade dos dados"/>
    <s v="KONTIK BUSINESS TRAVEL"/>
    <x v="6"/>
  </r>
  <r>
    <n v="23338981"/>
    <n v="24066763"/>
    <s v="ACC01"/>
    <x v="216"/>
    <d v="2025-11-18T15:42:33"/>
    <x v="0"/>
    <x v="0"/>
    <s v="AAZJZDT"/>
    <s v="SABRE"/>
    <s v="ANASTACIO/JOSE STENYLSON"/>
    <s v="CORA TORLAI CIRINO"/>
    <s v="CORA TORLAI CIRINO"/>
    <d v="2025-11-17T08:03:00"/>
    <s v="AAZJZD"/>
    <s v="-"/>
    <s v="ON LINE"/>
    <s v="Invoice"/>
    <s v="Faturado"/>
    <x v="1"/>
    <s v="N"/>
    <x v="33"/>
    <s v="Bdb Ferramentas do Brasil Ltda"/>
    <s v="Cliente FEE no POS"/>
    <s v="HOTEL EXECUTIVO BOULEVARD"/>
    <s v="-"/>
    <x v="13"/>
    <s v="-"/>
    <x v="190"/>
    <n v="0"/>
    <n v="0"/>
    <n v="0"/>
    <n v="0"/>
    <n v="0"/>
    <n v="0"/>
    <s v="Reserva importada por HubTravel"/>
    <s v="23Ocorreu o erro 'The INSERT statement conflicted with the FOREIGN KEY constraint &quot;FK_1416_10421&quot;. The conflict occurred in database &quot;Corporativo&quot;, "/>
    <x v="4"/>
    <x v="3"/>
    <s v="Mais de um campo não preenchido"/>
    <x v="0"/>
    <s v="Sistêmico"/>
    <s v="KONTIK BUSINESS TRAVEL"/>
    <x v="2"/>
  </r>
  <r>
    <n v="23355951"/>
    <n v="24082921"/>
    <s v="ACC01"/>
    <x v="217"/>
    <d v="2025-11-20T04:55:49"/>
    <x v="3"/>
    <x v="3"/>
    <s v="OFFKCM"/>
    <s v="SABRE"/>
    <s v="DIAS DE OLIVEIRA/JOAO RAFAEL RAFAEL"/>
    <s v="CORA TORLAI CIRINO"/>
    <s v="CORA TORLAI CIRINO"/>
    <d v="2025-11-19T07:35:00"/>
    <s v="MWKWDN"/>
    <s v="-"/>
    <s v="ON LINE"/>
    <s v="Cartão de crédito"/>
    <s v="Cartão de crédito"/>
    <x v="0"/>
    <s v="N"/>
    <x v="33"/>
    <s v="Black e Decker do Brasil Ltda"/>
    <s v="Cliente FEE no POS"/>
    <s v="Gol Linhas Aereas"/>
    <n v="2149820148"/>
    <x v="13"/>
    <s v="-"/>
    <x v="191"/>
    <n v="87.69"/>
    <n v="0"/>
    <n v="0"/>
    <n v="0"/>
    <n v="0"/>
    <n v="17"/>
    <s v="Reserva importada por HubTravel"/>
    <s v="Centro de custo não preenchido! (ACC01)"/>
    <x v="4"/>
    <x v="8"/>
    <s v="Falta de informação Gerencial"/>
    <x v="0"/>
    <s v="Qualidade dos dados"/>
    <s v="KONTIK BUSINESS TRAVEL"/>
    <x v="6"/>
  </r>
  <r>
    <n v="23187098"/>
    <n v="23925043"/>
    <s v="ACC01"/>
    <x v="218"/>
    <d v="2025-10-25T22:15:12"/>
    <x v="5"/>
    <x v="5"/>
    <s v="IRRSDQ"/>
    <s v="GOVER"/>
    <s v="Eduardo Marques Santos "/>
    <s v="Gover"/>
    <s v="Gover"/>
    <d v="2025-10-23T16:59:00"/>
    <n v="4618064"/>
    <s v="-"/>
    <s v="OFF LINE"/>
    <s v="Invoice"/>
    <s v="Faturado"/>
    <x v="1"/>
    <s v="N"/>
    <x v="34"/>
    <s v="Atos Brasil Ltda"/>
    <s v="-"/>
    <s v="-"/>
    <s v="-"/>
    <x v="27"/>
    <s v="-"/>
    <x v="192"/>
    <n v="4.46"/>
    <n v="0"/>
    <n v="0"/>
    <n v="0"/>
    <n v="0"/>
    <n v="0"/>
    <s v="Reserva importada do sistema Gover. Id: 4618064"/>
    <s v="Fornecedor não preenchido! (ACC01)"/>
    <x v="0"/>
    <x v="1"/>
    <s v="Campo Fornecedor"/>
    <x v="0"/>
    <s v="Sistêmico"/>
    <s v="GRUPO KONTIK"/>
    <x v="1"/>
  </r>
  <r>
    <n v="23187100"/>
    <n v="23925045"/>
    <s v="ACC01"/>
    <x v="219"/>
    <d v="2025-10-25T22:15:13"/>
    <x v="5"/>
    <x v="5"/>
    <s v="CMBHVE"/>
    <s v="GOVER"/>
    <s v="Pablo Peruzzi Zanati "/>
    <s v="Gover"/>
    <s v="Gover"/>
    <d v="2025-10-23T17:08:00"/>
    <n v="4618071"/>
    <s v="-"/>
    <s v="OFF LINE"/>
    <s v="Invoice"/>
    <s v="Faturado"/>
    <x v="1"/>
    <s v="N"/>
    <x v="34"/>
    <s v="Atos Brasil Ltda"/>
    <s v="-"/>
    <s v="-"/>
    <s v="-"/>
    <x v="27"/>
    <s v="-"/>
    <x v="192"/>
    <n v="4.46"/>
    <n v="0"/>
    <n v="0"/>
    <n v="0"/>
    <n v="0"/>
    <n v="0"/>
    <s v="Reserva importada do sistema Gover. Id: 4618071"/>
    <s v="Fornecedor não preenchido! (ACC01)"/>
    <x v="0"/>
    <x v="1"/>
    <s v="Campo Fornecedor"/>
    <x v="0"/>
    <s v="Sistêmico"/>
    <s v="GRUPO KONTIK"/>
    <x v="1"/>
  </r>
  <r>
    <n v="23367494"/>
    <n v="24093497"/>
    <s v="ACC01"/>
    <x v="220"/>
    <d v="2025-11-22T05:07:09"/>
    <x v="4"/>
    <x v="3"/>
    <s v="OMGPBZ"/>
    <s v="SABRE"/>
    <s v="AGUIAR/DORIVALDO GONCALVES"/>
    <s v="Jennifer dos Santos Guedes de Oliveira"/>
    <s v="Jennifer dos Santos Guedes de Oliveira"/>
    <d v="2025-11-15T09:52:00"/>
    <s v="OMGPBZ"/>
    <s v="-"/>
    <s v="ON LINE"/>
    <s v="Cartão de crédito"/>
    <s v="Cartão de crédito"/>
    <x v="0"/>
    <s v="N"/>
    <x v="35"/>
    <s v="Honeywell"/>
    <s v="Cliente FEE no POS"/>
    <s v="Latam Airlines Brasil"/>
    <n v="5580579285"/>
    <x v="28"/>
    <s v="-"/>
    <x v="193"/>
    <n v="120.08"/>
    <n v="0"/>
    <n v="0"/>
    <n v="120.08"/>
    <n v="0"/>
    <n v="13"/>
    <s v="Reserva importada por HubTravel"/>
    <s v="Centro de custo não preenchido! (ACC01)"/>
    <x v="4"/>
    <x v="8"/>
    <s v="Falta de informação Gerencial"/>
    <x v="0"/>
    <s v="Qualidade dos dados"/>
    <s v="KONTIK BUSINESS TRAVEL"/>
    <x v="6"/>
  </r>
  <r>
    <n v="23164693"/>
    <n v="23908506"/>
    <s v="ACC01"/>
    <x v="221"/>
    <d v="2025-10-22T13:25:53"/>
    <x v="6"/>
    <x v="5"/>
    <s v="UTWGQNC"/>
    <s v="SABRE"/>
    <s v="PARRA SR/FERNANDO MR"/>
    <s v="WS"/>
    <s v="WS"/>
    <d v="2025-10-20T11:55:00"/>
    <s v="UTWGQN"/>
    <s v="LIM"/>
    <s v="ON LINE"/>
    <s v="Invoice"/>
    <s v="Faturado"/>
    <x v="2"/>
    <s v="N"/>
    <x v="35"/>
    <s v="Honeywell"/>
    <s v="Cliente FEE no POS"/>
    <s v="-"/>
    <s v="-"/>
    <x v="28"/>
    <s v="-"/>
    <x v="194"/>
    <n v="33.56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232738"/>
    <n v="23967330"/>
    <s v="ACC01"/>
    <x v="222"/>
    <d v="2025-11-01T05:13:59"/>
    <x v="1"/>
    <x v="6"/>
    <s v="AGZQCCT"/>
    <s v="SABRE"/>
    <s v="BORGHI/ANA BEATRIZ"/>
    <s v="WS"/>
    <s v="WS"/>
    <d v="2025-10-30T14:31:00"/>
    <s v="AGZQCC"/>
    <s v="-"/>
    <s v="ON LINE"/>
    <s v="Cartão de crédito"/>
    <s v="Cartão de crédito"/>
    <x v="1"/>
    <s v="N"/>
    <x v="35"/>
    <s v="Honeywell"/>
    <s v="Cliente FEE no POS"/>
    <s v="-"/>
    <s v="-"/>
    <x v="28"/>
    <s v="-"/>
    <x v="195"/>
    <n v="26.17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135349"/>
    <n v="23881951"/>
    <s v="ACC01"/>
    <x v="223"/>
    <d v="2025-10-18T05:08:57"/>
    <x v="6"/>
    <x v="5"/>
    <s v="OKELFNT"/>
    <s v="SABRE"/>
    <s v="MONTEALEGRE/MATEO MR"/>
    <s v="WS"/>
    <s v="WS"/>
    <d v="2025-10-17T16:47:00"/>
    <s v="OKELFN"/>
    <s v="-"/>
    <s v="ON LINE"/>
    <s v="Cartão de crédito"/>
    <s v="Cartão de crédito"/>
    <x v="1"/>
    <s v="N"/>
    <x v="35"/>
    <s v="Honeywell"/>
    <s v="Cliente FEE no POS"/>
    <s v="-"/>
    <s v="-"/>
    <x v="28"/>
    <s v="-"/>
    <x v="196"/>
    <n v="4102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253687"/>
    <n v="23986342"/>
    <s v="ACC01"/>
    <x v="224"/>
    <d v="2025-11-05T05:06:33"/>
    <x v="1"/>
    <x v="1"/>
    <s v="IOUFUGT"/>
    <s v="SABRE"/>
    <s v="TAVARES/THOMAZ DAIBERT MACHADO MR"/>
    <s v="WS"/>
    <s v="WS"/>
    <d v="2025-11-03T15:03:00"/>
    <s v="IOUFUG"/>
    <s v="-"/>
    <s v="ON LINE"/>
    <s v="Cartão de crédito"/>
    <s v="Cartão de crédito"/>
    <x v="1"/>
    <s v="N"/>
    <x v="35"/>
    <s v="Honeywell"/>
    <s v="Cliente FEE no POS"/>
    <s v="-"/>
    <s v="-"/>
    <x v="28"/>
    <s v="-"/>
    <x v="197"/>
    <n v="34.99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254292"/>
    <n v="23986968"/>
    <s v="ACC01"/>
    <x v="225"/>
    <d v="2025-11-05T05:07:07"/>
    <x v="1"/>
    <x v="1"/>
    <s v="APLQJUT"/>
    <s v="SABRE"/>
    <s v="PARRA SR/FERNANDO MR"/>
    <s v="WS"/>
    <s v="WS"/>
    <d v="2025-11-04T05:54:00"/>
    <s v="APLQJU"/>
    <s v="-"/>
    <s v="ON LINE"/>
    <s v="Cartão de crédito"/>
    <s v="Cartão de crédito"/>
    <x v="1"/>
    <s v="N"/>
    <x v="35"/>
    <s v="Honeywell"/>
    <s v="Cliente FEE no POS"/>
    <s v="-"/>
    <s v="-"/>
    <x v="28"/>
    <s v="-"/>
    <x v="198"/>
    <n v="0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245441"/>
    <n v="23978415"/>
    <s v="ACC01"/>
    <x v="226"/>
    <d v="2025-11-04T05:06:31"/>
    <x v="1"/>
    <x v="1"/>
    <s v="FLOAUYT"/>
    <s v="SABRE"/>
    <s v="BORGHI/ANA BEATRIZ"/>
    <s v="WS"/>
    <s v="WS"/>
    <d v="2025-11-01T15:48:00"/>
    <s v="FLOAUY"/>
    <s v="-"/>
    <s v="ON LINE"/>
    <s v="Cartão de crédito"/>
    <s v="Cartão de crédito"/>
    <x v="1"/>
    <s v="N"/>
    <x v="35"/>
    <s v="Honeywell"/>
    <s v="Cliente FEE no POS"/>
    <s v="-"/>
    <s v="-"/>
    <x v="28"/>
    <s v="-"/>
    <x v="199"/>
    <n v="8.449999999999999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245443"/>
    <n v="23978417"/>
    <s v="ACC01"/>
    <x v="227"/>
    <d v="2025-11-03T11:15:50"/>
    <x v="1"/>
    <x v="1"/>
    <s v="NNQWGQC"/>
    <s v="SABRE"/>
    <s v="PIMENTA DE PADUA SR/VINICIUS MR"/>
    <s v="WS"/>
    <s v="WS"/>
    <d v="2025-11-02T16:27:00"/>
    <s v="NNQWGQ"/>
    <s v="GIG"/>
    <s v="ON LINE"/>
    <s v="Invoice"/>
    <s v="Faturado"/>
    <x v="2"/>
    <s v="N"/>
    <x v="35"/>
    <s v="Honeywell Industria de Tecnologia - Itajuba - Mg"/>
    <s v="Cliente FEE no POS"/>
    <s v="-"/>
    <s v="-"/>
    <x v="28"/>
    <s v="-"/>
    <x v="200"/>
    <n v="167.99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5782"/>
    <n v="24082749"/>
    <s v="ACC01"/>
    <x v="228"/>
    <d v="2025-11-19T16:57:45"/>
    <x v="3"/>
    <x v="3"/>
    <s v="KXOZBZC"/>
    <s v="SABRE"/>
    <s v="MAY/VINICIUS FELIPE"/>
    <s v="WS"/>
    <s v="WS"/>
    <d v="2025-11-19T12:02:00"/>
    <s v="KXOZBZ"/>
    <s v="REC"/>
    <s v="ON LINE"/>
    <s v="Invoice"/>
    <s v="Faturado"/>
    <x v="2"/>
    <s v="N"/>
    <x v="35"/>
    <s v="Honeywell"/>
    <s v="Cliente FEE no POS"/>
    <s v="-"/>
    <s v="-"/>
    <x v="28"/>
    <s v="-"/>
    <x v="201"/>
    <n v="33.6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5783"/>
    <n v="24082750"/>
    <s v="ACC01"/>
    <x v="229"/>
    <d v="2025-11-20T05:08:22"/>
    <x v="3"/>
    <x v="3"/>
    <s v="KWKQVAT"/>
    <s v="SABRE"/>
    <s v="FERREIRA PINTO/CLAYTON RENATO MR"/>
    <s v="WS"/>
    <s v="WS"/>
    <d v="2025-11-19T12:08:00"/>
    <s v="KWKQVA"/>
    <s v="-"/>
    <s v="ON LINE"/>
    <s v="Cartão de crédito"/>
    <s v="Cartão de crédito"/>
    <x v="1"/>
    <s v="N"/>
    <x v="35"/>
    <s v="Honeywell"/>
    <s v="Cliente FEE no POS"/>
    <s v="-"/>
    <s v="-"/>
    <x v="28"/>
    <s v="-"/>
    <x v="202"/>
    <n v="11.55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355783"/>
    <n v="24082751"/>
    <s v="ACC02"/>
    <x v="229"/>
    <d v="2025-11-20T05:08:22"/>
    <x v="3"/>
    <x v="3"/>
    <s v="KWKQVAT"/>
    <s v="SABRE"/>
    <s v="FERREIRA PINTO/CLAYTON RENATO MR"/>
    <s v="WS"/>
    <s v="WS"/>
    <d v="2025-11-19T12:08:00"/>
    <s v="KWKQVA"/>
    <s v="-"/>
    <s v="ON LINE"/>
    <s v="Cartão de crédito"/>
    <s v="Cartão de crédito"/>
    <x v="1"/>
    <s v="N"/>
    <x v="35"/>
    <s v="Honeywell"/>
    <s v="Cliente FEE no POS"/>
    <s v="Ibis Styles Confins Aeroporto"/>
    <s v="-"/>
    <x v="28"/>
    <s v="-"/>
    <x v="203"/>
    <n v="9.01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55783"/>
    <n v="24082752"/>
    <s v="ACC03"/>
    <x v="229"/>
    <d v="2025-11-20T05:08:22"/>
    <x v="3"/>
    <x v="3"/>
    <s v="KWKQVAT"/>
    <s v="SABRE"/>
    <s v="FERREIRA PINTO/CLAYTON RENATO MR"/>
    <s v="WS"/>
    <s v="WS"/>
    <d v="2025-11-19T12:08:00"/>
    <s v="KWKQVA"/>
    <s v="-"/>
    <s v="ON LINE"/>
    <s v="Cartão de crédito"/>
    <s v="Cartão de crédito"/>
    <x v="1"/>
    <s v="N"/>
    <x v="35"/>
    <s v="Honeywell"/>
    <s v="Cliente FEE no POS"/>
    <s v="Ibis Styles Parauapebas"/>
    <s v="-"/>
    <x v="28"/>
    <s v="-"/>
    <x v="204"/>
    <n v="22.33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61905"/>
    <n v="24088463"/>
    <s v="ACC01"/>
    <x v="230"/>
    <d v="2025-11-21T09:01:47"/>
    <x v="3"/>
    <x v="3"/>
    <s v="IZPNSJC"/>
    <s v="SABRE"/>
    <s v="TAVARES/THOMAZ DAIBERT MACHADO MR"/>
    <s v="WS"/>
    <s v="WS"/>
    <d v="2025-11-19T14:20:00"/>
    <s v="IZPNSJ"/>
    <s v="SJU"/>
    <s v="ON LINE"/>
    <s v="Invoice"/>
    <s v="Faturado"/>
    <x v="2"/>
    <s v="N"/>
    <x v="35"/>
    <s v="Honeywell"/>
    <s v="Cliente FEE no POS"/>
    <s v="-"/>
    <s v="-"/>
    <x v="28"/>
    <s v="-"/>
    <x v="205"/>
    <n v="138.55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67593"/>
    <n v="24093587"/>
    <s v="ACC01"/>
    <x v="231"/>
    <d v="2025-11-21T17:42:27"/>
    <x v="3"/>
    <x v="3"/>
    <s v="IHZPXVC"/>
    <s v="SABRE"/>
    <s v="OLIVEIRA/GIUMARA CRISTINA DE MELO MS"/>
    <s v="WS"/>
    <s v="WS"/>
    <d v="2025-11-21T13:35:00"/>
    <s v="IHZPXV"/>
    <s v="FOR"/>
    <s v="ON LINE"/>
    <s v="Invoice"/>
    <s v="Faturado"/>
    <x v="2"/>
    <s v="N"/>
    <x v="35"/>
    <s v="Honeywell Industria de Tecnologia - Itajuba - Mg"/>
    <s v="Cliente FEE no POS"/>
    <s v="-"/>
    <s v="-"/>
    <x v="28"/>
    <s v="-"/>
    <x v="206"/>
    <n v="100.8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65795"/>
    <n v="24091808"/>
    <s v="ACC01"/>
    <x v="232"/>
    <d v="2025-11-22T05:15:28"/>
    <x v="4"/>
    <x v="3"/>
    <s v="INMAGBT"/>
    <s v="SABRE"/>
    <s v="MORAIS/BRUNO MARCIO TAVARES MR"/>
    <s v="WS"/>
    <s v="WS"/>
    <d v="2025-11-21T07:36:00"/>
    <s v="INMAGB"/>
    <s v="-"/>
    <s v="ON LINE"/>
    <s v="Cartão de crédito"/>
    <s v="Cartão de crédito"/>
    <x v="1"/>
    <s v="N"/>
    <x v="35"/>
    <s v="Honeywell"/>
    <s v="Cliente FEE no POS"/>
    <s v="-"/>
    <s v="-"/>
    <x v="28"/>
    <s v="-"/>
    <x v="207"/>
    <n v="1211"/>
    <n v="0"/>
    <n v="0"/>
    <n v="0"/>
    <n v="0"/>
    <n v="13"/>
    <s v="Reserva importada por HubTravel"/>
    <s v="Fornecedor não preenchido! (ACC01)"/>
    <x v="4"/>
    <x v="1"/>
    <s v="Campo Fornecedor"/>
    <x v="0"/>
    <s v="Sistêmico"/>
    <s v="GRUPO KONTIK"/>
    <x v="1"/>
  </r>
  <r>
    <n v="23364435"/>
    <n v="24090488"/>
    <s v="ACC01"/>
    <x v="233"/>
    <d v="2025-11-21T09:09:33"/>
    <x v="3"/>
    <x v="3"/>
    <s v="JOFFJQC"/>
    <s v="SABRE"/>
    <s v="ROLIM/JOANA CELIA MISS"/>
    <s v="WS"/>
    <s v="WS"/>
    <d v="2025-11-20T07:31:00"/>
    <s v="JOFFJQ"/>
    <s v="VCP"/>
    <s v="ON LINE"/>
    <s v="Invoice"/>
    <s v="Faturado"/>
    <x v="2"/>
    <s v="N"/>
    <x v="35"/>
    <s v="Honeywell"/>
    <s v="Cliente FEE no POS"/>
    <s v="-"/>
    <s v="-"/>
    <x v="28"/>
    <s v="-"/>
    <x v="206"/>
    <n v="134.4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5478"/>
    <n v="24082508"/>
    <s v="ACC"/>
    <x v="234"/>
    <d v="2025-11-20T05:05:24"/>
    <x v="3"/>
    <x v="3"/>
    <s v="IB1Z09"/>
    <s v="MANUAL"/>
    <s v="MORAIS/BRUNO MARCIO TAVARES MR"/>
    <s v="Luciene Carvalho Santos"/>
    <s v="Itamar de Souza"/>
    <d v="2025-11-18T16:00:00"/>
    <s v="HO1811251603"/>
    <s v="-"/>
    <s v="OFF LINE"/>
    <s v="Cartão de crédito"/>
    <s v="Cartão de crédito"/>
    <x v="0"/>
    <s v="N"/>
    <x v="35"/>
    <s v="Honeywell do Brasil"/>
    <s v="Cliente FEE no POS"/>
    <s v="Latam Airlines Brasil"/>
    <n v="5580579294"/>
    <x v="28"/>
    <s v="-"/>
    <x v="208"/>
    <n v="34.11"/>
    <n v="0"/>
    <n v="0"/>
    <n v="0"/>
    <n v="0"/>
    <n v="13"/>
    <s v="-"/>
    <s v="Accouting aérea não possui trechos (Bilhete: 5580579294)"/>
    <x v="1"/>
    <x v="2"/>
    <s v="Atualização de Trechos"/>
    <x v="0"/>
    <s v="Qualidade dos dados"/>
    <s v="GRUPO KONTIK"/>
    <x v="0"/>
  </r>
  <r>
    <n v="23357597"/>
    <n v="24084608"/>
    <s v="ACC01"/>
    <x v="235"/>
    <d v="2025-11-19T22:07:44"/>
    <x v="3"/>
    <x v="3"/>
    <s v="5TG9GN"/>
    <s v="TMS"/>
    <s v="LAURA SILVA"/>
    <s v="Tms"/>
    <s v="Tms"/>
    <d v="2025-11-19T16:43:00"/>
    <n v="10020"/>
    <s v="São Paulo / SAO"/>
    <s v="ON LINE"/>
    <s v="Invoice"/>
    <s v="Faturado"/>
    <x v="2"/>
    <s v="N"/>
    <x v="36"/>
    <s v="Mars Brasil - Mogi Mirim"/>
    <s v="-"/>
    <s v="Localiza - Br - Sp - Guarulhos - Aeroporto"/>
    <s v="-"/>
    <x v="29"/>
    <s v="-"/>
    <x v="209"/>
    <n v="0"/>
    <n v="0"/>
    <n v="0"/>
    <n v="0"/>
    <n v="0"/>
    <n v="0"/>
    <s v="Reserva importada do Sistema TMS. OS: 10020"/>
    <s v="Fornecedor não preenchido! (ACC01)"/>
    <x v="5"/>
    <x v="1"/>
    <s v="Campo Fornecedor"/>
    <x v="0"/>
    <s v="Qualidade dos dados"/>
    <s v="KONTIK BUSINESS TRAVEL"/>
    <x v="2"/>
  </r>
  <r>
    <n v="23371884"/>
    <n v="24097199"/>
    <s v="ACC01"/>
    <x v="236"/>
    <d v="2025-11-22T16:01:15"/>
    <x v="4"/>
    <x v="4"/>
    <s v="5UAU61"/>
    <s v="TMS"/>
    <s v="EGNALDO FREITAS"/>
    <s v="Tms"/>
    <s v="Tms"/>
    <d v="2025-11-22T14:14:00"/>
    <n v="10051"/>
    <s v="Cuiaba / CGB"/>
    <s v="ON LINE"/>
    <s v="Invoice"/>
    <s v="Faturado"/>
    <x v="2"/>
    <s v="N"/>
    <x v="36"/>
    <s v="Mars Brasil - Mogi Mirim"/>
    <s v="-"/>
    <s v="-"/>
    <s v="-"/>
    <x v="29"/>
    <s v="-"/>
    <x v="76"/>
    <n v="0"/>
    <n v="0"/>
    <n v="0"/>
    <n v="0"/>
    <n v="0"/>
    <n v="0"/>
    <s v="Reserva importada do Sistema TMS. OS: 10051"/>
    <s v="Fornecedor não preenchido! (ACC01)"/>
    <x v="5"/>
    <x v="1"/>
    <s v="Campo Fornecedor"/>
    <x v="0"/>
    <s v="Qualidade dos dados"/>
    <s v="KONTIK BUSINESS TRAVEL"/>
    <x v="2"/>
  </r>
  <r>
    <n v="23151667"/>
    <n v="23896184"/>
    <s v="ACC01"/>
    <x v="237"/>
    <d v="2025-10-20T18:15:31"/>
    <x v="6"/>
    <x v="5"/>
    <s v="RES049669-1009"/>
    <s v="GOVER"/>
    <s v="Joao Claudio Rocha Dalton"/>
    <s v="Gover"/>
    <s v="Gover"/>
    <d v="2025-10-20T09:36:00"/>
    <n v="4615688"/>
    <s v="-"/>
    <s v="ON LINE"/>
    <s v="Cartão de crédito"/>
    <s v="Cartão de crédito"/>
    <x v="1"/>
    <s v="N"/>
    <x v="37"/>
    <s v="Energisa Solucoes S.a."/>
    <s v="-"/>
    <s v="-"/>
    <s v="-"/>
    <x v="30"/>
    <s v="-"/>
    <x v="210"/>
    <n v="0"/>
    <n v="0"/>
    <n v="0"/>
    <n v="0"/>
    <n v="0"/>
    <n v="0"/>
    <s v="Reserva importada do sistema Gover. Id: 4615688"/>
    <s v="Fornecedor não preenchido! (ACC01)"/>
    <x v="0"/>
    <x v="1"/>
    <s v="Campo Fornecedor"/>
    <x v="0"/>
    <s v="Sistêmico"/>
    <s v="GRUPO KONTIK"/>
    <x v="1"/>
  </r>
  <r>
    <n v="23349934"/>
    <n v="24077331"/>
    <s v="ACC01"/>
    <x v="238"/>
    <d v="2025-11-24T06:18:52"/>
    <x v="4"/>
    <x v="0"/>
    <s v="FQKONJC"/>
    <s v="SABRE"/>
    <s v="CESPEDES/ANDRES PATRICIO MR"/>
    <s v="WS"/>
    <s v="WS"/>
    <d v="2025-11-17T08:34:00"/>
    <s v="FQKONJ"/>
    <s v="MVD"/>
    <s v="ON LINE"/>
    <s v="Invoice"/>
    <s v="Faturado"/>
    <x v="2"/>
    <s v="N"/>
    <x v="38"/>
    <s v="Axa Cs - Inativo"/>
    <s v="Cliente FEE no POS"/>
    <s v="Avis - Uru - Ex - Montevideo - Ex"/>
    <s v="-"/>
    <x v="31"/>
    <s v="-"/>
    <x v="211"/>
    <n v="38.25"/>
    <n v="0"/>
    <n v="0"/>
    <n v="0"/>
    <n v="0"/>
    <n v="0"/>
    <s v="Reserva importada por HubTravel"/>
    <s v="Centro de custo não preenchido! (ACC01) Empenho/departamento não preenchido! (ACC01)"/>
    <x v="4"/>
    <x v="10"/>
    <s v="Falta de informação Gerencial"/>
    <x v="0"/>
    <s v="Qualidade dos dados"/>
    <s v="KONTIK BUSINESS TRAVEL"/>
    <x v="2"/>
  </r>
  <r>
    <n v="23342533"/>
    <n v="24070281"/>
    <s v="ACC01"/>
    <x v="239"/>
    <d v="2025-11-19T06:10:44"/>
    <x v="3"/>
    <x v="0"/>
    <s v="AKRHCRT"/>
    <s v="SABRE"/>
    <s v="CESPEDES/ANDRES PATRICIO MR"/>
    <s v="WS"/>
    <s v="WS"/>
    <d v="2025-11-17T08:54:00"/>
    <s v="AKRHCR"/>
    <s v="-"/>
    <s v="ON LINE"/>
    <s v="Cartão de crédito"/>
    <s v="Cartão de crédito"/>
    <x v="1"/>
    <s v="N"/>
    <x v="38"/>
    <s v="Axa Cs - Inativo"/>
    <s v="Cliente FEE no POS"/>
    <s v="Regency Park Hotel Spa"/>
    <s v="-"/>
    <x v="31"/>
    <s v="-"/>
    <x v="212"/>
    <n v="0"/>
    <n v="0"/>
    <n v="0"/>
    <n v="0"/>
    <n v="0"/>
    <n v="21"/>
    <s v="Reserva importada por HubTravel"/>
    <s v="Centro de custo não preenchido! (ACC01) Empenho/departamento não preenchido! (ACC01)"/>
    <x v="4"/>
    <x v="10"/>
    <s v="Falta de informação Gerencial"/>
    <x v="0"/>
    <s v="Qualidade dos dados"/>
    <s v="KONTIK BUSINESS TRAVEL"/>
    <x v="2"/>
  </r>
  <r>
    <n v="23355308"/>
    <n v="24082279"/>
    <s v="ACC01"/>
    <x v="240"/>
    <d v="2025-11-20T03:30:50"/>
    <x v="3"/>
    <x v="3"/>
    <s v="5TBK1O"/>
    <s v="TMS"/>
    <s v="THAIS CAVALCANTE"/>
    <s v="Tamara Michels Behn"/>
    <s v="Tamara Michels Behn"/>
    <d v="2025-11-19T09:21:00"/>
    <n v="88389"/>
    <s v="-"/>
    <s v="OFF LINE"/>
    <s v="Cartão de crédito"/>
    <s v="Cartão de crédito"/>
    <x v="1"/>
    <s v="N"/>
    <x v="39"/>
    <s v="Bahiana Distribuidora de Gas"/>
    <s v="-"/>
    <s v="-"/>
    <s v="-"/>
    <x v="32"/>
    <s v="-"/>
    <x v="213"/>
    <n v="0"/>
    <n v="0"/>
    <n v="0"/>
    <n v="0"/>
    <n v="82.5"/>
    <n v="0"/>
    <s v="Reserva importada do Sistema TMS. OS: 88389"/>
    <s v="Fornecedor não preenchido! (ACC01)"/>
    <x v="5"/>
    <x v="1"/>
    <s v="Campo Fornecedor"/>
    <x v="0"/>
    <s v="Qualidade dos dados"/>
    <s v="KONTIK BUSINESS TRAVEL"/>
    <x v="2"/>
  </r>
  <r>
    <n v="23367157"/>
    <n v="24093183"/>
    <s v="ACC01"/>
    <x v="241"/>
    <d v="2025-11-21T18:09:12"/>
    <x v="3"/>
    <x v="3"/>
    <s v="5ULNNM"/>
    <s v="TMS"/>
    <s v="DANIEL DE FREITAS"/>
    <s v="Tamara Michels Behn"/>
    <s v="Tamara Michels Behn"/>
    <d v="2025-11-21T15:29:00"/>
    <n v="89523"/>
    <s v="-"/>
    <s v="OFF LINE"/>
    <s v="Invoice"/>
    <s v="Faturado"/>
    <x v="1"/>
    <s v="N"/>
    <x v="39"/>
    <s v="Bahiana Distribuidora de Gas"/>
    <s v="-"/>
    <s v="-"/>
    <s v="-"/>
    <x v="32"/>
    <s v="-"/>
    <x v="214"/>
    <n v="0"/>
    <n v="0"/>
    <n v="0"/>
    <n v="0"/>
    <n v="0"/>
    <n v="0"/>
    <s v="Reserva importada do Sistema TMS. OS: 89523"/>
    <s v="Fornecedor não preenchido! (ACC01)"/>
    <x v="5"/>
    <x v="1"/>
    <s v="Campo Fornecedor"/>
    <x v="0"/>
    <s v="Qualidade dos dados"/>
    <s v="KONTIK BUSINESS TRAVEL"/>
    <x v="2"/>
  </r>
  <r>
    <n v="23364694"/>
    <n v="24090735"/>
    <s v="ACC01"/>
    <x v="242"/>
    <d v="2025-11-22T03:30:45"/>
    <x v="4"/>
    <x v="3"/>
    <s v="5UZLZP"/>
    <s v="TMS"/>
    <s v="ROGERIO DA SILVA"/>
    <s v="BEATRYZ DA SILVA COSTA"/>
    <s v="BEATRYZ DA SILVA COSTA"/>
    <d v="2025-11-21T08:09:00"/>
    <n v="89622"/>
    <s v="-"/>
    <s v="OFF LINE"/>
    <s v="Cartão de crédito"/>
    <s v="Cartão de crédito"/>
    <x v="1"/>
    <s v="N"/>
    <x v="39"/>
    <s v="Ultragaz-matriz"/>
    <s v="-"/>
    <s v="-"/>
    <s v="-"/>
    <x v="32"/>
    <s v="-"/>
    <x v="215"/>
    <n v="0"/>
    <n v="0"/>
    <n v="0"/>
    <n v="0"/>
    <n v="0"/>
    <n v="0"/>
    <s v="Reserva importada do Sistema TMS. OS: 89622"/>
    <s v="Fornecedor não preenchido! (ACC01)"/>
    <x v="5"/>
    <x v="1"/>
    <s v="Campo Fornecedor"/>
    <x v="0"/>
    <s v="Qualidade dos dados"/>
    <s v="KONTIK BUSINESS TRAVEL"/>
    <x v="2"/>
  </r>
  <r>
    <n v="23212878"/>
    <n v="23948717"/>
    <s v="ACC01"/>
    <x v="243"/>
    <d v="2025-11-03T10:57:57"/>
    <x v="1"/>
    <x v="6"/>
    <s v="5Q86Y4"/>
    <s v="TMS"/>
    <s v="EVERTON NEVES"/>
    <s v="Jessica Soares Teixeira"/>
    <s v="Jessica Soares Teixeira"/>
    <d v="2025-10-28T19:11:00"/>
    <n v="86401"/>
    <s v="-"/>
    <s v="OFF LINE"/>
    <s v="Cartão de crédito"/>
    <s v="Cartão de crédito"/>
    <x v="1"/>
    <s v="N"/>
    <x v="39"/>
    <s v="Bahiana Distribuidora de Gas"/>
    <s v="-"/>
    <s v="-"/>
    <s v="-"/>
    <x v="32"/>
    <s v="-"/>
    <x v="216"/>
    <n v="0"/>
    <n v="0"/>
    <n v="0"/>
    <n v="0"/>
    <n v="0"/>
    <n v="0"/>
    <s v="Reserva importada do Sistema TMS. OS: 86401"/>
    <s v="Fornecedor não preenchido! (ACC01)"/>
    <x v="5"/>
    <x v="1"/>
    <s v="Campo Fornecedor"/>
    <x v="0"/>
    <s v="Qualidade dos dados"/>
    <s v="KONTIK BUSINESS TRAVEL"/>
    <x v="2"/>
  </r>
  <r>
    <n v="23343457"/>
    <n v="24071221"/>
    <s v="ACC01"/>
    <x v="244"/>
    <d v="2025-11-17T22:11:07"/>
    <x v="0"/>
    <x v="0"/>
    <s v="5TW1KH"/>
    <s v="TMS"/>
    <s v="THIAGO NOVAES"/>
    <s v="Tms"/>
    <s v="Tms"/>
    <d v="2025-11-17T17:11:00"/>
    <n v="89280"/>
    <s v="São Paulo / SAO"/>
    <s v="ON LINE"/>
    <s v="Invoice"/>
    <s v="Faturado"/>
    <x v="2"/>
    <s v="N"/>
    <x v="39"/>
    <s v="Ultragaz-matriz"/>
    <s v="-"/>
    <s v="Localiza - Br - Sp - Guarulhos - Aeroporto"/>
    <s v="-"/>
    <x v="32"/>
    <s v="-"/>
    <x v="217"/>
    <n v="0"/>
    <n v="0"/>
    <n v="0"/>
    <n v="0"/>
    <n v="0"/>
    <n v="0"/>
    <s v="Reserva importada do Sistema TMS. OS: 89280"/>
    <s v="Fornecedor não preenchido! (ACC01)"/>
    <x v="5"/>
    <x v="1"/>
    <s v="Campo Fornecedor"/>
    <x v="0"/>
    <s v="Qualidade dos dados"/>
    <s v="KONTIK BUSINESS TRAVEL"/>
    <x v="2"/>
  </r>
  <r>
    <n v="23357938"/>
    <n v="24084947"/>
    <s v="ACC01"/>
    <x v="245"/>
    <d v="2025-11-19T23:10:34"/>
    <x v="3"/>
    <x v="3"/>
    <s v="5TH9UL"/>
    <s v="TMS"/>
    <s v="RENAN OTAVIANO PINTO DE MAGALHAES"/>
    <s v="Tms"/>
    <s v="Tms"/>
    <d v="2025-11-19T19:07:00"/>
    <n v="89635"/>
    <s v="Catanduva / SJP"/>
    <s v="ON LINE"/>
    <s v="Invoice"/>
    <s v="Faturado"/>
    <x v="2"/>
    <s v="N"/>
    <x v="39"/>
    <s v="Ultragaz-matriz"/>
    <s v="-"/>
    <s v="Localiza - Br - Sp - Catanduva - Centro"/>
    <s v="-"/>
    <x v="32"/>
    <s v="-"/>
    <x v="218"/>
    <n v="0"/>
    <n v="0"/>
    <n v="0"/>
    <n v="0"/>
    <n v="0"/>
    <n v="0"/>
    <s v="Reserva importada do Sistema TMS. OS: 89635"/>
    <s v="Fornecedor não preenchido! (ACC01)"/>
    <x v="5"/>
    <x v="1"/>
    <s v="Campo Fornecedor"/>
    <x v="0"/>
    <s v="Qualidade dos dados"/>
    <s v="KONTIK BUSINESS TRAVEL"/>
    <x v="2"/>
  </r>
  <r>
    <n v="23367137"/>
    <n v="24093163"/>
    <s v="ACC01"/>
    <x v="246"/>
    <d v="2025-11-21T16:21:21"/>
    <x v="3"/>
    <x v="3"/>
    <s v="DKMBJB"/>
    <s v="TMS"/>
    <s v="ELTON LUIS RIBEIRO DE FREITAS"/>
    <s v="Tms"/>
    <s v="Tms"/>
    <d v="2025-11-21T12:02:00"/>
    <n v="89732"/>
    <s v="-"/>
    <s v="ON LINE"/>
    <s v="Cartão de crédito"/>
    <s v="Cartão de crédito"/>
    <x v="0"/>
    <s v="N"/>
    <x v="39"/>
    <s v="Neogas do Brasil Gas Natural Comprimido S.a."/>
    <s v="-"/>
    <s v="Gol Linhas Aereas"/>
    <n v="2149951608"/>
    <x v="32"/>
    <s v="-"/>
    <x v="219"/>
    <n v="59.46"/>
    <n v="0"/>
    <n v="0"/>
    <n v="0"/>
    <n v="0"/>
    <n v="0"/>
    <s v="Reserva importada do Sistema TMS. OS: 89732"/>
    <s v="Empenho/departamento não preenchido! (ACC01)"/>
    <x v="5"/>
    <x v="12"/>
    <s v="Falta de informação Gerencial"/>
    <x v="0"/>
    <s v="Qualidade dos dados"/>
    <s v="KONTIK BUSINESS TRAVEL"/>
    <x v="3"/>
  </r>
  <r>
    <n v="23367138"/>
    <n v="24093164"/>
    <s v="ACC01"/>
    <x v="247"/>
    <d v="2025-11-21T16:21:21"/>
    <x v="3"/>
    <x v="3"/>
    <s v="TH2EYY"/>
    <s v="TMS"/>
    <s v="ELTON LUIS RIBEIRO DE FREITAS"/>
    <s v="Tms"/>
    <s v="Tms"/>
    <d v="2025-11-21T12:02:00"/>
    <n v="89732"/>
    <s v="-"/>
    <s v="ON LINE"/>
    <s v="Cartão de crédito"/>
    <s v="Cartão de crédito"/>
    <x v="0"/>
    <s v="N"/>
    <x v="39"/>
    <s v="Neogas do Brasil Gas Natural Comprimido S.a."/>
    <s v="-"/>
    <s v="Azul Linhas Aereas"/>
    <n v="3024093163"/>
    <x v="32"/>
    <s v="-"/>
    <x v="220"/>
    <n v="33.64"/>
    <n v="0"/>
    <n v="0"/>
    <n v="0"/>
    <n v="0"/>
    <n v="0"/>
    <s v="Reserva importada do Sistema TMS. OS: 89732"/>
    <s v="Empenho/departamento não preenchido! (ACC01)"/>
    <x v="5"/>
    <x v="12"/>
    <s v="Falta de informação Gerencial"/>
    <x v="0"/>
    <s v="Qualidade dos dados"/>
    <s v="KONTIK BUSINESS TRAVEL"/>
    <x v="3"/>
  </r>
  <r>
    <n v="23364688"/>
    <n v="24090729"/>
    <s v="ACC01"/>
    <x v="248"/>
    <d v="2025-11-21T09:48:39"/>
    <x v="3"/>
    <x v="3"/>
    <s v="5U58QM"/>
    <s v="TMS"/>
    <s v="ELTON LUIS RIBEIRO DE FREITAS"/>
    <s v="Tms"/>
    <s v="Tms"/>
    <d v="2025-11-21T08:15:00"/>
    <n v="89739"/>
    <s v="-"/>
    <s v="ON LINE"/>
    <s v="Cartão de crédito"/>
    <s v="Cartão de crédito"/>
    <x v="1"/>
    <s v="N"/>
    <x v="39"/>
    <s v="Neogas do Brasil Gas Natural Comprimido S.a."/>
    <s v="-"/>
    <s v="Domani Hotel"/>
    <s v="-"/>
    <x v="32"/>
    <s v="-"/>
    <x v="221"/>
    <n v="0"/>
    <n v="0"/>
    <n v="0"/>
    <n v="0"/>
    <n v="0"/>
    <n v="0"/>
    <s v="Reserva importada do Sistema TMS. OS: 89739"/>
    <s v="Empenho/departamento não preenchido! (ACC01)"/>
    <x v="5"/>
    <x v="12"/>
    <s v="Falta de informação Gerencial"/>
    <x v="0"/>
    <s v="Qualidade dos dados"/>
    <s v="KONTIK BUSINESS TRAVEL"/>
    <x v="3"/>
  </r>
  <r>
    <n v="23124924"/>
    <n v="23872031"/>
    <s v="ACC01"/>
    <x v="249"/>
    <d v="2025-11-11T07:50:17"/>
    <x v="2"/>
    <x v="5"/>
    <s v="OGBTIL"/>
    <s v="GOVER"/>
    <s v="PATRICIA MENDONCA PICCININ"/>
    <s v="Gover"/>
    <s v="Gover"/>
    <d v="2025-10-16T13:35:00"/>
    <n v="4614551"/>
    <s v="-"/>
    <s v="ON LINE"/>
    <s v="Invoice"/>
    <s v="Cartão convênio"/>
    <x v="0"/>
    <s v="N"/>
    <x v="40"/>
    <s v="Rps"/>
    <s v="Cliente FEE no POS"/>
    <s v="Latam Airlines Brasil"/>
    <n v="2255229333"/>
    <x v="33"/>
    <s v="-"/>
    <x v="222"/>
    <n v="107.34"/>
    <n v="0"/>
    <n v="0"/>
    <n v="0"/>
    <n v="0"/>
    <n v="0"/>
    <s v="Reserva importada do sistema Gover. Id: 4614551"/>
    <s v="Erro excluindo PNR: Não é possivel excluir a accounting de código: 25220096. A mesma está ligada a conciliação de cartão &quot;ANTECIPAÇÃO REDE "/>
    <x v="0"/>
    <x v="7"/>
    <s v="Financeiro Conciliado"/>
    <x v="3"/>
    <s v="Processo Operacional"/>
    <s v="GRUPO KONTIK"/>
    <x v="0"/>
  </r>
  <r>
    <n v="23306099"/>
    <n v="24036749"/>
    <s v="ACC01"/>
    <x v="250"/>
    <d v="2025-11-11T20:45:21"/>
    <x v="2"/>
    <x v="2"/>
    <n v="20806282"/>
    <s v="GOVER"/>
    <s v="ELLIZIANE PAULA DE OLIVEIRA"/>
    <s v="Gover"/>
    <s v="Gover"/>
    <d v="2025-11-11T19:53:00"/>
    <n v="4627035"/>
    <s v="-"/>
    <s v="ON LINE"/>
    <s v="Pagamento direto"/>
    <s v="Pagamento direto"/>
    <x v="1"/>
    <s v="N"/>
    <x v="40"/>
    <s v="Rps"/>
    <s v="Cliente FEE no POS"/>
    <s v="Golden Tulip Porto Vitoria"/>
    <s v="-"/>
    <x v="33"/>
    <s v="-"/>
    <x v="223"/>
    <n v="77"/>
    <n v="0"/>
    <n v="0"/>
    <n v="0"/>
    <n v="0"/>
    <n v="0"/>
    <s v="Reserva importada do sistema Gover. Id: 4627035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11446"/>
    <n v="24041733"/>
    <s v="ACC01"/>
    <x v="251"/>
    <d v="2025-11-12T17:10:23"/>
    <x v="2"/>
    <x v="2"/>
    <n v="20818541"/>
    <s v="GOVER"/>
    <s v="VANESSA AGUSTINHO CARDILLO"/>
    <s v="Gover"/>
    <s v="Gover"/>
    <d v="2025-11-12T16:11:00"/>
    <n v="4627416"/>
    <s v="-"/>
    <s v="ON LINE"/>
    <s v="Pagamento direto"/>
    <s v="Pagamento direto"/>
    <x v="1"/>
    <s v="N"/>
    <x v="40"/>
    <s v="Rps"/>
    <s v="Cliente FEE no POS"/>
    <s v="Gaben Hotel"/>
    <s v="-"/>
    <x v="33"/>
    <s v="-"/>
    <x v="224"/>
    <n v="0"/>
    <n v="0"/>
    <n v="0"/>
    <n v="0"/>
    <n v="0"/>
    <n v="0"/>
    <s v="Reserva importada do sistema Gover. Id: 4627416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39213"/>
    <n v="24066988"/>
    <s v="ACC01"/>
    <x v="252"/>
    <d v="2025-11-17T12:45:19"/>
    <x v="0"/>
    <x v="0"/>
    <n v="20866307"/>
    <s v="GOVER"/>
    <s v="VITÓRIA ROCHA FOIGT"/>
    <s v="Gover"/>
    <s v="Gover"/>
    <d v="2025-11-17T11:36:00"/>
    <n v="4628917"/>
    <s v="-"/>
    <s v="ON LINE"/>
    <s v="Pagamento direto"/>
    <s v="Pagamento direto"/>
    <x v="1"/>
    <s v="N"/>
    <x v="40"/>
    <s v="Rps"/>
    <s v="Cliente FEE no POS"/>
    <s v="Intercity Premium Caxias do Sul"/>
    <s v="-"/>
    <x v="33"/>
    <s v="-"/>
    <x v="225"/>
    <n v="10.56"/>
    <n v="0"/>
    <n v="0"/>
    <n v="0"/>
    <n v="0"/>
    <n v="0"/>
    <s v="Reserva importada do sistema Gover. Id: 4628917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25095"/>
    <n v="24054571"/>
    <s v="ACC01"/>
    <x v="68"/>
    <d v="2025-11-14T14:31:15"/>
    <x v="2"/>
    <x v="2"/>
    <n v="20848609"/>
    <s v="GOVER"/>
    <s v="ANDREA MAYUMI MITSUHASHI NAKAHIRA"/>
    <s v="Gover"/>
    <s v="Gover"/>
    <d v="2025-11-14T13:33:00"/>
    <n v="4628367"/>
    <s v="-"/>
    <s v="ON LINE"/>
    <s v="Pagamento direto"/>
    <s v="Pagamento direto"/>
    <x v="1"/>
    <s v="N"/>
    <x v="40"/>
    <s v="Rps"/>
    <s v="Cliente FEE no POS"/>
    <s v="Hilton Garden Inn Sao Jose do Rio Preto"/>
    <s v="-"/>
    <x v="33"/>
    <s v="-"/>
    <x v="226"/>
    <n v="24.48"/>
    <n v="0"/>
    <n v="0"/>
    <n v="0"/>
    <n v="0"/>
    <n v="0"/>
    <s v="Reserva importada do sistema Gover. Id: 4628367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278185"/>
    <n v="24010339"/>
    <s v="ACC01"/>
    <x v="253"/>
    <d v="2025-11-07T12:30:53"/>
    <x v="1"/>
    <x v="1"/>
    <n v="20752451"/>
    <s v="GOVER"/>
    <s v="Natalia Turella"/>
    <s v="Gover"/>
    <s v="Gover"/>
    <d v="2025-11-07T11:40:00"/>
    <n v="4625235"/>
    <s v="-"/>
    <s v="ON LINE"/>
    <s v="Pagamento direto"/>
    <s v="Pagamento direto"/>
    <x v="1"/>
    <s v="N"/>
    <x v="40"/>
    <s v="Pra"/>
    <s v="Cliente FEE no POS"/>
    <s v="Hotel Barretos"/>
    <s v="-"/>
    <x v="33"/>
    <s v="-"/>
    <x v="227"/>
    <n v="9.960000000000001"/>
    <n v="0"/>
    <n v="0"/>
    <n v="0"/>
    <n v="0"/>
    <n v="0"/>
    <s v="Reserva importada do sistema Gover. Id: 4625235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279494"/>
    <n v="24011640"/>
    <s v="ACC01"/>
    <x v="254"/>
    <d v="2025-11-07T17:06:12"/>
    <x v="1"/>
    <x v="1"/>
    <n v="20759859"/>
    <s v="GOVER"/>
    <s v="VITÓRIA ROCHA FOIGT"/>
    <s v="Gover"/>
    <s v="Gover"/>
    <d v="2025-11-07T16:13:00"/>
    <n v="4625448"/>
    <s v="-"/>
    <s v="ON LINE"/>
    <s v="Pagamento direto"/>
    <s v="Pagamento direto"/>
    <x v="1"/>
    <s v="N"/>
    <x v="40"/>
    <s v="Rps"/>
    <s v="Cliente FEE no POS"/>
    <s v="Swan Tower Caxias do Sul"/>
    <s v="-"/>
    <x v="33"/>
    <s v="-"/>
    <x v="228"/>
    <n v="0"/>
    <n v="0"/>
    <n v="0"/>
    <n v="0"/>
    <n v="0"/>
    <n v="0"/>
    <s v="Reserva importada do sistema Gover. Id: 4625448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271865"/>
    <n v="24004409"/>
    <s v="ACC01"/>
    <x v="255"/>
    <d v="2025-11-06T16:05:17"/>
    <x v="1"/>
    <x v="1"/>
    <n v="20739772"/>
    <s v="GOVER"/>
    <s v="GABRIELA TOFETI"/>
    <s v="Gover"/>
    <s v="Gover"/>
    <d v="2025-11-06T15:17:00"/>
    <n v="4624814"/>
    <s v="-"/>
    <s v="ON LINE"/>
    <s v="Pagamento direto"/>
    <s v="Pagamento direto"/>
    <x v="1"/>
    <s v="N"/>
    <x v="40"/>
    <s v="Rps"/>
    <s v="Cliente FEE no POS"/>
    <s v="Padom Business Hotel"/>
    <s v="-"/>
    <x v="33"/>
    <s v="-"/>
    <x v="229"/>
    <n v="39.96"/>
    <n v="0"/>
    <n v="0"/>
    <n v="0"/>
    <n v="0"/>
    <n v="0"/>
    <s v="Reserva importada do sistema Gover. Id: 4624814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270060"/>
    <n v="24002330"/>
    <s v="ACC01"/>
    <x v="256"/>
    <d v="2025-11-06T11:35:11"/>
    <x v="1"/>
    <x v="1"/>
    <n v="20733690"/>
    <s v="GOVER"/>
    <s v="AGNES HIDEKO MINAMI"/>
    <s v="Gover"/>
    <s v="Gover"/>
    <d v="2025-11-06T11:11:00"/>
    <n v="4624581"/>
    <s v="-"/>
    <s v="ON LINE"/>
    <s v="Pagamento direto"/>
    <s v="Pagamento direto"/>
    <x v="1"/>
    <s v="N"/>
    <x v="40"/>
    <s v="Rps"/>
    <s v="Cliente FEE no POS"/>
    <s v="Gaben Hotel"/>
    <s v="-"/>
    <x v="33"/>
    <s v="-"/>
    <x v="230"/>
    <n v="0"/>
    <n v="0"/>
    <n v="0"/>
    <n v="0"/>
    <n v="0"/>
    <n v="0"/>
    <s v="Reserva importada do sistema Gover. Id: 4624581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27544"/>
    <n v="24057131"/>
    <s v="ACC01"/>
    <x v="257"/>
    <d v="2025-11-14T19:45:19"/>
    <x v="2"/>
    <x v="2"/>
    <s v="h20857798"/>
    <s v="GOVER"/>
    <s v="FELIPE FERNANDES DE ABREU"/>
    <s v="Emilia Alejandra Pacheco Maraboli"/>
    <s v="Emilia Alejandra Pacheco Maraboli"/>
    <d v="2025-11-14T19:00:00"/>
    <n v="4627455"/>
    <s v="-"/>
    <s v="OFF LINE"/>
    <s v="Pagamento direto"/>
    <s v="Pagamento direto"/>
    <x v="1"/>
    <s v="N"/>
    <x v="40"/>
    <s v="Rps"/>
    <s v="Cliente FEE no POS"/>
    <s v="Victory Business Hotel"/>
    <s v="-"/>
    <x v="33"/>
    <s v="-"/>
    <x v="231"/>
    <n v="0"/>
    <n v="0"/>
    <n v="0"/>
    <n v="0"/>
    <n v="0"/>
    <n v="0"/>
    <s v="Reserva importada do sistema Gover. Id: 4627455"/>
    <s v="Este cliente não possui permissão para usar este tipo de pagamento e recebimento para este produto."/>
    <x v="0"/>
    <x v="13"/>
    <s v="Forma PG. e REC."/>
    <x v="0"/>
    <s v="Sistêmico"/>
    <s v="GRUPO KONTIK"/>
    <x v="1"/>
  </r>
  <r>
    <n v="23346027"/>
    <n v="24073334"/>
    <s v="ACC01"/>
    <x v="258"/>
    <d v="2025-11-21T10:48:32"/>
    <x v="3"/>
    <x v="0"/>
    <s v="WLZOGJ"/>
    <s v="GOVER"/>
    <s v="MARIANA COSTA BRAGA SCHMIDT"/>
    <s v="Emilia Alejandra Pacheco Maraboli"/>
    <s v="Emilia Alejandra Pacheco Maraboli"/>
    <d v="2025-11-17T19:46:00"/>
    <n v="4629279"/>
    <s v="-"/>
    <s v="OFF LINE"/>
    <s v="Cartão de crédito"/>
    <s v="Cartão AMEX"/>
    <x v="0"/>
    <s v="N"/>
    <x v="40"/>
    <s v="Rps"/>
    <s v="Cliente FEE no POS"/>
    <s v="Lufthansa"/>
    <n v="5580598033"/>
    <x v="33"/>
    <s v="-"/>
    <x v="232"/>
    <n v="1024.8"/>
    <n v="0"/>
    <n v="0"/>
    <n v="0"/>
    <n v="0"/>
    <n v="120"/>
    <s v="Reserva importada do sistema Gover. Id: 4629279"/>
    <s v="9784181/6274852&quot; possui uma transação de cartão efetivada"/>
    <x v="0"/>
    <x v="7"/>
    <s v="Financeiro Conciliado"/>
    <x v="3"/>
    <s v="Processo Operacional"/>
    <s v="KONTIK BUSINESS TRAVEL"/>
    <x v="6"/>
  </r>
  <r>
    <n v="23342567"/>
    <n v="24070309"/>
    <s v="ACC01"/>
    <x v="259"/>
    <d v="2025-11-21T10:52:34"/>
    <x v="3"/>
    <x v="0"/>
    <s v="FVHHQZ"/>
    <s v="GOVER"/>
    <s v="ROBERTA LEONE MASIERO"/>
    <s v="Emilia Alejandra Pacheco Maraboli"/>
    <s v="Emilia Alejandra Pacheco Maraboli"/>
    <d v="2025-11-17T18:00:00"/>
    <n v="4628854"/>
    <s v="-"/>
    <s v="OFF LINE"/>
    <s v="Cartão de crédito"/>
    <s v="Cartão AMEX"/>
    <x v="0"/>
    <s v="N"/>
    <x v="40"/>
    <s v="Rps"/>
    <s v="Cliente FEE no POS"/>
    <s v="Alitalia"/>
    <n v="5580598030"/>
    <x v="33"/>
    <s v="-"/>
    <x v="233"/>
    <n v="426.23"/>
    <n v="0"/>
    <n v="0"/>
    <n v="0"/>
    <n v="0"/>
    <n v="120"/>
    <s v="Reserva importada do sistema Gover. Id: 4628854"/>
    <s v="9772229/6270920&quot; possui uma transação de cartão efetivada"/>
    <x v="0"/>
    <x v="7"/>
    <s v="Financeiro Conciliado"/>
    <x v="3"/>
    <s v="Processo Operacional"/>
    <s v="KONTIK BUSINESS TRAVEL"/>
    <x v="6"/>
  </r>
  <r>
    <n v="23349523"/>
    <n v="24076958"/>
    <s v="ACC01"/>
    <x v="260"/>
    <d v="2025-11-21T10:52:36"/>
    <x v="3"/>
    <x v="0"/>
    <s v="WIVMWI"/>
    <s v="GOVER"/>
    <s v="GLAUCE NUNES DA SILVA"/>
    <s v="Emilia Alejandra Pacheco Maraboli"/>
    <s v="Emilia Alejandra Pacheco Maraboli"/>
    <d v="2025-11-18T18:00:00"/>
    <n v="4628632"/>
    <s v="-"/>
    <s v="OFF LINE"/>
    <s v="Cartão de crédito"/>
    <s v="Cartão AMEX"/>
    <x v="0"/>
    <s v="N"/>
    <x v="40"/>
    <s v="Rps"/>
    <s v="Cliente FEE no POS"/>
    <s v="Klm"/>
    <n v="5580598047"/>
    <x v="33"/>
    <s v="-"/>
    <x v="234"/>
    <n v="1451.75"/>
    <n v="0"/>
    <n v="0"/>
    <n v="0"/>
    <n v="0"/>
    <n v="120"/>
    <s v="Reserva importada do sistema Gover. Id: 4628632"/>
    <s v="9784183/6274853&quot; possui uma transação de cartão efetivada"/>
    <x v="0"/>
    <x v="7"/>
    <s v="Financeiro Conciliado"/>
    <x v="3"/>
    <s v="Processo Operacional"/>
    <s v="KONTIK BUSINESS TRAVEL"/>
    <x v="6"/>
  </r>
  <r>
    <n v="23325179"/>
    <n v="24054649"/>
    <s v="ACC01"/>
    <x v="261"/>
    <d v="2025-11-14T14:20:36"/>
    <x v="2"/>
    <x v="2"/>
    <s v="EIIRXI"/>
    <s v="GOVER"/>
    <s v="ROBERTA HOFFMANN  MACHADO"/>
    <s v="Gover"/>
    <s v="Gover"/>
    <d v="2025-11-12T17:40:00"/>
    <n v="4627488"/>
    <s v="-"/>
    <s v="OFF LINE"/>
    <s v="Invoice"/>
    <s v="Faturado"/>
    <x v="1"/>
    <s v="N"/>
    <x v="41"/>
    <s v="Jti Processadora"/>
    <s v="-"/>
    <s v="-"/>
    <s v="-"/>
    <x v="34"/>
    <s v="-"/>
    <x v="235"/>
    <n v="40.2"/>
    <n v="0"/>
    <n v="0"/>
    <n v="0"/>
    <n v="0"/>
    <n v="0"/>
    <s v="Reserva importada do sistema Gover. Id: 4627488"/>
    <s v="Fornecedor não preenchido! (ACC01)"/>
    <x v="0"/>
    <x v="1"/>
    <s v="Campo Fornecedor"/>
    <x v="0"/>
    <s v="Sistêmico"/>
    <s v="GRUPO KONTIK"/>
    <x v="1"/>
  </r>
  <r>
    <n v="23137381"/>
    <n v="23884043"/>
    <s v="ACC01"/>
    <x v="262"/>
    <d v="2025-11-11T07:51:05"/>
    <x v="2"/>
    <x v="5"/>
    <s v="CKNKQJ"/>
    <s v="GOVER"/>
    <s v="GABRIELA RATEIRO SILVA"/>
    <s v="Gover"/>
    <s v="Gover"/>
    <d v="2025-10-17T17:35:00"/>
    <n v="4615410"/>
    <s v="-"/>
    <s v="ON LINE"/>
    <s v="Invoice"/>
    <s v="Cartão convênio"/>
    <x v="0"/>
    <s v="N"/>
    <x v="41"/>
    <s v="Jti Distribuidora - Sao Paulo - Vila Nova Conceicao"/>
    <s v="-"/>
    <s v="Latam Airlines Brasil"/>
    <n v="2255444926"/>
    <x v="34"/>
    <s v="-"/>
    <x v="236"/>
    <n v="107.34"/>
    <n v="0"/>
    <n v="0"/>
    <n v="0"/>
    <n v="0"/>
    <n v="0"/>
    <s v="Reserva importada do sistema Gover. Id: 4615410"/>
    <s v="Erro excluindo PNR: Não é possivel excluir a accounting de código: 25226621. A mesma está ligada a conciliação de cartão &quot;ANTECIPAÇÃO REDE "/>
    <x v="0"/>
    <x v="7"/>
    <s v="Financeiro Conciliado"/>
    <x v="3"/>
    <s v="Processo Operacional"/>
    <s v="GRUPO KONTIK"/>
    <x v="0"/>
  </r>
  <r>
    <n v="23129710"/>
    <n v="23876685"/>
    <s v="ACC01"/>
    <x v="263"/>
    <d v="2025-11-11T07:50:12"/>
    <x v="2"/>
    <x v="5"/>
    <s v="AZNZNL"/>
    <s v="GOVER"/>
    <s v="FERNANDA MULLER"/>
    <s v="Gover"/>
    <s v="Gover"/>
    <d v="2025-10-16T11:21:00"/>
    <n v="4614441"/>
    <s v="-"/>
    <s v="ON LINE"/>
    <s v="Invoice"/>
    <s v="Cartão convênio"/>
    <x v="0"/>
    <s v="N"/>
    <x v="41"/>
    <s v="Jti Processadora"/>
    <s v="-"/>
    <s v="Latam Airlines Brasil"/>
    <n v="2255203366"/>
    <x v="34"/>
    <s v="-"/>
    <x v="237"/>
    <n v="106.18"/>
    <n v="0"/>
    <n v="0"/>
    <n v="0"/>
    <n v="0"/>
    <n v="0"/>
    <s v="Reserva importada do sistema Gover. Id: 4614441"/>
    <s v="Erro excluindo PNR: Não é possivel excluir a accounting de código: 25219663. A mesma está ligada a conciliação de cartão &quot;ANTECIPAÇÃO REDE "/>
    <x v="0"/>
    <x v="7"/>
    <s v="Financeiro Conciliado"/>
    <x v="3"/>
    <s v="Processo Operacional"/>
    <s v="GRUPO KONTIK"/>
    <x v="0"/>
  </r>
  <r>
    <n v="23211031"/>
    <n v="23946943"/>
    <s v="ACC01"/>
    <x v="264"/>
    <d v="2025-10-29T22:33:21"/>
    <x v="5"/>
    <x v="6"/>
    <n v="20602202"/>
    <s v="GOVER"/>
    <s v="Helbert da Silva Oliveira"/>
    <s v="Gover"/>
    <s v="Gover"/>
    <d v="2025-10-28T11:37:00"/>
    <n v="4619936"/>
    <s v="-"/>
    <s v="OFF LINE"/>
    <s v="Invoice"/>
    <s v="Faturado"/>
    <x v="1"/>
    <s v="N"/>
    <x v="42"/>
    <s v="Samsung Eletronica da Amazonia"/>
    <s v="-"/>
    <s v="-"/>
    <s v="-"/>
    <x v="35"/>
    <s v="-"/>
    <x v="238"/>
    <n v="206.5"/>
    <n v="0"/>
    <n v="0"/>
    <n v="0"/>
    <n v="0"/>
    <n v="0"/>
    <s v="Reserva importada do sistema Gover. Id: 4619936"/>
    <s v="Fornecedor não preenchido! (ACC01)"/>
    <x v="0"/>
    <x v="1"/>
    <s v="Campo Fornecedor"/>
    <x v="0"/>
    <s v="Sistêmico"/>
    <s v="GRUPO KONTIK"/>
    <x v="1"/>
  </r>
  <r>
    <n v="23245221"/>
    <n v="23978181"/>
    <s v="ACC01"/>
    <x v="265"/>
    <d v="2025-11-17T11:30:54"/>
    <x v="0"/>
    <x v="1"/>
    <s v="MHSFXSC"/>
    <s v="SABRE"/>
    <s v="OLIVEIRA HOSKEN/BRUNA FERNANDES DE MRS"/>
    <s v="CT"/>
    <s v="CT"/>
    <d v="2025-10-13T09:24:00"/>
    <s v="MHSFXS"/>
    <s v="BPS"/>
    <s v="ON LINE"/>
    <s v="Invoice"/>
    <s v="Faturado"/>
    <x v="2"/>
    <s v="N"/>
    <x v="43"/>
    <s v="Ca Pesquisa e Comercio de Sementes"/>
    <s v="-"/>
    <s v="-"/>
    <s v="-"/>
    <x v="36"/>
    <s v="-"/>
    <x v="239"/>
    <n v="297.59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67374"/>
    <n v="24093388"/>
    <s v="ACC01"/>
    <x v="266"/>
    <d v="2025-11-21T17:07:45"/>
    <x v="3"/>
    <x v="3"/>
    <s v="GWPVGWT"/>
    <s v="SABRE"/>
    <s v="CAMARA UCHOA/CATARINA MARIA MISS"/>
    <s v="CT"/>
    <s v="CT"/>
    <d v="2025-11-21T11:53:00"/>
    <s v="185744372-53332"/>
    <s v="-"/>
    <s v="ON LINE"/>
    <s v="Pagamento direto"/>
    <s v="Pagamento direto"/>
    <x v="1"/>
    <s v="N"/>
    <x v="43"/>
    <s v="Basf Catalisadores"/>
    <s v="-"/>
    <s v="The Bidwell Marriott Portland"/>
    <s v="-"/>
    <x v="36"/>
    <s v="-"/>
    <x v="240"/>
    <n v="0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1"/>
  </r>
  <r>
    <n v="23367374"/>
    <n v="24093389"/>
    <s v="ACC02"/>
    <x v="266"/>
    <d v="2025-11-21T17:07:45"/>
    <x v="3"/>
    <x v="3"/>
    <s v="GWPVGWT"/>
    <s v="SABRE"/>
    <s v="CAMARA UCHOA/CATARINA MARIA MISS"/>
    <s v="CT"/>
    <s v="CT"/>
    <d v="2025-11-21T11:53:00"/>
    <s v="185744372-53332"/>
    <s v="-"/>
    <s v="ON LINE"/>
    <s v="Pagamento direto"/>
    <s v="Pagamento direto"/>
    <x v="1"/>
    <s v="N"/>
    <x v="43"/>
    <s v="Basf Catalisadores"/>
    <s v="-"/>
    <s v="-"/>
    <s v="-"/>
    <x v="36"/>
    <s v="-"/>
    <x v="241"/>
    <n v="0"/>
    <n v="0"/>
    <n v="0"/>
    <n v="0"/>
    <n v="0"/>
    <n v="0"/>
    <s v="Reserva importada por HubTravel"/>
    <s v="Fornecedor não preenchido! (ACC02)"/>
    <x v="4"/>
    <x v="1"/>
    <s v="Campo Fornecedor"/>
    <x v="0"/>
    <s v="Sistêmico"/>
    <s v="GRUPO KONTIK"/>
    <x v="1"/>
  </r>
  <r>
    <n v="23347207"/>
    <n v="24074571"/>
    <s v="ACC01"/>
    <x v="267"/>
    <d v="2025-11-18T13:25:26"/>
    <x v="0"/>
    <x v="0"/>
    <s v="NJBGCN"/>
    <s v="SABRE"/>
    <s v="ZANON/RENATA BOCCI"/>
    <s v="CT"/>
    <s v="CT"/>
    <d v="2025-11-18T06:41:00"/>
    <s v="M14IFGKRP"/>
    <s v="-"/>
    <s v="ON LINE"/>
    <s v="Cartão de crédito"/>
    <s v="Cartão AMEX"/>
    <x v="0"/>
    <s v="N"/>
    <x v="43"/>
    <s v="Basf Sa"/>
    <s v="-"/>
    <s v="Azul Linhas Aereas"/>
    <n v="7700081055"/>
    <x v="36"/>
    <s v="-"/>
    <x v="242"/>
    <n v="31.9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10"/>
    <s v="Falta de informação Gerencial"/>
    <x v="0"/>
    <s v="Qualidade dos dados"/>
    <s v="KONTIK BUSINESS TRAVEL"/>
    <x v="2"/>
  </r>
  <r>
    <n v="23345860"/>
    <n v="24073174"/>
    <s v="ACC01"/>
    <x v="268"/>
    <d v="2025-11-18T09:42:29"/>
    <x v="0"/>
    <x v="0"/>
    <s v="QDZDEQT"/>
    <s v="SABRE"/>
    <s v="DE GERONI JUNIOR/ADEMAR MR"/>
    <s v="Marcelo de Freitas"/>
    <s v="Marcelo de Freitas"/>
    <d v="2025-11-17T12:12:00"/>
    <s v="BA1711251525"/>
    <s v="-"/>
    <s v="OFF LINE"/>
    <s v="Pagamento direto"/>
    <s v="Pagamento direto"/>
    <x v="1"/>
    <s v="N"/>
    <x v="43"/>
    <s v="Basf Sa"/>
    <s v="-"/>
    <s v="-"/>
    <s v="-"/>
    <x v="36"/>
    <s v="-"/>
    <x v="243"/>
    <n v="21.9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7222"/>
    <n v="24074585"/>
    <s v="ACC01"/>
    <x v="269"/>
    <d v="2025-11-18T13:25:11"/>
    <x v="0"/>
    <x v="0"/>
    <s v="DFXBRLT"/>
    <s v="SABRE"/>
    <s v="KIRCHNER/CASSIO LUIZ MR"/>
    <s v="Marcelo de Freitas"/>
    <s v="Marcelo de Freitas"/>
    <d v="2025-11-17T08:33:00"/>
    <s v="BA1811251224"/>
    <s v="-"/>
    <s v="OFF LINE"/>
    <s v="Pagamento direto"/>
    <s v="Pagamento direto"/>
    <x v="1"/>
    <s v="N"/>
    <x v="43"/>
    <s v="Basf Sa"/>
    <s v="-"/>
    <s v="-"/>
    <s v="-"/>
    <x v="36"/>
    <s v="-"/>
    <x v="244"/>
    <n v="120.99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271977"/>
    <n v="24004537"/>
    <s v="ACC01"/>
    <x v="270"/>
    <d v="2025-11-17T11:30:38"/>
    <x v="0"/>
    <x v="1"/>
    <s v="LSLDDI"/>
    <s v="SABRE"/>
    <s v="BEU/CAIO HENRIQUE"/>
    <s v="Marcia Regina Mira"/>
    <s v="Marcia Regina Mira"/>
    <d v="2025-11-06T12:26:00"/>
    <s v="LSLDDI"/>
    <s v="-"/>
    <s v="ON LINE"/>
    <s v="Cartão de crédito"/>
    <s v="Cartão AMEX"/>
    <x v="0"/>
    <s v="N"/>
    <x v="43"/>
    <s v="Basf Sa"/>
    <s v="-"/>
    <s v="Azul Linhas Aereas"/>
    <n v="7700080367"/>
    <x v="36"/>
    <s v="-"/>
    <x v="245"/>
    <n v="242.0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"/>
    <x v="4"/>
    <x v="10"/>
    <s v="Falta de informação Gerencial"/>
    <x v="0"/>
    <s v="Qualidade dos dados"/>
    <s v="KONTIK BUSINESS TRAVEL"/>
    <x v="6"/>
  </r>
  <r>
    <n v="23364933"/>
    <n v="24090974"/>
    <s v="ACC01"/>
    <x v="271"/>
    <d v="2025-11-21T19:05:10"/>
    <x v="3"/>
    <x v="3"/>
    <s v="QIBBFZ"/>
    <s v="SABRE"/>
    <s v="KIRSCHKE DE BARROS/BRUNO SIR"/>
    <s v="Marcia Regina Mira"/>
    <s v="Marcia Regina Mira"/>
    <d v="2025-11-19T18:28:00"/>
    <s v="BA1911252130"/>
    <s v="-"/>
    <s v="OFF LINE"/>
    <s v="Invoice"/>
    <s v="Faturado"/>
    <x v="0"/>
    <s v="N"/>
    <x v="43"/>
    <s v="Suvinil"/>
    <s v="-"/>
    <s v="Gol Linhas Aereas"/>
    <n v="2149863302"/>
    <x v="36"/>
    <s v="-"/>
    <x v="246"/>
    <n v="34.56"/>
    <n v="0"/>
    <n v="0"/>
    <n v="0"/>
    <n v="0"/>
    <n v="0"/>
    <s v="Reserva importada por HubTravel"/>
    <s v="Could not convert variant of type (Null) into type (OleStr)"/>
    <x v="4"/>
    <x v="5"/>
    <s v="Análise Benner"/>
    <x v="2"/>
    <s v="Qualidade dos dados"/>
    <s v="KONTIK BUSINESS TRAVEL"/>
    <x v="6"/>
  </r>
  <r>
    <n v="23340442"/>
    <n v="24068208"/>
    <s v="ACC01"/>
    <x v="272"/>
    <d v="2025-11-18T12:13:11"/>
    <x v="0"/>
    <x v="0"/>
    <s v="ASTJHKT"/>
    <s v="SABRE"/>
    <s v="BARBERY ARGUELHO/FERNANDO"/>
    <s v="Fabiola Lima de Oliveira"/>
    <s v="Fabiola Lima de Oliveira"/>
    <d v="2025-11-17T11:24:00"/>
    <s v="ASTJHK"/>
    <s v="-"/>
    <s v="OFF LINE"/>
    <s v="Invoice"/>
    <s v="Faturado"/>
    <x v="1"/>
    <s v="N"/>
    <x v="43"/>
    <s v="Suvinil"/>
    <s v="-"/>
    <s v="Ibis Sao Bernardo do Campo"/>
    <s v="-"/>
    <x v="36"/>
    <s v="-"/>
    <x v="247"/>
    <n v="0"/>
    <n v="0"/>
    <n v="0"/>
    <n v="0"/>
    <n v="0"/>
    <n v="0"/>
    <s v="Reserva importada por HubTravel"/>
    <s v="Não foi possível encontrar um contrato válido para o fornecedor 665189 (Código fornecedor) "/>
    <x v="4"/>
    <x v="14"/>
    <s v="Análise Cadastro"/>
    <x v="0"/>
    <s v="Qualidade dos dados"/>
    <s v="KONTIK BUSINESS TRAVEL"/>
    <x v="2"/>
  </r>
  <r>
    <n v="23327038"/>
    <n v="24056650"/>
    <s v="ACC01"/>
    <x v="273"/>
    <d v="2025-11-17T11:30:52"/>
    <x v="0"/>
    <x v="2"/>
    <s v="FAIDRP"/>
    <s v="SABRE"/>
    <s v="BELO CANTARUTI JUNIOR/ANDERSON AMARAL"/>
    <s v="Fabiola Lima de Oliveira"/>
    <s v="Fabiola Lima de Oliveira"/>
    <d v="2025-11-14T11:46:00"/>
    <s v="EGHFNP"/>
    <s v="-"/>
    <s v="OFF LINE"/>
    <s v="Invoice"/>
    <s v="Faturado"/>
    <x v="0"/>
    <s v="N"/>
    <x v="43"/>
    <s v="Suvinil"/>
    <s v="-"/>
    <s v="Gol Linhas Aereas"/>
    <n v="2149506538"/>
    <x v="36"/>
    <s v="-"/>
    <x v="248"/>
    <n v="58.89"/>
    <n v="0"/>
    <n v="0"/>
    <n v="0"/>
    <n v="0"/>
    <n v="0"/>
    <s v="Reserva importada por HubTravel"/>
    <s v="Finalidade não preenchida! (ACC01)"/>
    <x v="4"/>
    <x v="15"/>
    <s v="Falta de informação Gerencial"/>
    <x v="0"/>
    <s v="Qualidade dos dados"/>
    <s v="KONTIK BUSINESS TRAVEL"/>
    <x v="6"/>
  </r>
  <r>
    <n v="23365538"/>
    <n v="24091579"/>
    <s v="ACC01"/>
    <x v="274"/>
    <d v="2025-11-21T17:02:17"/>
    <x v="3"/>
    <x v="3"/>
    <s v="IJPJWWT"/>
    <s v="SABRE"/>
    <s v="MARIANO DA SILVA/RICARDO MR"/>
    <s v="Fabiola Lima de Oliveira"/>
    <s v="Fabiola Lima de Oliveira"/>
    <d v="2025-11-19T16:30:00"/>
    <s v="BA2111251057"/>
    <s v="-"/>
    <s v="OFF LINE"/>
    <s v="Pagamento direto"/>
    <s v="Pagamento direto"/>
    <x v="1"/>
    <s v="N"/>
    <x v="43"/>
    <s v="Suvinil"/>
    <s v="-"/>
    <s v="-"/>
    <s v="-"/>
    <x v="36"/>
    <s v="-"/>
    <x v="249"/>
    <n v="58.5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3682"/>
    <n v="24080704"/>
    <s v="ACC01"/>
    <x v="275"/>
    <d v="2025-11-19T12:01:11"/>
    <x v="3"/>
    <x v="3"/>
    <s v="CJGFHRT"/>
    <s v="SABRE"/>
    <s v="MAIA/BRUNO LAZZARINI MR"/>
    <s v="Felipe Anderson da Silva"/>
    <s v="Felipe Anderson da Silva"/>
    <d v="2025-11-19T06:08:00"/>
    <s v="CJGFHR"/>
    <s v="-"/>
    <s v="OFF LINE"/>
    <s v="Cartão de crédito"/>
    <s v="Cartão de crédito"/>
    <x v="1"/>
    <s v="N"/>
    <x v="43"/>
    <s v="Basf Sa"/>
    <s v="-"/>
    <s v="-"/>
    <s v="-"/>
    <x v="36"/>
    <s v="-"/>
    <x v="25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3683"/>
    <n v="24080705"/>
    <s v="ACC01"/>
    <x v="276"/>
    <d v="2025-11-19T12:01:11"/>
    <x v="3"/>
    <x v="3"/>
    <s v="YOCSXQT"/>
    <s v="SABRE"/>
    <s v="DA SILVA BERNARDES/WILIAN MR"/>
    <s v="Felipe Anderson da Silva"/>
    <s v="Felipe Anderson da Silva"/>
    <d v="2025-11-19T06:21:00"/>
    <s v="YOCSXQ"/>
    <s v="-"/>
    <s v="OFF LINE"/>
    <s v="Pagamento direto"/>
    <s v="Pagamento direto"/>
    <x v="1"/>
    <s v="N"/>
    <x v="43"/>
    <s v="Suvinil"/>
    <s v="-"/>
    <s v="-"/>
    <s v="-"/>
    <x v="36"/>
    <s v="-"/>
    <x v="25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8993"/>
    <n v="24076411"/>
    <s v="ACC01"/>
    <x v="277"/>
    <d v="2025-11-18T17:06:25"/>
    <x v="0"/>
    <x v="0"/>
    <s v="CEZIRWT"/>
    <s v="SABRE"/>
    <s v="RIBEIRO FERREIRA/THAYENE CHRISTINE RIBEIRO MISS"/>
    <s v="Felipe Anderson da Silva"/>
    <s v="Felipe Anderson da Silva"/>
    <d v="2025-11-18T12:26:00"/>
    <s v="CEZIRW"/>
    <s v="-"/>
    <s v="OFF LINE"/>
    <s v="Cartão de crédito"/>
    <s v="Cartão de crédito"/>
    <x v="1"/>
    <s v="N"/>
    <x v="43"/>
    <s v="Basf Sa"/>
    <s v="-"/>
    <s v="-"/>
    <s v="-"/>
    <x v="36"/>
    <s v="-"/>
    <x v="252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6470"/>
    <n v="24083467"/>
    <s v="ACC01"/>
    <x v="278"/>
    <d v="2025-11-19T18:54:26"/>
    <x v="3"/>
    <x v="3"/>
    <s v="ILYDOPT"/>
    <s v="SABRE"/>
    <s v="PRETE/THIAGO FERNANDES MR"/>
    <s v="Felipe Anderson da Silva"/>
    <s v="Felipe Anderson da Silva"/>
    <d v="2025-11-19T15:18:00"/>
    <s v="ILYDOP"/>
    <s v="-"/>
    <s v="OFF LINE"/>
    <s v="Invoice"/>
    <s v="Faturado"/>
    <x v="1"/>
    <s v="N"/>
    <x v="43"/>
    <s v="Suvinil"/>
    <s v="-"/>
    <s v="-"/>
    <s v="-"/>
    <x v="36"/>
    <s v="-"/>
    <x v="253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1606"/>
    <n v="24069361"/>
    <s v="ACC01"/>
    <x v="279"/>
    <d v="2025-11-17T17:15:53"/>
    <x v="0"/>
    <x v="0"/>
    <s v="QACOAJT"/>
    <s v="SABRE"/>
    <s v="SANTOS/FABIO RENATO MR"/>
    <s v="Felipe Anderson da Silva"/>
    <s v="Felipe Anderson da Silva"/>
    <d v="2025-11-17T12:47:00"/>
    <s v="QACOAJ"/>
    <s v="-"/>
    <s v="OFF LINE"/>
    <s v="Pagamento direto"/>
    <s v="Pagamento direto"/>
    <x v="1"/>
    <s v="N"/>
    <x v="43"/>
    <s v="Suvinil"/>
    <s v="-"/>
    <s v="-"/>
    <s v="-"/>
    <x v="36"/>
    <s v="-"/>
    <x v="254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1612"/>
    <n v="24069369"/>
    <s v="ACC01"/>
    <x v="280"/>
    <d v="2025-11-17T17:15:55"/>
    <x v="0"/>
    <x v="0"/>
    <s v="SWBAZCT"/>
    <s v="SABRE"/>
    <s v="DIAS /WILLIAN DIAS MR"/>
    <s v="Felipe Anderson da Silva"/>
    <s v="Felipe Anderson da Silva"/>
    <d v="2025-11-17T13:18:00"/>
    <s v="SWBAZC"/>
    <s v="-"/>
    <s v="OFF LINE"/>
    <s v="Pagamento direto"/>
    <s v="Pagamento direto"/>
    <x v="1"/>
    <s v="N"/>
    <x v="43"/>
    <s v="Suvinil"/>
    <s v="-"/>
    <s v="-"/>
    <s v="-"/>
    <x v="36"/>
    <s v="-"/>
    <x v="255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1612"/>
    <n v="24069370"/>
    <s v="ACC02"/>
    <x v="280"/>
    <d v="2025-11-17T17:15:55"/>
    <x v="0"/>
    <x v="0"/>
    <s v="SWBAZCT"/>
    <s v="SABRE"/>
    <s v="DIAS /WILLIAN DIAS MR"/>
    <s v="Felipe Anderson da Silva"/>
    <s v="Felipe Anderson da Silva"/>
    <d v="2025-11-17T13:18:00"/>
    <s v="SWBAZC"/>
    <s v="-"/>
    <s v="OFF LINE"/>
    <s v="Pagamento direto"/>
    <s v="Pagamento direto"/>
    <x v="1"/>
    <s v="N"/>
    <x v="43"/>
    <s v="Suvinil"/>
    <s v="-"/>
    <s v="Riviera Pantanal Hotel"/>
    <s v="-"/>
    <x v="36"/>
    <s v="-"/>
    <x v="25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2846"/>
    <n v="24079846"/>
    <s v="ACC01"/>
    <x v="281"/>
    <d v="2025-11-19T09:00:53"/>
    <x v="3"/>
    <x v="3"/>
    <s v="SIUQJH"/>
    <s v="SABRE"/>
    <s v="YOTSUMOTO/TADASHI"/>
    <s v="Itamar de Souza"/>
    <s v="Felipe Anderson da Silva"/>
    <d v="2025-11-18T12:11:00"/>
    <s v="SIUQJH"/>
    <s v="-"/>
    <s v="ON LINE"/>
    <s v="Invoice"/>
    <s v="Faturado"/>
    <x v="0"/>
    <s v="N"/>
    <x v="43"/>
    <s v="Basf Sa"/>
    <s v="-"/>
    <s v="Latam Airlines Brasil"/>
    <n v="5580636966"/>
    <x v="36"/>
    <s v="-"/>
    <x v="257"/>
    <n v="93.48999999999999"/>
    <n v="0"/>
    <n v="0"/>
    <n v="93.48999999999999"/>
    <n v="0"/>
    <n v="0"/>
    <s v="Reserva importada por HubTravel"/>
    <s v="Finalidade não preenchida! (ACC01)"/>
    <x v="4"/>
    <x v="15"/>
    <s v="Falta de informação Gerencial"/>
    <x v="0"/>
    <s v="Qualidade dos dados"/>
    <s v="GRUPO KONTIK"/>
    <x v="0"/>
  </r>
  <r>
    <n v="23311078"/>
    <n v="24041389"/>
    <s v="ACC01"/>
    <x v="282"/>
    <d v="2025-11-17T11:30:39"/>
    <x v="0"/>
    <x v="2"/>
    <s v="QDQBRU"/>
    <s v="SABRE"/>
    <s v="COLLA/GIANCARLO"/>
    <s v="WY"/>
    <s v="WY"/>
    <d v="2025-11-11T06:28:00"/>
    <s v="ASUSXT"/>
    <s v="-"/>
    <s v="OFF LINE"/>
    <s v="Cartão de crédito"/>
    <s v="Cartão AMEX"/>
    <x v="0"/>
    <s v="N"/>
    <x v="43"/>
    <s v="Suvinil"/>
    <s v="-"/>
    <s v="Gol Linhas Aereas"/>
    <n v="2149248830"/>
    <x v="36"/>
    <s v="-"/>
    <x v="258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10"/>
    <s v="Falta de informação Gerencial"/>
    <x v="0"/>
    <s v="Qualidade dos dados"/>
    <s v="KONTIK BUSINESS TRAVEL"/>
    <x v="6"/>
  </r>
  <r>
    <n v="23265284"/>
    <n v="23997749"/>
    <s v="ACC01"/>
    <x v="283"/>
    <d v="2025-11-17T11:30:37"/>
    <x v="0"/>
    <x v="1"/>
    <s v="OBKYLS"/>
    <s v="SABRE"/>
    <s v="COSTA/ERICA CRISTINA MEIRELES"/>
    <s v="WY"/>
    <s v="WY"/>
    <d v="2025-11-05T11:21:00"/>
    <s v="OBKYLS"/>
    <s v="-"/>
    <s v="OFF LINE"/>
    <s v="Cartão de crédito"/>
    <s v="Cartão AMEX"/>
    <x v="0"/>
    <s v="N"/>
    <x v="43"/>
    <s v="Suvinil"/>
    <s v="-"/>
    <s v="Gol Linhas Aereas"/>
    <n v="7700080338"/>
    <x v="36"/>
    <s v="-"/>
    <x v="0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10"/>
    <s v="Falta de informação Gerencial"/>
    <x v="0"/>
    <s v="Qualidade dos dados"/>
    <s v="KONTIK BUSINESS TRAVEL"/>
    <x v="6"/>
  </r>
  <r>
    <n v="23274075"/>
    <n v="24006772"/>
    <s v="ACC01"/>
    <x v="284"/>
    <d v="2025-11-17T11:30:38"/>
    <x v="0"/>
    <x v="1"/>
    <s v="OEOESC"/>
    <s v="SABRE"/>
    <s v="BAGATINI/ROBERTO  DE OLIVEIRA"/>
    <s v="WY"/>
    <s v="WY"/>
    <d v="2025-11-06T13:49:00"/>
    <s v="OEOESC"/>
    <s v="-"/>
    <s v="OFF LINE"/>
    <s v="Cartão de crédito"/>
    <s v="Cartão AMEX"/>
    <x v="0"/>
    <s v="N"/>
    <x v="43"/>
    <s v="Suvinil"/>
    <s v="-"/>
    <s v="Gol Linhas Aereas"/>
    <n v="2148926134"/>
    <x v="36"/>
    <s v="-"/>
    <x v="259"/>
    <n v="94.7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10"/>
    <s v="Falta de informação Gerencial"/>
    <x v="0"/>
    <s v="Qualidade dos dados"/>
    <s v="KONTIK BUSINESS TRAVEL"/>
    <x v="6"/>
  </r>
  <r>
    <n v="23315437"/>
    <n v="24045189"/>
    <s v="ACC01"/>
    <x v="285"/>
    <d v="2025-11-17T11:30:40"/>
    <x v="0"/>
    <x v="2"/>
    <s v="OOSQEI"/>
    <s v="SABRE"/>
    <s v="BRITO/DANIEL"/>
    <s v="WY"/>
    <s v="WY"/>
    <d v="2025-11-11T18:31:00"/>
    <s v="BA1311250732"/>
    <s v="-"/>
    <s v="OFF LINE"/>
    <s v="Cartão de crédito"/>
    <s v="Cartão AMEX"/>
    <x v="0"/>
    <s v="N"/>
    <x v="43"/>
    <s v="Suvinil"/>
    <s v="-"/>
    <s v="Gol Linhas Aereas"/>
    <n v="2149345135"/>
    <x v="36"/>
    <s v="-"/>
    <x v="260"/>
    <n v="85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4"/>
    <x v="10"/>
    <s v="Falta de informação Gerencial"/>
    <x v="0"/>
    <s v="Qualidade dos dados"/>
    <s v="KONTIK BUSINESS TRAVEL"/>
    <x v="6"/>
  </r>
  <r>
    <n v="23210215"/>
    <n v="23946196"/>
    <s v="ACC01"/>
    <x v="286"/>
    <d v="2025-10-28T15:41:10"/>
    <x v="5"/>
    <x v="6"/>
    <s v="5QJKIC"/>
    <s v="TMS"/>
    <s v="MARIA DE FATIMA CIRNE"/>
    <s v="Adriana Dias de Grano"/>
    <s v="Adriana Dias de Grano"/>
    <d v="2025-10-28T11:26:00"/>
    <n v="14980"/>
    <s v="-"/>
    <s v="OFF LINE"/>
    <s v="Cartão de crédito"/>
    <s v="Faturado"/>
    <x v="1"/>
    <s v="N"/>
    <x v="44"/>
    <s v="Odontoprev Servicos Ltda"/>
    <s v="-"/>
    <s v="-"/>
    <s v="-"/>
    <x v="37"/>
    <s v="-"/>
    <x v="261"/>
    <n v="0"/>
    <n v="0"/>
    <n v="0"/>
    <n v="0"/>
    <n v="0"/>
    <n v="0"/>
    <s v="Reserva importada do Sistema TMS. OS: 14980"/>
    <s v="Fornecedor não preenchido! (ACC01)"/>
    <x v="5"/>
    <x v="1"/>
    <s v="Campo Fornecedor"/>
    <x v="0"/>
    <s v="Qualidade dos dados"/>
    <s v="KONTIK BUSINESS TRAVEL"/>
    <x v="2"/>
  </r>
  <r>
    <n v="23351901"/>
    <n v="24079186"/>
    <s v="ACC01"/>
    <x v="287"/>
    <d v="2025-11-19T03:13:05"/>
    <x v="3"/>
    <x v="3"/>
    <s v="5T4GDI"/>
    <s v="TMS"/>
    <s v="JORGE MAYCON DOS SANTOS OLIVEIRA"/>
    <s v="Claudia Lucia Stella"/>
    <s v="Claudia Lucia Stella"/>
    <d v="2025-11-18T16:42:00"/>
    <n v="15304"/>
    <s v="-"/>
    <s v="OFF LINE"/>
    <s v="Cartão de crédito"/>
    <s v="Faturado"/>
    <x v="1"/>
    <s v="N"/>
    <x v="44"/>
    <s v="Clidec - Clinica Dentaria Especializada Cura D Ars Ltda"/>
    <s v="-"/>
    <s v="Hotel Ibiza"/>
    <s v="-"/>
    <x v="37"/>
    <s v="-"/>
    <x v="262"/>
    <n v="0"/>
    <n v="0"/>
    <n v="0"/>
    <n v="0"/>
    <n v="0"/>
    <n v="0"/>
    <s v="Reserva importada do Sistema TMS. OS: 15304"/>
    <s v="Empenho/departamento não preenchido! (ACC01)"/>
    <x v="5"/>
    <x v="12"/>
    <s v="Falta de informação Gerencial"/>
    <x v="0"/>
    <s v="Qualidade dos dados"/>
    <s v="KONTIK BUSINESS TRAVEL"/>
    <x v="3"/>
  </r>
  <r>
    <n v="23210178"/>
    <n v="23946166"/>
    <s v="ACC01"/>
    <x v="288"/>
    <d v="2025-10-28T15:31:14"/>
    <x v="5"/>
    <x v="6"/>
    <s v="5QKHK3"/>
    <s v="TMS"/>
    <s v="JORGE MAYCON DOS SANTOS OLIVEIRA"/>
    <s v="Claudia Lucia Stella"/>
    <s v="Claudia Lucia Stella"/>
    <d v="2025-10-28T10:24:00"/>
    <n v="15181"/>
    <s v="Campos dos Goytacazes / RJ, Brasil (CAW)"/>
    <s v="OFF LINE"/>
    <s v="Invoice"/>
    <s v="Faturado"/>
    <x v="2"/>
    <s v="N"/>
    <x v="44"/>
    <s v="Clidec - Clinica Dentaria Especializada Cura D Ars Ltda"/>
    <s v="-"/>
    <s v="Localiza - Br - Rj - Campos dos Goytacazes - Bonsucesso"/>
    <s v="-"/>
    <x v="37"/>
    <s v="-"/>
    <x v="263"/>
    <n v="0"/>
    <n v="0"/>
    <n v="0"/>
    <n v="0"/>
    <n v="0"/>
    <n v="0"/>
    <s v="Reserva importada do Sistema TMS. OS: 15181"/>
    <s v="Empenho/departamento não preenchido! (ACC01)"/>
    <x v="5"/>
    <x v="12"/>
    <s v="Falta de informação Gerencial"/>
    <x v="0"/>
    <s v="Qualidade dos dados"/>
    <s v="KONTIK BUSINESS TRAVEL"/>
    <x v="3"/>
  </r>
  <r>
    <n v="23305564"/>
    <n v="24036234"/>
    <s v="ACC01"/>
    <x v="289"/>
    <d v="2025-11-13T16:01:26"/>
    <x v="2"/>
    <x v="2"/>
    <s v="5TRECB"/>
    <s v="TMS"/>
    <s v="JORGE MAYCON DOS SANTOS OLIVEIRA"/>
    <s v="Tms"/>
    <s v="Tms"/>
    <d v="2025-11-11T15:08:00"/>
    <n v="15271"/>
    <s v="-"/>
    <s v="ON LINE"/>
    <s v="Cartão de crédito"/>
    <s v="Faturado"/>
    <x v="1"/>
    <s v="N"/>
    <x v="44"/>
    <s v="Clidec - Clinica Dentaria Especializada Cura D Ars Ltda"/>
    <s v="-"/>
    <s v="Resende Inn Hotel"/>
    <s v="-"/>
    <x v="37"/>
    <s v="-"/>
    <x v="264"/>
    <n v="0"/>
    <n v="0"/>
    <n v="0"/>
    <n v="0"/>
    <n v="0"/>
    <n v="0"/>
    <s v="Reserva importada do Sistema TMS. OS: 15271"/>
    <s v="Empenho/departamento não preenchido! (ACC01)"/>
    <x v="5"/>
    <x v="12"/>
    <s v="Falta de informação Gerencial"/>
    <x v="0"/>
    <s v="Qualidade dos dados"/>
    <s v="KONTIK BUSINESS TRAVEL"/>
    <x v="3"/>
  </r>
  <r>
    <n v="23212681"/>
    <n v="23948516"/>
    <s v="ACC01"/>
    <x v="290"/>
    <d v="2025-10-28T21:42:05"/>
    <x v="5"/>
    <x v="6"/>
    <s v="5QX45F"/>
    <s v="TMS"/>
    <s v="ISABEL CHICONELLI G CASQUEIRO"/>
    <s v="Tms"/>
    <s v="Tms"/>
    <d v="2025-10-28T15:29:00"/>
    <n v="15198"/>
    <s v="-"/>
    <s v="ON LINE"/>
    <s v="Cartão de crédito"/>
    <s v="Faturado"/>
    <x v="1"/>
    <s v="N"/>
    <x v="44"/>
    <s v="Odontoprev S a"/>
    <s v="-"/>
    <s v="-"/>
    <s v="-"/>
    <x v="37"/>
    <s v="-"/>
    <x v="265"/>
    <n v="0"/>
    <n v="0"/>
    <n v="0"/>
    <n v="0"/>
    <n v="0"/>
    <n v="0"/>
    <s v="Reserva importada do Sistema TMS. OS: 15198"/>
    <s v="Fornecedor não preenchido! (ACC01)"/>
    <x v="5"/>
    <x v="1"/>
    <s v="Campo Fornecedor"/>
    <x v="0"/>
    <s v="Sistêmico"/>
    <s v="GRUPO KONTIK"/>
    <x v="1"/>
  </r>
  <r>
    <n v="23367574"/>
    <n v="24093573"/>
    <s v="ACC01"/>
    <x v="291"/>
    <d v="2025-11-21T17:37:10"/>
    <x v="3"/>
    <x v="3"/>
    <s v="AXSPOTT"/>
    <s v="SABRE"/>
    <s v="OLIVEIRA/FABIO MR"/>
    <s v="Adriana Vieira de Freitas dos Santos"/>
    <s v="Adriana Vieira de Freitas dos Santos"/>
    <d v="2025-11-21T13:50:00"/>
    <s v="EMAIL"/>
    <s v="-"/>
    <s v="OFF LINE"/>
    <s v="Pagamento direto"/>
    <s v="Pagamento direto"/>
    <x v="1"/>
    <s v="N"/>
    <x v="45"/>
    <s v="Shell"/>
    <s v="-"/>
    <s v="-"/>
    <s v="-"/>
    <x v="38"/>
    <s v="-"/>
    <x v="266"/>
    <n v="70.15000000000001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64409"/>
    <n v="24090466"/>
    <s v="ACC01"/>
    <x v="292"/>
    <d v="2025-11-21T09:02:03"/>
    <x v="3"/>
    <x v="3"/>
    <s v="LEQLVUT"/>
    <s v="SABRE"/>
    <s v="GIANINA/OLIVIER JEAN PATRICK"/>
    <s v="Humberto da Fontoura"/>
    <s v="Humberto da Fontoura"/>
    <d v="2025-11-06T13:44:00"/>
    <s v="LEQLVU"/>
    <s v="-"/>
    <s v="ON LINE"/>
    <s v="Invoice"/>
    <s v="Faturado"/>
    <x v="1"/>
    <s v="N"/>
    <x v="46"/>
    <s v="Adidas do Brasil Ltda"/>
    <s v="-"/>
    <s v="Prodigy Santos Dumont"/>
    <s v="-"/>
    <x v="13"/>
    <s v="-"/>
    <x v="267"/>
    <n v="0"/>
    <n v="0"/>
    <n v="0"/>
    <n v="0"/>
    <n v="0"/>
    <n v="0"/>
    <s v="Reserva importada por HubTravel"/>
    <s v="Matrícula não preenchida! (ACC01)"/>
    <x v="4"/>
    <x v="11"/>
    <s v="Falta de informação Gerencial"/>
    <x v="0"/>
    <s v="Qualidade dos dados"/>
    <s v="KONTIK BUSINESS TRAVEL"/>
    <x v="6"/>
  </r>
  <r>
    <n v="23342296"/>
    <n v="24070054"/>
    <s v="ACC01"/>
    <x v="293"/>
    <d v="2025-11-18T12:13:44"/>
    <x v="0"/>
    <x v="0"/>
    <s v="QLBHCPT"/>
    <s v="SABRE"/>
    <s v="CHEVIS SVARTMAN/ANDRE"/>
    <s v="Humberto da Fontoura"/>
    <s v="Humberto da Fontoura"/>
    <d v="2025-11-06T13:41:00"/>
    <s v="QLBHCP"/>
    <s v="-"/>
    <s v="OFF LINE"/>
    <s v="Invoice"/>
    <s v="Faturado"/>
    <x v="1"/>
    <s v="N"/>
    <x v="46"/>
    <s v="Adidas do Brasil Ltda"/>
    <s v="-"/>
    <s v="Prodigy Santos Dumont"/>
    <s v="-"/>
    <x v="13"/>
    <s v="-"/>
    <x v="267"/>
    <n v="0"/>
    <n v="0"/>
    <n v="0"/>
    <n v="0"/>
    <n v="0"/>
    <n v="0"/>
    <s v="Reserva importada por HubTravel"/>
    <s v="Matrícula não preenchida! (ACC01)"/>
    <x v="4"/>
    <x v="11"/>
    <s v="Falta de informação Gerencial"/>
    <x v="0"/>
    <s v="Qualidade dos dados"/>
    <s v="KONTIK BUSINESS TRAVEL"/>
    <x v="6"/>
  </r>
  <r>
    <n v="23364405"/>
    <n v="24090462"/>
    <s v="ACC01"/>
    <x v="294"/>
    <d v="2025-11-21T09:01:55"/>
    <x v="3"/>
    <x v="3"/>
    <s v="MOJEDKT"/>
    <s v="SABRE"/>
    <s v="UNGARETTI/MARCOS VINICIUS QUEIROZ"/>
    <s v="WS"/>
    <s v="WS"/>
    <d v="2025-11-19T14:16:00"/>
    <s v="MOJEDK"/>
    <s v="-"/>
    <s v="ON LINE"/>
    <s v="Pagamento direto"/>
    <s v="Pagamento direto"/>
    <x v="1"/>
    <s v="N"/>
    <x v="46"/>
    <s v="Adidas do Brasil Ltda"/>
    <s v="-"/>
    <s v="-"/>
    <s v="-"/>
    <x v="13"/>
    <s v="-"/>
    <x v="268"/>
    <n v="9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56712"/>
    <n v="24083710"/>
    <s v="ACC01"/>
    <x v="295"/>
    <d v="2025-11-19T19:48:26"/>
    <x v="3"/>
    <x v="3"/>
    <s v="YVYACP"/>
    <s v="SABRE"/>
    <s v="LOPES LETA/MILENA"/>
    <s v="Eliane da Silva Souza Paula"/>
    <s v="Eliane da Silva Souza Paula"/>
    <d v="2025-11-18T08:35:00"/>
    <s v="YVYACP"/>
    <s v="-"/>
    <s v="ON LINE"/>
    <s v="Cartão de crédito"/>
    <s v="Cartão AMEX"/>
    <x v="0"/>
    <s v="N"/>
    <x v="46"/>
    <s v="Adidas do Brasil Ltda"/>
    <s v="-"/>
    <s v="Gol Linhas Aereas"/>
    <n v="7700081192"/>
    <x v="13"/>
    <s v="-"/>
    <x v="269"/>
    <n v="120.57"/>
    <n v="0"/>
    <n v="0"/>
    <n v="0"/>
    <n v="0"/>
    <n v="0"/>
    <s v="Reserva importada por HubTravel"/>
    <s v="Centro de custo não preenchido! (ACC01) Matrícula não preenchida! (ACC01) Nível funcionário não preenchido! (ACC01)"/>
    <x v="4"/>
    <x v="10"/>
    <s v="Falta de informação Gerencial"/>
    <x v="0"/>
    <s v="Qualidade dos dados"/>
    <s v="KONTIK BUSINESS TRAVEL"/>
    <x v="6"/>
  </r>
  <r>
    <n v="23348965"/>
    <n v="24076378"/>
    <s v="ACC01"/>
    <x v="296"/>
    <d v="2025-11-18T16:57:12"/>
    <x v="0"/>
    <x v="0"/>
    <s v="JWDOTTT"/>
    <s v="SABRE"/>
    <s v="SDEI/RICARDO"/>
    <s v="Eliane da Silva Souza Paula"/>
    <s v="Eliane da Silva Souza Paula"/>
    <d v="2025-11-18T13:30:00"/>
    <s v="JWDOTT"/>
    <s v="-"/>
    <s v="ON LINE"/>
    <s v="Cartão de crédito"/>
    <s v="Cartão de crédito"/>
    <x v="1"/>
    <s v="N"/>
    <x v="46"/>
    <s v="Adidas do Brasil Ltda"/>
    <s v="-"/>
    <s v="Karl August - a Neighborhood Hotel"/>
    <s v="-"/>
    <x v="13"/>
    <s v="-"/>
    <x v="270"/>
    <n v="0"/>
    <n v="0"/>
    <n v="0"/>
    <n v="0"/>
    <n v="0"/>
    <n v="0"/>
    <s v="Reserva importada por HubTravel"/>
    <s v="Matrícula não preenchida! (ACC01)"/>
    <x v="4"/>
    <x v="11"/>
    <s v="Falta de informação Gerencial"/>
    <x v="0"/>
    <s v="Qualidade dos dados"/>
    <s v="KONTIK BUSINESS TRAVEL"/>
    <x v="6"/>
  </r>
  <r>
    <n v="23348676"/>
    <n v="24076067"/>
    <s v="ACC01"/>
    <x v="297"/>
    <d v="2025-11-18T15:54:24"/>
    <x v="0"/>
    <x v="0"/>
    <s v="EURGVCT"/>
    <s v="SABRE"/>
    <s v="FREY/GEISA"/>
    <s v="Eliane da Silva Souza Paula"/>
    <s v="Eliane da Silva Souza Paula"/>
    <d v="2025-11-18T12:25:00"/>
    <s v="EURGVC"/>
    <s v="-"/>
    <s v="OFF LINE"/>
    <s v="Invoice"/>
    <s v="Faturado"/>
    <x v="1"/>
    <s v="N"/>
    <x v="46"/>
    <s v="Adidas do Brasil Ltda"/>
    <s v="-"/>
    <s v="-"/>
    <s v="-"/>
    <x v="13"/>
    <s v="-"/>
    <x v="27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5938"/>
    <n v="24073245"/>
    <s v="ACC01"/>
    <x v="298"/>
    <d v="2025-11-18T10:04:14"/>
    <x v="0"/>
    <x v="0"/>
    <s v="WMHDRH"/>
    <s v="SABRE"/>
    <s v="UNGARETTI/MARCOS VINICIUS QUEIROZ"/>
    <s v="Eliane da Silva Souza Paula"/>
    <s v="Eliane da Silva Souza Paula"/>
    <d v="2025-11-17T13:05:00"/>
    <n v="685203"/>
    <s v="-"/>
    <s v="ON LINE"/>
    <s v="Cartão de crédito"/>
    <s v="Cartão AMEX"/>
    <x v="0"/>
    <s v="N"/>
    <x v="46"/>
    <s v="Adidas do Brasil Ltda"/>
    <s v="-"/>
    <s v="Gol Linhas Aereas"/>
    <n v="2149685203"/>
    <x v="13"/>
    <s v="-"/>
    <x v="272"/>
    <n v="59.46"/>
    <n v="0"/>
    <n v="0"/>
    <n v="0"/>
    <n v="0"/>
    <n v="0"/>
    <s v="Reserva importada por HubTravel"/>
    <s v="Matrícula não preenchida! (ACC01) Nível funcionário não preenchido! (ACC01)"/>
    <x v="4"/>
    <x v="10"/>
    <s v="Falta de informação Gerencial"/>
    <x v="0"/>
    <s v="Qualidade dos dados"/>
    <s v="KONTIK BUSINESS TRAVEL"/>
    <x v="6"/>
  </r>
  <r>
    <n v="23368246"/>
    <n v="24094227"/>
    <s v="ACC01"/>
    <x v="299"/>
    <d v="2025-11-21T20:42:20"/>
    <x v="3"/>
    <x v="3"/>
    <s v="GQAWJQ"/>
    <s v="SABRE"/>
    <s v="PASSOS FRANCIOLLI/PEDRO HENRI"/>
    <s v="Flavia Constanzi do Nascimento"/>
    <s v="WS"/>
    <d v="2025-11-21T11:11:00"/>
    <s v="GQAWJQ"/>
    <s v="-"/>
    <s v="ON LINE"/>
    <s v="Cartão de crédito"/>
    <s v="Cartão AMEX"/>
    <x v="0"/>
    <s v="N"/>
    <x v="46"/>
    <s v="Adidas do Brasil Ltda"/>
    <s v="-"/>
    <s v="Latam Airlines Brasil"/>
    <n v="5580640161"/>
    <x v="13"/>
    <s v="-"/>
    <x v="273"/>
    <n v="59.54"/>
    <n v="1133"/>
    <n v="0"/>
    <n v="59.54"/>
    <n v="0"/>
    <n v="0"/>
    <s v="Reserva importada por HubTravel"/>
    <s v="Centro de custo não preenchido! (ACC01) Matrícula não preenchida! (ACC01) Nível funcionário não preenchido! (ACC01)"/>
    <x v="4"/>
    <x v="10"/>
    <s v="Falta de informação Gerencial"/>
    <x v="0"/>
    <s v="Qualidade dos dados"/>
    <s v="GRUPO KONTIK"/>
    <x v="0"/>
  </r>
  <r>
    <n v="23342302"/>
    <n v="24070058"/>
    <s v="ACC01"/>
    <x v="300"/>
    <d v="2025-11-18T14:18:38"/>
    <x v="0"/>
    <x v="0"/>
    <s v="EPZHULT"/>
    <s v="SABRE"/>
    <s v="SDEI/RICARDO"/>
    <s v="WS"/>
    <s v="WS"/>
    <d v="2025-11-17T11:01:00"/>
    <s v="EPZHUL"/>
    <s v="-"/>
    <s v="ON LINE"/>
    <s v="Pagamento direto"/>
    <s v="Pagamento direto"/>
    <x v="1"/>
    <s v="N"/>
    <x v="46"/>
    <s v="Adidas do Brasil Ltda"/>
    <s v="-"/>
    <s v="-"/>
    <s v="-"/>
    <x v="13"/>
    <s v="-"/>
    <x v="274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49093"/>
    <n v="24076500"/>
    <s v="ACC01"/>
    <x v="301"/>
    <d v="2025-11-18T17:33:38"/>
    <x v="0"/>
    <x v="0"/>
    <s v="JRISZD"/>
    <s v="SABRE"/>
    <s v="GRIPPA/RHEBEKA"/>
    <s v="WS"/>
    <s v="WS"/>
    <d v="2025-11-17T15:02:00"/>
    <s v="HZXTTQ"/>
    <s v="-"/>
    <s v="ON LINE"/>
    <s v="Cartão de crédito"/>
    <s v="Cartão AMEX"/>
    <x v="0"/>
    <s v="N"/>
    <x v="46"/>
    <s v="Adidas do Brasil Ltda"/>
    <s v="-"/>
    <s v="Gol Linhas Aereas"/>
    <n v="2149693024"/>
    <x v="13"/>
    <s v="-"/>
    <x v="275"/>
    <n v="120.57"/>
    <n v="0"/>
    <n v="0"/>
    <n v="0"/>
    <n v="0"/>
    <n v="0"/>
    <s v="Reserva importada por HubTravel"/>
    <s v="Matrícula não preenchida! (ACC01) Nível funcionário não preenchido! (ACC01)"/>
    <x v="4"/>
    <x v="10"/>
    <s v="Falta de informação Gerencial"/>
    <x v="0"/>
    <s v="Qualidade dos dados"/>
    <s v="KONTIK BUSINESS TRAVEL"/>
    <x v="2"/>
  </r>
  <r>
    <n v="23230354"/>
    <n v="23965026"/>
    <s v="ACC01"/>
    <x v="302"/>
    <d v="2025-11-17T11:30:52"/>
    <x v="0"/>
    <x v="6"/>
    <s v="LRYOKZT"/>
    <s v="SABRE"/>
    <s v="NUNES DE OLIVEIRA/EMERSON NUNES MR"/>
    <s v="WS"/>
    <s v="WS"/>
    <d v="2025-10-31T08:34:00"/>
    <s v="LRYOKZ"/>
    <s v="-"/>
    <s v="ON LINE"/>
    <s v="Cartão de crédito"/>
    <s v="Cartão de crédito"/>
    <x v="1"/>
    <s v="N"/>
    <x v="46"/>
    <s v="Adidas do Brasil Ltda"/>
    <s v="-"/>
    <s v="Comfort Suites Alphaville"/>
    <s v="-"/>
    <x v="13"/>
    <s v="-"/>
    <x v="276"/>
    <n v="39.72"/>
    <n v="0"/>
    <n v="0"/>
    <n v="0"/>
    <n v="0"/>
    <n v="0"/>
    <s v="Reserva importada por HubTravel"/>
    <s v="Matrícula não preenchida! (ACC01)"/>
    <x v="4"/>
    <x v="11"/>
    <s v="Falta de informação Gerencial"/>
    <x v="0"/>
    <s v="Qualidade dos dados"/>
    <s v="KONTIK BUSINESS TRAVEL"/>
    <x v="2"/>
  </r>
  <r>
    <n v="23308557"/>
    <n v="24038832"/>
    <s v="ACC01"/>
    <x v="303"/>
    <d v="2025-11-12T08:35:10"/>
    <x v="2"/>
    <x v="2"/>
    <n v="4625816"/>
    <s v="GOVER"/>
    <s v="FÁBIO SOARES BARBOSA"/>
    <s v="Loizy Lima de Oliveira"/>
    <s v="Loizy Lima de Oliveira"/>
    <d v="2025-11-12T00:00:00"/>
    <n v="4625816"/>
    <s v="-"/>
    <s v="OFF LINE"/>
    <s v="Cartão de crédito"/>
    <s v="Cartão de crédito"/>
    <x v="1"/>
    <s v="N"/>
    <x v="47"/>
    <s v="Elis Energia"/>
    <s v="-"/>
    <s v="-"/>
    <s v="-"/>
    <x v="39"/>
    <s v="-"/>
    <x v="277"/>
    <n v="0"/>
    <n v="0"/>
    <n v="0"/>
    <n v="0"/>
    <n v="0"/>
    <n v="0"/>
    <s v="Reserva importada do sistema Gover. Id: 4625816"/>
    <s v="Fornecedor não preenchido! (ACC01)"/>
    <x v="0"/>
    <x v="1"/>
    <s v="Campo Fornecedor"/>
    <x v="0"/>
    <s v="Sistêmico"/>
    <s v="GRUPO KONTIK"/>
    <x v="1"/>
  </r>
  <r>
    <n v="23340243"/>
    <n v="24068017"/>
    <s v="ACC01"/>
    <x v="304"/>
    <d v="2025-11-24T01:50:16"/>
    <x v="4"/>
    <x v="0"/>
    <s v="5THMK5"/>
    <s v="TMS"/>
    <s v="ALESANDRO SILVA"/>
    <s v="Tms"/>
    <s v="Tms"/>
    <d v="2025-11-17T12:38:00"/>
    <n v="28210"/>
    <s v="-"/>
    <s v="OFF LINE"/>
    <s v="Invoice"/>
    <s v="Faturado"/>
    <x v="3"/>
    <s v="N"/>
    <x v="48"/>
    <s v="Enaex"/>
    <s v="-"/>
    <s v="-"/>
    <s v="-"/>
    <x v="40"/>
    <s v="-"/>
    <x v="278"/>
    <n v="40.08"/>
    <n v="0"/>
    <n v="0"/>
    <n v="0"/>
    <n v="0"/>
    <n v="0"/>
    <s v="Reserva importada do Sistema TMS. OS: 28210"/>
    <s v="Fornecedor não preenchido! (ACC01)"/>
    <x v="5"/>
    <x v="1"/>
    <s v="Campo Fornecedor"/>
    <x v="0"/>
    <s v="Qualidade dos dados"/>
    <s v="KONTIK BUSINESS TRAVEL"/>
    <x v="2"/>
  </r>
  <r>
    <n v="23340259"/>
    <n v="24068031"/>
    <s v="ACC01"/>
    <x v="305"/>
    <d v="2025-11-24T01:50:16"/>
    <x v="4"/>
    <x v="0"/>
    <s v="5T7Q8T"/>
    <s v="TMS"/>
    <s v="VALDECI MARQUES"/>
    <s v="Tms"/>
    <s v="Tms"/>
    <d v="2025-11-17T08:46:00"/>
    <n v="28187"/>
    <s v="-"/>
    <s v="OFF LINE"/>
    <s v="Invoice"/>
    <s v="Faturado"/>
    <x v="3"/>
    <s v="N"/>
    <x v="48"/>
    <s v="Enaex"/>
    <s v="-"/>
    <s v="-"/>
    <s v="-"/>
    <x v="40"/>
    <s v="-"/>
    <x v="279"/>
    <n v="32.5"/>
    <n v="0"/>
    <n v="0"/>
    <n v="0"/>
    <n v="0"/>
    <n v="0"/>
    <s v="Reserva importada do Sistema TMS. OS: 28187"/>
    <s v="Fornecedor não preenchido! (ACC01)"/>
    <x v="5"/>
    <x v="1"/>
    <s v="Campo Fornecedor"/>
    <x v="0"/>
    <s v="Qualidade dos dados"/>
    <s v="KONTIK BUSINESS TRAVEL"/>
    <x v="2"/>
  </r>
  <r>
    <n v="23340261"/>
    <n v="24068033"/>
    <s v="ACC01"/>
    <x v="306"/>
    <d v="2025-11-24T01:50:17"/>
    <x v="4"/>
    <x v="0"/>
    <s v="5TO185"/>
    <s v="TMS"/>
    <s v="GILVAN SANTOS"/>
    <s v="Tms"/>
    <s v="Tms"/>
    <d v="2025-11-17T08:46:00"/>
    <n v="28186"/>
    <s v="-"/>
    <s v="OFF LINE"/>
    <s v="Invoice"/>
    <s v="Faturado"/>
    <x v="3"/>
    <s v="N"/>
    <x v="48"/>
    <s v="Enaex"/>
    <s v="-"/>
    <s v="-"/>
    <s v="-"/>
    <x v="40"/>
    <s v="-"/>
    <x v="279"/>
    <n v="32.5"/>
    <n v="0"/>
    <n v="0"/>
    <n v="0"/>
    <n v="0"/>
    <n v="0"/>
    <s v="Reserva importada do Sistema TMS. OS: 28186"/>
    <s v="Fornecedor não preenchido! (ACC01)"/>
    <x v="5"/>
    <x v="1"/>
    <s v="Campo Fornecedor"/>
    <x v="0"/>
    <s v="Qualidade dos dados"/>
    <s v="KONTIK BUSINESS TRAVEL"/>
    <x v="2"/>
  </r>
  <r>
    <n v="23340263"/>
    <n v="24068035"/>
    <s v="ACC01"/>
    <x v="307"/>
    <d v="2025-11-24T01:50:17"/>
    <x v="4"/>
    <x v="0"/>
    <s v="5T1W85"/>
    <s v="TMS"/>
    <s v="DANIEL SILVA"/>
    <s v="Tms"/>
    <s v="Tms"/>
    <d v="2025-11-17T08:33:00"/>
    <n v="28185"/>
    <s v="-"/>
    <s v="OFF LINE"/>
    <s v="Invoice"/>
    <s v="Faturado"/>
    <x v="3"/>
    <s v="N"/>
    <x v="48"/>
    <s v="Enaex"/>
    <s v="-"/>
    <s v="-"/>
    <s v="-"/>
    <x v="40"/>
    <s v="-"/>
    <x v="279"/>
    <n v="32.5"/>
    <n v="0"/>
    <n v="0"/>
    <n v="0"/>
    <n v="0"/>
    <n v="0"/>
    <s v="Reserva importada do Sistema TMS. OS: 28185"/>
    <s v="Fornecedor não preenchido! (ACC01)"/>
    <x v="5"/>
    <x v="1"/>
    <s v="Campo Fornecedor"/>
    <x v="0"/>
    <s v="Qualidade dos dados"/>
    <s v="KONTIK BUSINESS TRAVEL"/>
    <x v="2"/>
  </r>
  <r>
    <n v="23347936"/>
    <n v="24075315"/>
    <s v="ACC01"/>
    <x v="308"/>
    <d v="2025-11-24T01:50:18"/>
    <x v="4"/>
    <x v="0"/>
    <s v="5TTHTU"/>
    <s v="TMS"/>
    <s v="GUSTAVO AZEVEDO MIRANDA"/>
    <s v="Tms"/>
    <s v="Tms"/>
    <d v="2025-11-18T14:00:00"/>
    <n v="28245"/>
    <s v="-"/>
    <s v="OFF LINE"/>
    <s v="Invoice"/>
    <s v="Faturado"/>
    <x v="3"/>
    <s v="N"/>
    <x v="48"/>
    <s v="Enaex"/>
    <s v="-"/>
    <s v="-"/>
    <s v="-"/>
    <x v="40"/>
    <s v="-"/>
    <x v="280"/>
    <n v="27.2"/>
    <n v="0"/>
    <n v="0"/>
    <n v="0"/>
    <n v="0"/>
    <n v="0"/>
    <s v="Reserva importada do Sistema TMS. OS: 28245"/>
    <s v="Fornecedor não preenchido! (ACC01)"/>
    <x v="5"/>
    <x v="1"/>
    <s v="Campo Fornecedor"/>
    <x v="0"/>
    <s v="Qualidade dos dados"/>
    <s v="KONTIK BUSINESS TRAVEL"/>
    <x v="2"/>
  </r>
  <r>
    <n v="23366678"/>
    <n v="24092711"/>
    <s v="ACC01"/>
    <x v="309"/>
    <d v="2025-11-24T01:55:13"/>
    <x v="4"/>
    <x v="3"/>
    <s v="5UKSUB"/>
    <s v="TMS"/>
    <s v="WELSON SILVA"/>
    <s v="Tms"/>
    <s v="Tms"/>
    <d v="2025-11-21T10:18:00"/>
    <n v="28289"/>
    <s v="-"/>
    <s v="OFF LINE"/>
    <s v="Invoice"/>
    <s v="Faturado"/>
    <x v="3"/>
    <s v="N"/>
    <x v="48"/>
    <s v="Enaex"/>
    <s v="-"/>
    <s v="-"/>
    <s v="-"/>
    <x v="40"/>
    <s v="-"/>
    <x v="281"/>
    <n v="81.14"/>
    <n v="0"/>
    <n v="0"/>
    <n v="0"/>
    <n v="0"/>
    <n v="0"/>
    <s v="Reserva importada do Sistema TMS. OS: 28289"/>
    <s v="Fornecedor não preenchido! (ACC01)"/>
    <x v="5"/>
    <x v="1"/>
    <s v="Campo Fornecedor"/>
    <x v="0"/>
    <s v="Qualidade dos dados"/>
    <s v="KONTIK BUSINESS TRAVEL"/>
    <x v="2"/>
  </r>
  <r>
    <n v="23350500"/>
    <n v="24077890"/>
    <s v="ACC01"/>
    <x v="310"/>
    <d v="2025-11-18T21:31:03"/>
    <x v="0"/>
    <x v="0"/>
    <s v="5T27Q8"/>
    <s v="TMS"/>
    <s v="EDUARDO ROZA"/>
    <s v="Tms"/>
    <s v="Tms"/>
    <d v="2025-11-18T16:30:00"/>
    <n v="28254"/>
    <s v="Pinhais / CWB"/>
    <s v="ON LINE"/>
    <s v="Invoice"/>
    <s v="Faturado"/>
    <x v="2"/>
    <s v="N"/>
    <x v="48"/>
    <s v="Enaex"/>
    <s v="-"/>
    <s v="Localiza - Br - Pr - Pinhais - Centro"/>
    <s v="-"/>
    <x v="40"/>
    <s v="-"/>
    <x v="282"/>
    <n v="0"/>
    <n v="0"/>
    <n v="0"/>
    <n v="0"/>
    <n v="0"/>
    <n v="0"/>
    <s v="Reserva importada do Sistema TMS. OS: 28254"/>
    <s v="Fornecedor não preenchido! (ACC01)"/>
    <x v="5"/>
    <x v="1"/>
    <s v="Campo Fornecedor"/>
    <x v="0"/>
    <s v="Qualidade dos dados"/>
    <s v="KONTIK BUSINESS TRAVEL"/>
    <x v="2"/>
  </r>
  <r>
    <n v="23368795"/>
    <n v="24094754"/>
    <s v="ACC01"/>
    <x v="311"/>
    <d v="2025-11-21T22:44:10"/>
    <x v="3"/>
    <x v="3"/>
    <s v="5UFTEA"/>
    <s v="TMS"/>
    <s v="PAULO MARTINS"/>
    <s v="Tms"/>
    <s v="Tms"/>
    <d v="2025-11-21T16:08:00"/>
    <n v="28314"/>
    <s v="Salvador / SSA"/>
    <s v="ON LINE"/>
    <s v="Invoice"/>
    <s v="Faturado"/>
    <x v="2"/>
    <s v="N"/>
    <x v="48"/>
    <s v="Enaex"/>
    <s v="-"/>
    <s v="-"/>
    <s v="-"/>
    <x v="40"/>
    <s v="-"/>
    <x v="283"/>
    <n v="0"/>
    <n v="0"/>
    <n v="0"/>
    <n v="0"/>
    <n v="0"/>
    <n v="0"/>
    <s v="Reserva importada do Sistema TMS. OS: 28314"/>
    <s v="Fornecedor não preenchido! (ACC01)"/>
    <x v="5"/>
    <x v="1"/>
    <s v="Campo Fornecedor"/>
    <x v="0"/>
    <s v="Qualidade dos dados"/>
    <s v="KONTIK BUSINESS TRAVEL"/>
    <x v="2"/>
  </r>
  <r>
    <n v="23366677"/>
    <n v="24092710"/>
    <s v="ACC01"/>
    <x v="312"/>
    <d v="2025-11-21T16:41:55"/>
    <x v="3"/>
    <x v="3"/>
    <s v="5UU2JB"/>
    <s v="TMS"/>
    <s v="IANKA SIMÕES"/>
    <s v="Marcia Fernandes de Sousa"/>
    <s v="Marcia Fernandes de Sousa"/>
    <d v="2025-11-21T09:51:00"/>
    <n v="28291"/>
    <s v="-"/>
    <s v="OFF LINE"/>
    <s v="Cartão de crédito"/>
    <s v="Cartão de crédito"/>
    <x v="3"/>
    <s v="N"/>
    <x v="48"/>
    <s v="Enaex"/>
    <s v="-"/>
    <s v="-"/>
    <s v="-"/>
    <x v="40"/>
    <s v="-"/>
    <x v="284"/>
    <n v="0"/>
    <n v="0"/>
    <n v="0"/>
    <n v="0"/>
    <n v="0"/>
    <n v="0"/>
    <s v="Reserva importada do Sistema TMS. OS: 28291"/>
    <s v="Fornecedor não preenchido! (ACC01)"/>
    <x v="5"/>
    <x v="1"/>
    <s v="Campo Fornecedor"/>
    <x v="0"/>
    <s v="Qualidade dos dados"/>
    <s v="KONTIK BUSINESS TRAVEL"/>
    <x v="2"/>
  </r>
  <r>
    <n v="23368805"/>
    <n v="24094764"/>
    <s v="ACC01"/>
    <x v="313"/>
    <d v="2025-11-21T22:46:20"/>
    <x v="3"/>
    <x v="3"/>
    <s v="5UWYCZ"/>
    <s v="TMS"/>
    <s v="JEOBANNE COELHO"/>
    <s v="Marcia Fernandes de Sousa"/>
    <s v="Marcia Fernandes de Sousa"/>
    <d v="2025-11-21T18:50:00"/>
    <n v="27974"/>
    <s v="-"/>
    <s v="OFF LINE"/>
    <s v="Cartão de crédito"/>
    <s v="Cartão de crédito"/>
    <x v="3"/>
    <s v="N"/>
    <x v="48"/>
    <s v="Enaex"/>
    <s v="-"/>
    <s v="-"/>
    <s v="-"/>
    <x v="40"/>
    <s v="-"/>
    <x v="285"/>
    <n v="0"/>
    <n v="0"/>
    <n v="0"/>
    <n v="0"/>
    <n v="0"/>
    <n v="0"/>
    <s v="Reserva importada do Sistema TMS. OS: 27974"/>
    <s v="Fornecedor não preenchido! (ACC01)"/>
    <x v="5"/>
    <x v="1"/>
    <s v="Campo Fornecedor"/>
    <x v="0"/>
    <s v="Qualidade dos dados"/>
    <s v="KONTIK BUSINESS TRAVEL"/>
    <x v="2"/>
  </r>
  <r>
    <n v="23366681"/>
    <n v="24092714"/>
    <s v="ACC01"/>
    <x v="314"/>
    <d v="2025-11-21T16:42:22"/>
    <x v="3"/>
    <x v="3"/>
    <s v="5UZ3UB"/>
    <s v="TMS"/>
    <s v="GUILHERME VANZO"/>
    <s v="Marcia Fernandes de Sousa"/>
    <s v="Marcia Fernandes de Sousa"/>
    <d v="2025-11-21T11:03:00"/>
    <n v="28261"/>
    <s v="-"/>
    <s v="OFF LINE"/>
    <s v="Cartão de crédito"/>
    <s v="Cartão de crédito"/>
    <x v="3"/>
    <s v="N"/>
    <x v="48"/>
    <s v="Enaex"/>
    <s v="-"/>
    <s v="-"/>
    <s v="-"/>
    <x v="40"/>
    <s v="-"/>
    <x v="286"/>
    <n v="0"/>
    <n v="0"/>
    <n v="0"/>
    <n v="0"/>
    <n v="0"/>
    <n v="0"/>
    <s v="Reserva importada do Sistema TMS. OS: 28261"/>
    <s v="Fornecedor não preenchido! (ACC01)"/>
    <x v="5"/>
    <x v="1"/>
    <s v="Campo Fornecedor"/>
    <x v="0"/>
    <s v="Qualidade dos dados"/>
    <s v="KONTIK BUSINESS TRAVEL"/>
    <x v="2"/>
  </r>
  <r>
    <n v="23329217"/>
    <n v="24058651"/>
    <s v="ACC01"/>
    <x v="315"/>
    <d v="2025-11-15T01:35:25"/>
    <x v="2"/>
    <x v="2"/>
    <s v="5T12BG"/>
    <s v="TMS"/>
    <s v="LUCAS SOUZA"/>
    <s v="Alexandre Isidio da Silva"/>
    <s v="Alexandre Isidio da Silva"/>
    <d v="2025-11-14T10:58:00"/>
    <n v="28101"/>
    <s v="-"/>
    <s v="OFF LINE"/>
    <s v="Cartão de crédito"/>
    <s v="Cartão de crédito"/>
    <x v="1"/>
    <s v="N"/>
    <x v="48"/>
    <s v="Enaex"/>
    <s v="-"/>
    <s v="-"/>
    <s v="-"/>
    <x v="40"/>
    <s v="-"/>
    <x v="287"/>
    <n v="0"/>
    <n v="0"/>
    <n v="0"/>
    <n v="0"/>
    <n v="49.5"/>
    <n v="0"/>
    <s v="Reserva importada do Sistema TMS. OS: 28101"/>
    <s v="Fornecedor não preenchido! (ACC01)"/>
    <x v="5"/>
    <x v="1"/>
    <s v="Campo Fornecedor"/>
    <x v="0"/>
    <s v="Qualidade dos dados"/>
    <s v="KONTIK BUSINESS TRAVEL"/>
    <x v="2"/>
  </r>
  <r>
    <n v="23074121"/>
    <n v="23826271"/>
    <s v="ACC01"/>
    <x v="316"/>
    <d v="2025-10-08T20:55:33"/>
    <x v="6"/>
    <x v="5"/>
    <s v="5O5X2M"/>
    <s v="TMS"/>
    <s v="MARCOS LEITE"/>
    <s v="Deise Fernanda Franca de Souza"/>
    <s v="Deise Fernanda Franca de Souza"/>
    <d v="2025-10-08T17:33:00"/>
    <n v="5992"/>
    <s v="-"/>
    <s v="OFF LINE"/>
    <s v="Cartão de crédito"/>
    <s v="Cartão de crédito"/>
    <x v="1"/>
    <s v="N"/>
    <x v="49"/>
    <s v="Ferreira Costa - Corporativo (imb)"/>
    <s v="-"/>
    <s v="-"/>
    <s v="-"/>
    <x v="41"/>
    <s v="-"/>
    <x v="288"/>
    <n v="0"/>
    <n v="0"/>
    <n v="0"/>
    <n v="0"/>
    <n v="0"/>
    <n v="0"/>
    <s v="Reserva importada do Sistema TMS. OS: 5992"/>
    <s v="Fornecedor não preenchido! (ACC01)"/>
    <x v="5"/>
    <x v="1"/>
    <s v="Campo Fornecedor"/>
    <x v="0"/>
    <s v="Qualidade dos dados"/>
    <s v="KONTIK BUSINESS TRAVEL"/>
    <x v="2"/>
  </r>
  <r>
    <n v="23355495"/>
    <n v="24082468"/>
    <s v="ACC01"/>
    <x v="317"/>
    <d v="2025-11-19T16:07:54"/>
    <x v="3"/>
    <x v="3"/>
    <s v="5T7V2N"/>
    <s v="LEMONTECH"/>
    <s v="ROCHA CERIOLLI/IZABELE"/>
    <s v="Isabela de Melo da Silva"/>
    <s v="Isabela de Melo da Silva"/>
    <d v="2025-11-19T11:48:00"/>
    <n v="18061063"/>
    <s v="AGÊNCIA AEROPORTO - SANTAREM"/>
    <s v="OFF LINE"/>
    <s v="Invoice"/>
    <s v="Faturado"/>
    <x v="2"/>
    <s v="N"/>
    <x v="50"/>
    <s v="Biolab Centro Administrativo - Escritorio"/>
    <s v="-"/>
    <s v="Localiza - Br - Pa - Santarem - Aldeia"/>
    <s v="-"/>
    <x v="42"/>
    <s v="-"/>
    <x v="289"/>
    <n v="0"/>
    <n v="0"/>
    <n v="0"/>
    <n v="0"/>
    <n v="0"/>
    <n v="0"/>
    <s v="Reserva importada do Sistema Lemontech. Solicitação: 18061063"/>
    <s v="Fornecedor não preenchido! (ACC01)"/>
    <x v="6"/>
    <x v="1"/>
    <s v="Campo Fornecedor"/>
    <x v="0"/>
    <s v="Qualidade dos dados"/>
    <s v="KONTIK BUSINESS TRAVEL"/>
    <x v="2"/>
  </r>
  <r>
    <n v="23355488"/>
    <n v="24082461"/>
    <s v="ACC01"/>
    <x v="318"/>
    <d v="2025-11-19T16:07:28"/>
    <x v="3"/>
    <x v="3"/>
    <s v="5T2FSL"/>
    <s v="LEMONTECH"/>
    <s v="FERNANDES DA SILVA/JULIANA"/>
    <s v="Ana Clara Saturnino Lima"/>
    <s v="Ana Clara Saturnino Lima"/>
    <d v="2025-11-19T00:00:00"/>
    <n v="18060255"/>
    <s v="-"/>
    <s v="ON LINE"/>
    <s v="Invoice"/>
    <s v="Faturado"/>
    <x v="1"/>
    <s v="N"/>
    <x v="50"/>
    <s v="Biolab Centro Administrativo - Escritorio"/>
    <s v="-"/>
    <s v="-"/>
    <s v="-"/>
    <x v="42"/>
    <s v="-"/>
    <x v="290"/>
    <n v="0"/>
    <n v="0"/>
    <n v="0"/>
    <n v="0"/>
    <n v="0"/>
    <n v="0"/>
    <s v="Reserva importada do Sistema Lemontech. Solicitação: 18060255"/>
    <s v="Fornecedor não preenchido! (ACC01)"/>
    <x v="6"/>
    <x v="1"/>
    <s v="Campo Fornecedor"/>
    <x v="0"/>
    <s v="Qualidade dos dados"/>
    <s v="KONTIK BUSINESS TRAVEL"/>
    <x v="2"/>
  </r>
  <r>
    <n v="23364446"/>
    <n v="24090498"/>
    <s v="ACC01"/>
    <x v="319"/>
    <d v="2025-11-21T09:02:17"/>
    <x v="3"/>
    <x v="3"/>
    <s v="5UF0Z0"/>
    <s v="LEMONTECH"/>
    <s v="BERNARDO/RODRIGO"/>
    <s v="Maria Clara Landeira Mezavila"/>
    <s v="Maria Clara Landeira Mezavila"/>
    <d v="2025-09-08T08:29:00"/>
    <n v="17480034"/>
    <s v="AL ARAGUAIA, 652, ALPHAVILLE "/>
    <s v="ON LINE"/>
    <s v="Invoice"/>
    <s v="Faturado"/>
    <x v="2"/>
    <s v="N"/>
    <x v="50"/>
    <s v="Biolab Centro Administrativo - Escritorio"/>
    <s v="-"/>
    <s v="Localiza - Br - Sp - Barueri - Alphaville Industrial"/>
    <s v="-"/>
    <x v="42"/>
    <s v="-"/>
    <x v="291"/>
    <n v="54.73"/>
    <n v="158.7"/>
    <n v="0"/>
    <n v="0"/>
    <n v="0"/>
    <n v="0"/>
    <s v="Reserva importada do Sistema Lemontech. Solicitação: 17480034"/>
    <s v="Fornecedor não preenchido! (ACC01)"/>
    <x v="6"/>
    <x v="1"/>
    <s v="Campo Fornecedor"/>
    <x v="0"/>
    <s v="Qualidade dos dados"/>
    <s v="KONTIK BUSINESS TRAVEL"/>
    <x v="2"/>
  </r>
  <r>
    <n v="23355489"/>
    <n v="24082462"/>
    <s v="ACC01"/>
    <x v="318"/>
    <d v="2025-11-19T16:07:29"/>
    <x v="3"/>
    <x v="3"/>
    <s v="5TC4WL"/>
    <s v="LEMONTECH"/>
    <s v="MELIATO BARTELEGA/RICHELEY"/>
    <s v="Maria Clara Landeira Mezavila"/>
    <s v="Maria Clara Landeira Mezavila"/>
    <d v="2025-11-19T00:00:00"/>
    <n v="18060359"/>
    <s v="-"/>
    <s v="OFF LINE"/>
    <s v="Cartão de crédito"/>
    <s v="Cartão de crédito"/>
    <x v="1"/>
    <s v="N"/>
    <x v="50"/>
    <s v="Biolab Centro Administrativo - Escritorio"/>
    <s v="-"/>
    <s v="-"/>
    <s v="-"/>
    <x v="42"/>
    <s v="-"/>
    <x v="292"/>
    <n v="0"/>
    <n v="0"/>
    <n v="0"/>
    <n v="0"/>
    <n v="16.13"/>
    <n v="0"/>
    <s v="Reserva importada do Sistema Lemontech. Solicitação: 18060359"/>
    <s v="Fornecedor não preenchido! (ACC01)"/>
    <x v="6"/>
    <x v="1"/>
    <s v="Campo Fornecedor"/>
    <x v="0"/>
    <s v="Qualidade dos dados"/>
    <s v="KONTIK BUSINESS TRAVEL"/>
    <x v="2"/>
  </r>
  <r>
    <n v="23355852"/>
    <n v="24082823"/>
    <s v="ACC01"/>
    <x v="320"/>
    <d v="2025-11-19T17:06:44"/>
    <x v="3"/>
    <x v="3"/>
    <s v="5TJ6XL"/>
    <s v="LEMONTECH"/>
    <s v="SILVA SANTANA/WALLAS"/>
    <s v="Maria Clara Landeira Mezavila"/>
    <s v="Maria Clara Landeira Mezavila"/>
    <d v="2025-11-19T00:00:00"/>
    <n v="18039491"/>
    <s v="-"/>
    <s v="OFF LINE"/>
    <s v="Cartão de crédito"/>
    <s v="Cartão de crédito"/>
    <x v="1"/>
    <s v="N"/>
    <x v="50"/>
    <s v="Biolab Centro Administrativo - Escritorio"/>
    <s v="-"/>
    <s v="-"/>
    <s v="-"/>
    <x v="42"/>
    <s v="-"/>
    <x v="293"/>
    <n v="0"/>
    <n v="0"/>
    <n v="0"/>
    <n v="0"/>
    <n v="0"/>
    <n v="0"/>
    <s v="Reserva importada do Sistema Lemontech. Solicitação: 18039491"/>
    <s v="Fornecedor não preenchido! (ACC01)"/>
    <x v="6"/>
    <x v="1"/>
    <s v="Campo Fornecedor"/>
    <x v="0"/>
    <s v="Qualidade dos dados"/>
    <s v="KONTIK BUSINESS TRAVEL"/>
    <x v="2"/>
  </r>
  <r>
    <n v="23325005"/>
    <n v="24054480"/>
    <s v="ACC01"/>
    <x v="321"/>
    <d v="2025-11-14T14:06:24"/>
    <x v="2"/>
    <x v="2"/>
    <s v="5TD32V"/>
    <s v="LEMONTECH"/>
    <s v="FERNANDES DA SILVA/JULIANA"/>
    <s v="Fernando Augusto Santiago da Silva"/>
    <s v="Fernando Augusto Santiago da Silva"/>
    <d v="2025-11-13T14:11:00"/>
    <n v="18021983"/>
    <s v="-"/>
    <s v="OFF LINE"/>
    <s v="Cartão de crédito"/>
    <s v="Cartão de crédito"/>
    <x v="3"/>
    <s v="N"/>
    <x v="50"/>
    <s v="Biolab Centro Administrativo - Escritorio"/>
    <s v="-"/>
    <s v="-"/>
    <s v="-"/>
    <x v="42"/>
    <s v="-"/>
    <x v="294"/>
    <n v="0"/>
    <n v="0"/>
    <n v="0"/>
    <n v="0"/>
    <n v="0"/>
    <n v="0"/>
    <s v="Reserva importada do Sistema Lemontech. Solicitação: 18021983"/>
    <s v="Fornecedor não preenchido! (ACC01)"/>
    <x v="6"/>
    <x v="1"/>
    <s v="Campo Fornecedor"/>
    <x v="0"/>
    <s v="Qualidade dos dados"/>
    <s v="KONTIK BUSINESS TRAVEL"/>
    <x v="2"/>
  </r>
  <r>
    <n v="23355868"/>
    <n v="24082840"/>
    <s v="ACC01"/>
    <x v="322"/>
    <d v="2025-11-19T17:08:36"/>
    <x v="3"/>
    <x v="3"/>
    <s v="5TNJXN"/>
    <s v="LEMONTECH"/>
    <s v="FERNANDES DA SILVA/JULIANA"/>
    <s v="Fernando Augusto Santiago da Silva"/>
    <s v="Fernando Augusto Santiago da Silva"/>
    <d v="2025-11-19T10:37:00"/>
    <n v="18064803"/>
    <s v="-"/>
    <s v="OFF LINE"/>
    <s v="Invoice"/>
    <s v="Faturado"/>
    <x v="3"/>
    <s v="N"/>
    <x v="50"/>
    <s v="Biolab Centro Administrativo - Escritorio"/>
    <s v="-"/>
    <s v="-"/>
    <s v="-"/>
    <x v="42"/>
    <s v="-"/>
    <x v="295"/>
    <n v="0"/>
    <n v="0"/>
    <n v="0"/>
    <n v="0"/>
    <n v="0"/>
    <n v="0"/>
    <s v="Reserva importada do Sistema Lemontech. Solicitação: 18064803"/>
    <s v="Fornecedor não preenchido! (ACC01)"/>
    <x v="6"/>
    <x v="1"/>
    <s v="Campo Fornecedor"/>
    <x v="0"/>
    <s v="Qualidade dos dados"/>
    <s v="KONTIK BUSINESS TRAVEL"/>
    <x v="2"/>
  </r>
  <r>
    <n v="23354500"/>
    <n v="24081466"/>
    <s v="ACC01"/>
    <x v="323"/>
    <d v="2025-11-19T14:46:01"/>
    <x v="3"/>
    <x v="3"/>
    <n v="5197274"/>
    <s v="GOVER"/>
    <s v="Marcus Vinicius Santana de Novaes"/>
    <s v="Rafaela Leitao Oliveira"/>
    <s v="Rafaela Leitao Oliveira"/>
    <d v="2025-11-19T00:00:00"/>
    <n v="4629948"/>
    <s v="-"/>
    <s v="OFF LINE"/>
    <s v="Invoice"/>
    <s v="Faturado"/>
    <x v="1"/>
    <s v="N"/>
    <x v="51"/>
    <s v="Tec Toy"/>
    <s v="-"/>
    <s v="Brasil 21 Convention Affiliated By Melia - Inativo"/>
    <s v="-"/>
    <x v="43"/>
    <s v="-"/>
    <x v="296"/>
    <n v="0"/>
    <n v="0"/>
    <n v="0"/>
    <n v="0"/>
    <n v="0"/>
    <n v="0"/>
    <s v="Reserva importada do sistema Gover. Id: 4629948"/>
    <s v="Não foi possível encontrar um contrato válido para o fornecedor 70512 (Código fornecedor) "/>
    <x v="0"/>
    <x v="14"/>
    <s v="Análise Cadastro"/>
    <x v="0"/>
    <s v="Qualidade dos dados"/>
    <s v="KONTIK BUSINESS TRAVEL"/>
    <x v="2"/>
  </r>
  <r>
    <n v="23354500"/>
    <n v="24081467"/>
    <s v="ACC02"/>
    <x v="323"/>
    <d v="2025-11-19T14:46:01"/>
    <x v="3"/>
    <x v="3"/>
    <n v="5197274"/>
    <s v="GOVER"/>
    <s v="Telma Cristina  Zago Momesso"/>
    <s v="Rafaela Leitao Oliveira"/>
    <s v="Rafaela Leitao Oliveira"/>
    <d v="2025-11-19T00:00:00"/>
    <n v="4629948"/>
    <s v="-"/>
    <s v="OFF LINE"/>
    <s v="Invoice"/>
    <s v="Faturado"/>
    <x v="1"/>
    <s v="N"/>
    <x v="51"/>
    <s v="Tec Toy"/>
    <s v="-"/>
    <s v="Brasil 21 Convention Affiliated By Melia - Inativo"/>
    <s v="-"/>
    <x v="43"/>
    <s v="-"/>
    <x v="296"/>
    <n v="0"/>
    <n v="0"/>
    <n v="0"/>
    <n v="0"/>
    <n v="0"/>
    <n v="0"/>
    <s v="Reserva importada do sistema Gover. Id: 4629948"/>
    <s v="Não foi possível encontrar um contrato válido para o fornecedor 70512 (Código fornecedor) "/>
    <x v="0"/>
    <x v="14"/>
    <s v="Análise Cadastro"/>
    <x v="0"/>
    <s v="Qualidade dos dados"/>
    <s v="KONTIK BUSINESS TRAVEL"/>
    <x v="2"/>
  </r>
  <r>
    <n v="23356135"/>
    <n v="24083125"/>
    <s v="ACC01"/>
    <x v="324"/>
    <d v="2025-11-21T10:36:36"/>
    <x v="3"/>
    <x v="3"/>
    <s v="IVXVLCT"/>
    <s v="SABRE"/>
    <s v="VALADAO/MARCUS NANTES VALADAO MR"/>
    <s v="Raquel Ribeiro Pinto Villarreal"/>
    <s v="Raquel Ribeiro Pinto Villarreal"/>
    <d v="2025-11-19T14:38:00"/>
    <s v="IVXVLC"/>
    <s v="-"/>
    <s v="ON LINE"/>
    <s v="Invoice"/>
    <s v="Faturado"/>
    <x v="1"/>
    <s v="N"/>
    <x v="52"/>
    <s v="Weir do Brasil Ltda"/>
    <s v="-"/>
    <s v="-"/>
    <s v="-"/>
    <x v="13"/>
    <s v="-"/>
    <x v="297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4"/>
    <x v="10"/>
    <s v="Falta de informação Gerencial"/>
    <x v="0"/>
    <s v="Qualidade dos dados"/>
    <s v="KONTIK BUSINESS TRAVEL"/>
    <x v="6"/>
  </r>
  <r>
    <n v="23302459"/>
    <n v="24033096"/>
    <s v="ACC01"/>
    <x v="325"/>
    <d v="2025-11-11T13:27:52"/>
    <x v="2"/>
    <x v="2"/>
    <s v="5RLG39"/>
    <s v="TMS"/>
    <s v="LEANDRO BEZERRA SALES"/>
    <s v="Nataly Franca Regal de Castro"/>
    <s v="Nataly Franca Regal de Castro"/>
    <d v="2025-11-11T11:23:00"/>
    <n v="88488"/>
    <s v="-"/>
    <s v="OFF LINE"/>
    <s v="Invoice"/>
    <s v="Faturado"/>
    <x v="3"/>
    <s v="N"/>
    <x v="53"/>
    <s v="Oceanpact Servicos Maritimos"/>
    <s v="-"/>
    <s v="-"/>
    <s v="-"/>
    <x v="44"/>
    <s v="-"/>
    <x v="298"/>
    <n v="0"/>
    <n v="0"/>
    <n v="0"/>
    <n v="0"/>
    <n v="0"/>
    <n v="0"/>
    <s v="Reserva importada do Sistema TMS. OS: 88488"/>
    <s v="Fornecedor não preenchido! (ACC01)"/>
    <x v="5"/>
    <x v="1"/>
    <s v="Campo Fornecedor"/>
    <x v="0"/>
    <s v="Qualidade dos dados"/>
    <s v="KONTIK BUSINESS TRAVEL"/>
    <x v="2"/>
  </r>
  <r>
    <n v="23273241"/>
    <n v="24005863"/>
    <s v="ACC01"/>
    <x v="326"/>
    <d v="2025-11-06T18:26:33"/>
    <x v="1"/>
    <x v="1"/>
    <s v="5RO10T"/>
    <s v="TMS"/>
    <s v="CARLOS HENRIQUE AZEVEDO"/>
    <s v="Nataly Franca Regal de Castro"/>
    <s v="Nataly Franca Regal de Castro"/>
    <d v="2025-11-06T16:09:00"/>
    <n v="88019"/>
    <s v="-"/>
    <s v="OFF LINE"/>
    <s v="Invoice"/>
    <s v="Faturado"/>
    <x v="3"/>
    <s v="N"/>
    <x v="53"/>
    <s v="Up Offshore Apoio Maritimo"/>
    <s v="-"/>
    <s v="-"/>
    <s v="-"/>
    <x v="44"/>
    <s v="-"/>
    <x v="299"/>
    <n v="0"/>
    <n v="0"/>
    <n v="0"/>
    <n v="0"/>
    <n v="0"/>
    <n v="0"/>
    <s v="Reserva importada do Sistema TMS. OS: 88019"/>
    <s v="Fornecedor não preenchido! (ACC01)"/>
    <x v="5"/>
    <x v="1"/>
    <s v="Campo Fornecedor"/>
    <x v="0"/>
    <s v="Qualidade dos dados"/>
    <s v="KONTIK BUSINESS TRAVEL"/>
    <x v="2"/>
  </r>
  <r>
    <n v="23310206"/>
    <n v="24040514"/>
    <s v="ACC01"/>
    <x v="327"/>
    <d v="2025-11-12T13:03:36"/>
    <x v="2"/>
    <x v="2"/>
    <s v="5TU0ZZ"/>
    <s v="TMS"/>
    <s v="ANDRADE/FLAVIO"/>
    <s v="JOSE ALEXANDRE SOARES CALDAS"/>
    <s v="JOSE ALEXANDRE SOARES CALDAS"/>
    <d v="2025-11-12T10:16:00"/>
    <n v="88667"/>
    <s v="-"/>
    <s v="OFF LINE"/>
    <s v="Invoice"/>
    <s v="Faturado"/>
    <x v="0"/>
    <s v="N"/>
    <x v="53"/>
    <s v="Oceanpact Servicos Maritimos"/>
    <s v="-"/>
    <s v="Latam Airlines Brasil"/>
    <n v="2259206953"/>
    <x v="44"/>
    <s v="-"/>
    <x v="0"/>
    <n v="90.95"/>
    <n v="0"/>
    <n v="0"/>
    <n v="0"/>
    <n v="0"/>
    <n v="0"/>
    <s v="Reserva importada do Sistema TMS. OS: 88667"/>
    <s v="Empenho/departamento não preenchido! (ACC01)"/>
    <x v="5"/>
    <x v="12"/>
    <s v="Falta de informação Gerencial"/>
    <x v="0"/>
    <s v="Qualidade dos dados"/>
    <s v="KONTIK BUSINESS TRAVEL"/>
    <x v="3"/>
  </r>
  <r>
    <n v="23351884"/>
    <n v="24079169"/>
    <s v="ACC01"/>
    <x v="328"/>
    <d v="2025-11-19T03:08:03"/>
    <x v="3"/>
    <x v="3"/>
    <s v="5TKEC8"/>
    <s v="TMS"/>
    <s v="LUIZ SOARES PINTO"/>
    <s v="JOSE ALEXANDRE SOARES CALDAS"/>
    <s v="JOSE ALEXANDRE SOARES CALDAS"/>
    <d v="2025-11-18T14:49:00"/>
    <n v="89331"/>
    <s v="-"/>
    <s v="OFF LINE"/>
    <s v="Invoice"/>
    <s v="Faturado"/>
    <x v="3"/>
    <s v="N"/>
    <x v="53"/>
    <s v="Oceanpact Navegacao"/>
    <s v="-"/>
    <s v="-"/>
    <s v="-"/>
    <x v="44"/>
    <s v="-"/>
    <x v="300"/>
    <n v="0"/>
    <n v="0"/>
    <n v="0"/>
    <n v="0"/>
    <n v="0"/>
    <n v="0"/>
    <s v="Reserva importada do Sistema TMS. OS: 89331"/>
    <s v="Fornecedor não preenchido! (ACC01)"/>
    <x v="5"/>
    <x v="1"/>
    <s v="Campo Fornecedor"/>
    <x v="0"/>
    <s v="Qualidade dos dados"/>
    <s v="KONTIK BUSINESS TRAVEL"/>
    <x v="2"/>
  </r>
  <r>
    <n v="23368902"/>
    <n v="24094864"/>
    <s v="ACC01"/>
    <x v="329"/>
    <d v="2025-11-21T23:04:01"/>
    <x v="3"/>
    <x v="3"/>
    <s v="5UVEVQ"/>
    <s v="TMS"/>
    <s v="PAULA GENEROSO"/>
    <s v="MICHELI FERENZINI TORRES"/>
    <s v="MICHELI FERENZINI TORRES"/>
    <d v="2025-11-21T18:23:00"/>
    <n v="89898"/>
    <s v="-"/>
    <s v="OFF LINE"/>
    <s v="Cartão de crédito"/>
    <s v="Cartão de crédito"/>
    <x v="1"/>
    <s v="N"/>
    <x v="53"/>
    <s v="Oceanpact Servicos Maritimos"/>
    <s v="-"/>
    <s v="-"/>
    <s v="-"/>
    <x v="44"/>
    <s v="-"/>
    <x v="301"/>
    <n v="0"/>
    <n v="0"/>
    <n v="0"/>
    <n v="0"/>
    <n v="33"/>
    <n v="0"/>
    <s v="Reserva importada do Sistema TMS. OS: 89898"/>
    <s v="Fornecedor não preenchido! (ACC01)"/>
    <x v="5"/>
    <x v="1"/>
    <s v="Campo Fornecedor"/>
    <x v="0"/>
    <s v="Qualidade dos dados"/>
    <s v="KONTIK BUSINESS TRAVEL"/>
    <x v="2"/>
  </r>
  <r>
    <n v="23348137"/>
    <n v="24075531"/>
    <s v="ACC01"/>
    <x v="330"/>
    <d v="2025-11-24T01:50:18"/>
    <x v="4"/>
    <x v="0"/>
    <s v="5T1YH7"/>
    <s v="TMS"/>
    <s v="JOSE REGINALDO PINTO"/>
    <s v="Tms"/>
    <s v="Tms"/>
    <d v="2025-11-18T13:59:00"/>
    <n v="89425"/>
    <s v="-"/>
    <s v="OFF LINE"/>
    <s v="Invoice"/>
    <s v="Faturado"/>
    <x v="3"/>
    <s v="N"/>
    <x v="53"/>
    <s v="Oceanpact Servicos Maritimos"/>
    <s v="-"/>
    <s v="-"/>
    <s v="-"/>
    <x v="44"/>
    <s v="-"/>
    <x v="302"/>
    <n v="21.04"/>
    <n v="0"/>
    <n v="0"/>
    <n v="0"/>
    <n v="0"/>
    <n v="0"/>
    <s v="Reserva importada do Sistema TMS. OS: 89425"/>
    <s v="Fornecedor não preenchido! (ACC01)"/>
    <x v="5"/>
    <x v="1"/>
    <s v="Campo Fornecedor"/>
    <x v="0"/>
    <s v="Qualidade dos dados"/>
    <s v="KONTIK BUSINESS TRAVEL"/>
    <x v="2"/>
  </r>
  <r>
    <n v="23348139"/>
    <n v="24075533"/>
    <s v="ACC01"/>
    <x v="331"/>
    <d v="2025-11-24T01:50:18"/>
    <x v="4"/>
    <x v="0"/>
    <s v="5TCH6U"/>
    <s v="TMS"/>
    <s v="JARBAS DE SOUSA"/>
    <s v="Tms"/>
    <s v="Tms"/>
    <d v="2025-11-18T13:44:00"/>
    <n v="89421"/>
    <s v="-"/>
    <s v="OFF LINE"/>
    <s v="Invoice"/>
    <s v="Faturado"/>
    <x v="3"/>
    <s v="N"/>
    <x v="53"/>
    <s v="Oceanpact Servicos Maritimos"/>
    <s v="-"/>
    <s v="-"/>
    <s v="-"/>
    <x v="44"/>
    <s v="-"/>
    <x v="303"/>
    <n v="14.36"/>
    <n v="0"/>
    <n v="0"/>
    <n v="0"/>
    <n v="0"/>
    <n v="0"/>
    <s v="Reserva importada do Sistema TMS. OS: 89421"/>
    <s v="Fornecedor não preenchido! (ACC01)"/>
    <x v="5"/>
    <x v="1"/>
    <s v="Campo Fornecedor"/>
    <x v="0"/>
    <s v="Qualidade dos dados"/>
    <s v="KONTIK BUSINESS TRAVEL"/>
    <x v="2"/>
  </r>
  <r>
    <n v="23348140"/>
    <n v="24075534"/>
    <s v="ACC01"/>
    <x v="332"/>
    <d v="2025-11-24T01:50:18"/>
    <x v="4"/>
    <x v="0"/>
    <s v="5TVHHU"/>
    <s v="TMS"/>
    <s v="THIAGO CAMPOS"/>
    <s v="Tms"/>
    <s v="Tms"/>
    <d v="2025-11-18T13:25:00"/>
    <n v="89420"/>
    <s v="-"/>
    <s v="OFF LINE"/>
    <s v="Invoice"/>
    <s v="Faturado"/>
    <x v="3"/>
    <s v="N"/>
    <x v="53"/>
    <s v="Oceanpact Marau Navegacao"/>
    <s v="-"/>
    <s v="-"/>
    <s v="-"/>
    <x v="44"/>
    <s v="-"/>
    <x v="304"/>
    <n v="29.28"/>
    <n v="0"/>
    <n v="0"/>
    <n v="0"/>
    <n v="0"/>
    <n v="0"/>
    <s v="Reserva importada do Sistema TMS. OS: 89420"/>
    <s v="Fornecedor não preenchido! (ACC01)"/>
    <x v="5"/>
    <x v="1"/>
    <s v="Campo Fornecedor"/>
    <x v="0"/>
    <s v="Qualidade dos dados"/>
    <s v="KONTIK BUSINESS TRAVEL"/>
    <x v="2"/>
  </r>
  <r>
    <n v="23348143"/>
    <n v="24075537"/>
    <s v="ACC01"/>
    <x v="333"/>
    <d v="2025-11-24T01:50:18"/>
    <x v="4"/>
    <x v="0"/>
    <s v="5T5HY7"/>
    <s v="TMS"/>
    <s v="THIAGO CAMPOS"/>
    <s v="Tms"/>
    <s v="Tms"/>
    <d v="2025-11-18T13:17:00"/>
    <n v="89397"/>
    <s v="-"/>
    <s v="OFF LINE"/>
    <s v="Invoice"/>
    <s v="Faturado"/>
    <x v="3"/>
    <s v="N"/>
    <x v="53"/>
    <s v="Oceanpact Marau Navegacao"/>
    <s v="-"/>
    <s v="-"/>
    <s v="-"/>
    <x v="44"/>
    <s v="-"/>
    <x v="305"/>
    <n v="15.61"/>
    <n v="0"/>
    <n v="0"/>
    <n v="0"/>
    <n v="0"/>
    <n v="0"/>
    <s v="Reserva importada do Sistema TMS. OS: 89397"/>
    <s v="Fornecedor não preenchido! (ACC01)"/>
    <x v="5"/>
    <x v="1"/>
    <s v="Campo Fornecedor"/>
    <x v="0"/>
    <s v="Qualidade dos dados"/>
    <s v="KONTIK BUSINESS TRAVEL"/>
    <x v="2"/>
  </r>
  <r>
    <n v="23371892"/>
    <n v="24097207"/>
    <s v="ACC01"/>
    <x v="334"/>
    <d v="2025-11-24T02:01:04"/>
    <x v="4"/>
    <x v="4"/>
    <s v="5U77YA"/>
    <s v="TMS"/>
    <s v="NICOLAU KALOTT JUNIOR"/>
    <s v="Tms"/>
    <s v="Tms"/>
    <d v="2025-11-22T09:42:00"/>
    <n v="89912"/>
    <s v="-"/>
    <s v="OFF LINE"/>
    <s v="Invoice"/>
    <s v="Faturado"/>
    <x v="3"/>
    <s v="N"/>
    <x v="53"/>
    <s v="Oceanpact Servicos Maritimos"/>
    <s v="-"/>
    <s v="-"/>
    <s v="-"/>
    <x v="44"/>
    <s v="-"/>
    <x v="306"/>
    <n v="84.73"/>
    <n v="0"/>
    <n v="0"/>
    <n v="0"/>
    <n v="0"/>
    <n v="0"/>
    <s v="Reserva importada do Sistema TMS. OS: 89912"/>
    <s v="Fornecedor não preenchido! (ACC01)"/>
    <x v="5"/>
    <x v="1"/>
    <s v="Campo Fornecedor"/>
    <x v="0"/>
    <s v="Qualidade dos dados"/>
    <s v="KONTIK BUSINESS TRAVEL"/>
    <x v="2"/>
  </r>
  <r>
    <n v="23368928"/>
    <n v="24094888"/>
    <s v="ACC01"/>
    <x v="335"/>
    <d v="2025-11-24T02:01:02"/>
    <x v="4"/>
    <x v="3"/>
    <s v="5UHFFZ"/>
    <s v="TMS"/>
    <s v="ANSELMO DE JESUS"/>
    <s v="Tms"/>
    <s v="Tms"/>
    <d v="2025-11-21T16:26:00"/>
    <n v="89878"/>
    <s v="-"/>
    <s v="OFF LINE"/>
    <s v="Invoice"/>
    <s v="Faturado"/>
    <x v="3"/>
    <s v="N"/>
    <x v="53"/>
    <s v="Oceanpact Servicos Maritimos"/>
    <s v="-"/>
    <s v="-"/>
    <s v="-"/>
    <x v="44"/>
    <s v="-"/>
    <x v="307"/>
    <n v="12.59"/>
    <n v="0"/>
    <n v="0"/>
    <n v="0"/>
    <n v="0"/>
    <n v="0"/>
    <s v="Reserva importada do Sistema TMS. OS: 89878"/>
    <s v="Fornecedor não preenchido! (ACC01)"/>
    <x v="5"/>
    <x v="1"/>
    <s v="Campo Fornecedor"/>
    <x v="0"/>
    <s v="Qualidade dos dados"/>
    <s v="KONTIK BUSINESS TRAVEL"/>
    <x v="2"/>
  </r>
  <r>
    <n v="23368982"/>
    <n v="24094938"/>
    <s v="ACC01"/>
    <x v="336"/>
    <d v="2025-11-24T02:01:03"/>
    <x v="4"/>
    <x v="3"/>
    <s v="5UP8VZ"/>
    <s v="TMS"/>
    <s v="DRIELLIE DE MELO"/>
    <s v="Tms"/>
    <s v="Tms"/>
    <d v="2025-11-21T15:38:00"/>
    <n v="89743"/>
    <s v="-"/>
    <s v="OFF LINE"/>
    <s v="Invoice"/>
    <s v="Faturado"/>
    <x v="3"/>
    <s v="N"/>
    <x v="53"/>
    <s v="Aiuka"/>
    <s v="-"/>
    <s v="-"/>
    <s v="-"/>
    <x v="44"/>
    <s v="-"/>
    <x v="308"/>
    <n v="6.98"/>
    <n v="0"/>
    <n v="0"/>
    <n v="0"/>
    <n v="0"/>
    <n v="0"/>
    <s v="Reserva importada do Sistema TMS. OS: 89743"/>
    <s v="Fornecedor não preenchido! (ACC01)"/>
    <x v="5"/>
    <x v="1"/>
    <s v="Campo Fornecedor"/>
    <x v="0"/>
    <s v="Qualidade dos dados"/>
    <s v="KONTIK BUSINESS TRAVEL"/>
    <x v="2"/>
  </r>
  <r>
    <n v="23350692"/>
    <n v="24078082"/>
    <s v="ACC01"/>
    <x v="337"/>
    <d v="2025-11-24T01:50:19"/>
    <x v="4"/>
    <x v="0"/>
    <s v="5TZH28"/>
    <s v="TMS"/>
    <s v="LUIZ AMILCAR BANDEIRA"/>
    <s v="Tms"/>
    <s v="Tms"/>
    <d v="2025-11-18T17:58:00"/>
    <n v="89513"/>
    <s v="-"/>
    <s v="OFF LINE"/>
    <s v="Invoice"/>
    <s v="Faturado"/>
    <x v="3"/>
    <s v="N"/>
    <x v="53"/>
    <s v="Oceanpact Geociencias"/>
    <s v="-"/>
    <s v="-"/>
    <s v="-"/>
    <x v="44"/>
    <s v="-"/>
    <x v="309"/>
    <n v="6.77"/>
    <n v="0"/>
    <n v="0"/>
    <n v="0"/>
    <n v="0"/>
    <n v="0"/>
    <s v="Reserva importada do Sistema TMS. OS: 89513"/>
    <s v="Fornecedor não preenchido! (ACC01)"/>
    <x v="5"/>
    <x v="1"/>
    <s v="Campo Fornecedor"/>
    <x v="0"/>
    <s v="Qualidade dos dados"/>
    <s v="KONTIK BUSINESS TRAVEL"/>
    <x v="2"/>
  </r>
  <r>
    <n v="23350695"/>
    <n v="24078085"/>
    <s v="ACC01"/>
    <x v="338"/>
    <d v="2025-11-21T10:52:57"/>
    <x v="3"/>
    <x v="0"/>
    <s v="5TW6SK"/>
    <s v="TMS"/>
    <s v="BRUNO SOLEDADE BRAZ"/>
    <s v="Tms"/>
    <s v="Tms"/>
    <d v="2025-11-18T17:33:00"/>
    <n v="89500"/>
    <s v="Salvador / SSA"/>
    <s v="ON LINE"/>
    <s v="Múltiplos"/>
    <s v="Múltiplos"/>
    <x v="2"/>
    <s v="N"/>
    <x v="53"/>
    <s v="Oceanpact Servicos Maritimos"/>
    <s v="-"/>
    <s v="Localiza - Br - Ba - Eunapolis - Centro"/>
    <s v="-"/>
    <x v="44"/>
    <s v="-"/>
    <x v="310"/>
    <n v="0"/>
    <n v="0"/>
    <n v="0"/>
    <n v="0"/>
    <n v="0"/>
    <n v="0"/>
    <s v="Reserva importada do Sistema TMS. OS: 89500"/>
    <s v="A soma das tarifas dos registros múltiplos é menor que a tarifa da accounting"/>
    <x v="5"/>
    <x v="5"/>
    <s v="Análise Benner"/>
    <x v="2"/>
    <s v="Qualidade dos dados"/>
    <s v="KONTIK BUSINESS TRAVEL"/>
    <x v="3"/>
  </r>
  <r>
    <n v="23357745"/>
    <n v="24084749"/>
    <s v="ACC01"/>
    <x v="339"/>
    <d v="2025-11-24T01:55:11"/>
    <x v="4"/>
    <x v="3"/>
    <s v="5TEJ6L"/>
    <s v="TMS"/>
    <s v="LEANDRO BEZERRA SALES"/>
    <s v="Tms"/>
    <s v="Tms"/>
    <d v="2025-11-19T16:31:00"/>
    <n v="89686"/>
    <s v="-"/>
    <s v="OFF LINE"/>
    <s v="Invoice"/>
    <s v="Faturado"/>
    <x v="3"/>
    <s v="N"/>
    <x v="53"/>
    <s v="Oceanpact Servicos Maritimos"/>
    <s v="-"/>
    <s v="-"/>
    <s v="-"/>
    <x v="44"/>
    <s v="-"/>
    <x v="311"/>
    <n v="24.32"/>
    <n v="0"/>
    <n v="0"/>
    <n v="0"/>
    <n v="0"/>
    <n v="0"/>
    <s v="Reserva importada do Sistema TMS. OS: 89686"/>
    <s v="Fornecedor não preenchido! (ACC01)"/>
    <x v="5"/>
    <x v="1"/>
    <s v="Campo Fornecedor"/>
    <x v="0"/>
    <s v="Qualidade dos dados"/>
    <s v="KONTIK BUSINESS TRAVEL"/>
    <x v="2"/>
  </r>
  <r>
    <n v="23355090"/>
    <n v="24082071"/>
    <s v="ACC01"/>
    <x v="340"/>
    <d v="2025-11-24T01:55:08"/>
    <x v="4"/>
    <x v="3"/>
    <s v="5T640N"/>
    <s v="TMS"/>
    <s v="RAULISSON JOVENTINO VICENTE"/>
    <s v="Tms"/>
    <s v="Tms"/>
    <d v="2025-11-19T11:13:00"/>
    <n v="89545"/>
    <s v="-"/>
    <s v="OFF LINE"/>
    <s v="Invoice"/>
    <s v="Faturado"/>
    <x v="3"/>
    <s v="N"/>
    <x v="53"/>
    <s v="Up Offshore Apoio Maritimo"/>
    <s v="-"/>
    <s v="-"/>
    <s v="-"/>
    <x v="44"/>
    <s v="-"/>
    <x v="312"/>
    <n v="19.51"/>
    <n v="0"/>
    <n v="0"/>
    <n v="0"/>
    <n v="0"/>
    <n v="0"/>
    <s v="Reserva importada do Sistema TMS. OS: 89545"/>
    <s v="Fornecedor não preenchido! (ACC01)"/>
    <x v="5"/>
    <x v="1"/>
    <s v="Campo Fornecedor"/>
    <x v="0"/>
    <s v="Qualidade dos dados"/>
    <s v="KONTIK BUSINESS TRAVEL"/>
    <x v="2"/>
  </r>
  <r>
    <n v="23355091"/>
    <n v="24082072"/>
    <s v="ACC01"/>
    <x v="341"/>
    <d v="2025-11-24T01:55:08"/>
    <x v="4"/>
    <x v="3"/>
    <s v="5TUVP9"/>
    <s v="TMS"/>
    <s v="LUCAS BRANDAO NEVES"/>
    <s v="Tms"/>
    <s v="Tms"/>
    <d v="2025-11-19T11:13:00"/>
    <n v="89543"/>
    <s v="-"/>
    <s v="OFF LINE"/>
    <s v="Invoice"/>
    <s v="Faturado"/>
    <x v="3"/>
    <s v="N"/>
    <x v="53"/>
    <s v="Up Offshore Apoio Maritimo"/>
    <s v="-"/>
    <s v="-"/>
    <s v="-"/>
    <x v="44"/>
    <s v="-"/>
    <x v="307"/>
    <n v="12.59"/>
    <n v="0"/>
    <n v="0"/>
    <n v="0"/>
    <n v="0"/>
    <n v="0"/>
    <s v="Reserva importada do Sistema TMS. OS: 89543"/>
    <s v="Fornecedor não preenchido! (ACC01)"/>
    <x v="5"/>
    <x v="1"/>
    <s v="Campo Fornecedor"/>
    <x v="0"/>
    <s v="Qualidade dos dados"/>
    <s v="KONTIK BUSINESS TRAVEL"/>
    <x v="2"/>
  </r>
  <r>
    <n v="23355092"/>
    <n v="24082073"/>
    <s v="ACC01"/>
    <x v="342"/>
    <d v="2025-11-24T01:55:09"/>
    <x v="4"/>
    <x v="3"/>
    <s v="5T8FB9"/>
    <s v="TMS"/>
    <s v="DOUVIS DE OLIVEIRA"/>
    <s v="Tms"/>
    <s v="Tms"/>
    <d v="2025-11-19T11:13:00"/>
    <n v="89542"/>
    <s v="-"/>
    <s v="OFF LINE"/>
    <s v="Invoice"/>
    <s v="Faturado"/>
    <x v="3"/>
    <s v="N"/>
    <x v="53"/>
    <s v="Up Offshore Apoio Maritimo"/>
    <s v="-"/>
    <s v="-"/>
    <s v="-"/>
    <x v="44"/>
    <s v="-"/>
    <x v="313"/>
    <n v="10.88"/>
    <n v="0"/>
    <n v="0"/>
    <n v="0"/>
    <n v="0"/>
    <n v="0"/>
    <s v="Reserva importada do Sistema TMS. OS: 89542"/>
    <s v="Fornecedor não preenchido! (ACC01)"/>
    <x v="5"/>
    <x v="1"/>
    <s v="Campo Fornecedor"/>
    <x v="0"/>
    <s v="Qualidade dos dados"/>
    <s v="KONTIK BUSINESS TRAVEL"/>
    <x v="2"/>
  </r>
  <r>
    <n v="23355100"/>
    <n v="24082082"/>
    <s v="ACC01"/>
    <x v="343"/>
    <d v="2025-11-24T01:55:09"/>
    <x v="4"/>
    <x v="3"/>
    <s v="5TDTMN"/>
    <s v="TMS"/>
    <s v="LEONARDO PEREIRA"/>
    <s v="Tms"/>
    <s v="Tms"/>
    <d v="2025-11-19T10:44:00"/>
    <n v="89536"/>
    <s v="-"/>
    <s v="OFF LINE"/>
    <s v="Invoice"/>
    <s v="Faturado"/>
    <x v="3"/>
    <s v="N"/>
    <x v="53"/>
    <s v="Oceanpact Marau Navegacao"/>
    <s v="-"/>
    <s v="-"/>
    <s v="-"/>
    <x v="44"/>
    <s v="-"/>
    <x v="314"/>
    <n v="20.24"/>
    <n v="0"/>
    <n v="0"/>
    <n v="0"/>
    <n v="0"/>
    <n v="0"/>
    <s v="Reserva importada do Sistema TMS. OS: 89536"/>
    <s v="Fornecedor não preenchido! (ACC01)"/>
    <x v="5"/>
    <x v="1"/>
    <s v="Campo Fornecedor"/>
    <x v="0"/>
    <s v="Qualidade dos dados"/>
    <s v="KONTIK BUSINESS TRAVEL"/>
    <x v="2"/>
  </r>
  <r>
    <n v="23355129"/>
    <n v="24082109"/>
    <s v="ACC01"/>
    <x v="344"/>
    <d v="2025-11-24T01:55:09"/>
    <x v="4"/>
    <x v="3"/>
    <s v="5TFUPO"/>
    <s v="TMS"/>
    <s v="DOUGLAS DOS SANTOS"/>
    <s v="Tms"/>
    <s v="Tms"/>
    <d v="2025-11-18T17:07:00"/>
    <n v="89491"/>
    <s v="-"/>
    <s v="OFF LINE"/>
    <s v="Invoice"/>
    <s v="Faturado"/>
    <x v="3"/>
    <s v="N"/>
    <x v="53"/>
    <s v="Oceanpact Servicos Maritimos"/>
    <s v="-"/>
    <s v="-"/>
    <s v="-"/>
    <x v="44"/>
    <s v="-"/>
    <x v="315"/>
    <n v="16.11"/>
    <n v="0"/>
    <n v="0"/>
    <n v="0"/>
    <n v="0"/>
    <n v="0"/>
    <s v="Reserva importada do Sistema TMS. OS: 89491"/>
    <s v="Fornecedor não preenchido! (ACC01)"/>
    <x v="5"/>
    <x v="1"/>
    <s v="Campo Fornecedor"/>
    <x v="0"/>
    <s v="Qualidade dos dados"/>
    <s v="KONTIK BUSINESS TRAVEL"/>
    <x v="2"/>
  </r>
  <r>
    <n v="23343210"/>
    <n v="24070959"/>
    <s v="ACC01"/>
    <x v="345"/>
    <d v="2025-11-24T01:50:17"/>
    <x v="4"/>
    <x v="0"/>
    <s v="5TY7Y6"/>
    <s v="TMS"/>
    <s v="ANTONY COSTA"/>
    <s v="Tms"/>
    <s v="Tms"/>
    <d v="2025-11-17T17:43:00"/>
    <n v="89290"/>
    <s v="-"/>
    <s v="OFF LINE"/>
    <s v="Invoice"/>
    <s v="Faturado"/>
    <x v="3"/>
    <s v="N"/>
    <x v="53"/>
    <s v="Oceanpact Servicos Maritimos"/>
    <s v="-"/>
    <s v="-"/>
    <s v="-"/>
    <x v="44"/>
    <s v="-"/>
    <x v="316"/>
    <n v="18.43"/>
    <n v="0"/>
    <n v="0"/>
    <n v="0"/>
    <n v="0"/>
    <n v="0"/>
    <s v="Reserva importada do Sistema TMS. OS: 89290"/>
    <s v="Fornecedor não preenchido! (ACC01)"/>
    <x v="5"/>
    <x v="1"/>
    <s v="Campo Fornecedor"/>
    <x v="0"/>
    <s v="Qualidade dos dados"/>
    <s v="KONTIK BUSINESS TRAVEL"/>
    <x v="2"/>
  </r>
  <r>
    <n v="23343252"/>
    <n v="24071002"/>
    <s v="ACC01"/>
    <x v="346"/>
    <d v="2025-11-24T01:50:17"/>
    <x v="4"/>
    <x v="0"/>
    <s v="5TXOY6"/>
    <s v="TMS"/>
    <s v="MARCILIA GOMES"/>
    <s v="Tms"/>
    <s v="Tms"/>
    <d v="2025-11-17T16:16:00"/>
    <n v="89242"/>
    <s v="-"/>
    <s v="OFF LINE"/>
    <s v="Invoice"/>
    <s v="Faturado"/>
    <x v="3"/>
    <s v="N"/>
    <x v="53"/>
    <s v="Oceanpact Logistica"/>
    <s v="-"/>
    <s v="-"/>
    <s v="-"/>
    <x v="44"/>
    <s v="-"/>
    <x v="317"/>
    <n v="17.77"/>
    <n v="0"/>
    <n v="0"/>
    <n v="0"/>
    <n v="0"/>
    <n v="0"/>
    <s v="Reserva importada do Sistema TMS. OS: 89242"/>
    <s v="Fornecedor não preenchido! (ACC01)"/>
    <x v="5"/>
    <x v="1"/>
    <s v="Campo Fornecedor"/>
    <x v="0"/>
    <s v="Qualidade dos dados"/>
    <s v="KONTIK BUSINESS TRAVEL"/>
    <x v="2"/>
  </r>
  <r>
    <n v="23348155"/>
    <n v="24075549"/>
    <s v="ACC01"/>
    <x v="347"/>
    <d v="2025-11-24T01:50:18"/>
    <x v="4"/>
    <x v="0"/>
    <s v="5TMJHU"/>
    <s v="TMS"/>
    <s v="JARBAS DE SOUSA"/>
    <s v="Tms"/>
    <s v="Tms"/>
    <d v="2025-11-18T11:11:00"/>
    <n v="89382"/>
    <s v="-"/>
    <s v="OFF LINE"/>
    <s v="Invoice"/>
    <s v="Faturado"/>
    <x v="3"/>
    <s v="N"/>
    <x v="53"/>
    <s v="Oceanpact Servicos Maritimos"/>
    <s v="-"/>
    <s v="-"/>
    <s v="-"/>
    <x v="44"/>
    <s v="-"/>
    <x v="318"/>
    <n v="16.63"/>
    <n v="0"/>
    <n v="0"/>
    <n v="0"/>
    <n v="0"/>
    <n v="0"/>
    <s v="Reserva importada do Sistema TMS. OS: 89382"/>
    <s v="Fornecedor não preenchido! (ACC01)"/>
    <x v="5"/>
    <x v="1"/>
    <s v="Campo Fornecedor"/>
    <x v="0"/>
    <s v="Qualidade dos dados"/>
    <s v="KONTIK BUSINESS TRAVEL"/>
    <x v="2"/>
  </r>
  <r>
    <n v="23348184"/>
    <n v="24075578"/>
    <s v="ACC01"/>
    <x v="348"/>
    <d v="2025-11-24T01:50:19"/>
    <x v="4"/>
    <x v="0"/>
    <s v="5T7KY7"/>
    <s v="TMS"/>
    <s v="ALEX MOTTA BORGES"/>
    <s v="Tms"/>
    <s v="Tms"/>
    <d v="2025-11-18T09:21:00"/>
    <n v="89345"/>
    <s v="-"/>
    <s v="OFF LINE"/>
    <s v="Invoice"/>
    <s v="Faturado"/>
    <x v="3"/>
    <s v="N"/>
    <x v="53"/>
    <s v="Oceanpact Servicos Maritimos"/>
    <s v="-"/>
    <s v="-"/>
    <s v="-"/>
    <x v="44"/>
    <s v="-"/>
    <x v="319"/>
    <n v="20.64"/>
    <n v="0"/>
    <n v="0"/>
    <n v="0"/>
    <n v="0"/>
    <n v="0"/>
    <s v="Reserva importada do Sistema TMS. OS: 89345"/>
    <s v="Fornecedor não preenchido! (ACC01)"/>
    <x v="5"/>
    <x v="1"/>
    <s v="Campo Fornecedor"/>
    <x v="0"/>
    <s v="Qualidade dos dados"/>
    <s v="KONTIK BUSINESS TRAVEL"/>
    <x v="2"/>
  </r>
  <r>
    <n v="23348185"/>
    <n v="24075579"/>
    <s v="ACC01"/>
    <x v="349"/>
    <d v="2025-11-24T01:50:19"/>
    <x v="4"/>
    <x v="0"/>
    <s v="5T8KYJ"/>
    <s v="TMS"/>
    <s v="ANTONIO PEREIRA PESSANHA"/>
    <s v="Tms"/>
    <s v="Tms"/>
    <d v="2025-11-18T09:24:00"/>
    <n v="89344"/>
    <s v="-"/>
    <s v="OFF LINE"/>
    <s v="Invoice"/>
    <s v="Faturado"/>
    <x v="3"/>
    <s v="N"/>
    <x v="53"/>
    <s v="Oceanpact Servicos Maritimos"/>
    <s v="-"/>
    <s v="-"/>
    <s v="-"/>
    <x v="44"/>
    <s v="-"/>
    <x v="320"/>
    <n v="7.12"/>
    <n v="0"/>
    <n v="0"/>
    <n v="0"/>
    <n v="0"/>
    <n v="0"/>
    <s v="Reserva importada do Sistema TMS. OS: 89344"/>
    <s v="Fornecedor não preenchido! (ACC01)"/>
    <x v="5"/>
    <x v="1"/>
    <s v="Campo Fornecedor"/>
    <x v="0"/>
    <s v="Qualidade dos dados"/>
    <s v="KONTIK BUSINESS TRAVEL"/>
    <x v="2"/>
  </r>
  <r>
    <n v="23348186"/>
    <n v="24075580"/>
    <s v="ACC01"/>
    <x v="350"/>
    <d v="2025-11-24T01:50:19"/>
    <x v="4"/>
    <x v="0"/>
    <s v="5TLKYJ"/>
    <s v="TMS"/>
    <s v="MARCO TEIXEIRA JUNIOR"/>
    <s v="Tms"/>
    <s v="Tms"/>
    <d v="2025-11-18T09:24:00"/>
    <n v="89343"/>
    <s v="-"/>
    <s v="OFF LINE"/>
    <s v="Invoice"/>
    <s v="Faturado"/>
    <x v="3"/>
    <s v="N"/>
    <x v="53"/>
    <s v="Oceanpact Servicos Maritimos"/>
    <s v="-"/>
    <s v="-"/>
    <s v="-"/>
    <x v="44"/>
    <s v="-"/>
    <x v="321"/>
    <n v="12.68"/>
    <n v="0"/>
    <n v="0"/>
    <n v="0"/>
    <n v="0"/>
    <n v="0"/>
    <s v="Reserva importada do Sistema TMS. OS: 89343"/>
    <s v="Fornecedor não preenchido! (ACC01)"/>
    <x v="5"/>
    <x v="1"/>
    <s v="Campo Fornecedor"/>
    <x v="0"/>
    <s v="Qualidade dos dados"/>
    <s v="KONTIK BUSINESS TRAVEL"/>
    <x v="2"/>
  </r>
  <r>
    <n v="23355069"/>
    <n v="24082050"/>
    <s v="ACC01"/>
    <x v="351"/>
    <d v="2025-11-24T01:55:05"/>
    <x v="4"/>
    <x v="3"/>
    <s v="5TWE0O"/>
    <s v="TMS"/>
    <s v="ISRAEL DE JESUS SANTOS"/>
    <s v="Tms"/>
    <s v="Tms"/>
    <d v="2025-11-19T12:02:00"/>
    <n v="89568"/>
    <s v="-"/>
    <s v="OFF LINE"/>
    <s v="Invoice"/>
    <s v="Faturado"/>
    <x v="3"/>
    <s v="N"/>
    <x v="53"/>
    <s v="Oceanpact Marau Navegacao"/>
    <s v="-"/>
    <s v="-"/>
    <s v="-"/>
    <x v="44"/>
    <s v="-"/>
    <x v="322"/>
    <n v="12.98"/>
    <n v="0"/>
    <n v="0"/>
    <n v="0"/>
    <n v="0"/>
    <n v="0"/>
    <s v="Reserva importada do Sistema TMS. OS: 89568"/>
    <s v="Fornecedor não preenchido! (ACC01)"/>
    <x v="5"/>
    <x v="1"/>
    <s v="Campo Fornecedor"/>
    <x v="0"/>
    <s v="Qualidade dos dados"/>
    <s v="KONTIK BUSINESS TRAVEL"/>
    <x v="2"/>
  </r>
  <r>
    <n v="23355076"/>
    <n v="24082056"/>
    <s v="ACC01"/>
    <x v="352"/>
    <d v="2025-11-24T01:55:06"/>
    <x v="4"/>
    <x v="3"/>
    <s v="5TTDPN"/>
    <s v="TMS"/>
    <s v="LEONARDO GORCHINSKY MARQUES"/>
    <s v="Tms"/>
    <s v="Tms"/>
    <d v="2025-11-19T12:02:00"/>
    <n v="89562"/>
    <s v="-"/>
    <s v="OFF LINE"/>
    <s v="Invoice"/>
    <s v="Faturado"/>
    <x v="3"/>
    <s v="N"/>
    <x v="53"/>
    <s v="Oceanpact Marau Navegacao"/>
    <s v="-"/>
    <s v="-"/>
    <s v="-"/>
    <x v="44"/>
    <s v="-"/>
    <x v="323"/>
    <n v="22.05"/>
    <n v="0"/>
    <n v="0"/>
    <n v="0"/>
    <n v="0"/>
    <n v="0"/>
    <s v="Reserva importada do Sistema TMS. OS: 89562"/>
    <s v="Fornecedor não preenchido! (ACC01)"/>
    <x v="5"/>
    <x v="1"/>
    <s v="Campo Fornecedor"/>
    <x v="0"/>
    <s v="Qualidade dos dados"/>
    <s v="KONTIK BUSINESS TRAVEL"/>
    <x v="2"/>
  </r>
  <r>
    <n v="23355082"/>
    <n v="24082063"/>
    <s v="ACC01"/>
    <x v="353"/>
    <d v="2025-11-24T01:55:07"/>
    <x v="4"/>
    <x v="3"/>
    <s v="5TBRPO"/>
    <s v="TMS"/>
    <s v="ERICK THURLER"/>
    <s v="Tms"/>
    <s v="Tms"/>
    <d v="2025-11-19T12:01:00"/>
    <n v="89553"/>
    <s v="-"/>
    <s v="OFF LINE"/>
    <s v="Invoice"/>
    <s v="Faturado"/>
    <x v="3"/>
    <s v="N"/>
    <x v="53"/>
    <s v="Oceanpact Marau Navegacao"/>
    <s v="-"/>
    <s v="-"/>
    <s v="-"/>
    <x v="44"/>
    <s v="-"/>
    <x v="324"/>
    <n v="11.54"/>
    <n v="0"/>
    <n v="0"/>
    <n v="0"/>
    <n v="0"/>
    <n v="0"/>
    <s v="Reserva importada do Sistema TMS. OS: 89553"/>
    <s v="Fornecedor não preenchido! (ACC01)"/>
    <x v="5"/>
    <x v="1"/>
    <s v="Campo Fornecedor"/>
    <x v="0"/>
    <s v="Qualidade dos dados"/>
    <s v="KONTIK BUSINESS TRAVEL"/>
    <x v="2"/>
  </r>
  <r>
    <n v="23355084"/>
    <n v="24082065"/>
    <s v="ACC01"/>
    <x v="354"/>
    <d v="2025-11-24T01:55:07"/>
    <x v="4"/>
    <x v="3"/>
    <s v="5TQVP9"/>
    <s v="TMS"/>
    <s v="FAGNER AREIAS"/>
    <s v="Tms"/>
    <s v="Tms"/>
    <d v="2025-11-19T12:01:00"/>
    <n v="89551"/>
    <s v="-"/>
    <s v="OFF LINE"/>
    <s v="Invoice"/>
    <s v="Faturado"/>
    <x v="3"/>
    <s v="N"/>
    <x v="53"/>
    <s v="Oceanpact Marau Navegacao"/>
    <s v="-"/>
    <s v="-"/>
    <s v="-"/>
    <x v="44"/>
    <s v="-"/>
    <x v="321"/>
    <n v="12.68"/>
    <n v="0"/>
    <n v="0"/>
    <n v="0"/>
    <n v="0"/>
    <n v="0"/>
    <s v="Reserva importada do Sistema TMS. OS: 89551"/>
    <s v="Fornecedor não preenchido! (ACC01)"/>
    <x v="5"/>
    <x v="1"/>
    <s v="Campo Fornecedor"/>
    <x v="0"/>
    <s v="Qualidade dos dados"/>
    <s v="KONTIK BUSINESS TRAVEL"/>
    <x v="2"/>
  </r>
  <r>
    <n v="23355085"/>
    <n v="24082066"/>
    <s v="ACC01"/>
    <x v="355"/>
    <d v="2025-11-24T01:55:07"/>
    <x v="4"/>
    <x v="3"/>
    <s v="5TSVMO"/>
    <s v="TMS"/>
    <s v="JOSUE FERREIRA"/>
    <s v="Tms"/>
    <s v="Tms"/>
    <d v="2025-11-19T11:22:00"/>
    <n v="89549"/>
    <s v="-"/>
    <s v="OFF LINE"/>
    <s v="Invoice"/>
    <s v="Faturado"/>
    <x v="3"/>
    <s v="N"/>
    <x v="53"/>
    <s v="Oceanpact Servicos Maritimos"/>
    <s v="-"/>
    <s v="-"/>
    <s v="-"/>
    <x v="44"/>
    <s v="-"/>
    <x v="325"/>
    <n v="8.6"/>
    <n v="0"/>
    <n v="0"/>
    <n v="0"/>
    <n v="0"/>
    <n v="0"/>
    <s v="Reserva importada do Sistema TMS. OS: 89549"/>
    <s v="Fornecedor não preenchido! (ACC01)"/>
    <x v="5"/>
    <x v="1"/>
    <s v="Campo Fornecedor"/>
    <x v="0"/>
    <s v="Qualidade dos dados"/>
    <s v="KONTIK BUSINESS TRAVEL"/>
    <x v="2"/>
  </r>
  <r>
    <n v="23355089"/>
    <n v="24082070"/>
    <s v="ACC01"/>
    <x v="356"/>
    <d v="2025-11-24T01:55:08"/>
    <x v="4"/>
    <x v="3"/>
    <s v="5T5VPL"/>
    <s v="TMS"/>
    <s v="JEONE FIGUEIREDO VIANA"/>
    <s v="Tms"/>
    <s v="Tms"/>
    <d v="2025-11-19T11:12:00"/>
    <n v="89546"/>
    <s v="-"/>
    <s v="OFF LINE"/>
    <s v="Invoice"/>
    <s v="Faturado"/>
    <x v="3"/>
    <s v="N"/>
    <x v="53"/>
    <s v="Oceanpact Servicos Maritimos"/>
    <s v="-"/>
    <s v="-"/>
    <s v="-"/>
    <x v="44"/>
    <s v="-"/>
    <x v="325"/>
    <n v="8.6"/>
    <n v="0"/>
    <n v="0"/>
    <n v="0"/>
    <n v="0"/>
    <n v="0"/>
    <s v="Reserva importada do Sistema TMS. OS: 89546"/>
    <s v="Fornecedor não preenchido! (ACC01)"/>
    <x v="5"/>
    <x v="1"/>
    <s v="Campo Fornecedor"/>
    <x v="0"/>
    <s v="Qualidade dos dados"/>
    <s v="KONTIK BUSINESS TRAVEL"/>
    <x v="2"/>
  </r>
  <r>
    <n v="23366813"/>
    <n v="24092841"/>
    <s v="ACC01"/>
    <x v="357"/>
    <d v="2025-11-24T02:00:57"/>
    <x v="4"/>
    <x v="3"/>
    <s v="5UN87M"/>
    <s v="TMS"/>
    <s v="ADELSON SOUZA RAMOS"/>
    <s v="Tms"/>
    <s v="Tms"/>
    <d v="2025-11-21T15:02:00"/>
    <n v="89852"/>
    <s v="-"/>
    <s v="OFF LINE"/>
    <s v="Invoice"/>
    <s v="Faturado"/>
    <x v="3"/>
    <s v="N"/>
    <x v="53"/>
    <s v="Oceanpact Servicos Maritimos"/>
    <s v="-"/>
    <s v="-"/>
    <s v="-"/>
    <x v="44"/>
    <s v="-"/>
    <x v="326"/>
    <n v="12.21"/>
    <n v="0"/>
    <n v="0"/>
    <n v="0"/>
    <n v="0"/>
    <n v="0"/>
    <s v="Reserva importada do Sistema TMS. OS: 89852"/>
    <s v="Fornecedor não preenchido! (ACC01)"/>
    <x v="5"/>
    <x v="1"/>
    <s v="Campo Fornecedor"/>
    <x v="0"/>
    <s v="Qualidade dos dados"/>
    <s v="KONTIK BUSINESS TRAVEL"/>
    <x v="2"/>
  </r>
  <r>
    <n v="23366814"/>
    <n v="24092842"/>
    <s v="ACC01"/>
    <x v="358"/>
    <d v="2025-11-24T02:00:58"/>
    <x v="4"/>
    <x v="3"/>
    <s v="5UB97M"/>
    <s v="TMS"/>
    <s v="ADELSON SOUZA RAMOS"/>
    <s v="Tms"/>
    <s v="Tms"/>
    <d v="2025-11-21T15:02:00"/>
    <n v="89852"/>
    <s v="-"/>
    <s v="OFF LINE"/>
    <s v="Invoice"/>
    <s v="Faturado"/>
    <x v="3"/>
    <s v="N"/>
    <x v="53"/>
    <s v="Oceanpact Servicos Maritimos"/>
    <s v="-"/>
    <s v="-"/>
    <s v="-"/>
    <x v="44"/>
    <s v="-"/>
    <x v="327"/>
    <n v="16.93"/>
    <n v="0"/>
    <n v="0"/>
    <n v="0"/>
    <n v="0"/>
    <n v="0"/>
    <s v="Reserva importada do Sistema TMS. OS: 89852"/>
    <s v="Fornecedor não preenchido! (ACC01)"/>
    <x v="5"/>
    <x v="1"/>
    <s v="Campo Fornecedor"/>
    <x v="0"/>
    <s v="Qualidade dos dados"/>
    <s v="KONTIK BUSINESS TRAVEL"/>
    <x v="2"/>
  </r>
  <r>
    <n v="23366818"/>
    <n v="24092846"/>
    <s v="ACC01"/>
    <x v="359"/>
    <d v="2025-11-21T16:59:34"/>
    <x v="3"/>
    <x v="3"/>
    <s v="5UCLU0"/>
    <s v="TMS"/>
    <s v="PEDRO HABIBE PEREIRA"/>
    <s v="Tms"/>
    <s v="Tms"/>
    <d v="2025-11-21T15:22:00"/>
    <n v="89844"/>
    <s v="Porto Alegre / POA"/>
    <s v="ON LINE"/>
    <s v="Invoice"/>
    <s v="Faturado"/>
    <x v="2"/>
    <s v="N"/>
    <x v="53"/>
    <s v="Oceanpact Servicos Maritimos"/>
    <s v="-"/>
    <s v="-"/>
    <s v="-"/>
    <x v="44"/>
    <s v="-"/>
    <x v="328"/>
    <n v="0"/>
    <n v="0"/>
    <n v="0"/>
    <n v="0"/>
    <n v="0"/>
    <n v="0"/>
    <s v="Reserva importada do Sistema TMS. OS: 89844"/>
    <s v="Fornecedor não preenchido! (ACC01)"/>
    <x v="5"/>
    <x v="1"/>
    <s v="Campo Fornecedor"/>
    <x v="0"/>
    <s v="Qualidade dos dados"/>
    <s v="KONTIK BUSINESS TRAVEL"/>
    <x v="2"/>
  </r>
  <r>
    <n v="23366820"/>
    <n v="24092848"/>
    <s v="ACC01"/>
    <x v="360"/>
    <d v="2025-11-21T16:59:34"/>
    <x v="3"/>
    <x v="3"/>
    <s v="5UFLJP"/>
    <s v="TMS"/>
    <s v="BRUNO SOLEDADE BRAZ"/>
    <s v="Tms"/>
    <s v="Tms"/>
    <d v="2025-11-21T15:23:00"/>
    <n v="89839"/>
    <s v="Maceio / MCZ"/>
    <s v="ON LINE"/>
    <s v="Invoice"/>
    <s v="Faturado"/>
    <x v="2"/>
    <s v="N"/>
    <x v="53"/>
    <s v="Oceanpact Servicos Maritimos"/>
    <s v="-"/>
    <s v="-"/>
    <s v="-"/>
    <x v="44"/>
    <s v="-"/>
    <x v="329"/>
    <n v="0"/>
    <n v="0"/>
    <n v="0"/>
    <n v="0"/>
    <n v="0"/>
    <n v="0"/>
    <s v="Reserva importada do Sistema TMS. OS: 89839"/>
    <s v="Fornecedor não preenchido! (ACC01)"/>
    <x v="5"/>
    <x v="1"/>
    <s v="Campo Fornecedor"/>
    <x v="0"/>
    <s v="Qualidade dos dados"/>
    <s v="KONTIK BUSINESS TRAVEL"/>
    <x v="2"/>
  </r>
  <r>
    <n v="23366888"/>
    <n v="24092918"/>
    <s v="ACC01"/>
    <x v="361"/>
    <d v="2025-11-24T02:00:58"/>
    <x v="4"/>
    <x v="3"/>
    <s v="5UX38B"/>
    <s v="TMS"/>
    <s v="EVANIO DE ARAUJO"/>
    <s v="Tms"/>
    <s v="Tms"/>
    <d v="2025-11-21T11:02:00"/>
    <n v="89774"/>
    <s v="-"/>
    <s v="OFF LINE"/>
    <s v="Invoice"/>
    <s v="Faturado"/>
    <x v="3"/>
    <s v="N"/>
    <x v="53"/>
    <s v="Oceanpact Marau Navegacao"/>
    <s v="-"/>
    <s v="-"/>
    <s v="-"/>
    <x v="44"/>
    <s v="-"/>
    <x v="330"/>
    <n v="19.21"/>
    <n v="0"/>
    <n v="0"/>
    <n v="0"/>
    <n v="0"/>
    <n v="0"/>
    <s v="Reserva importada do Sistema TMS. OS: 89774"/>
    <s v="Fornecedor não preenchido! (ACC01)"/>
    <x v="5"/>
    <x v="1"/>
    <s v="Campo Fornecedor"/>
    <x v="0"/>
    <s v="Qualidade dos dados"/>
    <s v="KONTIK BUSINESS TRAVEL"/>
    <x v="2"/>
  </r>
  <r>
    <n v="23366908"/>
    <n v="24092934"/>
    <s v="ACC01"/>
    <x v="362"/>
    <d v="2025-11-24T02:00:59"/>
    <x v="4"/>
    <x v="3"/>
    <s v="5UFV80"/>
    <s v="TMS"/>
    <s v="ERICK THURLER"/>
    <s v="Tms"/>
    <s v="Tms"/>
    <d v="2025-11-21T10:53:00"/>
    <n v="89761"/>
    <s v="-"/>
    <s v="OFF LINE"/>
    <s v="Invoice"/>
    <s v="Faturado"/>
    <x v="3"/>
    <s v="N"/>
    <x v="53"/>
    <s v="Oceanpact Marau Navegacao"/>
    <s v="-"/>
    <s v="-"/>
    <s v="-"/>
    <x v="44"/>
    <s v="-"/>
    <x v="331"/>
    <n v="6.87"/>
    <n v="0"/>
    <n v="0"/>
    <n v="0"/>
    <n v="0"/>
    <n v="0"/>
    <s v="Reserva importada do Sistema TMS. OS: 89761"/>
    <s v="Fornecedor não preenchido! (ACC01)"/>
    <x v="5"/>
    <x v="1"/>
    <s v="Campo Fornecedor"/>
    <x v="0"/>
    <s v="Qualidade dos dados"/>
    <s v="KONTIK BUSINESS TRAVEL"/>
    <x v="2"/>
  </r>
  <r>
    <n v="23366910"/>
    <n v="24092936"/>
    <s v="ACC01"/>
    <x v="363"/>
    <d v="2025-11-24T02:01:00"/>
    <x v="4"/>
    <x v="3"/>
    <s v="5UTFI0"/>
    <s v="TMS"/>
    <s v="ERICK THURLER"/>
    <s v="Tms"/>
    <s v="Tms"/>
    <d v="2025-11-21T10:53:00"/>
    <n v="89761"/>
    <s v="-"/>
    <s v="OFF LINE"/>
    <s v="Invoice"/>
    <s v="Faturado"/>
    <x v="3"/>
    <s v="N"/>
    <x v="53"/>
    <s v="Oceanpact Marau Navegacao"/>
    <s v="-"/>
    <s v="-"/>
    <s v="-"/>
    <x v="44"/>
    <s v="-"/>
    <x v="332"/>
    <n v="3.54"/>
    <n v="0"/>
    <n v="0"/>
    <n v="0"/>
    <n v="0"/>
    <n v="0"/>
    <s v="Reserva importada do Sistema TMS. OS: 89761"/>
    <s v="Fornecedor não preenchido! (ACC01)"/>
    <x v="5"/>
    <x v="1"/>
    <s v="Campo Fornecedor"/>
    <x v="0"/>
    <s v="Qualidade dos dados"/>
    <s v="KONTIK BUSINESS TRAVEL"/>
    <x v="2"/>
  </r>
  <r>
    <n v="23366928"/>
    <n v="24092951"/>
    <s v="ACC01"/>
    <x v="364"/>
    <d v="2025-11-24T02:01:01"/>
    <x v="4"/>
    <x v="3"/>
    <s v="5UA5KB"/>
    <s v="TMS"/>
    <s v="DEIVISON SILVA"/>
    <s v="Tms"/>
    <s v="Tms"/>
    <d v="2025-11-21T13:36:00"/>
    <n v="89752"/>
    <s v="-"/>
    <s v="OFF LINE"/>
    <s v="Invoice"/>
    <s v="Faturado"/>
    <x v="3"/>
    <s v="N"/>
    <x v="53"/>
    <s v="Oceanpact Servicos Maritimos"/>
    <s v="-"/>
    <s v="-"/>
    <s v="-"/>
    <x v="44"/>
    <s v="-"/>
    <x v="333"/>
    <n v="18.89"/>
    <n v="0"/>
    <n v="0"/>
    <n v="0"/>
    <n v="0"/>
    <n v="0"/>
    <s v="Reserva importada do Sistema TMS. OS: 89752"/>
    <s v="Fornecedor não preenchido! (ACC01)"/>
    <x v="5"/>
    <x v="1"/>
    <s v="Campo Fornecedor"/>
    <x v="0"/>
    <s v="Qualidade dos dados"/>
    <s v="KONTIK BUSINESS TRAVEL"/>
    <x v="2"/>
  </r>
  <r>
    <n v="23366931"/>
    <n v="24092954"/>
    <s v="ACC01"/>
    <x v="365"/>
    <d v="2025-11-24T02:01:01"/>
    <x v="4"/>
    <x v="3"/>
    <s v="5UFG8P"/>
    <s v="TMS"/>
    <s v="DEIVISON SILVA"/>
    <s v="Tms"/>
    <s v="Tms"/>
    <d v="2025-11-21T13:36:00"/>
    <n v="89747"/>
    <s v="-"/>
    <s v="OFF LINE"/>
    <s v="Invoice"/>
    <s v="Faturado"/>
    <x v="3"/>
    <s v="N"/>
    <x v="53"/>
    <s v="Oceanpact Servicos Maritimos"/>
    <s v="-"/>
    <s v="-"/>
    <s v="-"/>
    <x v="44"/>
    <s v="-"/>
    <x v="312"/>
    <n v="19.51"/>
    <n v="0"/>
    <n v="0"/>
    <n v="0"/>
    <n v="0"/>
    <n v="0"/>
    <s v="Reserva importada do Sistema TMS. OS: 89747"/>
    <s v="Fornecedor não preenchido! (ACC01)"/>
    <x v="5"/>
    <x v="1"/>
    <s v="Campo Fornecedor"/>
    <x v="0"/>
    <s v="Qualidade dos dados"/>
    <s v="KONTIK BUSINESS TRAVEL"/>
    <x v="2"/>
  </r>
  <r>
    <n v="23355132"/>
    <n v="24082112"/>
    <s v="ACC01"/>
    <x v="366"/>
    <d v="2025-11-24T01:55:10"/>
    <x v="4"/>
    <x v="3"/>
    <s v="5T6UMN"/>
    <s v="TMS"/>
    <s v="LEONIDAS RODENBUSCH"/>
    <s v="Tms"/>
    <s v="Tms"/>
    <d v="2025-11-18T17:06:00"/>
    <n v="89482"/>
    <s v="-"/>
    <s v="OFF LINE"/>
    <s v="Invoice"/>
    <s v="Faturado"/>
    <x v="3"/>
    <s v="N"/>
    <x v="53"/>
    <s v="Oceanpact Marau Navegacao"/>
    <s v="-"/>
    <s v="-"/>
    <s v="-"/>
    <x v="44"/>
    <s v="-"/>
    <x v="334"/>
    <n v="20.55"/>
    <n v="0"/>
    <n v="0"/>
    <n v="0"/>
    <n v="0"/>
    <n v="0"/>
    <s v="Reserva importada do Sistema TMS. OS: 89482"/>
    <s v="Fornecedor não preenchido! (ACC01)"/>
    <x v="5"/>
    <x v="1"/>
    <s v="Campo Fornecedor"/>
    <x v="0"/>
    <s v="Qualidade dos dados"/>
    <s v="KONTIK BUSINESS TRAVEL"/>
    <x v="2"/>
  </r>
  <r>
    <n v="23355137"/>
    <n v="24082117"/>
    <s v="ACC01"/>
    <x v="367"/>
    <d v="2025-11-24T01:55:10"/>
    <x v="4"/>
    <x v="3"/>
    <s v="5TL7BL"/>
    <s v="TMS"/>
    <s v="RAILSON MORES"/>
    <s v="Tms"/>
    <s v="Tms"/>
    <d v="2025-11-18T17:00:00"/>
    <n v="89462"/>
    <s v="-"/>
    <s v="OFF LINE"/>
    <s v="Invoice"/>
    <s v="Faturado"/>
    <x v="3"/>
    <s v="N"/>
    <x v="53"/>
    <s v="Oceanpact Marau Navegacao"/>
    <s v="-"/>
    <s v="-"/>
    <s v="-"/>
    <x v="44"/>
    <s v="-"/>
    <x v="335"/>
    <n v="15.92"/>
    <n v="0"/>
    <n v="0"/>
    <n v="0"/>
    <n v="0"/>
    <n v="0"/>
    <s v="Reserva importada do Sistema TMS. OS: 89462"/>
    <s v="Fornecedor não preenchido! (ACC01)"/>
    <x v="5"/>
    <x v="1"/>
    <s v="Campo Fornecedor"/>
    <x v="0"/>
    <s v="Qualidade dos dados"/>
    <s v="KONTIK BUSINESS TRAVEL"/>
    <x v="2"/>
  </r>
  <r>
    <n v="23355138"/>
    <n v="24082118"/>
    <s v="ACC01"/>
    <x v="368"/>
    <d v="2025-11-24T01:55:10"/>
    <x v="4"/>
    <x v="3"/>
    <s v="5TM8ML"/>
    <s v="TMS"/>
    <s v="RAILSON MORES"/>
    <s v="Tms"/>
    <s v="Tms"/>
    <d v="2025-11-18T17:00:00"/>
    <n v="89462"/>
    <s v="-"/>
    <s v="OFF LINE"/>
    <s v="Invoice"/>
    <s v="Faturado"/>
    <x v="3"/>
    <s v="N"/>
    <x v="53"/>
    <s v="Oceanpact Marau Navegacao"/>
    <s v="-"/>
    <s v="-"/>
    <s v="-"/>
    <x v="44"/>
    <s v="-"/>
    <x v="336"/>
    <n v="16.31"/>
    <n v="0"/>
    <n v="0"/>
    <n v="0"/>
    <n v="0"/>
    <n v="0"/>
    <s v="Reserva importada do Sistema TMS. OS: 89462"/>
    <s v="Fornecedor não preenchido! (ACC01)"/>
    <x v="5"/>
    <x v="1"/>
    <s v="Campo Fornecedor"/>
    <x v="0"/>
    <s v="Qualidade dos dados"/>
    <s v="KONTIK BUSINESS TRAVEL"/>
    <x v="2"/>
  </r>
  <r>
    <n v="23355142"/>
    <n v="24082121"/>
    <s v="ACC01"/>
    <x v="369"/>
    <d v="2025-11-24T01:55:11"/>
    <x v="4"/>
    <x v="3"/>
    <s v="5TQ8PL"/>
    <s v="TMS"/>
    <s v="BERNATO DAS GRAÇAS DE BRITO JUNIOR"/>
    <s v="Tms"/>
    <s v="Tms"/>
    <d v="2025-11-18T15:18:00"/>
    <n v="89453"/>
    <s v="-"/>
    <s v="OFF LINE"/>
    <s v="Invoice"/>
    <s v="Faturado"/>
    <x v="3"/>
    <s v="N"/>
    <x v="53"/>
    <s v="Oceanpact Marau Navegacao"/>
    <s v="-"/>
    <s v="-"/>
    <s v="-"/>
    <x v="44"/>
    <s v="-"/>
    <x v="322"/>
    <n v="12.98"/>
    <n v="0"/>
    <n v="0"/>
    <n v="0"/>
    <n v="0"/>
    <n v="0"/>
    <s v="Reserva importada do Sistema TMS. OS: 89453"/>
    <s v="Fornecedor não preenchido! (ACC01)"/>
    <x v="5"/>
    <x v="1"/>
    <s v="Campo Fornecedor"/>
    <x v="0"/>
    <s v="Qualidade dos dados"/>
    <s v="KONTIK BUSINESS TRAVEL"/>
    <x v="2"/>
  </r>
  <r>
    <n v="23357749"/>
    <n v="24084753"/>
    <s v="ACC01"/>
    <x v="370"/>
    <d v="2025-11-24T01:55:12"/>
    <x v="4"/>
    <x v="3"/>
    <s v="5TJUY9"/>
    <s v="TMS"/>
    <s v="PAULO BETENCOURT SANTOS"/>
    <s v="Tms"/>
    <s v="Tms"/>
    <d v="2025-11-19T15:51:00"/>
    <n v="89672"/>
    <s v="-"/>
    <s v="OFF LINE"/>
    <s v="Invoice"/>
    <s v="Faturado"/>
    <x v="3"/>
    <s v="N"/>
    <x v="53"/>
    <s v="Up Offshore Apoio Maritimo"/>
    <s v="-"/>
    <s v="-"/>
    <s v="-"/>
    <x v="44"/>
    <s v="-"/>
    <x v="337"/>
    <n v="15.19"/>
    <n v="0"/>
    <n v="0"/>
    <n v="0"/>
    <n v="0"/>
    <n v="0"/>
    <s v="Reserva importada do Sistema TMS. OS: 89672"/>
    <s v="Fornecedor não preenchido! (ACC01)"/>
    <x v="5"/>
    <x v="1"/>
    <s v="Campo Fornecedor"/>
    <x v="0"/>
    <s v="Qualidade dos dados"/>
    <s v="KONTIK BUSINESS TRAVEL"/>
    <x v="2"/>
  </r>
  <r>
    <n v="23357748"/>
    <n v="24084752"/>
    <s v="ACC01"/>
    <x v="371"/>
    <d v="2025-11-24T01:55:11"/>
    <x v="4"/>
    <x v="3"/>
    <s v="5THJ69"/>
    <s v="TMS"/>
    <s v="EDILBERTO RIBEIRO DUARTE"/>
    <s v="Tms"/>
    <s v="Tms"/>
    <d v="2025-11-19T15:51:00"/>
    <n v="89673"/>
    <s v="-"/>
    <s v="OFF LINE"/>
    <s v="Invoice"/>
    <s v="Faturado"/>
    <x v="3"/>
    <s v="N"/>
    <x v="53"/>
    <s v="Up Offshore Apoio Maritimo"/>
    <s v="-"/>
    <s v="-"/>
    <s v="-"/>
    <x v="44"/>
    <s v="-"/>
    <x v="302"/>
    <n v="21.04"/>
    <n v="0"/>
    <n v="0"/>
    <n v="0"/>
    <n v="0"/>
    <n v="0"/>
    <s v="Reserva importada do Sistema TMS. OS: 89673"/>
    <s v="Fornecedor não preenchido! (ACC01)"/>
    <x v="5"/>
    <x v="1"/>
    <s v="Campo Fornecedor"/>
    <x v="0"/>
    <s v="Qualidade dos dados"/>
    <s v="KONTIK BUSINESS TRAVEL"/>
    <x v="2"/>
  </r>
  <r>
    <n v="23317951"/>
    <n v="24047592"/>
    <s v="ACC01"/>
    <x v="372"/>
    <d v="2025-11-14T03:02:37"/>
    <x v="2"/>
    <x v="2"/>
    <s v="HPEMKBT"/>
    <s v="SABRE"/>
    <s v="DE ANDRADE BALTIERI/BEATRIZ MISS"/>
    <s v="WS"/>
    <s v="WS"/>
    <d v="2025-11-13T11:32:00"/>
    <s v="HPEMKB"/>
    <s v="-"/>
    <s v="ON LINE"/>
    <s v="Cartão de crédito"/>
    <s v="Cartão de crédito"/>
    <x v="1"/>
    <s v="N"/>
    <x v="54"/>
    <s v="Sep Global Informacoes do Brasil Ltda"/>
    <s v="Cliente FEE no POS"/>
    <s v="-"/>
    <s v="-"/>
    <x v="14"/>
    <s v="-"/>
    <x v="338"/>
    <n v="32.8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23630"/>
    <n v="24053032"/>
    <s v="ACC01"/>
    <x v="373"/>
    <d v="2025-11-14T11:19:54"/>
    <x v="2"/>
    <x v="2"/>
    <s v="NBCMQDC"/>
    <s v="SABRE"/>
    <s v="GALVAO/LUCAS MR"/>
    <s v="WS"/>
    <s v="WS"/>
    <d v="2025-11-14T07:49:00"/>
    <s v="NBCMQD"/>
    <s v="MIA"/>
    <s v="ON LINE"/>
    <s v="Invoice"/>
    <s v="Faturado"/>
    <x v="2"/>
    <s v="N"/>
    <x v="54"/>
    <s v="Sep Global Informacoes do Brasil Ltda"/>
    <s v="Cliente FEE no POS"/>
    <s v="-"/>
    <s v="-"/>
    <x v="14"/>
    <s v="-"/>
    <x v="339"/>
    <n v="11.86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15832"/>
    <n v="24045535"/>
    <s v="ACC01"/>
    <x v="374"/>
    <d v="2025-11-14T03:02:37"/>
    <x v="2"/>
    <x v="2"/>
    <s v="EWTLOVT"/>
    <s v="SABRE"/>
    <s v="BORDON SARAC BARRETO/PATRICIA MRS"/>
    <s v="WS"/>
    <s v="WS"/>
    <d v="2025-11-12T18:50:00"/>
    <s v="EWTLOV"/>
    <s v="-"/>
    <s v="ON LINE"/>
    <s v="Cartão de crédito"/>
    <s v="Cartão de crédito"/>
    <x v="1"/>
    <s v="N"/>
    <x v="54"/>
    <s v="Ihs Informacoes Rio de Janeiro"/>
    <s v="Cliente FEE no POS"/>
    <s v="-"/>
    <s v="-"/>
    <x v="45"/>
    <s v="-"/>
    <x v="340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165548"/>
    <n v="23909377"/>
    <s v="ACC01"/>
    <x v="375"/>
    <d v="2025-10-24T03:04:27"/>
    <x v="6"/>
    <x v="5"/>
    <s v="GJPMDLT"/>
    <s v="SABRE"/>
    <s v="DE ANDRADE BALTIERI/BEATRIZ MISS"/>
    <s v="WS"/>
    <s v="WS"/>
    <d v="2025-10-22T11:27:00"/>
    <s v="GJPMDL"/>
    <s v="-"/>
    <s v="ON LINE"/>
    <s v="Cartão de crédito"/>
    <s v="Cartão de crédito"/>
    <x v="1"/>
    <s v="N"/>
    <x v="54"/>
    <s v="Sep Global Informacoes do Brasil Ltda"/>
    <s v="Cliente FEE no POS"/>
    <s v="-"/>
    <s v="-"/>
    <x v="14"/>
    <s v="-"/>
    <x v="341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165549"/>
    <n v="23909378"/>
    <s v="ACC01"/>
    <x v="376"/>
    <d v="2025-10-24T03:04:28"/>
    <x v="6"/>
    <x v="5"/>
    <s v="QUMDEFT"/>
    <s v="SABRE"/>
    <s v="DE ANDRADE BALTIERI/BEATRIZ MISS"/>
    <s v="WS"/>
    <s v="WS"/>
    <d v="2025-10-22T11:35:00"/>
    <s v="QUMDEF"/>
    <s v="-"/>
    <s v="ON LINE"/>
    <s v="Cartão de crédito"/>
    <s v="Cartão de crédito"/>
    <x v="1"/>
    <s v="N"/>
    <x v="54"/>
    <s v="Sep Global Informacoes do Brasil Ltda"/>
    <s v="Cliente FEE no POS"/>
    <s v="-"/>
    <s v="-"/>
    <x v="14"/>
    <s v="-"/>
    <x v="342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47986"/>
    <n v="24075375"/>
    <s v="ACC01"/>
    <x v="377"/>
    <d v="2025-11-18T15:01:40"/>
    <x v="0"/>
    <x v="0"/>
    <s v="5TBM6J"/>
    <s v="TMS"/>
    <s v="KOSAKA/SATOSHI"/>
    <s v="Cintya Cocco Figueiredo"/>
    <s v="Cintya Cocco Figueiredo"/>
    <d v="2025-11-18T13:42:00"/>
    <n v="6241"/>
    <s v="-"/>
    <s v="OFF LINE"/>
    <s v="Invoice"/>
    <s v="Faturado"/>
    <x v="0"/>
    <s v="N"/>
    <x v="55"/>
    <s v="Hpe Automotores - Catalao"/>
    <s v="-"/>
    <s v="Gol Linhas Aereas"/>
    <n v="1928690314"/>
    <x v="32"/>
    <s v="-"/>
    <x v="0"/>
    <n v="165"/>
    <n v="0"/>
    <n v="0"/>
    <n v="0"/>
    <n v="0"/>
    <n v="0"/>
    <s v="Reserva importada do Sistema TMS. OS: 6241"/>
    <s v="Tarifa mínima não preenchida! (ACC01)"/>
    <x v="5"/>
    <x v="0"/>
    <s v="Falta de informação Gerencial"/>
    <x v="0"/>
    <s v="Qualidade dos dados"/>
    <s v="KONTIK BUSINESS TRAVEL"/>
    <x v="3"/>
  </r>
  <r>
    <n v="23347987"/>
    <n v="24075376"/>
    <s v="ACC01"/>
    <x v="378"/>
    <d v="2025-11-18T15:01:42"/>
    <x v="0"/>
    <x v="0"/>
    <s v="5TZPH7"/>
    <s v="TMS"/>
    <s v="KOSAKA/SATOSHI"/>
    <s v="Cintya Cocco Figueiredo"/>
    <s v="Cintya Cocco Figueiredo"/>
    <d v="2025-11-18T13:42:00"/>
    <n v="6241"/>
    <s v="-"/>
    <s v="OFF LINE"/>
    <s v="Invoice"/>
    <s v="Faturado"/>
    <x v="0"/>
    <s v="N"/>
    <x v="55"/>
    <s v="Hpe Automotores - Catalao"/>
    <s v="-"/>
    <s v="Gol Linhas Aereas"/>
    <n v="1928690315"/>
    <x v="32"/>
    <s v="-"/>
    <x v="0"/>
    <n v="165"/>
    <n v="0"/>
    <n v="0"/>
    <n v="0"/>
    <n v="0"/>
    <n v="0"/>
    <s v="Reserva importada do Sistema TMS. OS: 6241"/>
    <s v="Tarifa mínima não preenchida! (ACC01)"/>
    <x v="5"/>
    <x v="0"/>
    <s v="Falta de informação Gerencial"/>
    <x v="0"/>
    <s v="Qualidade dos dados"/>
    <s v="KONTIK BUSINESS TRAVEL"/>
    <x v="3"/>
  </r>
  <r>
    <n v="23361370"/>
    <n v="24087942"/>
    <s v="ACC01"/>
    <x v="379"/>
    <d v="2025-11-21T09:05:38"/>
    <x v="3"/>
    <x v="3"/>
    <s v="5UYPMB"/>
    <s v="TMS"/>
    <s v="LEANDRO DOUGLAS ALVE SILVA E VASCONCELLOS"/>
    <s v="Tms"/>
    <s v="Tms"/>
    <d v="2025-11-20T13:00:00"/>
    <n v="6259"/>
    <s v="São Paulo / SAO"/>
    <s v="ON LINE"/>
    <s v="Invoice"/>
    <s v="Faturado"/>
    <x v="2"/>
    <s v="S"/>
    <x v="55"/>
    <s v="Hpe Automotores - Sao Paulo"/>
    <s v="-"/>
    <s v="Localiza - Br - Sp - Guarulhos - Aeroporto"/>
    <s v="-"/>
    <x v="32"/>
    <s v="-"/>
    <x v="343"/>
    <n v="0"/>
    <n v="0"/>
    <n v="0"/>
    <n v="0"/>
    <n v="0"/>
    <n v="0"/>
    <s v="Reserva importada do Sistema TMS. OS: 6259"/>
    <s v="Fornecedor não preenchido! (ACC01)"/>
    <x v="5"/>
    <x v="1"/>
    <s v="Campo Fornecedor"/>
    <x v="0"/>
    <s v="Qualidade dos dados"/>
    <s v="KONTIK BUSINESS TRAVEL"/>
    <x v="2"/>
  </r>
  <r>
    <n v="23361373"/>
    <n v="24087945"/>
    <s v="ACC01"/>
    <x v="380"/>
    <d v="2025-11-21T09:05:39"/>
    <x v="3"/>
    <x v="3"/>
    <s v="5U7PB0"/>
    <s v="TMS"/>
    <s v="FABRICIUS CAMPIELLO"/>
    <s v="Tms"/>
    <s v="Tms"/>
    <d v="2025-11-20T13:00:00"/>
    <n v="6258"/>
    <s v="São Paulo / SAO"/>
    <s v="ON LINE"/>
    <s v="Invoice"/>
    <s v="Faturado"/>
    <x v="2"/>
    <s v="S"/>
    <x v="55"/>
    <s v="Hpe Automotores - Sao Paulo"/>
    <s v="-"/>
    <s v="Localiza - Br - Sp - Guarulhos - Aeroporto"/>
    <s v="-"/>
    <x v="32"/>
    <s v="-"/>
    <x v="343"/>
    <n v="0"/>
    <n v="0"/>
    <n v="0"/>
    <n v="0"/>
    <n v="0"/>
    <n v="0"/>
    <s v="Reserva importada do Sistema TMS. OS: 6258"/>
    <s v="Fornecedor não preenchido! (ACC01)"/>
    <x v="5"/>
    <x v="1"/>
    <s v="Campo Fornecedor"/>
    <x v="0"/>
    <s v="Qualidade dos dados"/>
    <s v="KONTIK BUSINESS TRAVEL"/>
    <x v="2"/>
  </r>
  <r>
    <n v="23352978"/>
    <n v="24079965"/>
    <s v="ACC01"/>
    <x v="381"/>
    <d v="2025-11-19T09:07:07"/>
    <x v="3"/>
    <x v="3"/>
    <n v="20889419"/>
    <s v="GOVER"/>
    <s v="CIBELLE REGINA GOMES ORTIZ"/>
    <s v="Gover"/>
    <s v="Gover"/>
    <d v="2025-11-18T14:07:00"/>
    <n v="4629617"/>
    <s v="-"/>
    <s v="ON LINE"/>
    <s v="Cartão de crédito"/>
    <s v="Cartão de crédito"/>
    <x v="1"/>
    <s v="N"/>
    <x v="56"/>
    <s v="Arcadis"/>
    <s v="-"/>
    <s v="Ibis Vitoria Praia do Canto"/>
    <s v="-"/>
    <x v="11"/>
    <s v="-"/>
    <x v="344"/>
    <n v="23.15"/>
    <n v="0"/>
    <n v="0"/>
    <n v="0"/>
    <n v="0"/>
    <n v="0"/>
    <s v="Reserva importada do sistema Gover. Id: 4629617"/>
    <s v="Canal de venda não preenchido! (ACC01)"/>
    <x v="0"/>
    <x v="9"/>
    <s v="Falta de informação Gerencial"/>
    <x v="0"/>
    <s v="Qualidade dos dados"/>
    <s v="KONTIK BUSINESS TRAVEL"/>
    <x v="2"/>
  </r>
  <r>
    <n v="23352778"/>
    <n v="24079786"/>
    <s v="ACC01"/>
    <x v="382"/>
    <d v="2025-11-19T13:05:31"/>
    <x v="3"/>
    <x v="3"/>
    <n v="20887560"/>
    <s v="GOVER"/>
    <s v="Ana DE SOUSA"/>
    <s v="Gover"/>
    <s v="Gover"/>
    <d v="2025-11-17T08:48:00"/>
    <n v="4628729"/>
    <s v="-"/>
    <s v="OFF LINE"/>
    <s v="Invoice"/>
    <s v="Faturado"/>
    <x v="1"/>
    <s v="N"/>
    <x v="56"/>
    <s v="Arcadis"/>
    <s v="-"/>
    <s v="Holiday Inn Belo Horizonte Savassi"/>
    <s v="-"/>
    <x v="11"/>
    <s v="-"/>
    <x v="345"/>
    <n v="94.25"/>
    <n v="0"/>
    <n v="0"/>
    <n v="0"/>
    <n v="0"/>
    <n v="0"/>
    <s v="Reserva importada do sistema Gover. Id: 4628729"/>
    <s v="Canal de venda não preenchido! (ACC01)"/>
    <x v="0"/>
    <x v="9"/>
    <s v="Falta de informação Gerencial"/>
    <x v="0"/>
    <s v="Qualidade dos dados"/>
    <s v="KONTIK BUSINESS TRAVEL"/>
    <x v="3"/>
  </r>
  <r>
    <n v="23354042"/>
    <n v="24081038"/>
    <s v="ACC01"/>
    <x v="383"/>
    <d v="2025-11-19T13:05:46"/>
    <x v="3"/>
    <x v="3"/>
    <s v="AV8DWX5W26A"/>
    <s v="GOVER"/>
    <s v="Stephanie FERREIRA LOBATO NOBRE"/>
    <s v="Ana Carolina da Silva"/>
    <s v="Ana Carolina da Silva"/>
    <d v="2025-11-19T12:53:00"/>
    <n v="4627872"/>
    <s v="Localiza - Br - Sp - Sao Paulo - Vila Andrade-Shop Endereço: Avenida Giovanni Gronchi, 5930"/>
    <s v="OFF LINE"/>
    <s v="Invoice"/>
    <s v="Faturado"/>
    <x v="2"/>
    <s v="N"/>
    <x v="56"/>
    <s v="Arcadis"/>
    <s v="-"/>
    <s v="Localiza - Br - Sp - Sao Paulo - Vila Andrade-shopping Morumbi Town"/>
    <s v="-"/>
    <x v="46"/>
    <s v="-"/>
    <x v="346"/>
    <n v="0"/>
    <n v="0"/>
    <n v="0"/>
    <n v="0"/>
    <n v="0"/>
    <n v="0"/>
    <s v="Reserva importada do sistema Gover. Id: 4627872"/>
    <s v="Fornecedor não preenchido! (ACC01)"/>
    <x v="0"/>
    <x v="1"/>
    <s v="Campo Fornecedor"/>
    <x v="0"/>
    <s v="Qualidade dos dados"/>
    <s v="KONTIK BUSINESS TRAVEL"/>
    <x v="2"/>
  </r>
  <r>
    <n v="23338953"/>
    <n v="24066731"/>
    <s v="ACC01"/>
    <x v="384"/>
    <d v="2025-11-17T11:16:13"/>
    <x v="0"/>
    <x v="0"/>
    <s v="BB27029776-29153915"/>
    <s v="GOVER"/>
    <s v="Andreza ARRUDA VIOTTO S APOSTOLICO"/>
    <s v="Ana Carolina da Silva"/>
    <s v="Ana Carolina da Silva"/>
    <d v="2025-11-17T10:53:00"/>
    <n v="4590241"/>
    <s v="-"/>
    <s v="OFF LINE"/>
    <s v="Invoice"/>
    <s v="Faturado"/>
    <x v="1"/>
    <s v="N"/>
    <x v="56"/>
    <s v="Arcadis"/>
    <s v="-"/>
    <s v="-"/>
    <s v="-"/>
    <x v="46"/>
    <s v="-"/>
    <x v="347"/>
    <n v="0"/>
    <n v="0"/>
    <n v="0"/>
    <n v="0"/>
    <n v="0"/>
    <n v="0"/>
    <s v="Reserva importada do sistema Gover. Id: 4590241"/>
    <s v="Fornecedor não preenchido! (ACC01)"/>
    <x v="0"/>
    <x v="1"/>
    <s v="Campo Fornecedor"/>
    <x v="0"/>
    <s v="Sistêmico"/>
    <s v="GRUPO KONTIK"/>
    <x v="1"/>
  </r>
  <r>
    <n v="23266636"/>
    <n v="23999155"/>
    <s v="ACC01"/>
    <x v="385"/>
    <d v="2025-11-06T13:15:59"/>
    <x v="1"/>
    <x v="1"/>
    <s v="5REOJC"/>
    <s v="TMS"/>
    <s v="TIAGO MONTEIRO"/>
    <s v="Ariane de Sousa Farias"/>
    <s v="Ariane de Sousa Farias"/>
    <d v="2025-11-05T18:18:00"/>
    <n v="94375"/>
    <s v="-"/>
    <s v="OFF LINE"/>
    <s v="Pagamento direto"/>
    <s v="Pagamento direto"/>
    <x v="1"/>
    <s v="N"/>
    <x v="57"/>
    <s v="Ache Laboratorios Farmaceuticos Sa"/>
    <s v="-"/>
    <s v="FORMOSA HOTEL LTDA"/>
    <s v="-"/>
    <x v="47"/>
    <s v="-"/>
    <x v="175"/>
    <n v="0"/>
    <n v="0"/>
    <n v="0"/>
    <n v="0"/>
    <n v="0"/>
    <n v="0"/>
    <s v="Reserva importada do Sistema TMS. OS: 94375"/>
    <s v="Não foi possível encontrar um contrato válido para o fornecedor 728825 (Código fornecedor) "/>
    <x v="5"/>
    <x v="14"/>
    <s v="Análise Cadastro"/>
    <x v="0"/>
    <s v="Qualidade dos dados"/>
    <s v="KONTIK BUSINESS TRAVEL"/>
    <x v="2"/>
  </r>
  <r>
    <n v="23324417"/>
    <n v="24053900"/>
    <s v="ACC01"/>
    <x v="386"/>
    <d v="2025-11-17T06:05:31"/>
    <x v="0"/>
    <x v="2"/>
    <s v="5TI5LC"/>
    <s v="TMS"/>
    <s v="LAIS CRUZ"/>
    <s v="BEATRYZ DA SILVA COSTA"/>
    <s v="BEATRYZ DA SILVA COSTA"/>
    <d v="2025-11-14T10:05:00"/>
    <n v="96293"/>
    <s v="-"/>
    <s v="OFF LINE"/>
    <s v="Pagamento direto"/>
    <s v="Pagamento direto"/>
    <x v="1"/>
    <s v="N"/>
    <x v="57"/>
    <s v="Ache Laboratorios Farmaceuticos Sa"/>
    <s v="-"/>
    <s v="FORMOSA HOTEL LTDA"/>
    <s v="-"/>
    <x v="47"/>
    <s v="-"/>
    <x v="175"/>
    <n v="0"/>
    <n v="0"/>
    <n v="0"/>
    <n v="0"/>
    <n v="0"/>
    <n v="0"/>
    <s v="Reserva importada do Sistema TMS. OS: 96293"/>
    <s v="Não foi possível encontrar um contrato válido para o fornecedor 728825 (Código fornecedor) "/>
    <x v="5"/>
    <x v="14"/>
    <s v="Análise Cadastro"/>
    <x v="0"/>
    <s v="Qualidade dos dados"/>
    <s v="KONTIK BUSINESS TRAVEL"/>
    <x v="2"/>
  </r>
  <r>
    <n v="23314260"/>
    <n v="24044397"/>
    <s v="ACC01"/>
    <x v="387"/>
    <d v="2025-11-13T00:51:05"/>
    <x v="2"/>
    <x v="2"/>
    <s v="5T1NBX"/>
    <s v="TMS"/>
    <s v="SOUZA/ELDER"/>
    <s v="Juliana dos Santos Pinto"/>
    <s v="Juliana dos Santos Pinto"/>
    <d v="2025-11-12T18:58:00"/>
    <n v="95803"/>
    <s v="-"/>
    <s v="OFF LINE"/>
    <s v="Cartão de crédito"/>
    <s v="Cartão de crédito"/>
    <x v="0"/>
    <s v="N"/>
    <x v="57"/>
    <s v="Ache Laboratorios Farmaceuticos Sa"/>
    <s v="-"/>
    <s v="Azul Linhas Aereas"/>
    <n v="3024044397"/>
    <x v="47"/>
    <s v="-"/>
    <x v="0"/>
    <n v="200"/>
    <n v="0"/>
    <n v="0"/>
    <n v="0"/>
    <n v="0"/>
    <n v="0"/>
    <s v="Reserva importada do Sistema TMS. OS: 95803"/>
    <s v="Empenho/departamento não preenchido! (ACC01)"/>
    <x v="5"/>
    <x v="12"/>
    <s v="Falta de informação Gerencial"/>
    <x v="0"/>
    <s v="Qualidade dos dados"/>
    <s v="GRUPO KONTIK"/>
    <x v="0"/>
  </r>
  <r>
    <n v="23188284"/>
    <n v="23926221"/>
    <s v="ACC01"/>
    <x v="388"/>
    <d v="2025-10-24T18:36:12"/>
    <x v="6"/>
    <x v="5"/>
    <s v="5Q0ETP"/>
    <s v="TMS"/>
    <s v="SILVA/CINTIA PAULA"/>
    <s v="Jessica Soares Teixeira"/>
    <s v="Jessica Soares Teixeira"/>
    <d v="2025-10-24T14:00:00"/>
    <n v="93360"/>
    <s v="-"/>
    <s v="OFF LINE"/>
    <s v="Cartão de crédito"/>
    <s v="Cartão de crédito"/>
    <x v="0"/>
    <s v="N"/>
    <x v="57"/>
    <s v="Ache Laboratorios Farmaceuticos Sa"/>
    <s v="-"/>
    <s v="Latam Airlines Brasil"/>
    <n v="4459890719"/>
    <x v="47"/>
    <s v="-"/>
    <x v="0"/>
    <n v="175"/>
    <n v="0"/>
    <n v="0"/>
    <n v="0"/>
    <n v="0"/>
    <n v="0"/>
    <s v="Reserva importada do Sistema TMS. OS: 93360"/>
    <s v="Empenho/departamento não preenchido! (ACC01)"/>
    <x v="5"/>
    <x v="12"/>
    <s v="Falta de informação Gerencial"/>
    <x v="0"/>
    <s v="Qualidade dos dados"/>
    <s v="KONTIK BUSINESS TRAVEL"/>
    <x v="3"/>
  </r>
  <r>
    <n v="23368489"/>
    <n v="24094451"/>
    <s v="ACC01"/>
    <x v="389"/>
    <d v="2025-11-21T21:45:56"/>
    <x v="3"/>
    <x v="3"/>
    <s v="5U8UAA"/>
    <s v="TMS"/>
    <s v="PATRICIA ANJOS"/>
    <s v="Tms"/>
    <s v="Tms"/>
    <d v="2025-11-21T16:15:00"/>
    <n v="96910"/>
    <s v="-"/>
    <s v="ON LINE"/>
    <s v="Invoice"/>
    <s v="Faturado"/>
    <x v="1"/>
    <s v="N"/>
    <x v="57"/>
    <s v="Ache Laboratorios Farmaceuticos Sa"/>
    <s v="-"/>
    <s v="-"/>
    <s v="-"/>
    <x v="47"/>
    <s v="-"/>
    <x v="348"/>
    <n v="0"/>
    <n v="0"/>
    <n v="0"/>
    <n v="0"/>
    <n v="0"/>
    <n v="0"/>
    <s v="Reserva importada do Sistema TMS. OS: 96910"/>
    <s v="Fornecedor não preenchido! (ACC01)"/>
    <x v="5"/>
    <x v="1"/>
    <s v="Campo Fornecedor"/>
    <x v="0"/>
    <s v="Sistêmico"/>
    <s v="GRUPO KONTIK"/>
    <x v="1"/>
  </r>
  <r>
    <n v="23327106"/>
    <n v="24056716"/>
    <s v="ACC01"/>
    <x v="390"/>
    <d v="2025-11-14T19:26:37"/>
    <x v="2"/>
    <x v="2"/>
    <s v="5TKIFR"/>
    <s v="TMS"/>
    <s v="MORAES/BARBARA"/>
    <s v="Ellen da Conceicao"/>
    <s v="Ellen da Conceicao"/>
    <d v="2025-11-14T17:42:00"/>
    <n v="96444"/>
    <s v="-"/>
    <s v="OFF LINE"/>
    <s v="Cartão de crédito"/>
    <s v="Cartão de crédito"/>
    <x v="0"/>
    <s v="N"/>
    <x v="57"/>
    <s v="Ache Laboratorios Farmaceuticos Sa"/>
    <s v="-"/>
    <s v="Gol Linhas Aereas"/>
    <n v="4435061904"/>
    <x v="47"/>
    <s v="-"/>
    <x v="0"/>
    <n v="130.2"/>
    <n v="0"/>
    <n v="0"/>
    <n v="0"/>
    <n v="0"/>
    <n v="0"/>
    <s v="Reserva importada do Sistema TMS. OS: 96444"/>
    <s v="Empenho/departamento não preenchido! (ACC01)"/>
    <x v="5"/>
    <x v="12"/>
    <s v="Falta de informação Gerencial"/>
    <x v="0"/>
    <s v="Qualidade dos dados"/>
    <s v="KONTIK BUSINESS TRAVEL"/>
    <x v="3"/>
  </r>
  <r>
    <n v="23327108"/>
    <n v="24056718"/>
    <s v="ACC01"/>
    <x v="391"/>
    <d v="2025-11-14T19:26:38"/>
    <x v="2"/>
    <x v="2"/>
    <s v="5TLIR4"/>
    <s v="TMS"/>
    <s v="MORAES/BARBARA"/>
    <s v="Ellen da Conceicao"/>
    <s v="Ellen da Conceicao"/>
    <d v="2025-11-14T17:42:00"/>
    <n v="96444"/>
    <s v="-"/>
    <s v="OFF LINE"/>
    <s v="Cartão de crédito"/>
    <s v="Cartão de crédito"/>
    <x v="0"/>
    <s v="N"/>
    <x v="57"/>
    <s v="Ache Laboratorios Farmaceuticos Sa"/>
    <s v="-"/>
    <s v="Gol Linhas Aereas"/>
    <n v="3024056716"/>
    <x v="47"/>
    <s v="-"/>
    <x v="0"/>
    <n v="0"/>
    <n v="0"/>
    <n v="0"/>
    <n v="0"/>
    <n v="0"/>
    <n v="0"/>
    <s v="Reserva importada do Sistema TMS. OS: 96444"/>
    <s v="Empenho/departamento não preenchido! (ACC01)"/>
    <x v="5"/>
    <x v="12"/>
    <s v="Falta de informação Gerencial"/>
    <x v="0"/>
    <s v="Qualidade dos dados"/>
    <s v="KONTIK BUSINESS TRAVEL"/>
    <x v="3"/>
  </r>
  <r>
    <n v="23263635"/>
    <n v="23996095"/>
    <s v="ACC01"/>
    <x v="392"/>
    <d v="2025-11-05T16:28:00"/>
    <x v="1"/>
    <x v="1"/>
    <s v="5R4LPE"/>
    <s v="TMS"/>
    <s v="FERNANDES DE PAIVA/MARCELO"/>
    <s v="Ellen da Conceicao"/>
    <s v="Ellen da Conceicao"/>
    <d v="2025-11-05T12:09:00"/>
    <n v="95099"/>
    <s v="-"/>
    <s v="OFF LINE"/>
    <s v="Invoice"/>
    <s v="Faturado"/>
    <x v="0"/>
    <s v="N"/>
    <x v="57"/>
    <s v="Ache Laboratorios Farmaceuticos Sa"/>
    <s v="-"/>
    <s v="Gol Linhas Aereas"/>
    <n v="4434747543"/>
    <x v="47"/>
    <s v="-"/>
    <x v="0"/>
    <n v="42.5"/>
    <n v="0"/>
    <n v="0"/>
    <n v="0"/>
    <n v="0"/>
    <n v="0"/>
    <s v="Reserva importada do Sistema TMS. OS: 95099"/>
    <s v="Empenho/departamento não preenchido! (ACC01)"/>
    <x v="5"/>
    <x v="12"/>
    <s v="Falta de informação Gerencial"/>
    <x v="0"/>
    <s v="Qualidade dos dados"/>
    <s v="KONTIK BUSINESS TRAVEL"/>
    <x v="3"/>
  </r>
  <r>
    <n v="23250100"/>
    <n v="23983129"/>
    <s v="ACC01"/>
    <x v="393"/>
    <d v="2025-11-03T21:55:50"/>
    <x v="1"/>
    <x v="1"/>
    <s v="5RGCV0"/>
    <s v="TMS"/>
    <s v="MARINO/JOSE"/>
    <s v="Ellen da Conceicao"/>
    <s v="Ellen da Conceicao"/>
    <d v="2025-11-03T16:25:00"/>
    <n v="94707"/>
    <s v="-"/>
    <s v="OFF LINE"/>
    <s v="Cartão de crédito"/>
    <s v="Cartão de crédito"/>
    <x v="0"/>
    <s v="N"/>
    <x v="57"/>
    <s v="Ache Laboratorios Farmaceuticos Sa"/>
    <s v="-"/>
    <s v="Gol Linhas Aereas"/>
    <n v="4434685591"/>
    <x v="47"/>
    <s v="-"/>
    <x v="0"/>
    <n v="42.5"/>
    <n v="0"/>
    <n v="0"/>
    <n v="0"/>
    <n v="0"/>
    <n v="0"/>
    <s v="Reserva importada do Sistema TMS. OS: 94707"/>
    <s v="Empenho/departamento não preenchido! (ACC01)"/>
    <x v="5"/>
    <x v="12"/>
    <s v="Falta de informação Gerencial"/>
    <x v="0"/>
    <s v="Qualidade dos dados"/>
    <s v="KONTIK BUSINESS TRAVEL"/>
    <x v="3"/>
  </r>
  <r>
    <n v="23188352"/>
    <n v="23926291"/>
    <s v="ACC01"/>
    <x v="394"/>
    <d v="2025-10-24T18:37:07"/>
    <x v="6"/>
    <x v="5"/>
    <s v="5Q4KTP"/>
    <s v="TMS"/>
    <s v="FERNANDES DE PAIVA/MARCELO"/>
    <s v="Ellen da Conceicao"/>
    <s v="Ellen da Conceicao"/>
    <d v="2025-10-24T12:52:00"/>
    <n v="92926"/>
    <s v="-"/>
    <s v="OFF LINE"/>
    <s v="Cartão de crédito"/>
    <s v="Cartão de crédito"/>
    <x v="0"/>
    <s v="N"/>
    <x v="57"/>
    <s v="Ache Laboratorios Farmaceuticos Sa"/>
    <s v="-"/>
    <s v="Azul Linhas Aereas"/>
    <n v="3023926291"/>
    <x v="47"/>
    <s v="-"/>
    <x v="0"/>
    <n v="0"/>
    <n v="0"/>
    <n v="0"/>
    <n v="0"/>
    <n v="0"/>
    <n v="0"/>
    <s v="Reserva importada do Sistema TMS. OS: 92926"/>
    <s v="Empenho/departamento não preenchido! (ACC01)"/>
    <x v="5"/>
    <x v="12"/>
    <s v="Falta de informação Gerencial"/>
    <x v="0"/>
    <s v="Qualidade dos dados"/>
    <s v="KONTIK BUSINESS TRAVEL"/>
    <x v="3"/>
  </r>
  <r>
    <n v="23266568"/>
    <n v="23999087"/>
    <s v="ACC01"/>
    <x v="395"/>
    <d v="2025-11-05T22:31:27"/>
    <x v="1"/>
    <x v="1"/>
    <s v="5R3R73"/>
    <s v="TMS"/>
    <s v="BOTINHAO/ANDREIA"/>
    <s v="Ellen da Conceicao"/>
    <s v="Ellen da Conceicao"/>
    <d v="2025-11-05T17:58:00"/>
    <n v="95178"/>
    <s v="-"/>
    <s v="OFF LINE"/>
    <s v="Cartão de crédito"/>
    <s v="Cartão de crédito"/>
    <x v="0"/>
    <s v="N"/>
    <x v="57"/>
    <s v="Ache Laboratorios Farmaceuticos Sa"/>
    <s v="-"/>
    <s v="Azul Linhas Aereas"/>
    <n v="3023999085"/>
    <x v="47"/>
    <s v="-"/>
    <x v="0"/>
    <n v="90"/>
    <n v="0"/>
    <n v="0"/>
    <n v="0"/>
    <n v="0"/>
    <n v="0"/>
    <s v="Reserva importada do Sistema TMS. OS: 95178"/>
    <s v="Empenho/departamento não preenchido! (ACC01)"/>
    <x v="5"/>
    <x v="12"/>
    <s v="Falta de informação Gerencial"/>
    <x v="0"/>
    <s v="Qualidade dos dados"/>
    <s v="KONTIK BUSINESS TRAVEL"/>
    <x v="3"/>
  </r>
  <r>
    <n v="23350191"/>
    <n v="24077585"/>
    <s v="ACC01"/>
    <x v="396"/>
    <d v="2025-11-18T20:46:32"/>
    <x v="0"/>
    <x v="0"/>
    <s v="5T8W0I"/>
    <s v="TMS"/>
    <s v="PORCINO/ANA"/>
    <s v="Ellen da Conceicao"/>
    <s v="Ellen da Conceicao"/>
    <d v="2025-11-18T16:54:00"/>
    <n v="96730"/>
    <s v="-"/>
    <s v="OFF LINE"/>
    <s v="Cartão de crédito"/>
    <s v="Cartão de crédito"/>
    <x v="0"/>
    <s v="N"/>
    <x v="57"/>
    <s v="Ache Laboratorios Farmaceuticos Sa"/>
    <s v="-"/>
    <s v="Gol Linhas Aereas"/>
    <n v="4435188165"/>
    <x v="47"/>
    <s v="-"/>
    <x v="0"/>
    <n v="75.2"/>
    <n v="0"/>
    <n v="0"/>
    <n v="0"/>
    <n v="0"/>
    <n v="0"/>
    <s v="Reserva importada do Sistema TMS. OS: 96730"/>
    <s v="Empenho/departamento não preenchido! (ACC01)"/>
    <x v="5"/>
    <x v="12"/>
    <s v="Falta de informação Gerencial"/>
    <x v="0"/>
    <s v="Qualidade dos dados"/>
    <s v="KONTIK BUSINESS TRAVEL"/>
    <x v="3"/>
  </r>
  <r>
    <n v="23294649"/>
    <n v="24025537"/>
    <s v="ACC01"/>
    <x v="397"/>
    <d v="2025-11-10T13:21:04"/>
    <x v="2"/>
    <x v="2"/>
    <s v="5R36UU"/>
    <s v="TMS"/>
    <s v="RUTTSON AMORIM EUGENIO"/>
    <s v="Marcelo Ignacio de Lima"/>
    <s v="Marcelo Ignacio de Lima"/>
    <d v="2025-11-10T10:39:00"/>
    <n v="27732"/>
    <s v="Vitoria / ES, Brasil (VIX)"/>
    <s v="OFF LINE"/>
    <s v="Invoice"/>
    <s v="Faturado"/>
    <x v="2"/>
    <s v="N"/>
    <x v="58"/>
    <s v="Tangara"/>
    <s v="-"/>
    <s v="Movida - Br - Es - Vitoria - Aeroporto"/>
    <s v="-"/>
    <x v="48"/>
    <s v="-"/>
    <x v="349"/>
    <n v="0"/>
    <n v="0"/>
    <n v="0"/>
    <n v="0"/>
    <n v="0"/>
    <n v="0"/>
    <s v="Reserva importada do Sistema TMS. OS: 27732"/>
    <s v="Fornecedor não preenchido! (ACC01)"/>
    <x v="5"/>
    <x v="1"/>
    <s v="Campo Fornecedor"/>
    <x v="0"/>
    <s v="Qualidade dos dados"/>
    <s v="KONTIK BUSINESS TRAVEL"/>
    <x v="2"/>
  </r>
  <r>
    <n v="23224274"/>
    <n v="23959212"/>
    <s v="ACC01"/>
    <x v="398"/>
    <d v="2025-10-30T16:50:10"/>
    <x v="5"/>
    <x v="6"/>
    <s v="5QTH7H"/>
    <s v="TMS"/>
    <s v="DANIEL DE SOUZA"/>
    <s v="Marcelo Ignacio de Lima"/>
    <s v="Marcelo Ignacio de Lima"/>
    <d v="2025-10-30T11:24:00"/>
    <n v="26872"/>
    <s v="Maraba / PA, Brasil (MAB)"/>
    <s v="OFF LINE"/>
    <s v="Invoice"/>
    <s v="Faturado"/>
    <x v="2"/>
    <s v="N"/>
    <x v="58"/>
    <s v="Tangara"/>
    <s v="-"/>
    <s v="Movida - Br - Pa - Maraba - Amapa"/>
    <s v="-"/>
    <x v="48"/>
    <s v="-"/>
    <x v="350"/>
    <n v="0"/>
    <n v="0"/>
    <n v="0"/>
    <n v="0"/>
    <n v="0"/>
    <n v="0"/>
    <s v="Reserva importada do Sistema TMS. OS: 26872"/>
    <s v="Fornecedor não preenchido! (ACC01)"/>
    <x v="5"/>
    <x v="1"/>
    <s v="Campo Fornecedor"/>
    <x v="0"/>
    <s v="Qualidade dos dados"/>
    <s v="KONTIK BUSINESS TRAVEL"/>
    <x v="2"/>
  </r>
  <r>
    <n v="23340547"/>
    <n v="24068305"/>
    <s v="ACC01"/>
    <x v="399"/>
    <d v="2025-11-17T15:57:06"/>
    <x v="0"/>
    <x v="0"/>
    <s v="5TGHO5"/>
    <s v="TMS"/>
    <s v="DOUGLAS DA COSTA"/>
    <s v="Marcelo Ignacio de Lima"/>
    <s v="Marcelo Ignacio de Lima"/>
    <d v="2025-11-17T11:26:00"/>
    <n v="28094"/>
    <s v="São Luís / MA, Brasil (SLZ)"/>
    <s v="OFF LINE"/>
    <s v="Invoice"/>
    <s v="Faturado"/>
    <x v="2"/>
    <s v="N"/>
    <x v="58"/>
    <s v="Tangara"/>
    <s v="-"/>
    <s v="Movida - Br - Ma - Sao Luis - Tirirical"/>
    <s v="-"/>
    <x v="48"/>
    <s v="-"/>
    <x v="351"/>
    <n v="0"/>
    <n v="0"/>
    <n v="0"/>
    <n v="0"/>
    <n v="0"/>
    <n v="0"/>
    <s v="Reserva importada do Sistema TMS. OS: 28094"/>
    <s v="Fornecedor não preenchido! (ACC01)"/>
    <x v="5"/>
    <x v="1"/>
    <s v="Campo Fornecedor"/>
    <x v="0"/>
    <s v="Qualidade dos dados"/>
    <s v="KONTIK BUSINESS TRAVEL"/>
    <x v="2"/>
  </r>
  <r>
    <n v="23340554"/>
    <n v="24068311"/>
    <s v="ACC01"/>
    <x v="400"/>
    <d v="2025-11-17T15:57:38"/>
    <x v="0"/>
    <x v="0"/>
    <s v="5TKHOG"/>
    <s v="TMS"/>
    <s v="DANILO FERREIRA"/>
    <s v="Marcelo Ignacio de Lima"/>
    <s v="Marcelo Ignacio de Lima"/>
    <d v="2025-11-17T10:58:00"/>
    <n v="28080"/>
    <s v="Barreiras / BA, Brasil (BRA)"/>
    <s v="OFF LINE"/>
    <s v="Invoice"/>
    <s v="Faturado"/>
    <x v="2"/>
    <s v="N"/>
    <x v="58"/>
    <s v="Sao Pedro"/>
    <s v="-"/>
    <s v="Movida - Br - Ba - Barreiras - Novo Horizonte"/>
    <s v="-"/>
    <x v="48"/>
    <s v="-"/>
    <x v="352"/>
    <n v="0"/>
    <n v="0"/>
    <n v="0"/>
    <n v="0"/>
    <n v="0"/>
    <n v="0"/>
    <s v="Reserva importada do Sistema TMS. OS: 28080"/>
    <s v="Fornecedor não preenchido! (ACC01)"/>
    <x v="5"/>
    <x v="1"/>
    <s v="Campo Fornecedor"/>
    <x v="0"/>
    <s v="Qualidade dos dados"/>
    <s v="KONTIK BUSINESS TRAVEL"/>
    <x v="2"/>
  </r>
  <r>
    <n v="23302506"/>
    <n v="24033144"/>
    <s v="ACC01"/>
    <x v="401"/>
    <d v="2025-11-11T12:42:38"/>
    <x v="2"/>
    <x v="2"/>
    <s v="5RALEO"/>
    <s v="TMS"/>
    <s v="ARTEIRO DE OLIVEIRA/EDUARDO"/>
    <s v="Alexandre Isidio da Silva"/>
    <s v="Alexandre Isidio da Silva"/>
    <d v="2025-11-11T09:53:00"/>
    <n v="26522"/>
    <s v="-"/>
    <s v="OFF LINE"/>
    <s v="Invoice"/>
    <s v="Faturado"/>
    <x v="0"/>
    <s v="N"/>
    <x v="58"/>
    <s v="Jurua Transmissora de Energia Eletrica S/a"/>
    <s v="-"/>
    <s v="Air France"/>
    <n v="1936170477"/>
    <x v="48"/>
    <s v="-"/>
    <x v="0"/>
    <n v="1231.92"/>
    <n v="0"/>
    <n v="0"/>
    <n v="0"/>
    <n v="0"/>
    <n v="0"/>
    <s v="Reserva importada do Sistema TMS. OS: 26522"/>
    <s v="Tarifa mínima não preenchida! (ACC01)"/>
    <x v="5"/>
    <x v="0"/>
    <s v="Falta de informação Gerencial"/>
    <x v="0"/>
    <s v="Qualidade dos dados"/>
    <s v="KONTIK BUSINESS TRAVEL"/>
    <x v="3"/>
  </r>
  <r>
    <n v="23302505"/>
    <n v="24033143"/>
    <s v="ACC01"/>
    <x v="402"/>
    <d v="2025-11-11T12:42:38"/>
    <x v="2"/>
    <x v="2"/>
    <s v="5RBOE9"/>
    <s v="TMS"/>
    <s v="RODRIGUES/ALEXANDRE"/>
    <s v="Alexandre Isidio da Silva"/>
    <s v="Alexandre Isidio da Silva"/>
    <d v="2025-11-11T09:54:00"/>
    <n v="26523"/>
    <s v="-"/>
    <s v="OFF LINE"/>
    <s v="Invoice"/>
    <s v="Faturado"/>
    <x v="0"/>
    <s v="N"/>
    <x v="58"/>
    <s v="Jurua Transmissora de Energia Eletrica S/a"/>
    <s v="-"/>
    <s v="Air France"/>
    <n v="1928697594"/>
    <x v="48"/>
    <s v="-"/>
    <x v="0"/>
    <n v="1.23"/>
    <n v="0"/>
    <n v="0"/>
    <n v="0"/>
    <n v="0"/>
    <n v="0"/>
    <s v="Reserva importada do Sistema TMS. OS: 26523"/>
    <s v="Tarifa mínima não preenchida! (ACC01)"/>
    <x v="5"/>
    <x v="0"/>
    <s v="Falta de informação Gerencial"/>
    <x v="0"/>
    <s v="Qualidade dos dados"/>
    <s v="KONTIK BUSINESS TRAVEL"/>
    <x v="3"/>
  </r>
  <r>
    <n v="23357618"/>
    <n v="24084627"/>
    <s v="ACC01"/>
    <x v="403"/>
    <d v="2025-11-19T22:12:24"/>
    <x v="3"/>
    <x v="3"/>
    <s v="5TL0HL"/>
    <s v="TMS"/>
    <s v="LUCAS RIBEIRO"/>
    <s v="Tms"/>
    <s v="Tms"/>
    <d v="2025-11-19T18:25:00"/>
    <n v="6403"/>
    <s v="-"/>
    <s v="ON LINE"/>
    <s v="Múltiplos"/>
    <s v="Múltiplos"/>
    <x v="1"/>
    <s v="N"/>
    <x v="59"/>
    <s v="Mattos Filho"/>
    <s v="-"/>
    <s v="Mercure Sao Paulo Paulista"/>
    <s v="-"/>
    <x v="49"/>
    <s v="-"/>
    <x v="353"/>
    <n v="0"/>
    <n v="0"/>
    <n v="0"/>
    <n v="0"/>
    <n v="28.55"/>
    <n v="0"/>
    <s v="Reserva importada do Sistema TMS. OS: 6403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57623"/>
    <n v="24084632"/>
    <s v="ACC01"/>
    <x v="404"/>
    <d v="2025-11-19T22:13:13"/>
    <x v="3"/>
    <x v="3"/>
    <s v="5TV1YO"/>
    <s v="TMS"/>
    <s v="PEDRO WAGNER"/>
    <s v="Tms"/>
    <s v="Tms"/>
    <d v="2025-11-19T18:10:00"/>
    <n v="6398"/>
    <s v="-"/>
    <s v="ON LINE"/>
    <s v="Múltiplos"/>
    <s v="Múltiplos"/>
    <x v="1"/>
    <s v="N"/>
    <x v="59"/>
    <s v="Mattos Filho"/>
    <s v="-"/>
    <s v="Mercure Sao Paulo Paulista"/>
    <s v="-"/>
    <x v="49"/>
    <s v="-"/>
    <x v="353"/>
    <n v="0"/>
    <n v="0"/>
    <n v="0"/>
    <n v="0"/>
    <n v="28.55"/>
    <n v="0"/>
    <s v="Reserva importada do Sistema TMS. OS: 6398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57631"/>
    <n v="24084640"/>
    <s v="ACC01"/>
    <x v="405"/>
    <d v="2025-11-19T22:13:49"/>
    <x v="3"/>
    <x v="3"/>
    <s v="5TKQ6N"/>
    <s v="TMS"/>
    <s v="KYARA KOMOCHENA"/>
    <s v="Tms"/>
    <s v="Tms"/>
    <d v="2025-11-19T17:42:00"/>
    <n v="6389"/>
    <s v="-"/>
    <s v="ON LINE"/>
    <s v="Múltiplos"/>
    <s v="Múltiplos"/>
    <x v="1"/>
    <s v="N"/>
    <x v="59"/>
    <s v="Mattos Filho"/>
    <s v="-"/>
    <s v="Mercure Sao Paulo Paulista"/>
    <s v="-"/>
    <x v="49"/>
    <s v="-"/>
    <x v="354"/>
    <n v="0"/>
    <n v="0"/>
    <n v="0"/>
    <n v="0"/>
    <n v="26.55"/>
    <n v="0"/>
    <s v="Reserva importada do Sistema TMS. OS: 6389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57637"/>
    <n v="24084645"/>
    <s v="ACC01"/>
    <x v="406"/>
    <d v="2025-11-19T22:18:31"/>
    <x v="3"/>
    <x v="3"/>
    <s v="5TMWYO"/>
    <s v="TMS"/>
    <s v="LOUI DAVI"/>
    <s v="Tms"/>
    <s v="Tms"/>
    <d v="2025-11-19T17:41:00"/>
    <n v="6383"/>
    <s v="-"/>
    <s v="ON LINE"/>
    <s v="Múltiplos"/>
    <s v="Múltiplos"/>
    <x v="1"/>
    <s v="N"/>
    <x v="59"/>
    <s v="Mattos Filho"/>
    <s v="-"/>
    <s v="Mercure Sao Paulo Paulista"/>
    <s v="-"/>
    <x v="49"/>
    <s v="-"/>
    <x v="354"/>
    <n v="0"/>
    <n v="0"/>
    <n v="0"/>
    <n v="0"/>
    <n v="26.55"/>
    <n v="0"/>
    <s v="Reserva importada do Sistema TMS. OS: 6383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57639"/>
    <n v="24084647"/>
    <s v="ACC01"/>
    <x v="407"/>
    <d v="2025-11-19T22:18:34"/>
    <x v="3"/>
    <x v="3"/>
    <s v="5TAW69"/>
    <s v="TMS"/>
    <s v="ANA ZAMBELLI"/>
    <s v="Tms"/>
    <s v="Tms"/>
    <d v="2025-11-19T17:41:00"/>
    <n v="6382"/>
    <s v="-"/>
    <s v="ON LINE"/>
    <s v="Múltiplos"/>
    <s v="Múltiplos"/>
    <x v="1"/>
    <s v="N"/>
    <x v="59"/>
    <s v="Mattos Filho"/>
    <s v="-"/>
    <s v="Mercure Sao Paulo Paulista"/>
    <s v="-"/>
    <x v="49"/>
    <s v="-"/>
    <x v="354"/>
    <n v="0"/>
    <n v="0"/>
    <n v="0"/>
    <n v="0"/>
    <n v="26.55"/>
    <n v="0"/>
    <s v="Reserva importada do Sistema TMS. OS: 6382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57647"/>
    <n v="24084652"/>
    <s v="ACC01"/>
    <x v="408"/>
    <d v="2025-11-19T22:20:22"/>
    <x v="3"/>
    <x v="3"/>
    <s v="5TVSY9"/>
    <s v="TMS"/>
    <s v="GIOVANNA SILVA"/>
    <s v="Tms"/>
    <s v="Tms"/>
    <d v="2025-11-19T17:41:00"/>
    <n v="6377"/>
    <s v="-"/>
    <s v="ON LINE"/>
    <s v="Múltiplos"/>
    <s v="Múltiplos"/>
    <x v="1"/>
    <s v="N"/>
    <x v="59"/>
    <s v="Mattos Filho"/>
    <s v="-"/>
    <s v="Mercure Sao Paulo Paulista"/>
    <s v="-"/>
    <x v="49"/>
    <s v="-"/>
    <x v="354"/>
    <n v="0"/>
    <n v="0"/>
    <n v="0"/>
    <n v="0"/>
    <n v="26.55"/>
    <n v="0"/>
    <s v="Reserva importada do Sistema TMS. OS: 6377"/>
    <s v="A soma das taxas extras dos registros múltiplos ultrapassa a taxas extras  da accounting"/>
    <x v="5"/>
    <x v="5"/>
    <s v="Análise Benner"/>
    <x v="2"/>
    <s v="Qualidade dos dados"/>
    <s v="KONTIK BUSINESS TRAVEL"/>
    <x v="3"/>
  </r>
  <r>
    <n v="23364634"/>
    <n v="24090678"/>
    <s v="ACC01"/>
    <x v="409"/>
    <d v="2025-11-21T09:42:30"/>
    <x v="3"/>
    <x v="3"/>
    <s v="5UXYAB"/>
    <s v="TMS"/>
    <s v="FRANCISCO PEREIRA"/>
    <s v="Tms"/>
    <s v="Tms"/>
    <d v="2025-11-21T07:15:00"/>
    <n v="4532"/>
    <s v="Barueri / SAO"/>
    <s v="ON LINE"/>
    <s v="Invoice"/>
    <s v="Faturado"/>
    <x v="2"/>
    <s v="N"/>
    <x v="60"/>
    <s v="Epson"/>
    <s v="-"/>
    <s v="Localiza - Br - Sp - Barueri - Alphaville Industrial"/>
    <s v="-"/>
    <x v="32"/>
    <s v="-"/>
    <x v="355"/>
    <n v="0"/>
    <n v="0"/>
    <n v="0"/>
    <n v="0"/>
    <n v="0"/>
    <n v="0"/>
    <s v="Reserva importada do Sistema TMS. OS: 4532"/>
    <s v="Fornecedor não preenchido! (ACC01)"/>
    <x v="5"/>
    <x v="1"/>
    <s v="Campo Fornecedor"/>
    <x v="0"/>
    <s v="Qualidade dos dados"/>
    <s v="KONTIK BUSINESS TRAVEL"/>
    <x v="2"/>
  </r>
  <r>
    <n v="23366683"/>
    <n v="24092716"/>
    <s v="ACC01"/>
    <x v="410"/>
    <d v="2025-11-21T16:42:36"/>
    <x v="3"/>
    <x v="3"/>
    <s v="5UEDUM"/>
    <s v="TMS"/>
    <s v="FABIO SILVA"/>
    <s v="Tms"/>
    <s v="Tms"/>
    <d v="2025-11-21T12:24:00"/>
    <n v="4537"/>
    <s v="São Paulo / SAO"/>
    <s v="ON LINE"/>
    <s v="Invoice"/>
    <s v="Faturado"/>
    <x v="2"/>
    <s v="N"/>
    <x v="60"/>
    <s v="Epson"/>
    <s v="-"/>
    <s v="-"/>
    <s v="-"/>
    <x v="32"/>
    <s v="-"/>
    <x v="356"/>
    <n v="0"/>
    <n v="0"/>
    <n v="0"/>
    <n v="0"/>
    <n v="0"/>
    <n v="0"/>
    <s v="Reserva importada do Sistema TMS. OS: 4537"/>
    <s v="Fornecedor não preenchido! (ACC01)"/>
    <x v="5"/>
    <x v="1"/>
    <s v="Campo Fornecedor"/>
    <x v="0"/>
    <s v="Qualidade dos dados"/>
    <s v="KONTIK BUSINESS TRAVEL"/>
    <x v="2"/>
  </r>
  <r>
    <n v="23340278"/>
    <n v="24068050"/>
    <s v="ACC01"/>
    <x v="411"/>
    <d v="2025-11-17T15:12:05"/>
    <x v="0"/>
    <x v="0"/>
    <s v="5TZEIT"/>
    <s v="TMS"/>
    <s v="ROBERTO SILVA"/>
    <s v="Tms"/>
    <s v="Tms"/>
    <d v="2025-11-17T09:09:00"/>
    <n v="4506"/>
    <s v="São Paulo / SAO"/>
    <s v="ON LINE"/>
    <s v="Invoice"/>
    <s v="Faturado"/>
    <x v="2"/>
    <s v="N"/>
    <x v="60"/>
    <s v="Epson"/>
    <s v="-"/>
    <s v="Localiza - Br - Sp - Guarulhos - Aeroporto"/>
    <s v="-"/>
    <x v="32"/>
    <s v="-"/>
    <x v="357"/>
    <n v="0"/>
    <n v="0"/>
    <n v="0"/>
    <n v="0"/>
    <n v="0"/>
    <n v="0"/>
    <s v="Reserva importada do Sistema TMS. OS: 4506"/>
    <s v="Fornecedor não preenchido! (ACC01)"/>
    <x v="5"/>
    <x v="1"/>
    <s v="Campo Fornecedor"/>
    <x v="0"/>
    <s v="Qualidade dos dados"/>
    <s v="KONTIK BUSINESS TRAVEL"/>
    <x v="2"/>
  </r>
  <r>
    <n v="23354019"/>
    <n v="24081022"/>
    <s v="ACC01"/>
    <x v="412"/>
    <d v="2025-11-19T13:06:32"/>
    <x v="3"/>
    <x v="3"/>
    <s v="UDLGVFT"/>
    <s v="SABRE"/>
    <s v="SILVA/MAURICIO"/>
    <s v="CORA TORLAI CIRINO"/>
    <s v="CORA TORLAI CIRINO"/>
    <d v="2025-11-19T09:48:00"/>
    <s v="UDLGVF"/>
    <s v="-"/>
    <s v="OFF LINE"/>
    <s v="Cartão de crédito"/>
    <s v="Cartão de crédito"/>
    <x v="1"/>
    <s v="N"/>
    <x v="61"/>
    <s v="Baker Mckenzie - Sao Paulo"/>
    <s v="-"/>
    <s v="-"/>
    <s v="-"/>
    <x v="14"/>
    <s v="-"/>
    <x v="358"/>
    <n v="370.57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4021"/>
    <n v="24081023"/>
    <s v="ACC01"/>
    <x v="413"/>
    <d v="2025-11-19T13:06:32"/>
    <x v="3"/>
    <x v="3"/>
    <s v="FFAYCWT"/>
    <s v="SABRE"/>
    <s v="HERSZKOWICZ/EDUARDO JOSE"/>
    <s v="CORA TORLAI CIRINO"/>
    <s v="CORA TORLAI CIRINO"/>
    <d v="2025-11-19T09:50:00"/>
    <s v="FFAYCW"/>
    <s v="-"/>
    <s v="OFF LINE"/>
    <s v="Cartão de crédito"/>
    <s v="Cartão de crédito"/>
    <x v="1"/>
    <s v="N"/>
    <x v="61"/>
    <s v="Baker Mckenzie - Sao Paulo"/>
    <s v="-"/>
    <s v="-"/>
    <s v="-"/>
    <x v="14"/>
    <s v="-"/>
    <x v="358"/>
    <n v="370.57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31590"/>
    <n v="24060552"/>
    <s v="ACC01"/>
    <x v="414"/>
    <d v="2025-11-15T16:16:18"/>
    <x v="2"/>
    <x v="2"/>
    <s v="IFUFYA"/>
    <s v="GOVER"/>
    <s v="Jacqueline Nascimento Silva"/>
    <s v="Felipe Aparecido da Silva Neves"/>
    <s v="Felipe Aparecido da Silva Neves"/>
    <d v="2025-11-15T13:09:00"/>
    <n v="4628644"/>
    <s v="-"/>
    <s v="OFF LINE"/>
    <s v="Cartão de crédito"/>
    <s v="Cartão AMEX"/>
    <x v="0"/>
    <s v="N"/>
    <x v="62"/>
    <s v="Livanova Brasil"/>
    <s v="-"/>
    <s v="Gol Linhas Aereas"/>
    <n v="2149559764"/>
    <x v="11"/>
    <s v="-"/>
    <x v="359"/>
    <n v="60.62"/>
    <n v="0"/>
    <n v="0"/>
    <n v="0"/>
    <n v="0"/>
    <n v="0"/>
    <s v="Reserva importada do sistema Gover. Id: 4628644"/>
    <s v="Canal de venda não preenchido! (ACC01)"/>
    <x v="0"/>
    <x v="9"/>
    <s v="Falta de informação Gerencial"/>
    <x v="0"/>
    <s v="Qualidade dos dados"/>
    <s v="KONTIK BUSINESS TRAVEL"/>
    <x v="3"/>
  </r>
  <r>
    <n v="23270323"/>
    <n v="24002665"/>
    <s v="ACC01"/>
    <x v="415"/>
    <d v="2025-11-17T11:36:27"/>
    <x v="0"/>
    <x v="1"/>
    <s v="MCLTFLT"/>
    <s v="SABRE"/>
    <s v="SALES/MONIQUE FERNANDES MRS"/>
    <s v="Andreia de Alencar Alves"/>
    <s v="Andreia de Alencar Alves"/>
    <d v="2025-11-05T19:47:00"/>
    <s v="MCLTFL"/>
    <s v="-"/>
    <s v="OFF LINE"/>
    <s v="?"/>
    <s v="?"/>
    <x v="1"/>
    <s v="N"/>
    <x v="62"/>
    <s v="Livanova Brasil"/>
    <s v="-"/>
    <s v="Ibis Styles Belem do Para"/>
    <s v="-"/>
    <x v="14"/>
    <s v="-"/>
    <x v="36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4"/>
    <s v="Forma PG. e REC."/>
    <x v="0"/>
    <s v="Qualidade dos dados"/>
    <s v="KONTIK BUSINESS TRAVEL"/>
    <x v="6"/>
  </r>
  <r>
    <n v="23232273"/>
    <n v="23966895"/>
    <s v="ACC01"/>
    <x v="416"/>
    <d v="2025-11-01T16:00:57"/>
    <x v="1"/>
    <x v="6"/>
    <s v="NSPNOPT"/>
    <s v="SABRE"/>
    <s v="VITOR/SHEILA RODRIGUES  MRS"/>
    <s v="Joao Paulo Villar Sales de Araujo"/>
    <s v="Joao Paulo Villar Sales de Araujo"/>
    <d v="2025-10-30T09:09:00"/>
    <s v="NSPNOP"/>
    <s v="-"/>
    <s v="ON LINE"/>
    <s v="?"/>
    <s v="?"/>
    <x v="1"/>
    <s v="N"/>
    <x v="62"/>
    <s v="Livanova Brasil"/>
    <s v="-"/>
    <s v="-"/>
    <s v="-"/>
    <x v="14"/>
    <s v="-"/>
    <x v="36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6"/>
  </r>
  <r>
    <n v="23371909"/>
    <n v="24097224"/>
    <s v="ACC01"/>
    <x v="417"/>
    <d v="2025-11-22T16:05:58"/>
    <x v="4"/>
    <x v="4"/>
    <s v="5U2N61"/>
    <s v="TMS"/>
    <s v="LUCIANO ROCHA"/>
    <s v="Tms"/>
    <s v="Tms"/>
    <d v="2025-11-22T10:54:00"/>
    <n v="32924"/>
    <s v="Araraquara / AQA"/>
    <s v="ON LINE"/>
    <s v="Invoice"/>
    <s v="Faturado"/>
    <x v="2"/>
    <s v="N"/>
    <x v="63"/>
    <s v="Compass Uol Araraquara"/>
    <s v="-"/>
    <s v="-"/>
    <s v="-"/>
    <x v="50"/>
    <s v="-"/>
    <x v="362"/>
    <n v="0"/>
    <n v="0"/>
    <n v="0"/>
    <n v="0"/>
    <n v="0"/>
    <n v="0"/>
    <s v="Reserva importada do Sistema TMS. OS: 32924"/>
    <s v="Fornecedor não preenchido! (ACC01)"/>
    <x v="5"/>
    <x v="1"/>
    <s v="Campo Fornecedor"/>
    <x v="0"/>
    <s v="Qualidade dos dados"/>
    <s v="KONTIK BUSINESS TRAVEL"/>
    <x v="2"/>
  </r>
  <r>
    <n v="23369137"/>
    <n v="24095087"/>
    <s v="ACC01"/>
    <x v="418"/>
    <d v="2025-11-21T23:51:46"/>
    <x v="3"/>
    <x v="3"/>
    <s v="5U0IGA"/>
    <s v="TMS"/>
    <s v="CAMILA ALVES"/>
    <s v="Tms"/>
    <s v="Tms"/>
    <d v="2025-11-21T18:03:00"/>
    <n v="32943"/>
    <s v="Rio de Janeiro / RIO"/>
    <s v="ON LINE"/>
    <s v="Invoice"/>
    <s v="Faturado"/>
    <x v="2"/>
    <s v="N"/>
    <x v="63"/>
    <s v="Pagseguro Internet Instituicao de Pagamento S.a."/>
    <s v="-"/>
    <s v="-"/>
    <s v="-"/>
    <x v="50"/>
    <s v="-"/>
    <x v="363"/>
    <n v="0"/>
    <n v="0"/>
    <n v="0"/>
    <n v="0"/>
    <n v="0"/>
    <n v="0"/>
    <s v="Reserva importada do Sistema TMS. OS: 32943"/>
    <s v="Fornecedor não preenchido! (ACC01)"/>
    <x v="5"/>
    <x v="1"/>
    <s v="Campo Fornecedor"/>
    <x v="0"/>
    <s v="Qualidade dos dados"/>
    <s v="KONTIK BUSINESS TRAVEL"/>
    <x v="2"/>
  </r>
  <r>
    <n v="23367221"/>
    <n v="24093239"/>
    <s v="ACC01"/>
    <x v="419"/>
    <d v="2025-11-21T18:14:27"/>
    <x v="3"/>
    <x v="3"/>
    <s v="5UVXP1"/>
    <s v="TMS"/>
    <s v="DIEGO SOUZA"/>
    <s v="Tms"/>
    <s v="Tms"/>
    <d v="2025-11-21T10:54:00"/>
    <n v="32896"/>
    <s v="Rio de Janeiro / RIO"/>
    <s v="ON LINE"/>
    <s v="Invoice"/>
    <s v="Faturado"/>
    <x v="2"/>
    <s v="N"/>
    <x v="63"/>
    <s v="Pagseguro Internet Instituicao de Pagamento S.a."/>
    <s v="-"/>
    <s v="-"/>
    <s v="-"/>
    <x v="50"/>
    <s v="-"/>
    <x v="364"/>
    <n v="0"/>
    <n v="0"/>
    <n v="0"/>
    <n v="0"/>
    <n v="0"/>
    <n v="0"/>
    <s v="Reserva importada do Sistema TMS. OS: 32896"/>
    <s v="Fornecedor não preenchido! (ACC01)"/>
    <x v="5"/>
    <x v="1"/>
    <s v="Campo Fornecedor"/>
    <x v="0"/>
    <s v="Qualidade dos dados"/>
    <s v="KONTIK BUSINESS TRAVEL"/>
    <x v="2"/>
  </r>
  <r>
    <n v="23367222"/>
    <n v="24093240"/>
    <s v="ACC01"/>
    <x v="420"/>
    <d v="2025-11-21T18:15:35"/>
    <x v="3"/>
    <x v="3"/>
    <s v="5UTSPA"/>
    <s v="TMS"/>
    <s v="POLYANA VILELA"/>
    <s v="Tms"/>
    <s v="Tms"/>
    <d v="2025-11-21T10:54:00"/>
    <n v="32894"/>
    <s v="Rio de Janeiro / RIO"/>
    <s v="ON LINE"/>
    <s v="Invoice"/>
    <s v="Faturado"/>
    <x v="2"/>
    <s v="N"/>
    <x v="63"/>
    <s v="Pagseguro Internet Instituicao de Pagamento S.a."/>
    <s v="-"/>
    <s v="-"/>
    <s v="-"/>
    <x v="50"/>
    <s v="-"/>
    <x v="365"/>
    <n v="0"/>
    <n v="0"/>
    <n v="0"/>
    <n v="0"/>
    <n v="0"/>
    <n v="0"/>
    <s v="Reserva importada do Sistema TMS. OS: 32894"/>
    <s v="Fornecedor não preenchido! (ACC01)"/>
    <x v="5"/>
    <x v="1"/>
    <s v="Campo Fornecedor"/>
    <x v="0"/>
    <s v="Qualidade dos dados"/>
    <s v="KONTIK BUSINESS TRAVEL"/>
    <x v="2"/>
  </r>
  <r>
    <n v="23343595"/>
    <n v="24071361"/>
    <s v="ACC01"/>
    <x v="421"/>
    <d v="2025-11-17T22:44:07"/>
    <x v="0"/>
    <x v="0"/>
    <s v="5TBP9Y"/>
    <s v="TMS"/>
    <s v="WELINGTON DOLENNEI"/>
    <s v="Tms"/>
    <s v="Tms"/>
    <d v="2025-11-17T17:21:00"/>
    <n v="32762"/>
    <s v="Porto Uniao / XAP"/>
    <s v="ON LINE"/>
    <s v="Invoice"/>
    <s v="Faturado"/>
    <x v="2"/>
    <s v="N"/>
    <x v="63"/>
    <s v="Compass Everymind"/>
    <s v="-"/>
    <s v="Localiza - Br - Sc - Porto Uniao - Centro"/>
    <s v="-"/>
    <x v="50"/>
    <s v="-"/>
    <x v="366"/>
    <n v="0"/>
    <n v="0"/>
    <n v="0"/>
    <n v="0"/>
    <n v="0"/>
    <n v="0"/>
    <s v="Reserva importada do Sistema TMS. OS: 32762"/>
    <s v="Fornecedor não preenchido! (ACC01)"/>
    <x v="5"/>
    <x v="1"/>
    <s v="Campo Fornecedor"/>
    <x v="0"/>
    <s v="Qualidade dos dados"/>
    <s v="KONTIK BUSINESS TRAVEL"/>
    <x v="2"/>
  </r>
  <r>
    <n v="23343604"/>
    <n v="24071370"/>
    <s v="ACC01"/>
    <x v="422"/>
    <d v="2025-11-17T22:44:36"/>
    <x v="0"/>
    <x v="0"/>
    <s v="5TEB9H"/>
    <s v="TMS"/>
    <s v="THIAGO SILVA"/>
    <s v="Tms"/>
    <s v="Tms"/>
    <d v="2025-11-17T16:18:00"/>
    <n v="32750"/>
    <s v="Barueri / SAO"/>
    <s v="ON LINE"/>
    <s v="Invoice"/>
    <s v="Faturado"/>
    <x v="2"/>
    <s v="N"/>
    <x v="63"/>
    <s v="Pagseguro Internet Instituicao de Pagamento S.a."/>
    <s v="-"/>
    <s v="Localiza - Br - Sp - Barueri - Alphaville Industrial"/>
    <s v="-"/>
    <x v="50"/>
    <s v="-"/>
    <x v="367"/>
    <n v="0"/>
    <n v="0"/>
    <n v="0"/>
    <n v="0"/>
    <n v="0"/>
    <n v="0"/>
    <s v="Reserva importada do Sistema TMS. OS: 32750"/>
    <s v="Fornecedor não preenchido! (ACC01)"/>
    <x v="5"/>
    <x v="1"/>
    <s v="Campo Fornecedor"/>
    <x v="0"/>
    <s v="Qualidade dos dados"/>
    <s v="KONTIK BUSINESS TRAVEL"/>
    <x v="2"/>
  </r>
  <r>
    <n v="23348465"/>
    <n v="24075862"/>
    <s v="ACC01"/>
    <x v="423"/>
    <d v="2025-11-18T17:01:20"/>
    <x v="0"/>
    <x v="0"/>
    <s v="5T948J"/>
    <s v="TMS"/>
    <s v="WELLINGTON VIZONI"/>
    <s v="Tms"/>
    <s v="Tms"/>
    <d v="2025-11-18T13:39:00"/>
    <n v="32793"/>
    <s v="Florianópolis / FLN"/>
    <s v="ON LINE"/>
    <s v="Invoice"/>
    <s v="Faturado"/>
    <x v="2"/>
    <s v="N"/>
    <x v="63"/>
    <s v="Pagseguro Internet Instituicao de Pagamento S.a."/>
    <s v="-"/>
    <s v="Movida - Br - Sc - Florianopolis - Carianos - Box Patio"/>
    <s v="-"/>
    <x v="50"/>
    <s v="-"/>
    <x v="368"/>
    <n v="0"/>
    <n v="0"/>
    <n v="0"/>
    <n v="0"/>
    <n v="0"/>
    <n v="0"/>
    <s v="Reserva importada do Sistema TMS. OS: 32793"/>
    <s v="Fornecedor não preenchido! (ACC01)"/>
    <x v="5"/>
    <x v="1"/>
    <s v="Campo Fornecedor"/>
    <x v="0"/>
    <s v="Qualidade dos dados"/>
    <s v="KONTIK BUSINESS TRAVEL"/>
    <x v="2"/>
  </r>
  <r>
    <n v="23355351"/>
    <n v="24082320"/>
    <s v="ACC01"/>
    <x v="424"/>
    <d v="2025-11-19T16:38:10"/>
    <x v="3"/>
    <x v="3"/>
    <s v="5TF91L"/>
    <s v="TMS"/>
    <s v="THIAGO SILVA"/>
    <s v="Tms"/>
    <s v="Tms"/>
    <d v="2025-11-19T09:58:00"/>
    <n v="32812"/>
    <s v="Itu / QTU"/>
    <s v="ON LINE"/>
    <s v="Invoice"/>
    <s v="Faturado"/>
    <x v="2"/>
    <s v="N"/>
    <x v="63"/>
    <s v="Pagseguro Internet Instituicao de Pagamento S.a."/>
    <s v="-"/>
    <s v="Localiza - Br - Sp - Itu - Vila Nova"/>
    <s v="-"/>
    <x v="50"/>
    <s v="-"/>
    <x v="369"/>
    <n v="0"/>
    <n v="0"/>
    <n v="0"/>
    <n v="0"/>
    <n v="0"/>
    <n v="0"/>
    <s v="Reserva importada do Sistema TMS. OS: 32812"/>
    <s v="Fornecedor não preenchido! (ACC01)"/>
    <x v="5"/>
    <x v="1"/>
    <s v="Campo Fornecedor"/>
    <x v="0"/>
    <s v="Qualidade dos dados"/>
    <s v="KONTIK BUSINESS TRAVEL"/>
    <x v="2"/>
  </r>
  <r>
    <n v="23340709"/>
    <n v="24068463"/>
    <s v="ACC01"/>
    <x v="425"/>
    <d v="2025-11-17T16:34:33"/>
    <x v="0"/>
    <x v="0"/>
    <s v="5T57BY"/>
    <s v="TMS"/>
    <s v="MAGNO SANTOS"/>
    <s v="Tms"/>
    <s v="Tms"/>
    <d v="2025-11-17T09:16:00"/>
    <n v="32718"/>
    <s v="Florianópolis / FLN"/>
    <s v="ON LINE"/>
    <s v="Invoice"/>
    <s v="Faturado"/>
    <x v="2"/>
    <s v="N"/>
    <x v="63"/>
    <s v="Pagseguro Internet Instituicao de Pagamento S.a."/>
    <s v="-"/>
    <s v="Movida - Br - Sc - Florianopolis - Carianos - Box Patio"/>
    <s v="-"/>
    <x v="50"/>
    <s v="-"/>
    <x v="370"/>
    <n v="0"/>
    <n v="0"/>
    <n v="0"/>
    <n v="0"/>
    <n v="0"/>
    <n v="0"/>
    <s v="Reserva importada do Sistema TMS. OS: 32718"/>
    <s v="Fornecedor não preenchido! (ACC01)"/>
    <x v="5"/>
    <x v="1"/>
    <s v="Campo Fornecedor"/>
    <x v="0"/>
    <s v="Qualidade dos dados"/>
    <s v="KONTIK BUSINESS TRAVEL"/>
    <x v="2"/>
  </r>
  <r>
    <n v="23241881"/>
    <n v="23975296"/>
    <s v="ACC01"/>
    <x v="426"/>
    <d v="2025-11-02T16:57:04"/>
    <x v="1"/>
    <x v="1"/>
    <n v="20669134"/>
    <s v="GOVER"/>
    <s v="GABRIEL RODRIGO ARAUJO MONTEIRO"/>
    <s v="Gover"/>
    <s v="Gover"/>
    <d v="2025-11-02T16:47:00"/>
    <n v="4622144"/>
    <s v="-"/>
    <s v="ON LINE"/>
    <s v="Cartão de crédito"/>
    <s v="Cartão de crédito"/>
    <x v="1"/>
    <s v="N"/>
    <x v="64"/>
    <s v="Lojas Marisa"/>
    <s v="-"/>
    <s v="-"/>
    <s v="-"/>
    <x v="3"/>
    <s v="-"/>
    <x v="371"/>
    <n v="0"/>
    <n v="0"/>
    <n v="0"/>
    <n v="0"/>
    <n v="0"/>
    <n v="0"/>
    <s v="Reserva importada do sistema Gover. Id: 4622144"/>
    <s v="Fornecedor não preenchido! (ACC01)"/>
    <x v="0"/>
    <x v="1"/>
    <s v="Campo Fornecedor"/>
    <x v="0"/>
    <s v="Sistêmico"/>
    <s v="GRUPO KONTIK"/>
    <x v="1"/>
  </r>
  <r>
    <n v="23326030"/>
    <n v="24055576"/>
    <s v="ACC01"/>
    <x v="427"/>
    <d v="2025-11-14T16:48:35"/>
    <x v="2"/>
    <x v="2"/>
    <n v="6523"/>
    <s v="GOVER"/>
    <s v="ROSELANE MARIA DE SOUZA LIMA"/>
    <s v="ALEXANDRE DA CONCEIÇÃO ALVES"/>
    <s v="ALEXANDRE DA CONCEIÇÃO ALVES"/>
    <d v="2025-11-14T17:00:00"/>
    <n v="4628330"/>
    <s v="-"/>
    <s v="OFF LINE"/>
    <s v="Cartão de crédito"/>
    <s v="Cartão de crédito"/>
    <x v="1"/>
    <s v="N"/>
    <x v="64"/>
    <s v="Lojas Marisa"/>
    <s v="-"/>
    <s v="-"/>
    <s v="-"/>
    <x v="3"/>
    <s v="-"/>
    <x v="372"/>
    <n v="0"/>
    <n v="0"/>
    <n v="0"/>
    <n v="0"/>
    <n v="0"/>
    <n v="0"/>
    <s v="Reserva importada do sistema Gover. Id: 4628330"/>
    <s v="Fornecedor não preenchido! (ACC01)"/>
    <x v="0"/>
    <x v="1"/>
    <s v="Campo Fornecedor"/>
    <x v="0"/>
    <s v="Sistêmico"/>
    <s v="GRUPO KONTIK"/>
    <x v="1"/>
  </r>
  <r>
    <n v="23157684"/>
    <n v="23901740"/>
    <s v="ACC01"/>
    <x v="428"/>
    <d v="2025-10-21T15:36:26"/>
    <x v="6"/>
    <x v="5"/>
    <n v="22234"/>
    <s v="GOVER"/>
    <s v="DEBORA VIANA DA SILVA"/>
    <s v="Marcos de Oliveira Miklos"/>
    <s v="Marcos de Oliveira Miklos"/>
    <d v="2025-10-21T14:37:00"/>
    <n v="4613090"/>
    <s v="-"/>
    <s v="OFF LINE"/>
    <s v="Cartão de crédito"/>
    <s v="Cartão de crédito"/>
    <x v="1"/>
    <s v="N"/>
    <x v="64"/>
    <s v="Lojas Marisa"/>
    <s v="-"/>
    <s v="-"/>
    <s v="-"/>
    <x v="3"/>
    <s v="-"/>
    <x v="373"/>
    <n v="0"/>
    <n v="0"/>
    <n v="0"/>
    <n v="0"/>
    <n v="0"/>
    <n v="0"/>
    <s v="Reserva importada do sistema Gover. Id: 4613090"/>
    <s v="Fornecedor não preenchido! (ACC01)"/>
    <x v="0"/>
    <x v="1"/>
    <s v="Campo Fornecedor"/>
    <x v="0"/>
    <s v="Sistêmico"/>
    <s v="GRUPO KONTIK"/>
    <x v="1"/>
  </r>
  <r>
    <n v="23156916"/>
    <n v="23901088"/>
    <s v="ACC01"/>
    <x v="429"/>
    <d v="2025-10-21T15:10:00"/>
    <x v="6"/>
    <x v="5"/>
    <n v="20504034"/>
    <s v="GOVER"/>
    <s v="ANDRE LUIZ CERQUEIRA COSTA"/>
    <s v="RAIANY DA PAZ VIDAL CORREIA DA SILVA"/>
    <s v="RAIANY DA PAZ VIDAL CORREIA DA SILVA"/>
    <d v="2025-10-21T00:00:00"/>
    <n v="4610503"/>
    <s v="-"/>
    <s v="OFF LINE"/>
    <s v="Cartão de crédito"/>
    <s v="Cartão de crédito"/>
    <x v="1"/>
    <s v="N"/>
    <x v="64"/>
    <s v="Lojas Marisa"/>
    <s v="-"/>
    <s v="-"/>
    <s v="-"/>
    <x v="3"/>
    <s v="-"/>
    <x v="374"/>
    <n v="365.15"/>
    <n v="0"/>
    <n v="0"/>
    <n v="0"/>
    <n v="0"/>
    <n v="0"/>
    <s v="Reserva importada do sistema Gover. Id: 4610503"/>
    <s v="Fornecedor não preenchido! (ACC01)"/>
    <x v="0"/>
    <x v="1"/>
    <s v="Campo Fornecedor"/>
    <x v="0"/>
    <s v="Sistêmico"/>
    <s v="GRUPO KONTIK"/>
    <x v="1"/>
  </r>
  <r>
    <n v="23303823"/>
    <n v="24034476"/>
    <s v="ACC01"/>
    <x v="430"/>
    <d v="2025-11-12T03:43:00"/>
    <x v="2"/>
    <x v="2"/>
    <s v="h4625674"/>
    <s v="GOVER"/>
    <s v="Messias Donizete Garcia"/>
    <s v="Cristiane Santos Pio Memoria"/>
    <s v="Cristiane Santos Pio Memoria"/>
    <d v="2025-11-11T19:00:00"/>
    <n v="4625674"/>
    <s v="-"/>
    <s v="OFF LINE"/>
    <s v="Cartão de crédito"/>
    <s v="Cartão de crédito"/>
    <x v="1"/>
    <s v="N"/>
    <x v="65"/>
    <s v="Souza Cruz"/>
    <s v="-"/>
    <s v="Hotel Cosini"/>
    <s v="-"/>
    <x v="51"/>
    <s v="-"/>
    <x v="375"/>
    <n v="0"/>
    <n v="0"/>
    <n v="0"/>
    <n v="0"/>
    <n v="0"/>
    <n v="0"/>
    <s v="Reserva importada do sistema Gover. Id: 4625674"/>
    <s v="Fornecedor não preenchido! (ACC02)"/>
    <x v="0"/>
    <x v="1"/>
    <s v="Campo Fornecedor"/>
    <x v="0"/>
    <s v="Sistêmico"/>
    <s v="GRUPO KONTIK"/>
    <x v="1"/>
  </r>
  <r>
    <n v="23303823"/>
    <n v="24034477"/>
    <s v="ACC02"/>
    <x v="430"/>
    <d v="2025-11-12T03:43:00"/>
    <x v="2"/>
    <x v="2"/>
    <s v="h4625674"/>
    <s v="GOVER"/>
    <s v="Dionathan Elves De Paula"/>
    <s v="Cristiane Santos Pio Memoria"/>
    <s v="Cristiane Santos Pio Memoria"/>
    <d v="2025-11-11T19:00:00"/>
    <n v="4625674"/>
    <s v="-"/>
    <s v="OFF LINE"/>
    <s v="Cartão de crédito"/>
    <s v="Cartão de crédito"/>
    <x v="1"/>
    <s v="N"/>
    <x v="65"/>
    <s v="Souza Cruz"/>
    <s v="-"/>
    <s v="-"/>
    <s v="-"/>
    <x v="51"/>
    <s v="-"/>
    <x v="376"/>
    <n v="0"/>
    <n v="0"/>
    <n v="0"/>
    <n v="0"/>
    <n v="0"/>
    <n v="0"/>
    <s v="Reserva importada do sistema Gover. Id: 4625674"/>
    <s v="Fornecedor não preenchido! (ACC02)"/>
    <x v="0"/>
    <x v="1"/>
    <s v="Campo Fornecedor"/>
    <x v="0"/>
    <s v="Sistêmico"/>
    <s v="GRUPO KONTIK"/>
    <x v="1"/>
  </r>
  <r>
    <n v="23340519"/>
    <n v="24068276"/>
    <s v="ACC01"/>
    <x v="431"/>
    <d v="2025-11-18T03:41:14"/>
    <x v="0"/>
    <x v="0"/>
    <s v="h4628328"/>
    <s v="GOVER"/>
    <s v="Bruno Chaves Cajueiro"/>
    <s v="Cristiane Santos Pio Memoria"/>
    <s v="Cristiane Santos Pio Memoria"/>
    <d v="2025-11-17T19:00:00"/>
    <n v="4628328"/>
    <s v="-"/>
    <s v="OFF LINE"/>
    <s v="Cartão de crédito"/>
    <s v="Cartão de crédito"/>
    <x v="1"/>
    <s v="N"/>
    <x v="65"/>
    <s v="Souza Cruz"/>
    <s v="-"/>
    <s v="-"/>
    <s v="-"/>
    <x v="51"/>
    <s v="-"/>
    <x v="377"/>
    <n v="0"/>
    <n v="0"/>
    <n v="0"/>
    <n v="0"/>
    <n v="0"/>
    <n v="0"/>
    <s v="Reserva importada do sistema Gover. Id: 4628328"/>
    <s v="Fornecedor não preenchido! (ACC01)"/>
    <x v="0"/>
    <x v="1"/>
    <s v="Campo Fornecedor"/>
    <x v="0"/>
    <s v="Sistêmico"/>
    <s v="GRUPO KONTIK"/>
    <x v="1"/>
  </r>
  <r>
    <n v="23341340"/>
    <n v="24069088"/>
    <s v="ACC01"/>
    <x v="432"/>
    <d v="2025-11-18T03:45:21"/>
    <x v="0"/>
    <x v="0"/>
    <s v="h4627760"/>
    <s v="GOVER"/>
    <s v="Rodrigo Teixeira De Oliveira"/>
    <s v="Cristiane Santos Pio Memoria"/>
    <s v="Cristiane Santos Pio Memoria"/>
    <d v="2025-11-17T19:00:00"/>
    <n v="4627760"/>
    <s v="-"/>
    <s v="OFF LINE"/>
    <s v="Cartão de crédito"/>
    <s v="Cartão de crédito"/>
    <x v="1"/>
    <s v="N"/>
    <x v="65"/>
    <s v="Souza Cruz"/>
    <s v="-"/>
    <s v="-"/>
    <s v="-"/>
    <x v="51"/>
    <s v="-"/>
    <x v="377"/>
    <n v="0"/>
    <n v="0"/>
    <n v="0"/>
    <n v="0"/>
    <n v="0"/>
    <n v="0"/>
    <s v="Reserva importada do sistema Gover. Id: 4627760"/>
    <s v="Fornecedor não preenchido! (ACC01)"/>
    <x v="0"/>
    <x v="1"/>
    <s v="Campo Fornecedor"/>
    <x v="0"/>
    <s v="Sistêmico"/>
    <s v="GRUPO KONTIK"/>
    <x v="1"/>
  </r>
  <r>
    <n v="23356295"/>
    <n v="24083281"/>
    <s v="ACC01"/>
    <x v="433"/>
    <d v="2025-11-20T03:56:31"/>
    <x v="3"/>
    <x v="3"/>
    <s v="H4630380-1"/>
    <s v="GOVER"/>
    <s v="N/I"/>
    <s v="Ingrid Vianna Vargas de Oliveira"/>
    <s v="Ingrid Vianna Vargas de Oliveira"/>
    <d v="2025-11-19T17:44:00"/>
    <n v="4630380"/>
    <s v="-"/>
    <s v="OFF LINE"/>
    <s v="Cartão de crédito"/>
    <s v="Cartão de crédito"/>
    <x v="1"/>
    <s v="N"/>
    <x v="65"/>
    <s v="Souza Cruz"/>
    <s v="-"/>
    <s v="Kanoa Tropical Hotel"/>
    <s v="-"/>
    <x v="51"/>
    <s v="-"/>
    <x v="378"/>
    <n v="0"/>
    <n v="0"/>
    <n v="0"/>
    <n v="0"/>
    <n v="0"/>
    <n v="0"/>
    <s v="Reserva importada do sistema Gover. Id: 4630380"/>
    <s v="Centro de custo não preenchido! (ACC01)"/>
    <x v="0"/>
    <x v="8"/>
    <s v="Falta de informação Gerencial"/>
    <x v="0"/>
    <s v="Qualidade dos dados"/>
    <s v="KONTIK BUSINESS TRAVEL"/>
    <x v="6"/>
  </r>
  <r>
    <n v="23355824"/>
    <n v="24082789"/>
    <s v="ACC01"/>
    <x v="434"/>
    <d v="2025-11-20T03:52:46"/>
    <x v="3"/>
    <x v="3"/>
    <s v="EDKFWS"/>
    <s v="GOVER"/>
    <s v="Gabriella de Albuquerque Mello Alves"/>
    <s v="Gover"/>
    <s v="Gover"/>
    <d v="2025-11-18T09:18:00"/>
    <n v="4629377"/>
    <s v="-"/>
    <s v="OFF LINE"/>
    <s v="Invoice"/>
    <s v="Faturado"/>
    <x v="1"/>
    <s v="N"/>
    <x v="65"/>
    <s v="Souza Cruz"/>
    <s v="-"/>
    <s v="-"/>
    <s v="-"/>
    <x v="51"/>
    <s v="-"/>
    <x v="379"/>
    <n v="117.6"/>
    <n v="0"/>
    <n v="0"/>
    <n v="0"/>
    <n v="0"/>
    <n v="0"/>
    <s v="Reserva importada do sistema Gover. Id: 4629377"/>
    <s v="Fornecedor não preenchido! (ACC01)"/>
    <x v="0"/>
    <x v="1"/>
    <s v="Campo Fornecedor"/>
    <x v="0"/>
    <s v="Sistêmico"/>
    <s v="GRUPO KONTIK"/>
    <x v="1"/>
  </r>
  <r>
    <n v="23368233"/>
    <n v="24094212"/>
    <s v="ACC01"/>
    <x v="435"/>
    <d v="2025-11-22T03:24:52"/>
    <x v="4"/>
    <x v="3"/>
    <s v="WZBGTM"/>
    <s v="GOVER"/>
    <s v="Rafael Candido Pinto"/>
    <s v="Gover"/>
    <s v="Gover"/>
    <d v="2025-11-21T20:19:00"/>
    <n v="4630796"/>
    <s v="-"/>
    <s v="ON LINE"/>
    <s v="Pagamento direto"/>
    <s v="Pagamento direto"/>
    <x v="1"/>
    <s v="N"/>
    <x v="65"/>
    <s v="Souza Cruz"/>
    <s v="-"/>
    <s v="-"/>
    <s v="-"/>
    <x v="51"/>
    <s v="-"/>
    <x v="380"/>
    <n v="87.69"/>
    <n v="0"/>
    <n v="0"/>
    <n v="0"/>
    <n v="0"/>
    <n v="0"/>
    <s v="Reserva importada do sistema Gover. Id: 4630796"/>
    <s v="Fornecedor não preenchido! (ACC01)"/>
    <x v="0"/>
    <x v="1"/>
    <s v="Campo Fornecedor"/>
    <x v="0"/>
    <s v="Sistêmico"/>
    <s v="GRUPO KONTIK"/>
    <x v="1"/>
  </r>
  <r>
    <n v="23339835"/>
    <n v="24067629"/>
    <s v="ACC01"/>
    <x v="436"/>
    <d v="2025-11-17T14:07:57"/>
    <x v="0"/>
    <x v="0"/>
    <s v="5T12HT"/>
    <s v="LEMONTECH"/>
    <s v="GEWEHR/FRANCIELE"/>
    <s v="Hiran Ricardo da Silva Ramos"/>
    <s v="Hiran Ricardo da Silva Ramos"/>
    <d v="2025-11-17T13:15:00"/>
    <n v="18046676"/>
    <s v="-"/>
    <s v="OFF LINE"/>
    <s v="Invoice"/>
    <s v="Faturado"/>
    <x v="3"/>
    <s v="N"/>
    <x v="66"/>
    <s v="Lojas Renner"/>
    <s v="-"/>
    <s v="-"/>
    <s v="-"/>
    <x v="52"/>
    <s v="-"/>
    <x v="381"/>
    <n v="0"/>
    <n v="0"/>
    <n v="0"/>
    <n v="0"/>
    <n v="0"/>
    <n v="0"/>
    <s v="Reserva importada do Sistema Lemontech. Solicitação: 18046676"/>
    <s v="Fornecedor não preenchido! (ACC01)"/>
    <x v="6"/>
    <x v="1"/>
    <s v="Campo Fornecedor"/>
    <x v="0"/>
    <s v="Qualidade dos dados"/>
    <s v="KONTIK BUSINESS TRAVEL"/>
    <x v="2"/>
  </r>
  <r>
    <n v="23339836"/>
    <n v="24067630"/>
    <s v="ACC01"/>
    <x v="437"/>
    <d v="2025-11-17T14:07:58"/>
    <x v="0"/>
    <x v="0"/>
    <s v="5TXSYT"/>
    <s v="LEMONTECH"/>
    <s v="ROITHMANN/GABRIELA"/>
    <s v="Hiran Ricardo da Silva Ramos"/>
    <s v="Hiran Ricardo da Silva Ramos"/>
    <d v="2025-11-17T13:19:00"/>
    <n v="18046717"/>
    <s v="-"/>
    <s v="OFF LINE"/>
    <s v="Invoice"/>
    <s v="Faturado"/>
    <x v="3"/>
    <s v="N"/>
    <x v="66"/>
    <s v="Lojas Renner"/>
    <s v="-"/>
    <s v="-"/>
    <s v="-"/>
    <x v="52"/>
    <s v="-"/>
    <x v="382"/>
    <n v="0"/>
    <n v="0"/>
    <n v="0"/>
    <n v="0"/>
    <n v="0"/>
    <n v="0"/>
    <s v="Reserva importada do Sistema Lemontech. Solicitação: 18046717"/>
    <s v="Fornecedor não preenchido! (ACC01)"/>
    <x v="6"/>
    <x v="1"/>
    <s v="Campo Fornecedor"/>
    <x v="0"/>
    <s v="Qualidade dos dados"/>
    <s v="KONTIK BUSINESS TRAVEL"/>
    <x v="2"/>
  </r>
  <r>
    <n v="23339839"/>
    <n v="24067633"/>
    <s v="ACC01"/>
    <x v="438"/>
    <d v="2025-11-17T14:07:58"/>
    <x v="0"/>
    <x v="0"/>
    <s v="5TEWH5"/>
    <s v="LEMONTECH"/>
    <s v="DOS SANTOS/JACQUELINE"/>
    <s v="Hiran Ricardo da Silva Ramos"/>
    <s v="Hiran Ricardo da Silva Ramos"/>
    <d v="2025-11-17T13:48:00"/>
    <n v="18047086"/>
    <s v="-"/>
    <s v="OFF LINE"/>
    <s v="Invoice"/>
    <s v="Faturado"/>
    <x v="3"/>
    <s v="N"/>
    <x v="66"/>
    <s v="Lojas Renner"/>
    <s v="-"/>
    <s v="-"/>
    <s v="-"/>
    <x v="52"/>
    <s v="-"/>
    <x v="381"/>
    <n v="0"/>
    <n v="0"/>
    <n v="0"/>
    <n v="0"/>
    <n v="0"/>
    <n v="0"/>
    <s v="Reserva importada do Sistema Lemontech. Solicitação: 18047086"/>
    <s v="Fornecedor não preenchido! (ACC01)"/>
    <x v="6"/>
    <x v="1"/>
    <s v="Campo Fornecedor"/>
    <x v="0"/>
    <s v="Qualidade dos dados"/>
    <s v="KONTIK BUSINESS TRAVEL"/>
    <x v="2"/>
  </r>
  <r>
    <n v="23323902"/>
    <n v="24053366"/>
    <s v="ACC01"/>
    <x v="439"/>
    <d v="2025-11-14T12:06:28"/>
    <x v="2"/>
    <x v="2"/>
    <s v="5TRTKD"/>
    <s v="LEMONTECH"/>
    <s v="OHKI KAWAKAMI/GIOVANA"/>
    <s v="Hiran Ricardo da Silva Ramos"/>
    <s v="Hiran Ricardo da Silva Ramos"/>
    <d v="2025-11-11T10:53:00"/>
    <n v="18002121"/>
    <s v="-"/>
    <s v="OFF LINE"/>
    <s v="Cartão de crédito"/>
    <s v="Cartão de crédito"/>
    <x v="3"/>
    <s v="N"/>
    <x v="66"/>
    <s v="Lojas Renner"/>
    <s v="-"/>
    <s v="-"/>
    <s v="-"/>
    <x v="52"/>
    <s v="-"/>
    <x v="383"/>
    <n v="0"/>
    <n v="0"/>
    <n v="0"/>
    <n v="0"/>
    <n v="0"/>
    <n v="0"/>
    <s v="Reserva importada do Sistema Lemontech. Solicitação: 18002121"/>
    <s v="Fornecedor não preenchido! (ACC01)"/>
    <x v="6"/>
    <x v="1"/>
    <s v="Campo Fornecedor"/>
    <x v="0"/>
    <s v="Qualidade dos dados"/>
    <s v="KONTIK BUSINESS TRAVEL"/>
    <x v="2"/>
  </r>
  <r>
    <n v="23365159"/>
    <n v="24091185"/>
    <s v="ACC01"/>
    <x v="440"/>
    <d v="2025-11-21T11:07:01"/>
    <x v="3"/>
    <x v="3"/>
    <s v="5U43CM"/>
    <s v="LEMONTECH"/>
    <s v="DE ABREU/ELIZABETH"/>
    <s v="Vitoria Silva Lopes"/>
    <s v="Vitoria Silva Lopes"/>
    <d v="2025-11-19T10:29:00"/>
    <n v="18064189"/>
    <s v="-"/>
    <s v="OFF LINE"/>
    <s v="Cartão de crédito"/>
    <s v="Cartão de crédito"/>
    <x v="3"/>
    <s v="N"/>
    <x v="66"/>
    <s v="Lojas Renner"/>
    <s v="-"/>
    <s v="-"/>
    <s v="-"/>
    <x v="52"/>
    <s v="-"/>
    <x v="384"/>
    <n v="0"/>
    <n v="0"/>
    <n v="0"/>
    <n v="0"/>
    <n v="0"/>
    <n v="0"/>
    <s v="Reserva importada do Sistema Lemontech. Solicitação: 18064189"/>
    <s v="Fornecedor não preenchido! (ACC01)"/>
    <x v="6"/>
    <x v="1"/>
    <s v="Campo Fornecedor"/>
    <x v="0"/>
    <s v="Qualidade dos dados"/>
    <s v="KONTIK BUSINESS TRAVEL"/>
    <x v="2"/>
  </r>
  <r>
    <n v="23367700"/>
    <n v="24093694"/>
    <s v="ACC01"/>
    <x v="441"/>
    <d v="2025-11-23T07:30:55"/>
    <x v="4"/>
    <x v="3"/>
    <s v="5ULPZA"/>
    <s v="LEMONTECH"/>
    <s v="FABIO KAZUO NAKAMURA"/>
    <s v="Vitoria Silva Lopes"/>
    <s v="Vitoria Silva Lopes"/>
    <d v="2025-11-19T17:31:00"/>
    <n v="18062477"/>
    <s v="-"/>
    <s v="OFF LINE"/>
    <s v="Invoice"/>
    <s v="Faturado"/>
    <x v="3"/>
    <s v="N"/>
    <x v="66"/>
    <s v="Lojas Renner"/>
    <s v="-"/>
    <s v="-"/>
    <s v="-"/>
    <x v="52"/>
    <s v="-"/>
    <x v="385"/>
    <n v="69.09"/>
    <n v="9.949999999999999"/>
    <n v="0"/>
    <n v="0"/>
    <n v="0"/>
    <n v="0"/>
    <s v="Reserva importada do Sistema Lemontech. Solicitação: 18062477"/>
    <s v="Fornecedor não preenchido! (ACC01)"/>
    <x v="6"/>
    <x v="1"/>
    <s v="Campo Fornecedor"/>
    <x v="0"/>
    <s v="Qualidade dos dados"/>
    <s v="KONTIK BUSINESS TRAVEL"/>
    <x v="2"/>
  </r>
  <r>
    <n v="23368362"/>
    <n v="24094341"/>
    <s v="ACC01"/>
    <x v="442"/>
    <d v="2025-11-21T21:06:11"/>
    <x v="3"/>
    <x v="3"/>
    <s v="5UN6AA"/>
    <s v="LEMONTECH"/>
    <s v="SILVA BALBI/BRUNA"/>
    <s v="Vitoria Silva Lopes"/>
    <s v="Vitoria Silva Lopes"/>
    <d v="2025-11-21T00:00:00"/>
    <n v="18078973"/>
    <s v="-"/>
    <s v="ON LINE"/>
    <s v="Invoice"/>
    <s v="Faturado"/>
    <x v="1"/>
    <s v="N"/>
    <x v="66"/>
    <s v="Lojas Renner"/>
    <s v="-"/>
    <s v="-"/>
    <s v="-"/>
    <x v="52"/>
    <s v="-"/>
    <x v="386"/>
    <n v="0"/>
    <n v="0"/>
    <n v="0"/>
    <n v="0"/>
    <n v="0"/>
    <n v="0"/>
    <s v="Reserva importada do Sistema Lemontech. Solicitação: 18078973"/>
    <s v="Fornecedor não preenchido! (ACC01)"/>
    <x v="6"/>
    <x v="1"/>
    <s v="Campo Fornecedor"/>
    <x v="0"/>
    <s v="Qualidade dos dados"/>
    <s v="KONTIK BUSINESS TRAVEL"/>
    <x v="2"/>
  </r>
  <r>
    <n v="23355857"/>
    <n v="24082830"/>
    <s v="ACC01"/>
    <x v="443"/>
    <d v="2025-11-19T17:07:22"/>
    <x v="3"/>
    <x v="3"/>
    <s v="5TZJ2L"/>
    <s v="LEMONTECH"/>
    <s v="BARRETO VIANA/PAULA"/>
    <s v="Vitoria Silva Lopes"/>
    <s v="Vitoria Silva Lopes"/>
    <d v="2025-11-19T00:00:00"/>
    <n v="18045340"/>
    <s v="-"/>
    <s v="ON LINE"/>
    <s v="Invoice"/>
    <s v="Faturado"/>
    <x v="1"/>
    <s v="N"/>
    <x v="66"/>
    <s v="Lojas Renner"/>
    <s v="-"/>
    <s v="-"/>
    <s v="-"/>
    <x v="52"/>
    <s v="-"/>
    <x v="387"/>
    <n v="0"/>
    <n v="0"/>
    <n v="0"/>
    <n v="0"/>
    <n v="0"/>
    <n v="0"/>
    <s v="Reserva importada do Sistema Lemontech. Solicitação: 18045340"/>
    <s v="Fornecedor não preenchido! (ACC01)"/>
    <x v="6"/>
    <x v="1"/>
    <s v="Campo Fornecedor"/>
    <x v="0"/>
    <s v="Qualidade dos dados"/>
    <s v="KONTIK BUSINESS TRAVEL"/>
    <x v="2"/>
  </r>
  <r>
    <n v="23355491"/>
    <n v="24082464"/>
    <s v="ACC01"/>
    <x v="444"/>
    <d v="2025-11-23T07:30:52"/>
    <x v="4"/>
    <x v="3"/>
    <s v="5TGFWL"/>
    <s v="LEMONTECH"/>
    <s v="TATIANE PAULA ROSA FERREIRA"/>
    <s v="Jocelaine Silveira Debom"/>
    <s v="Jocelaine Silveira Debom"/>
    <d v="2025-11-19T11:59:00"/>
    <n v="18060834"/>
    <s v="-"/>
    <s v="OFF LINE"/>
    <s v="Invoice"/>
    <s v="Faturado"/>
    <x v="3"/>
    <s v="N"/>
    <x v="66"/>
    <s v="Lojas Renner"/>
    <s v="-"/>
    <s v="-"/>
    <s v="-"/>
    <x v="52"/>
    <s v="-"/>
    <x v="388"/>
    <n v="21.96"/>
    <n v="9.949999999999999"/>
    <n v="0"/>
    <n v="0"/>
    <n v="0"/>
    <n v="0"/>
    <s v="Reserva importada do Sistema Lemontech. Solicitação: 18060834"/>
    <s v="Fornecedor não preenchido! (ACC01)"/>
    <x v="6"/>
    <x v="1"/>
    <s v="Campo Fornecedor"/>
    <x v="0"/>
    <s v="Qualidade dos dados"/>
    <s v="KONTIK BUSINESS TRAVEL"/>
    <x v="2"/>
  </r>
  <r>
    <n v="23355859"/>
    <n v="24082832"/>
    <s v="ACC01"/>
    <x v="445"/>
    <d v="2025-11-23T07:30:52"/>
    <x v="4"/>
    <x v="3"/>
    <s v="5TE729"/>
    <s v="LEMONTECH"/>
    <s v="SUZI ELAINE STUCCHI"/>
    <s v="Jocelaine Silveira Debom"/>
    <s v="Jocelaine Silveira Debom"/>
    <d v="2025-11-19T11:59:00"/>
    <n v="18049899"/>
    <s v="-"/>
    <s v="OFF LINE"/>
    <s v="Invoice"/>
    <s v="Faturado"/>
    <x v="3"/>
    <s v="N"/>
    <x v="66"/>
    <s v="Lojas Renner"/>
    <s v="-"/>
    <s v="-"/>
    <s v="-"/>
    <x v="52"/>
    <s v="-"/>
    <x v="388"/>
    <n v="21.96"/>
    <n v="9.949999999999999"/>
    <n v="0"/>
    <n v="0"/>
    <n v="0"/>
    <n v="0"/>
    <s v="Reserva importada do Sistema Lemontech. Solicitação: 18049899"/>
    <s v="Fornecedor não preenchido! (ACC01)"/>
    <x v="6"/>
    <x v="1"/>
    <s v="Campo Fornecedor"/>
    <x v="0"/>
    <s v="Qualidade dos dados"/>
    <s v="KONTIK BUSINESS TRAVEL"/>
    <x v="2"/>
  </r>
  <r>
    <n v="23367380"/>
    <n v="24093395"/>
    <s v="ACC01"/>
    <x v="446"/>
    <d v="2025-11-23T07:30:53"/>
    <x v="4"/>
    <x v="3"/>
    <s v="5UEGMA"/>
    <s v="LEMONTECH"/>
    <s v="DAYANA FABIULA FETTER"/>
    <s v="Tami Maron"/>
    <s v="Tami Maron"/>
    <d v="2025-11-19T17:31:00"/>
    <n v="18071141"/>
    <s v="-"/>
    <s v="OFF LINE"/>
    <s v="Invoice"/>
    <s v="Faturado"/>
    <x v="3"/>
    <s v="N"/>
    <x v="66"/>
    <s v="Lojas Renner"/>
    <s v="-"/>
    <s v="-"/>
    <s v="-"/>
    <x v="52"/>
    <s v="-"/>
    <x v="389"/>
    <n v="6.42"/>
    <n v="9.949999999999999"/>
    <n v="0"/>
    <n v="0"/>
    <n v="0"/>
    <n v="0"/>
    <s v="Reserva importada do Sistema Lemontech. Solicitação: 18071141"/>
    <s v="Fornecedor não preenchido! (ACC01)"/>
    <x v="6"/>
    <x v="1"/>
    <s v="Campo Fornecedor"/>
    <x v="0"/>
    <s v="Qualidade dos dados"/>
    <s v="KONTIK BUSINESS TRAVEL"/>
    <x v="2"/>
  </r>
  <r>
    <n v="23367381"/>
    <n v="24093396"/>
    <s v="ACC01"/>
    <x v="446"/>
    <d v="2025-11-23T07:30:54"/>
    <x v="4"/>
    <x v="3"/>
    <s v="5UF5BZ"/>
    <s v="LEMONTECH"/>
    <s v="DAYANA FABIULA FETTER"/>
    <s v="Tami Maron"/>
    <s v="Tami Maron"/>
    <d v="2025-11-19T17:30:00"/>
    <n v="18071141"/>
    <s v="-"/>
    <s v="OFF LINE"/>
    <s v="Invoice"/>
    <s v="Faturado"/>
    <x v="3"/>
    <s v="N"/>
    <x v="66"/>
    <s v="Lojas Renner"/>
    <s v="-"/>
    <s v="-"/>
    <s v="-"/>
    <x v="52"/>
    <s v="-"/>
    <x v="390"/>
    <n v="6"/>
    <n v="9.949999999999999"/>
    <n v="0"/>
    <n v="0"/>
    <n v="0"/>
    <n v="0"/>
    <s v="Reserva importada do Sistema Lemontech. Solicitação: 18071141"/>
    <s v="Fornecedor não preenchido! (ACC01)"/>
    <x v="6"/>
    <x v="1"/>
    <s v="Campo Fornecedor"/>
    <x v="0"/>
    <s v="Qualidade dos dados"/>
    <s v="KONTIK BUSINESS TRAVEL"/>
    <x v="2"/>
  </r>
  <r>
    <n v="23252793"/>
    <n v="23985454"/>
    <s v="ACC01"/>
    <x v="447"/>
    <d v="2025-11-04T09:12:26"/>
    <x v="1"/>
    <x v="1"/>
    <s v="AQSMBXT"/>
    <s v="SABRE"/>
    <s v="ANDERY/RAPHAEL STERZA MR"/>
    <s v="CT"/>
    <s v="CT"/>
    <d v="2025-11-04T02:32:00"/>
    <s v="AQSMBX"/>
    <s v="-"/>
    <s v="ON LINE"/>
    <s v="Cartão de crédito"/>
    <s v="Cartão de crédito"/>
    <x v="1"/>
    <s v="N"/>
    <x v="67"/>
    <s v="Innomotics Motores e Grandes Conversores Ltda"/>
    <s v="-"/>
    <s v="-"/>
    <s v="-"/>
    <x v="14"/>
    <s v="-"/>
    <x v="391"/>
    <n v="3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22531"/>
    <n v="24051923"/>
    <s v="ACC01"/>
    <x v="448"/>
    <d v="2025-11-14T07:12:33"/>
    <x v="2"/>
    <x v="2"/>
    <n v="20841508"/>
    <s v="WOOBA"/>
    <s v="FIALHO RIBEIRO/MARIO LUIS"/>
    <s v="Raul Alves Vieira"/>
    <s v="Raul Alves Vieira"/>
    <d v="2025-11-14T07:04:00"/>
    <s v="-"/>
    <s v="-"/>
    <s v="OFF LINE"/>
    <s v="Invoice"/>
    <s v="Faturado"/>
    <x v="1"/>
    <s v="N"/>
    <x v="68"/>
    <s v="Constellation"/>
    <s v="-"/>
    <s v="-"/>
    <s v="-"/>
    <x v="53"/>
    <s v="-"/>
    <x v="392"/>
    <n v="0"/>
    <n v="0"/>
    <n v="0"/>
    <n v="0"/>
    <n v="9.710000000000001"/>
    <n v="0"/>
    <s v="Reserva importada do Sistema WOOBA. Id: 4270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32"/>
    <n v="24051924"/>
    <s v="ACC01"/>
    <x v="449"/>
    <d v="2025-11-14T07:12:33"/>
    <x v="2"/>
    <x v="2"/>
    <n v="20841506"/>
    <s v="WOOBA"/>
    <s v="DE CARVALHO ARAUJO/CARLILE"/>
    <s v="Raul Alves Vieira"/>
    <s v="Raul Alves Vieira"/>
    <d v="2025-11-14T07:04:00"/>
    <s v="-"/>
    <s v="-"/>
    <s v="OFF LINE"/>
    <s v="?"/>
    <s v="?"/>
    <x v="1"/>
    <s v="N"/>
    <x v="68"/>
    <s v="Constellation"/>
    <s v="-"/>
    <s v="-"/>
    <s v="-"/>
    <x v="53"/>
    <s v="-"/>
    <x v="392"/>
    <n v="0"/>
    <n v="0"/>
    <n v="0"/>
    <n v="0"/>
    <n v="9.710000000000001"/>
    <n v="0"/>
    <s v="Reserva importada do Sistema WOOBA. Id: 4271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33"/>
    <n v="24051925"/>
    <s v="ACC01"/>
    <x v="449"/>
    <d v="2025-11-14T07:12:34"/>
    <x v="2"/>
    <x v="2"/>
    <n v="20841505"/>
    <s v="WOOBA"/>
    <s v="SANTOS DOS ANJOS/CAIO RODRIGO"/>
    <s v="Raul Alves Vieira"/>
    <s v="Raul Alves Vieira"/>
    <d v="2025-11-14T07:05:00"/>
    <s v="-"/>
    <s v="-"/>
    <s v="OFF LINE"/>
    <s v="?"/>
    <s v="?"/>
    <x v="1"/>
    <s v="N"/>
    <x v="68"/>
    <s v="Constellation"/>
    <s v="-"/>
    <s v="-"/>
    <s v="-"/>
    <x v="53"/>
    <s v="-"/>
    <x v="392"/>
    <n v="0"/>
    <n v="0"/>
    <n v="0"/>
    <n v="0"/>
    <n v="9.710000000000001"/>
    <n v="0"/>
    <s v="Reserva importada do Sistema WOOBA. Id: 4272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34"/>
    <n v="24051926"/>
    <s v="ACC01"/>
    <x v="450"/>
    <d v="2025-11-14T07:12:34"/>
    <x v="2"/>
    <x v="2"/>
    <n v="20841510"/>
    <s v="WOOBA"/>
    <s v="PINHEIRO ANACLETO/MARCIO"/>
    <s v="Raul Alves Vieira"/>
    <s v="Raul Alves Vieira"/>
    <d v="2025-11-14T07:06:00"/>
    <s v="-"/>
    <s v="-"/>
    <s v="OFF LINE"/>
    <s v="?"/>
    <s v="?"/>
    <x v="1"/>
    <s v="N"/>
    <x v="68"/>
    <s v="Constellation"/>
    <s v="-"/>
    <s v="-"/>
    <s v="-"/>
    <x v="53"/>
    <s v="-"/>
    <x v="392"/>
    <n v="0"/>
    <n v="0"/>
    <n v="0"/>
    <n v="0"/>
    <n v="9.710000000000001"/>
    <n v="0"/>
    <s v="Reserva importada do Sistema WOOBA. Id: 4273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35"/>
    <n v="24051927"/>
    <s v="ACC01"/>
    <x v="450"/>
    <d v="2025-11-14T07:12:34"/>
    <x v="2"/>
    <x v="2"/>
    <n v="20841511"/>
    <s v="WOOBA"/>
    <s v="GONCALVES DA COSTA/JOAO PAULO"/>
    <s v="Raul Alves Vieira"/>
    <s v="Raul Alves Vieira"/>
    <d v="2025-11-14T07:08:00"/>
    <s v="-"/>
    <s v="-"/>
    <s v="OFF LINE"/>
    <s v="?"/>
    <s v="?"/>
    <x v="1"/>
    <s v="N"/>
    <x v="68"/>
    <s v="Constellation"/>
    <s v="-"/>
    <s v="-"/>
    <s v="-"/>
    <x v="53"/>
    <s v="-"/>
    <x v="393"/>
    <n v="0"/>
    <n v="0"/>
    <n v="0"/>
    <n v="0"/>
    <n v="12.34"/>
    <n v="0"/>
    <s v="Reserva importada do Sistema WOOBA. Id: 4274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63"/>
    <n v="24051946"/>
    <s v="ACC01"/>
    <x v="451"/>
    <d v="2025-11-14T07:30:58"/>
    <x v="2"/>
    <x v="2"/>
    <n v="20841514"/>
    <s v="WOOBA"/>
    <s v="SOUSA PASSALINI/PEDRO GUILHERME"/>
    <s v="Raul Alves Vieira"/>
    <s v="Raul Alves Vieira"/>
    <d v="2025-11-14T07:11:00"/>
    <s v="-"/>
    <s v="-"/>
    <s v="OFF LINE"/>
    <s v="?"/>
    <s v="?"/>
    <x v="1"/>
    <s v="N"/>
    <x v="68"/>
    <s v="Constellation"/>
    <s v="-"/>
    <s v="-"/>
    <s v="-"/>
    <x v="53"/>
    <s v="-"/>
    <x v="393"/>
    <n v="0"/>
    <n v="0"/>
    <n v="0"/>
    <n v="0"/>
    <n v="12.34"/>
    <n v="0"/>
    <s v="Reserva importada do Sistema WOOBA. Id: 4275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64"/>
    <n v="24051947"/>
    <s v="ACC01"/>
    <x v="451"/>
    <d v="2025-11-14T07:30:58"/>
    <x v="2"/>
    <x v="2"/>
    <n v="20841491"/>
    <s v="WOOBA"/>
    <s v="SANTIAGO DE SOUZA/MARCOS LIVIO"/>
    <s v="Raul Alves Vieira"/>
    <s v="Raul Alves Vieira"/>
    <d v="2025-11-14T06:53:00"/>
    <s v="-"/>
    <s v="-"/>
    <s v="OFF LINE"/>
    <s v="?"/>
    <s v="?"/>
    <x v="1"/>
    <s v="N"/>
    <x v="68"/>
    <s v="Constellation"/>
    <s v="-"/>
    <s v="-"/>
    <s v="-"/>
    <x v="53"/>
    <s v="-"/>
    <x v="394"/>
    <n v="0"/>
    <n v="0"/>
    <n v="0"/>
    <n v="0"/>
    <n v="15.3"/>
    <n v="0"/>
    <s v="Reserva importada do Sistema WOOBA. Id: 4265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322565"/>
    <n v="24051948"/>
    <s v="ACC01"/>
    <x v="452"/>
    <d v="2025-11-14T07:30:58"/>
    <x v="2"/>
    <x v="2"/>
    <n v="20841485"/>
    <s v="WOOBA"/>
    <s v="LEMOS DE LACERDA BATISTA/WELLERSON"/>
    <s v="Raul Alves Vieira"/>
    <s v="Raul Alves Vieira"/>
    <d v="2025-11-14T06:51:00"/>
    <s v="-"/>
    <s v="-"/>
    <s v="OFF LINE"/>
    <s v="?"/>
    <s v="?"/>
    <x v="1"/>
    <s v="N"/>
    <x v="68"/>
    <s v="Constellation"/>
    <s v="-"/>
    <s v="-"/>
    <s v="-"/>
    <x v="53"/>
    <s v="-"/>
    <x v="395"/>
    <n v="0"/>
    <n v="0"/>
    <n v="0"/>
    <n v="0"/>
    <n v="17.4"/>
    <n v="0"/>
    <s v="Reserva importada do Sistema WOOBA. Id: 4264"/>
    <s v="Centro de custo não preenchido! (ACC01) Requisição não preenchida! (ACC01)"/>
    <x v="7"/>
    <x v="10"/>
    <s v="Falta de informação Gerencial"/>
    <x v="0"/>
    <s v="Qualidade dos dados"/>
    <s v="KONTIK BUSINESS TRAVEL"/>
    <x v="3"/>
  </r>
  <r>
    <n v="23229721"/>
    <n v="23964390"/>
    <s v="ACC01"/>
    <x v="453"/>
    <d v="2025-10-31T09:43:46"/>
    <x v="5"/>
    <x v="6"/>
    <n v="20650804"/>
    <s v="GOVER"/>
    <s v="Adrian  da Silva Offmann"/>
    <s v="Marcos de Oliveira Miklos"/>
    <s v="Marcos de Oliveira Miklos"/>
    <d v="2025-10-31T09:29:00"/>
    <n v="4621385"/>
    <s v="-"/>
    <s v="OFF LINE"/>
    <s v="Invoice"/>
    <s v="Faturado"/>
    <x v="1"/>
    <s v="N"/>
    <x v="69"/>
    <s v="Isdin Sp"/>
    <s v="-"/>
    <s v="-"/>
    <s v="-"/>
    <x v="3"/>
    <s v="-"/>
    <x v="396"/>
    <n v="109.71"/>
    <n v="0"/>
    <n v="0"/>
    <n v="0"/>
    <n v="0"/>
    <n v="0"/>
    <s v="Reserva importada do sistema Gover. Id: 4621385"/>
    <s v="Fornecedor não preenchido! (ACC01)"/>
    <x v="0"/>
    <x v="1"/>
    <s v="Campo Fornecedor"/>
    <x v="0"/>
    <s v="Sistêmico"/>
    <s v="GRUPO KONTIK"/>
    <x v="1"/>
  </r>
  <r>
    <n v="23123331"/>
    <n v="23870552"/>
    <s v="ACC01"/>
    <x v="454"/>
    <d v="2025-10-16T08:25:10"/>
    <x v="6"/>
    <x v="5"/>
    <n v="4605836"/>
    <s v="GOVER"/>
    <s v="KARINA YASMIM DA COSTA SILVA"/>
    <s v="Wilson Jose Araujo de Gusmao Junior"/>
    <s v="Wilson Jose Araujo de Gusmao Junior"/>
    <d v="2025-10-15T17:17:00"/>
    <n v="4605836"/>
    <s v="-"/>
    <s v="OFF LINE"/>
    <s v="Cartão de crédito"/>
    <s v="Cartão de crédito"/>
    <x v="1"/>
    <s v="N"/>
    <x v="69"/>
    <s v="Isdin Sp"/>
    <s v="-"/>
    <s v="-"/>
    <s v="-"/>
    <x v="3"/>
    <s v="-"/>
    <x v="397"/>
    <n v="0"/>
    <n v="0"/>
    <n v="0"/>
    <n v="0"/>
    <n v="0"/>
    <n v="0"/>
    <s v="Reserva importada do sistema Gover. Id: 4605836"/>
    <s v="Fornecedor não preenchido! (ACC01)"/>
    <x v="0"/>
    <x v="1"/>
    <s v="Campo Fornecedor"/>
    <x v="0"/>
    <s v="Sistêmico"/>
    <s v="GRUPO KONTIK"/>
    <x v="1"/>
  </r>
  <r>
    <n v="23130892"/>
    <n v="23877428"/>
    <s v="ACC01"/>
    <x v="455"/>
    <d v="2025-10-17T08:45:15"/>
    <x v="6"/>
    <x v="5"/>
    <n v="4605860"/>
    <s v="GOVER"/>
    <s v="MARIO LUCIO VERAS VAZ FILHO"/>
    <s v="Wilson Jose Araujo de Gusmao Junior"/>
    <s v="Wilson Jose Araujo de Gusmao Junior"/>
    <d v="2025-10-17T08:35:00"/>
    <n v="4605860"/>
    <s v="-"/>
    <s v="OFF LINE"/>
    <s v="Cartão de crédito"/>
    <s v="Cartão de crédito"/>
    <x v="1"/>
    <s v="N"/>
    <x v="69"/>
    <s v="Isdin Sp"/>
    <s v="-"/>
    <s v="-"/>
    <s v="-"/>
    <x v="3"/>
    <s v="-"/>
    <x v="398"/>
    <n v="0"/>
    <n v="0"/>
    <n v="0"/>
    <n v="0"/>
    <n v="0"/>
    <n v="0"/>
    <s v="Reserva importada do sistema Gover. Id: 4605860"/>
    <s v="Fornecedor não preenchido! (ACC01)"/>
    <x v="0"/>
    <x v="1"/>
    <s v="Campo Fornecedor"/>
    <x v="0"/>
    <s v="Sistêmico"/>
    <s v="GRUPO KONTIK"/>
    <x v="1"/>
  </r>
  <r>
    <n v="23222925"/>
    <n v="23957892"/>
    <s v="ACC01"/>
    <x v="456"/>
    <d v="2025-10-30T12:00:59"/>
    <x v="5"/>
    <x v="6"/>
    <n v="4619813"/>
    <s v="GOVER"/>
    <s v="CAMILA INGRID DA SILVA ELIAS"/>
    <s v="Loizy Lima de Oliveira"/>
    <s v="Loizy Lima de Oliveira"/>
    <d v="2025-10-30T00:00:00"/>
    <n v="4619813"/>
    <s v="-"/>
    <s v="OFF LINE"/>
    <s v="Cartão de crédito"/>
    <s v="Cartão de crédito"/>
    <x v="1"/>
    <s v="N"/>
    <x v="69"/>
    <s v="Isdin Sp"/>
    <s v="-"/>
    <s v="-"/>
    <s v="-"/>
    <x v="3"/>
    <s v="-"/>
    <x v="159"/>
    <n v="0"/>
    <n v="0"/>
    <n v="0"/>
    <n v="0"/>
    <n v="0"/>
    <n v="0"/>
    <s v="Reserva importada do sistema Gover. Id: 4619813"/>
    <s v="Fornecedor não preenchido! (ACC01)"/>
    <x v="0"/>
    <x v="1"/>
    <s v="Campo Fornecedor"/>
    <x v="0"/>
    <s v="Sistêmico"/>
    <s v="GRUPO KONTIK"/>
    <x v="1"/>
  </r>
  <r>
    <n v="23266970"/>
    <n v="23999496"/>
    <s v="ACC01"/>
    <x v="457"/>
    <d v="2025-11-05T23:18:25"/>
    <x v="1"/>
    <x v="1"/>
    <s v="5RINKE"/>
    <s v="TMS"/>
    <s v="WELLINGTON CÂMARA JUNIOR"/>
    <s v="Mariane Goncalves dos Santos"/>
    <s v="Mariane Goncalves dos Santos"/>
    <d v="2025-11-05T17:40:00"/>
    <n v="4685"/>
    <s v="-"/>
    <s v="OFF LINE"/>
    <s v="Invoice"/>
    <s v="Faturado"/>
    <x v="3"/>
    <s v="N"/>
    <x v="70"/>
    <s v="Helibras"/>
    <s v="-"/>
    <s v="-"/>
    <s v="-"/>
    <x v="32"/>
    <s v="-"/>
    <x v="399"/>
    <n v="0"/>
    <n v="0"/>
    <n v="0"/>
    <n v="0"/>
    <n v="0"/>
    <n v="0"/>
    <s v="Reserva importada do Sistema TMS. OS: 4685"/>
    <s v="Fornecedor não preenchido! (ACC01)"/>
    <x v="5"/>
    <x v="1"/>
    <s v="Campo Fornecedor"/>
    <x v="0"/>
    <s v="Qualidade dos dados"/>
    <s v="KONTIK BUSINESS TRAVEL"/>
    <x v="2"/>
  </r>
  <r>
    <n v="23366747"/>
    <n v="24092773"/>
    <s v="ACC01"/>
    <x v="458"/>
    <d v="2025-11-21T16:05:14"/>
    <x v="3"/>
    <x v="3"/>
    <s v="LXEBKM"/>
    <s v="TMS"/>
    <s v="TARCISIO SOARES"/>
    <s v="Mariane Goncalves dos Santos"/>
    <s v="Mariane Goncalves dos Santos"/>
    <d v="2025-11-21T13:16:00"/>
    <n v="4901"/>
    <s v="-"/>
    <s v="ON LINE"/>
    <s v="Cartão de crédito"/>
    <s v="Cartão de crédito"/>
    <x v="0"/>
    <s v="N"/>
    <x v="70"/>
    <s v="Airbus"/>
    <s v="-"/>
    <s v="Latam Airlines Brasil"/>
    <n v="5580506144"/>
    <x v="32"/>
    <s v="-"/>
    <x v="400"/>
    <n v="454.97"/>
    <n v="0"/>
    <n v="0"/>
    <n v="0"/>
    <n v="0"/>
    <n v="0"/>
    <s v="Reserva importada do Sistema TMS. OS: 4901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367997"/>
    <n v="24093988"/>
    <s v="ACC01"/>
    <x v="459"/>
    <d v="2025-11-21T19:21:27"/>
    <x v="3"/>
    <x v="3"/>
    <s v="WVXAFOT"/>
    <s v="SABRE"/>
    <s v="CARVALHO/DANIEL"/>
    <s v="NATALIA BARRAL DE OLIVEIRA"/>
    <s v="NATALIA BARRAL DE OLIVEIRA"/>
    <d v="2025-11-21T15:55:00"/>
    <s v="LL9X"/>
    <s v="-"/>
    <s v="OFF LINE"/>
    <s v="Cartão de crédito"/>
    <s v="Cartão de crédito"/>
    <x v="1"/>
    <s v="N"/>
    <x v="71"/>
    <s v="Grupo Casas Bahia S.a."/>
    <s v="-"/>
    <s v="-"/>
    <s v="-"/>
    <x v="54"/>
    <s v="-"/>
    <x v="40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67671"/>
    <n v="24093664"/>
    <s v="ACC01"/>
    <x v="460"/>
    <d v="2025-11-21T18:01:16"/>
    <x v="3"/>
    <x v="3"/>
    <s v="DBXRCGT"/>
    <s v="SABRE"/>
    <s v="FREITAS NETO/JOSE"/>
    <s v="Ana Clara Brime"/>
    <s v="Ana Clara Brime"/>
    <d v="2025-11-21T14:52:00"/>
    <s v="LL9Q"/>
    <s v="-"/>
    <s v="OFF LINE"/>
    <s v="Cartão de crédito"/>
    <s v="Cartão de crédito"/>
    <x v="1"/>
    <s v="N"/>
    <x v="71"/>
    <s v="Grupo Casas Bahia S.a."/>
    <s v="-"/>
    <s v="-"/>
    <s v="-"/>
    <x v="54"/>
    <s v="-"/>
    <x v="402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6139"/>
    <n v="24083129"/>
    <s v="ACC01"/>
    <x v="461"/>
    <d v="2025-11-19T17:51:12"/>
    <x v="3"/>
    <x v="3"/>
    <s v="GGUNDCT"/>
    <s v="SABRE"/>
    <s v="SANTOS/JORDANIA"/>
    <s v="Ana Clara Brime"/>
    <s v="Ana Clara Brime"/>
    <d v="2025-11-19T14:36:00"/>
    <s v="LL3T"/>
    <s v="-"/>
    <s v="OFF LINE"/>
    <s v="Cartão de crédito"/>
    <s v="Cartão de crédito"/>
    <x v="1"/>
    <s v="N"/>
    <x v="71"/>
    <s v="Grupo Casas Bahia S.a."/>
    <s v="-"/>
    <s v="-"/>
    <s v="-"/>
    <x v="54"/>
    <s v="-"/>
    <x v="403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56140"/>
    <n v="24083130"/>
    <s v="ACC01"/>
    <x v="462"/>
    <d v="2025-11-21T17:07:07"/>
    <x v="3"/>
    <x v="3"/>
    <s v="EDFKDCT"/>
    <s v="SABRE"/>
    <s v="FREITAS NETO/JOSE"/>
    <s v="Ana Clara Brime"/>
    <s v="Ana Clara Brime"/>
    <d v="2025-11-19T14:38:00"/>
    <s v="LL4D"/>
    <s v="-"/>
    <s v="OFF LINE"/>
    <s v="Cartão de crédito"/>
    <s v="Cartão de crédito"/>
    <x v="1"/>
    <s v="S"/>
    <x v="71"/>
    <s v="Grupo Casas Bahia S.a."/>
    <s v="-"/>
    <s v="-"/>
    <s v="-"/>
    <x v="54"/>
    <s v="-"/>
    <x v="375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2"/>
  </r>
  <r>
    <n v="23342118"/>
    <n v="24069865"/>
    <s v="ACC01"/>
    <x v="463"/>
    <d v="2025-11-17T18:19:04"/>
    <x v="0"/>
    <x v="0"/>
    <s v="SETZEVT"/>
    <s v="SABRE"/>
    <s v="LOPES/PAULO"/>
    <s v="WU"/>
    <s v="WU"/>
    <d v="2025-11-16T21:03:00"/>
    <s v="SETZEV"/>
    <s v="-"/>
    <s v="ON LINE"/>
    <s v="Pagamento direto"/>
    <s v="Pagamento direto"/>
    <x v="1"/>
    <s v="N"/>
    <x v="71"/>
    <s v="Grupo Casas Bahia S.a."/>
    <s v="-"/>
    <s v="-"/>
    <s v="-"/>
    <x v="54"/>
    <s v="-"/>
    <x v="404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39400"/>
    <n v="24067192"/>
    <s v="ACC01"/>
    <x v="464"/>
    <d v="2025-11-17T12:36:19"/>
    <x v="0"/>
    <x v="0"/>
    <s v="AKTWLOT"/>
    <s v="SABRE"/>
    <s v="BUENO/REGIS"/>
    <s v="WU"/>
    <s v="WU"/>
    <d v="2025-11-17T07:45:00"/>
    <s v="AKTWLO"/>
    <s v="-"/>
    <s v="ON LINE"/>
    <s v="Pagamento direto"/>
    <s v="Pagamento direto"/>
    <x v="1"/>
    <s v="N"/>
    <x v="71"/>
    <s v="Grupo Casas Bahia S.a."/>
    <s v="-"/>
    <s v="-"/>
    <s v="-"/>
    <x v="54"/>
    <s v="-"/>
    <x v="405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01255"/>
    <n v="24031838"/>
    <s v="ACC01"/>
    <x v="465"/>
    <d v="2025-11-17T11:30:39"/>
    <x v="0"/>
    <x v="2"/>
    <s v="ELRTSU"/>
    <s v="SABRE"/>
    <s v="ASSIS/JOANNA"/>
    <s v="WU"/>
    <s v="WU"/>
    <d v="2025-11-10T14:33:00"/>
    <s v="ELRTSU"/>
    <s v="-"/>
    <s v="ON LINE"/>
    <s v="Cartão de crédito"/>
    <s v="Cartão AMEX"/>
    <x v="0"/>
    <s v="N"/>
    <x v="71"/>
    <s v="Grupo Casas Bahia S.a."/>
    <s v="-"/>
    <s v="Azul Linhas Aereas"/>
    <n v="7700080608"/>
    <x v="54"/>
    <s v="-"/>
    <x v="406"/>
    <n v="120.57"/>
    <n v="0"/>
    <n v="0"/>
    <n v="0"/>
    <n v="0"/>
    <n v="0"/>
    <s v="Reserva importada por HubTravel"/>
    <s v="Centro de custo não preenchido! (ACC01)"/>
    <x v="4"/>
    <x v="8"/>
    <s v="Falta de informação Gerencial"/>
    <x v="0"/>
    <s v="Qualidade dos dados"/>
    <s v="KONTIK BUSINESS TRAVEL"/>
    <x v="3"/>
  </r>
  <r>
    <n v="23253162"/>
    <n v="23985793"/>
    <s v="ACC01"/>
    <x v="466"/>
    <d v="2025-11-04T11:31:08"/>
    <x v="1"/>
    <x v="1"/>
    <s v="GNMQOIT"/>
    <s v="SABRE"/>
    <s v="COSTA/RICARDO"/>
    <s v="WU"/>
    <s v="WU"/>
    <d v="2025-11-03T16:32:00"/>
    <s v="GNMQOI"/>
    <s v="-"/>
    <s v="ON LINE"/>
    <s v="Cartão de crédito"/>
    <s v="Cartão de crédito"/>
    <x v="1"/>
    <s v="S"/>
    <x v="71"/>
    <s v="Grupo Casas Bahia S.a."/>
    <s v="-"/>
    <s v="-"/>
    <s v="-"/>
    <x v="54"/>
    <s v="-"/>
    <x v="22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53474"/>
    <n v="23986119"/>
    <s v="ACC01"/>
    <x v="467"/>
    <d v="2025-11-04T10:48:24"/>
    <x v="1"/>
    <x v="1"/>
    <s v="KVKKMZT"/>
    <s v="SABRE"/>
    <s v="SANTOS/JOAO"/>
    <s v="WU"/>
    <s v="WU"/>
    <d v="2025-11-04T07:00:00"/>
    <s v="KVKKMZ"/>
    <s v="-"/>
    <s v="ON LINE"/>
    <s v="Cartão de crédito"/>
    <s v="Cartão de crédito"/>
    <x v="1"/>
    <s v="N"/>
    <x v="71"/>
    <s v="Grupo Casas Bahia S.a."/>
    <s v="-"/>
    <s v="-"/>
    <s v="-"/>
    <x v="54"/>
    <s v="-"/>
    <x v="407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45450"/>
    <n v="23978426"/>
    <s v="ACC01"/>
    <x v="468"/>
    <d v="2025-11-03T11:07:26"/>
    <x v="1"/>
    <x v="1"/>
    <s v="OPWOGMT"/>
    <s v="SABRE"/>
    <s v="COSTA/RICARDO"/>
    <s v="WU"/>
    <s v="WU"/>
    <d v="2025-11-03T07:49:00"/>
    <s v="OPWOGM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45903"/>
    <n v="23978873"/>
    <s v="ACC01"/>
    <x v="469"/>
    <d v="2025-11-03T12:24:31"/>
    <x v="1"/>
    <x v="1"/>
    <s v="JCRWCTT"/>
    <s v="SABRE"/>
    <s v="SILVA/ANDERSON"/>
    <s v="WU"/>
    <s v="WU"/>
    <d v="2025-11-03T06:53:00"/>
    <s v="JCRWCT"/>
    <s v="-"/>
    <s v="ON LINE"/>
    <s v="Cartão de crédito"/>
    <s v="Cartão de crédito"/>
    <x v="1"/>
    <s v="N"/>
    <x v="71"/>
    <s v="Grupo Casas Bahia S.a."/>
    <s v="-"/>
    <s v="-"/>
    <s v="-"/>
    <x v="54"/>
    <s v="-"/>
    <x v="22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49372"/>
    <n v="23982407"/>
    <s v="ACC01"/>
    <x v="470"/>
    <d v="2025-11-03T19:24:18"/>
    <x v="1"/>
    <x v="1"/>
    <s v="KFCQRKT"/>
    <s v="SABRE"/>
    <s v="MATHIAS/LUANA"/>
    <s v="WU"/>
    <s v="WU"/>
    <d v="2025-11-03T08:03:00"/>
    <s v="KFCQRK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65381"/>
    <n v="23997850"/>
    <s v="ACC01"/>
    <x v="471"/>
    <d v="2025-11-05T18:49:55"/>
    <x v="1"/>
    <x v="1"/>
    <s v="NCVXSKT"/>
    <s v="SABRE"/>
    <s v="FERREIRA JUNIOR/EVANDRO"/>
    <s v="WU"/>
    <s v="WU"/>
    <d v="2025-11-05T08:17:00"/>
    <s v="NCVXSK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65382"/>
    <n v="23997852"/>
    <s v="ACC01"/>
    <x v="472"/>
    <d v="2025-11-05T18:49:55"/>
    <x v="1"/>
    <x v="1"/>
    <s v="JUVMIPT"/>
    <s v="SABRE"/>
    <s v="VIEIRA/IZABELE"/>
    <s v="WU"/>
    <s v="WU"/>
    <d v="2025-11-05T08:12:00"/>
    <s v="JUVMIP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45074"/>
    <n v="23978041"/>
    <s v="ACC01"/>
    <x v="473"/>
    <d v="2025-11-03T10:07:40"/>
    <x v="1"/>
    <x v="1"/>
    <s v="OQBUSCT"/>
    <s v="SABRE"/>
    <s v="CUNHA/VANESSA"/>
    <s v="WU"/>
    <s v="WU"/>
    <d v="2025-11-03T06:43:00"/>
    <s v="OQBUSC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03239"/>
    <n v="24033864"/>
    <s v="ACC01"/>
    <x v="474"/>
    <d v="2025-11-11T14:54:36"/>
    <x v="2"/>
    <x v="2"/>
    <s v="DNLINGT"/>
    <s v="SABRE"/>
    <s v="BRITO/AMANDA"/>
    <s v="WU"/>
    <s v="WU"/>
    <d v="2025-11-10T11:59:00"/>
    <s v="DNLING"/>
    <s v="-"/>
    <s v="ON LINE"/>
    <s v="Pagamento direto"/>
    <s v="Pagamento direto"/>
    <x v="1"/>
    <s v="N"/>
    <x v="71"/>
    <s v="Grupo Casas Bahia S.a."/>
    <s v="-"/>
    <s v="-"/>
    <s v="-"/>
    <x v="54"/>
    <s v="-"/>
    <x v="409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01001"/>
    <n v="24031617"/>
    <s v="ACC01"/>
    <x v="475"/>
    <d v="2025-11-11T09:36:43"/>
    <x v="2"/>
    <x v="2"/>
    <s v="AVGOUHT"/>
    <s v="SABRE"/>
    <s v="SANTOS/VALQUIRIA"/>
    <s v="WU"/>
    <s v="WU"/>
    <d v="2025-11-11T06:13:00"/>
    <s v="AVGOUH"/>
    <s v="-"/>
    <s v="ON LINE"/>
    <s v="Cartão de crédito"/>
    <s v="Cartão de crédito"/>
    <x v="1"/>
    <s v="N"/>
    <x v="71"/>
    <s v="Grupo Casas Bahia S.a."/>
    <s v="-"/>
    <s v="-"/>
    <s v="-"/>
    <x v="54"/>
    <s v="-"/>
    <x v="41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95479"/>
    <n v="24026324"/>
    <s v="ACC01"/>
    <x v="476"/>
    <d v="2025-11-10T14:54:07"/>
    <x v="2"/>
    <x v="2"/>
    <s v="QKIYYTT"/>
    <s v="SABRE"/>
    <s v="FERREIRA JUNIOR/EVANDRO"/>
    <s v="WU"/>
    <s v="WU"/>
    <d v="2025-11-10T07:50:00"/>
    <s v="QKIYYT"/>
    <s v="-"/>
    <s v="ON LINE"/>
    <s v="Cartão de crédito"/>
    <s v="Cartão de crédito"/>
    <x v="1"/>
    <s v="N"/>
    <x v="71"/>
    <s v="Grupo Casas Bahia S.a."/>
    <s v="-"/>
    <s v="-"/>
    <s v="-"/>
    <x v="54"/>
    <s v="-"/>
    <x v="40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297001"/>
    <n v="24027836"/>
    <s v="ACC01"/>
    <x v="477"/>
    <d v="2025-11-10T18:19:08"/>
    <x v="2"/>
    <x v="2"/>
    <s v="CRCALNT"/>
    <s v="SABRE"/>
    <s v="SILVA/RAFAEL"/>
    <s v="WU"/>
    <s v="WU"/>
    <d v="2025-11-10T14:25:00"/>
    <s v="CRCALN"/>
    <s v="-"/>
    <s v="ON LINE"/>
    <s v="Cartão de crédito"/>
    <s v="Cartão de crédito"/>
    <x v="1"/>
    <s v="N"/>
    <x v="71"/>
    <s v="Grupo Casas Bahia S.a."/>
    <s v="-"/>
    <s v="-"/>
    <s v="-"/>
    <x v="54"/>
    <s v="-"/>
    <x v="41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55909"/>
    <n v="24082876"/>
    <s v="ACC01"/>
    <x v="478"/>
    <d v="2025-11-19T17:06:37"/>
    <x v="3"/>
    <x v="3"/>
    <s v="UKKGOOT"/>
    <s v="SABRE"/>
    <s v="AQUINO/MARIA"/>
    <s v="WU"/>
    <s v="WU"/>
    <d v="2025-11-14T07:23:00"/>
    <s v="UKKGOO"/>
    <s v="-"/>
    <s v="ON LINE"/>
    <s v="Cartão de crédito"/>
    <s v="Cartão de crédito"/>
    <x v="1"/>
    <s v="N"/>
    <x v="71"/>
    <s v="Grupo Casas Bahia S.a."/>
    <s v="-"/>
    <s v="-"/>
    <s v="-"/>
    <x v="54"/>
    <s v="-"/>
    <x v="412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48888"/>
    <n v="24076294"/>
    <s v="ACC01"/>
    <x v="479"/>
    <d v="2025-11-18T16:36:45"/>
    <x v="0"/>
    <x v="0"/>
    <s v="LQTAVBT"/>
    <s v="SABRE"/>
    <s v="BARROS/NILSA"/>
    <s v="WU"/>
    <s v="WU"/>
    <d v="2025-11-18T06:31:00"/>
    <s v="LQTAVB"/>
    <s v="-"/>
    <s v="ON LINE"/>
    <s v="Pagamento direto"/>
    <s v="Pagamento direto"/>
    <x v="1"/>
    <s v="N"/>
    <x v="71"/>
    <s v="Grupo Casas Bahia S.a."/>
    <s v="-"/>
    <s v="-"/>
    <s v="-"/>
    <x v="54"/>
    <s v="-"/>
    <x v="413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48889"/>
    <n v="24076295"/>
    <s v="ACC01"/>
    <x v="480"/>
    <d v="2025-11-18T16:36:45"/>
    <x v="0"/>
    <x v="0"/>
    <s v="YBLYNMT"/>
    <s v="SABRE"/>
    <s v="SANTOS/JOAO"/>
    <s v="WU"/>
    <s v="WU"/>
    <d v="2025-11-18T10:03:00"/>
    <s v="YBLYNM"/>
    <s v="-"/>
    <s v="ON LINE"/>
    <s v="Pagamento direto"/>
    <s v="Pagamento direto"/>
    <x v="1"/>
    <s v="N"/>
    <x v="71"/>
    <s v="Grupo Casas Bahia S.a."/>
    <s v="-"/>
    <s v="-"/>
    <s v="-"/>
    <x v="54"/>
    <s v="-"/>
    <x v="414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7500"/>
    <n v="24093503"/>
    <s v="ACC01"/>
    <x v="481"/>
    <d v="2025-11-21T17:20:14"/>
    <x v="3"/>
    <x v="3"/>
    <s v="NUBSJCT"/>
    <s v="SABRE"/>
    <s v="SANTOS/GISELE"/>
    <s v="WU"/>
    <s v="WU"/>
    <d v="2025-11-18T16:49:00"/>
    <s v="NUBSJC"/>
    <s v="-"/>
    <s v="ON LINE"/>
    <s v="Cartão de crédito"/>
    <s v="Cartão de crédito"/>
    <x v="1"/>
    <s v="N"/>
    <x v="71"/>
    <s v="Grupo Casas Bahia S.a."/>
    <s v="-"/>
    <s v="-"/>
    <s v="-"/>
    <x v="54"/>
    <s v="-"/>
    <x v="415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7502"/>
    <n v="24093505"/>
    <s v="ACC01"/>
    <x v="482"/>
    <d v="2025-11-21T17:20:15"/>
    <x v="3"/>
    <x v="3"/>
    <s v="IGDTCLT"/>
    <s v="SABRE"/>
    <s v="CUNHA/RAFAEL"/>
    <s v="WU"/>
    <s v="WU"/>
    <d v="2025-11-18T16:37:00"/>
    <s v="IGDTCL"/>
    <s v="-"/>
    <s v="ON LINE"/>
    <s v="Cartão de crédito"/>
    <s v="Cartão de crédito"/>
    <x v="1"/>
    <s v="N"/>
    <x v="71"/>
    <s v="Grupo Casas Bahia S.a."/>
    <s v="-"/>
    <s v="-"/>
    <s v="-"/>
    <x v="54"/>
    <s v="-"/>
    <x v="41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6007"/>
    <n v="24092010"/>
    <s v="ACC01"/>
    <x v="483"/>
    <d v="2025-11-21T14:19:22"/>
    <x v="3"/>
    <x v="3"/>
    <s v="MBLIBCT"/>
    <s v="SABRE"/>
    <s v="COSTA/RAFAEL"/>
    <s v="WU"/>
    <s v="WU"/>
    <d v="2025-11-21T08:50:00"/>
    <s v="MBLIBC"/>
    <s v="-"/>
    <s v="ON LINE"/>
    <s v="Cartão de crédito"/>
    <s v="Cartão de crédito"/>
    <x v="1"/>
    <s v="N"/>
    <x v="71"/>
    <s v="Grupo Casas Bahia S.a."/>
    <s v="-"/>
    <s v="-"/>
    <s v="-"/>
    <x v="54"/>
    <s v="-"/>
    <x v="417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5439"/>
    <n v="24091483"/>
    <s v="ACC01"/>
    <x v="484"/>
    <d v="2025-11-21T11:54:40"/>
    <x v="3"/>
    <x v="3"/>
    <s v="YCPIUPT"/>
    <s v="SABRE"/>
    <s v="NEVES/HENRIQUE"/>
    <s v="WU"/>
    <s v="WU"/>
    <d v="2025-11-21T06:33:00"/>
    <s v="YCPIUP"/>
    <s v="-"/>
    <s v="ON LINE"/>
    <s v="Cartão de crédito"/>
    <s v="Cartão de crédito"/>
    <x v="1"/>
    <s v="N"/>
    <x v="71"/>
    <s v="Grupo Casas Bahia S.a."/>
    <s v="-"/>
    <s v="-"/>
    <s v="-"/>
    <x v="54"/>
    <s v="-"/>
    <x v="418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5440"/>
    <n v="24091484"/>
    <s v="ACC01"/>
    <x v="485"/>
    <d v="2025-11-21T11:54:40"/>
    <x v="3"/>
    <x v="3"/>
    <s v="YBWRXWT"/>
    <s v="SABRE"/>
    <s v="SANTOS/GILBERTO"/>
    <s v="WU"/>
    <s v="WU"/>
    <d v="2025-11-21T06:55:00"/>
    <s v="YBWRXW"/>
    <s v="-"/>
    <s v="ON LINE"/>
    <s v="Cartão de crédito"/>
    <s v="Cartão de crédito"/>
    <x v="1"/>
    <s v="N"/>
    <x v="71"/>
    <s v="Grupo Casas Bahia S.a."/>
    <s v="-"/>
    <s v="-"/>
    <s v="-"/>
    <x v="54"/>
    <s v="-"/>
    <x v="419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5441"/>
    <n v="24091485"/>
    <s v="ACC01"/>
    <x v="486"/>
    <d v="2025-11-21T11:54:41"/>
    <x v="3"/>
    <x v="3"/>
    <s v="MARUSDT"/>
    <s v="SABRE"/>
    <s v="NEVES/HENRIQUE"/>
    <s v="WU"/>
    <s v="WU"/>
    <d v="2025-11-21T07:55:00"/>
    <s v="MARUSD"/>
    <s v="-"/>
    <s v="ON LINE"/>
    <s v="Cartão de crédito"/>
    <s v="Cartão de crédito"/>
    <x v="1"/>
    <s v="N"/>
    <x v="71"/>
    <s v="Grupo Casas Bahia S.a."/>
    <s v="-"/>
    <s v="-"/>
    <s v="-"/>
    <x v="54"/>
    <s v="-"/>
    <x v="420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4910"/>
    <n v="24090938"/>
    <s v="ACC01"/>
    <x v="487"/>
    <d v="2025-11-21T10:22:01"/>
    <x v="3"/>
    <x v="3"/>
    <s v="KEQNWQT"/>
    <s v="SABRE"/>
    <s v="FRANKLIN/RENATO"/>
    <s v="Marcelo da Silva"/>
    <s v="Marcelo da Silva"/>
    <d v="2025-11-18T08:20:00"/>
    <s v="KEQNWQ"/>
    <s v="-"/>
    <s v="ON LINE"/>
    <s v="?"/>
    <s v="?"/>
    <x v="1"/>
    <s v="N"/>
    <x v="71"/>
    <s v="Grupo Casas Bahia S.a."/>
    <s v="-"/>
    <s v="-"/>
    <s v="-"/>
    <x v="54"/>
    <s v="-"/>
    <x v="421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64911"/>
    <n v="24090939"/>
    <s v="ACC01"/>
    <x v="488"/>
    <d v="2025-11-21T10:22:06"/>
    <x v="3"/>
    <x v="3"/>
    <s v="QQDZVVT"/>
    <s v="SABRE"/>
    <s v="FRANKLIN/RENATO"/>
    <s v="Marcelo da Silva"/>
    <s v="Marcelo da Silva"/>
    <d v="2025-11-18T08:04:00"/>
    <s v="QQDZVV"/>
    <s v="-"/>
    <s v="ON LINE"/>
    <s v="?"/>
    <s v="?"/>
    <x v="1"/>
    <s v="N"/>
    <x v="71"/>
    <s v="Grupo Casas Bahia S.a."/>
    <s v="-"/>
    <s v="Slaviero Essential Campina Grande"/>
    <s v="-"/>
    <x v="54"/>
    <s v="-"/>
    <x v="42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4"/>
    <s v="Forma PG. e REC."/>
    <x v="0"/>
    <s v="Qualidade dos dados"/>
    <s v="KONTIK BUSINESS TRAVEL"/>
    <x v="3"/>
  </r>
  <r>
    <n v="23364912"/>
    <n v="24090940"/>
    <s v="ACC01"/>
    <x v="489"/>
    <d v="2025-11-21T10:22:09"/>
    <x v="3"/>
    <x v="3"/>
    <s v="LNFWKAT"/>
    <s v="SABRE"/>
    <s v="FRANKLIN/RENATO"/>
    <s v="Marcelo da Silva"/>
    <s v="Marcelo da Silva"/>
    <d v="2025-11-18T07:07:00"/>
    <s v="LNFWKA"/>
    <s v="-"/>
    <s v="ON LINE"/>
    <s v="?"/>
    <s v="?"/>
    <x v="1"/>
    <s v="N"/>
    <x v="71"/>
    <s v="Grupo Casas Bahia S.a."/>
    <s v="-"/>
    <s v="San Diego Suites Governador Valadares"/>
    <s v="-"/>
    <x v="54"/>
    <s v="-"/>
    <x v="42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4"/>
    <x v="4"/>
    <s v="Forma PG. e REC."/>
    <x v="0"/>
    <s v="Qualidade dos dados"/>
    <s v="KONTIK BUSINESS TRAVEL"/>
    <x v="3"/>
  </r>
  <r>
    <n v="23364913"/>
    <n v="24090941"/>
    <s v="ACC01"/>
    <x v="490"/>
    <d v="2025-11-21T10:22:12"/>
    <x v="3"/>
    <x v="3"/>
    <s v="UDTVPMT"/>
    <s v="SABRE"/>
    <s v="GAUTHIER/FREDERIC"/>
    <s v="Marcelo da Silva"/>
    <s v="Marcelo da Silva"/>
    <d v="2025-11-19T07:27:00"/>
    <s v="UDTVPM"/>
    <s v="-"/>
    <s v="ON LINE"/>
    <s v="Invoice"/>
    <s v="Faturado"/>
    <x v="1"/>
    <s v="N"/>
    <x v="71"/>
    <s v="Grupo Casas Bahia S.a."/>
    <s v="-"/>
    <s v="San Diego Suites Ipatinga"/>
    <s v="-"/>
    <x v="54"/>
    <s v="-"/>
    <x v="424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3"/>
    <n v="24090942"/>
    <s v="ACC02"/>
    <x v="490"/>
    <d v="2025-11-21T10:22:12"/>
    <x v="3"/>
    <x v="3"/>
    <s v="UDTVPMT"/>
    <s v="SABRE"/>
    <s v="GAUTHIER/FREDERIC"/>
    <s v="Marcelo da Silva"/>
    <s v="Marcelo da Silva"/>
    <d v="2025-11-19T07:27:00"/>
    <s v="UDTVPM"/>
    <s v="-"/>
    <s v="ON LINE"/>
    <s v="Invoice"/>
    <s v="Faturado"/>
    <x v="1"/>
    <s v="N"/>
    <x v="71"/>
    <s v="Grupo Casas Bahia S.a."/>
    <s v="-"/>
    <s v="Slaviero Essential Campina Grande"/>
    <s v="-"/>
    <x v="54"/>
    <s v="-"/>
    <x v="425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3"/>
    <n v="24090943"/>
    <s v="ACC03"/>
    <x v="490"/>
    <d v="2025-11-21T10:22:12"/>
    <x v="3"/>
    <x v="3"/>
    <s v="UDTVPMT"/>
    <s v="SABRE"/>
    <s v="GAUTHIER/FREDERIC"/>
    <s v="Marcelo da Silva"/>
    <s v="Marcelo da Silva"/>
    <d v="2025-11-19T07:27:00"/>
    <s v="UDTVPM"/>
    <s v="-"/>
    <s v="ON LINE"/>
    <s v="Invoice"/>
    <s v="Faturado"/>
    <x v="1"/>
    <s v="N"/>
    <x v="71"/>
    <s v="Grupo Casas Bahia S.a."/>
    <s v="-"/>
    <s v="-"/>
    <s v="-"/>
    <x v="54"/>
    <s v="-"/>
    <x v="426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5"/>
    <n v="24090945"/>
    <s v="ACC01"/>
    <x v="491"/>
    <d v="2025-11-21T10:22:15"/>
    <x v="3"/>
    <x v="3"/>
    <s v="DOYXZVT"/>
    <s v="SABRE"/>
    <s v="SPACCA/FLAVIO"/>
    <s v="Marcelo da Silva"/>
    <s v="Marcelo da Silva"/>
    <d v="2025-11-19T08:08:00"/>
    <s v="DOYXZV"/>
    <s v="-"/>
    <s v="ON LINE"/>
    <s v="Invoice"/>
    <s v="Faturado"/>
    <x v="1"/>
    <s v="N"/>
    <x v="71"/>
    <s v="Grupo Casas Bahia S.a."/>
    <s v="-"/>
    <s v="San Diego Suites Ipatinga"/>
    <s v="-"/>
    <x v="54"/>
    <s v="-"/>
    <x v="424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5"/>
    <n v="24090946"/>
    <s v="ACC02"/>
    <x v="491"/>
    <d v="2025-11-21T10:22:15"/>
    <x v="3"/>
    <x v="3"/>
    <s v="DOYXZVT"/>
    <s v="SABRE"/>
    <s v="SPACCA/FLAVIO"/>
    <s v="Marcelo da Silva"/>
    <s v="Marcelo da Silva"/>
    <d v="2025-11-19T08:08:00"/>
    <s v="DOYXZV"/>
    <s v="-"/>
    <s v="ON LINE"/>
    <s v="Invoice"/>
    <s v="Faturado"/>
    <x v="1"/>
    <s v="N"/>
    <x v="71"/>
    <s v="Grupo Casas Bahia S.a."/>
    <s v="-"/>
    <s v="Slaviero Essential Campina Grande"/>
    <s v="-"/>
    <x v="54"/>
    <s v="-"/>
    <x v="425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5"/>
    <n v="24090947"/>
    <s v="ACC03"/>
    <x v="491"/>
    <d v="2025-11-21T10:22:15"/>
    <x v="3"/>
    <x v="3"/>
    <s v="DOYXZVT"/>
    <s v="SABRE"/>
    <s v="SPACCA/FLAVIO"/>
    <s v="Marcelo da Silva"/>
    <s v="Marcelo da Silva"/>
    <d v="2025-11-19T08:08:00"/>
    <s v="DOYXZV"/>
    <s v="-"/>
    <s v="ON LINE"/>
    <s v="Invoice"/>
    <s v="Faturado"/>
    <x v="1"/>
    <s v="N"/>
    <x v="71"/>
    <s v="Grupo Casas Bahia S.a."/>
    <s v="-"/>
    <s v="-"/>
    <s v="-"/>
    <x v="54"/>
    <s v="-"/>
    <x v="426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7"/>
    <n v="24090949"/>
    <s v="ACC01"/>
    <x v="492"/>
    <d v="2025-11-21T10:22:34"/>
    <x v="3"/>
    <x v="3"/>
    <s v="UEACDBT"/>
    <s v="SABRE"/>
    <s v="CUNHA/VANESSA"/>
    <s v="Marcelo da Silva"/>
    <s v="Marcelo da Silva"/>
    <d v="2025-11-19T07:58:00"/>
    <s v="UEACDB"/>
    <s v="-"/>
    <s v="ON LINE"/>
    <s v="Invoice"/>
    <s v="Faturado"/>
    <x v="1"/>
    <s v="N"/>
    <x v="71"/>
    <s v="Grupo Casas Bahia S.a."/>
    <s v="-"/>
    <s v="San Diego Suites Ipatinga"/>
    <s v="-"/>
    <x v="54"/>
    <s v="-"/>
    <x v="424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7"/>
    <n v="24090950"/>
    <s v="ACC02"/>
    <x v="492"/>
    <d v="2025-11-21T10:22:34"/>
    <x v="3"/>
    <x v="3"/>
    <s v="UEACDBT"/>
    <s v="SABRE"/>
    <s v="CUNHA/VANESSA"/>
    <s v="Marcelo da Silva"/>
    <s v="Marcelo da Silva"/>
    <d v="2025-11-19T07:58:00"/>
    <s v="UEACDB"/>
    <s v="-"/>
    <s v="ON LINE"/>
    <s v="Invoice"/>
    <s v="Faturado"/>
    <x v="1"/>
    <s v="N"/>
    <x v="71"/>
    <s v="Grupo Casas Bahia S.a."/>
    <s v="-"/>
    <s v="Slaviero Essential Campina Grande"/>
    <s v="-"/>
    <x v="54"/>
    <s v="-"/>
    <x v="425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7"/>
    <n v="24090951"/>
    <s v="ACC03"/>
    <x v="492"/>
    <d v="2025-11-21T10:22:34"/>
    <x v="3"/>
    <x v="3"/>
    <s v="UEACDBT"/>
    <s v="SABRE"/>
    <s v="CUNHA/VANESSA"/>
    <s v="Marcelo da Silva"/>
    <s v="Marcelo da Silva"/>
    <d v="2025-11-19T07:58:00"/>
    <s v="UEACDB"/>
    <s v="-"/>
    <s v="ON LINE"/>
    <s v="Invoice"/>
    <s v="Faturado"/>
    <x v="1"/>
    <s v="N"/>
    <x v="71"/>
    <s v="Grupo Casas Bahia S.a."/>
    <s v="-"/>
    <s v="-"/>
    <s v="-"/>
    <x v="54"/>
    <s v="-"/>
    <x v="426"/>
    <n v="0"/>
    <n v="0"/>
    <n v="0"/>
    <n v="0"/>
    <n v="0"/>
    <n v="0"/>
    <s v="Reserva importada por HubTravel"/>
    <s v="Fornecedor não preenchido! (ACC03)"/>
    <x v="4"/>
    <x v="1"/>
    <s v="Campo Fornecedor"/>
    <x v="0"/>
    <s v="Qualidade dos dados"/>
    <s v="KONTIK BUSINESS TRAVEL"/>
    <x v="3"/>
  </r>
  <r>
    <n v="23364919"/>
    <n v="24090953"/>
    <s v="ACC01"/>
    <x v="493"/>
    <d v="2025-11-21T10:22:57"/>
    <x v="3"/>
    <x v="3"/>
    <s v="MZCLQJT"/>
    <s v="SABRE"/>
    <s v="SEGATTO/FERNANDO"/>
    <s v="Marcelo da Silva"/>
    <s v="Marcelo da Silva"/>
    <d v="2025-11-19T07:50:00"/>
    <s v="MZCLQJ"/>
    <s v="-"/>
    <s v="ON LINE"/>
    <s v="Invoice"/>
    <s v="Faturado"/>
    <x v="1"/>
    <s v="N"/>
    <x v="71"/>
    <s v="Grupo Casas Bahia S.a."/>
    <s v="-"/>
    <s v="-"/>
    <s v="-"/>
    <x v="54"/>
    <s v="-"/>
    <x v="426"/>
    <n v="0"/>
    <n v="0"/>
    <n v="0"/>
    <n v="0"/>
    <n v="0"/>
    <n v="0"/>
    <s v="Reserva importada por HubTravel"/>
    <s v="Fornecedor não preenchido! (ACC01)"/>
    <x v="4"/>
    <x v="1"/>
    <s v="Campo Fornecedor"/>
    <x v="0"/>
    <s v="Qualidade dos dados"/>
    <s v="KONTIK BUSINESS TRAVEL"/>
    <x v="3"/>
  </r>
  <r>
    <n v="23343031"/>
    <n v="24070783"/>
    <s v="ACC01"/>
    <x v="494"/>
    <d v="2025-11-17T20:51:31"/>
    <x v="0"/>
    <x v="0"/>
    <s v="5TXB6Y"/>
    <s v="TMS"/>
    <s v="Kuerten/Gustavo Kuerten"/>
    <s v="Cintya Cocco Figueiredo"/>
    <s v="Cintya Cocco Figueiredo"/>
    <d v="2025-11-17T18:28:00"/>
    <n v="1921"/>
    <s v="-"/>
    <s v="OFF LINE"/>
    <s v="Cartão de crédito"/>
    <s v="Cartão AMEX"/>
    <x v="0"/>
    <s v="N"/>
    <x v="72"/>
    <s v="Genial Institucional"/>
    <s v="-"/>
    <s v="Azul Linhas Aereas"/>
    <n v="3024070783"/>
    <x v="32"/>
    <s v="-"/>
    <x v="0"/>
    <n v="98"/>
    <n v="0"/>
    <n v="0"/>
    <n v="0"/>
    <n v="0"/>
    <n v="0"/>
    <s v="Reserva importada do Sistema TMS. OS: 1921"/>
    <s v="Tarifa mínima não preenchida! (ACC01)"/>
    <x v="5"/>
    <x v="0"/>
    <s v="Falta de informação Gerencial"/>
    <x v="0"/>
    <s v="Qualidade dos dados"/>
    <s v="KONTIK BUSINESS TRAVEL"/>
    <x v="3"/>
  </r>
  <r>
    <n v="23356574"/>
    <n v="24083568"/>
    <s v="ACC01"/>
    <x v="495"/>
    <d v="2025-11-19T19:07:33"/>
    <x v="3"/>
    <x v="3"/>
    <s v="FFAJFIT"/>
    <s v="SABRE"/>
    <s v="SANTOS JUNIOR/JORGE LUCIO DOS"/>
    <s v="WS"/>
    <s v="WS"/>
    <d v="2025-11-18T05:36:00"/>
    <s v="3PWW"/>
    <s v="-"/>
    <s v="ON LINE"/>
    <s v="Cartão de crédito"/>
    <s v="Cartão de crédito"/>
    <x v="1"/>
    <s v="N"/>
    <x v="73"/>
    <s v="Atento Brasil S/a"/>
    <s v="-"/>
    <s v="-"/>
    <s v="-"/>
    <x v="55"/>
    <s v="-"/>
    <x v="427"/>
    <n v="68.2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45957"/>
    <n v="24073260"/>
    <s v="ACC01"/>
    <x v="496"/>
    <d v="2025-11-18T10:01:38"/>
    <x v="0"/>
    <x v="0"/>
    <s v="OSTZEDT"/>
    <s v="SABRE"/>
    <s v="SANTOS JUNIOR/JORGE LUCIO DOS"/>
    <s v="WS"/>
    <s v="WS"/>
    <d v="2025-11-18T05:44:00"/>
    <s v="3PWX"/>
    <s v="-"/>
    <s v="ON LINE"/>
    <s v="Cartão de crédito"/>
    <s v="Cartão de crédito"/>
    <x v="1"/>
    <s v="N"/>
    <x v="73"/>
    <s v="Atento Brasil S/a"/>
    <s v="-"/>
    <s v="-"/>
    <s v="-"/>
    <x v="55"/>
    <s v="-"/>
    <x v="428"/>
    <n v="63.4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56131"/>
    <n v="24083120"/>
    <s v="ACC01"/>
    <x v="497"/>
    <d v="2025-11-21T18:36:40"/>
    <x v="3"/>
    <x v="3"/>
    <s v="GBBSAST"/>
    <s v="SABRE"/>
    <s v="OLIVEIRA/CINTIA LEITE DE"/>
    <s v="WS"/>
    <s v="WS"/>
    <d v="2025-11-17T10:24:00"/>
    <s v="3PWN"/>
    <s v="-"/>
    <s v="ON LINE"/>
    <s v="Invoice"/>
    <s v="Faturado"/>
    <x v="1"/>
    <s v="N"/>
    <x v="73"/>
    <s v="Atento Brasil S/a"/>
    <s v="-"/>
    <s v="-"/>
    <s v="-"/>
    <x v="55"/>
    <s v="-"/>
    <x v="429"/>
    <n v="0"/>
    <n v="0"/>
    <n v="0"/>
    <n v="0"/>
    <n v="0"/>
    <n v="0"/>
    <s v="Reserva importada por HubTravel"/>
    <s v="Fornecedor não preenchido! (ACC01)"/>
    <x v="4"/>
    <x v="1"/>
    <s v="Campo Fornecedor"/>
    <x v="0"/>
    <s v="Sistêmico"/>
    <s v="GRUPO KONTIK"/>
    <x v="1"/>
  </r>
  <r>
    <n v="23340517"/>
    <n v="24068275"/>
    <s v="ACC01"/>
    <x v="498"/>
    <d v="2025-11-17T15:53:08"/>
    <x v="0"/>
    <x v="0"/>
    <s v="5TFVO5"/>
    <s v="TMS"/>
    <s v="SORAYA BATISTA"/>
    <s v="Etiana Cidade Moraes"/>
    <s v="Etiana Cidade Moraes"/>
    <d v="2025-11-17T09:37:00"/>
    <n v="3727"/>
    <s v="Feira de Santana / BA, Brasil (FEC)"/>
    <s v="OFF LINE"/>
    <s v="Cartão de crédito"/>
    <s v="Cartão de crédito"/>
    <x v="2"/>
    <s v="N"/>
    <x v="74"/>
    <s v="Pepsico Amacoco Bebidas do Brasil Ltda"/>
    <s v="-"/>
    <s v="Movida - Br - Ba - Feira de Santana - Capuchinhos"/>
    <s v="-"/>
    <x v="56"/>
    <s v="-"/>
    <x v="430"/>
    <n v="0"/>
    <n v="0"/>
    <n v="0"/>
    <n v="0"/>
    <n v="0"/>
    <n v="0"/>
    <s v="Reserva importada do Sistema TMS. OS: 3727"/>
    <s v="Fornecedor não preenchido! (ACC01)"/>
    <x v="5"/>
    <x v="1"/>
    <s v="Campo Fornecedor"/>
    <x v="0"/>
    <s v="Qualidade dos dados"/>
    <s v="KONTIK BUSINESS TRAVEL"/>
    <x v="2"/>
  </r>
  <r>
    <n v="23340073"/>
    <n v="24067854"/>
    <s v="ACC01"/>
    <x v="499"/>
    <d v="2025-11-24T01:50:16"/>
    <x v="4"/>
    <x v="0"/>
    <s v="5TQVU5"/>
    <s v="TMS"/>
    <s v="MAIRA PORTELA"/>
    <s v="Tms"/>
    <s v="Tms"/>
    <d v="2025-11-17T13:52:00"/>
    <n v="6178"/>
    <s v="-"/>
    <s v="OFF LINE"/>
    <s v="Invoice"/>
    <s v="Faturado"/>
    <x v="3"/>
    <s v="N"/>
    <x v="75"/>
    <s v="Bernoulli Sistema de Ensino - Belo Horizonte"/>
    <s v="-"/>
    <s v="-"/>
    <s v="-"/>
    <x v="57"/>
    <s v="-"/>
    <x v="431"/>
    <n v="36.8"/>
    <n v="0"/>
    <n v="0"/>
    <n v="0"/>
    <n v="0"/>
    <n v="0"/>
    <s v="Reserva importada do Sistema TMS. OS: 6178"/>
    <s v="Fornecedor não preenchido! (ACC01)"/>
    <x v="5"/>
    <x v="1"/>
    <s v="Campo Fornecedor"/>
    <x v="0"/>
    <s v="Qualidade dos dados"/>
    <s v="KONTIK BUSINESS TRAVEL"/>
    <x v="2"/>
  </r>
  <r>
    <n v="23340074"/>
    <n v="24067855"/>
    <s v="ACC01"/>
    <x v="500"/>
    <d v="2025-11-24T01:50:16"/>
    <x v="4"/>
    <x v="0"/>
    <s v="5TWFJT"/>
    <s v="TMS"/>
    <s v="MAIRA PORTELA"/>
    <s v="Tms"/>
    <s v="Tms"/>
    <d v="2025-11-17T13:52:00"/>
    <n v="6178"/>
    <s v="-"/>
    <s v="OFF LINE"/>
    <s v="Invoice"/>
    <s v="Faturado"/>
    <x v="3"/>
    <s v="N"/>
    <x v="75"/>
    <s v="Bernoulli Sistema de Ensino - Belo Horizonte"/>
    <s v="-"/>
    <s v="-"/>
    <s v="-"/>
    <x v="57"/>
    <s v="-"/>
    <x v="432"/>
    <n v="37.22"/>
    <n v="0"/>
    <n v="0"/>
    <n v="0"/>
    <n v="0"/>
    <n v="0"/>
    <s v="Reserva importada do Sistema TMS. OS: 6178"/>
    <s v="Fornecedor não preenchido! (ACC01)"/>
    <x v="5"/>
    <x v="1"/>
    <s v="Campo Fornecedor"/>
    <x v="0"/>
    <s v="Qualidade dos dados"/>
    <s v="KONTIK BUSINESS TRAVEL"/>
    <x v="2"/>
  </r>
  <r>
    <n v="23340070"/>
    <n v="24067851"/>
    <s v="ACC01"/>
    <x v="501"/>
    <d v="2025-11-24T01:50:16"/>
    <x v="4"/>
    <x v="0"/>
    <s v="5TLDUG"/>
    <s v="TMS"/>
    <s v="MAIRA PORTELA"/>
    <s v="Tms"/>
    <s v="Tms"/>
    <d v="2025-11-17T13:52:00"/>
    <n v="6179"/>
    <s v="-"/>
    <s v="OFF LINE"/>
    <s v="Invoice"/>
    <s v="Faturado"/>
    <x v="3"/>
    <s v="N"/>
    <x v="75"/>
    <s v="Bernoulli Sistema de Ensino - Belo Horizonte"/>
    <s v="-"/>
    <s v="-"/>
    <s v="-"/>
    <x v="57"/>
    <s v="-"/>
    <x v="431"/>
    <n v="36.8"/>
    <n v="0"/>
    <n v="0"/>
    <n v="0"/>
    <n v="0"/>
    <n v="0"/>
    <s v="Reserva importada do Sistema TMS. OS: 6179"/>
    <s v="Fornecedor não preenchido! (ACC01)"/>
    <x v="5"/>
    <x v="1"/>
    <s v="Campo Fornecedor"/>
    <x v="0"/>
    <s v="Qualidade dos dados"/>
    <s v="KONTIK BUSINESS TRAVEL"/>
    <x v="2"/>
  </r>
  <r>
    <n v="23340071"/>
    <n v="24067852"/>
    <s v="ACC01"/>
    <x v="501"/>
    <d v="2025-11-24T01:50:16"/>
    <x v="4"/>
    <x v="0"/>
    <s v="5T0VJG"/>
    <s v="TMS"/>
    <s v="MAIRA PORTELA"/>
    <s v="Tms"/>
    <s v="Tms"/>
    <d v="2025-11-17T13:52:00"/>
    <n v="6179"/>
    <s v="-"/>
    <s v="OFF LINE"/>
    <s v="Invoice"/>
    <s v="Faturado"/>
    <x v="3"/>
    <s v="N"/>
    <x v="75"/>
    <s v="Bernoulli Sistema de Ensino - Belo Horizonte"/>
    <s v="-"/>
    <s v="-"/>
    <s v="-"/>
    <x v="57"/>
    <s v="-"/>
    <x v="432"/>
    <n v="37.22"/>
    <n v="0"/>
    <n v="0"/>
    <n v="0"/>
    <n v="0"/>
    <n v="0"/>
    <s v="Reserva importada do Sistema TMS. OS: 6179"/>
    <s v="Fornecedor não preenchido! (ACC01)"/>
    <x v="5"/>
    <x v="1"/>
    <s v="Campo Fornecedor"/>
    <x v="0"/>
    <s v="Qualidade dos dados"/>
    <s v="KONTIK BUSINESS TRAVEL"/>
    <x v="2"/>
  </r>
  <r>
    <n v="23272513"/>
    <n v="24005117"/>
    <s v="ACC01"/>
    <x v="502"/>
    <d v="2025-11-06T17:21:06"/>
    <x v="1"/>
    <x v="1"/>
    <s v="5RCRUF"/>
    <s v="TMS"/>
    <s v="SANDRA NEGRINI"/>
    <s v="Thais Peixoto de Melo"/>
    <s v="Thais Peixoto de Melo"/>
    <d v="2025-11-06T11:00:00"/>
    <n v="5859"/>
    <s v="-"/>
    <s v="OFF LINE"/>
    <s v="Invoice"/>
    <s v="Faturado"/>
    <x v="1"/>
    <s v="N"/>
    <x v="75"/>
    <s v="Bernoulli Sistema de Ensino - Belo Horizonte"/>
    <s v="-"/>
    <s v="-"/>
    <s v="-"/>
    <x v="57"/>
    <s v="-"/>
    <x v="433"/>
    <n v="0"/>
    <n v="0"/>
    <n v="0"/>
    <n v="0"/>
    <n v="0"/>
    <n v="0"/>
    <s v="Reserva importada do Sistema TMS. OS: 5859"/>
    <s v="Fornecedor não preenchido! (ACC01)"/>
    <x v="5"/>
    <x v="1"/>
    <s v="Campo Fornecedor"/>
    <x v="0"/>
    <s v="Qualidade dos dados"/>
    <s v="KONTIK BUSINESS TRAVEL"/>
    <x v="2"/>
  </r>
  <r>
    <n v="23368554"/>
    <n v="24094514"/>
    <s v="ACC01"/>
    <x v="503"/>
    <d v="2025-11-21T22:01:55"/>
    <x v="3"/>
    <x v="3"/>
    <s v="5UIWXQ"/>
    <s v="TMS"/>
    <s v="MARCOS MUNIZ"/>
    <s v="Thais Peixoto de Melo"/>
    <s v="Thais Peixoto de Melo"/>
    <d v="2025-11-21T16:55:00"/>
    <n v="6214"/>
    <s v="-"/>
    <s v="OFF LINE"/>
    <s v="Invoice"/>
    <s v="Faturado"/>
    <x v="1"/>
    <s v="N"/>
    <x v="75"/>
    <s v="Bernoulli Sistema de Ensino - Belo Horizonte"/>
    <s v="-"/>
    <s v="-"/>
    <s v="-"/>
    <x v="57"/>
    <s v="-"/>
    <x v="434"/>
    <n v="0"/>
    <n v="0"/>
    <n v="0"/>
    <n v="0"/>
    <n v="0"/>
    <n v="0"/>
    <s v="Reserva importada do Sistema TMS. OS: 6214"/>
    <s v="Fornecedor não preenchido! (ACC01)"/>
    <x v="5"/>
    <x v="1"/>
    <s v="Campo Fornecedor"/>
    <x v="0"/>
    <s v="Qualidade dos dados"/>
    <s v="KONTIK BUSINESS TRAVEL"/>
    <x v="2"/>
  </r>
  <r>
    <n v="23368555"/>
    <n v="24094515"/>
    <s v="ACC01"/>
    <x v="504"/>
    <d v="2025-11-21T22:01:56"/>
    <x v="3"/>
    <x v="3"/>
    <s v="5UBCWZ"/>
    <s v="TMS"/>
    <s v="MARCOS MUNIZ"/>
    <s v="Thais Peixoto de Melo"/>
    <s v="Thais Peixoto de Melo"/>
    <d v="2025-11-21T16:49:00"/>
    <n v="6212"/>
    <s v="-"/>
    <s v="OFF LINE"/>
    <s v="Invoice"/>
    <s v="Faturado"/>
    <x v="1"/>
    <s v="N"/>
    <x v="75"/>
    <s v="Bernoulli Sistema de Ensino - Belo Horizonte"/>
    <s v="-"/>
    <s v="-"/>
    <s v="-"/>
    <x v="57"/>
    <s v="-"/>
    <x v="435"/>
    <n v="0"/>
    <n v="0"/>
    <n v="0"/>
    <n v="0"/>
    <n v="0"/>
    <n v="0"/>
    <s v="Reserva importada do Sistema TMS. OS: 6212"/>
    <s v="Fornecedor não preenchido! (ACC01)"/>
    <x v="5"/>
    <x v="1"/>
    <s v="Campo Fornecedor"/>
    <x v="0"/>
    <s v="Qualidade dos dados"/>
    <s v="KONTIK BUSINESS TRAVEL"/>
    <x v="2"/>
  </r>
  <r>
    <n v="23324473"/>
    <n v="24053962"/>
    <s v="ACC01"/>
    <x v="505"/>
    <d v="2025-11-14T13:57:47"/>
    <x v="2"/>
    <x v="2"/>
    <s v="5TK9ND"/>
    <s v="TMS"/>
    <s v="TOMAZ TAVARES"/>
    <s v="Tms"/>
    <s v="Tms"/>
    <d v="2025-11-14T10:18:00"/>
    <n v="6154"/>
    <s v="Caruaru / CAU"/>
    <s v="ON LINE"/>
    <s v="Invoice"/>
    <s v="Faturado"/>
    <x v="2"/>
    <s v="N"/>
    <x v="75"/>
    <s v="Bernoulli Sistema de Ensino - Belo Horizonte"/>
    <s v="-"/>
    <s v="Localiza - Br - Pe - Caruaru - Agamenom Magalhaes"/>
    <s v="-"/>
    <x v="57"/>
    <s v="-"/>
    <x v="436"/>
    <n v="0"/>
    <n v="0"/>
    <n v="0"/>
    <n v="0"/>
    <n v="0"/>
    <n v="0"/>
    <s v="Reserva importada do Sistema TMS. OS: 6154"/>
    <s v="Fornecedor não preenchido! (ACC01)"/>
    <x v="5"/>
    <x v="1"/>
    <s v="Campo Fornecedor"/>
    <x v="0"/>
    <s v="Qualidade dos dados"/>
    <s v="KONTIK BUSINESS TRAVEL"/>
    <x v="2"/>
  </r>
  <r>
    <n v="23350314"/>
    <n v="24077702"/>
    <s v="ACC01"/>
    <x v="506"/>
    <d v="2025-11-18T21:15:55"/>
    <x v="0"/>
    <x v="0"/>
    <s v="5T7QQK"/>
    <s v="TMS"/>
    <s v="CRISTINA LIBARDI"/>
    <s v="Tms"/>
    <s v="Tms"/>
    <d v="2025-11-18T17:32:00"/>
    <n v="6261"/>
    <s v="Vila Velha / VIX"/>
    <s v="ON LINE"/>
    <s v="Invoice"/>
    <s v="Faturado"/>
    <x v="2"/>
    <s v="N"/>
    <x v="75"/>
    <s v="Bernoulli Sistema de Ensino - Belo Horizonte"/>
    <s v="-"/>
    <s v="Localiza - Br - Es - Vila Velha"/>
    <s v="-"/>
    <x v="57"/>
    <s v="-"/>
    <x v="437"/>
    <n v="0"/>
    <n v="0"/>
    <n v="0"/>
    <n v="0"/>
    <n v="0"/>
    <n v="0"/>
    <s v="Reserva importada do Sistema TMS. OS: 6261"/>
    <s v="Fornecedor não preenchido! (ACC01)"/>
    <x v="5"/>
    <x v="1"/>
    <s v="Campo Fornecedor"/>
    <x v="0"/>
    <s v="Qualidade dos dados"/>
    <s v="KONTIK BUSINESS TRAVEL"/>
    <x v="2"/>
  </r>
  <r>
    <n v="23350320"/>
    <n v="24077707"/>
    <s v="ACC01"/>
    <x v="507"/>
    <d v="2025-11-18T21:16:07"/>
    <x v="0"/>
    <x v="0"/>
    <s v="5TLZQK"/>
    <s v="TMS"/>
    <s v="SANDRA NEGRINI"/>
    <s v="Tms"/>
    <s v="Tms"/>
    <d v="2025-11-18T17:31:00"/>
    <n v="6254"/>
    <s v="Vinhedo / CPQ"/>
    <s v="ON LINE"/>
    <s v="Invoice"/>
    <s v="Faturado"/>
    <x v="2"/>
    <s v="N"/>
    <x v="75"/>
    <s v="Bernoulli Sistema de Ensino - Belo Horizonte"/>
    <s v="-"/>
    <s v="Localiza - Br - Sp - Vinhedo - Casa Verde"/>
    <s v="-"/>
    <x v="57"/>
    <s v="-"/>
    <x v="438"/>
    <n v="0"/>
    <n v="0"/>
    <n v="0"/>
    <n v="0"/>
    <n v="0"/>
    <n v="0"/>
    <s v="Reserva importada do Sistema TMS. OS: 6254"/>
    <s v="Fornecedor não preenchido! (ACC01)"/>
    <x v="5"/>
    <x v="1"/>
    <s v="Campo Fornecedor"/>
    <x v="0"/>
    <s v="Qualidade dos dados"/>
    <s v="KONTIK BUSINESS TRAVEL"/>
    <x v="2"/>
  </r>
  <r>
    <n v="23368544"/>
    <n v="24094504"/>
    <s v="ACC01"/>
    <x v="508"/>
    <d v="2025-11-21T21:56:59"/>
    <x v="3"/>
    <x v="3"/>
    <s v="5UM2WA"/>
    <s v="TMS"/>
    <s v="RAFAEL OLIVEIRA"/>
    <s v="Tms"/>
    <s v="Tms"/>
    <d v="2025-11-21T17:58:00"/>
    <n v="6314"/>
    <s v="Aracaju / AJU"/>
    <s v="ON LINE"/>
    <s v="Invoice"/>
    <s v="Faturado"/>
    <x v="2"/>
    <s v="N"/>
    <x v="75"/>
    <s v="Bernoulli Sistema de Ensino - Belo Horizonte"/>
    <s v="-"/>
    <s v="-"/>
    <s v="-"/>
    <x v="57"/>
    <s v="-"/>
    <x v="439"/>
    <n v="0"/>
    <n v="0"/>
    <n v="0"/>
    <n v="0"/>
    <n v="0"/>
    <n v="0"/>
    <s v="Reserva importada do Sistema TMS. OS: 6314"/>
    <s v="Fornecedor não preenchido! (ACC01)"/>
    <x v="5"/>
    <x v="1"/>
    <s v="Campo Fornecedor"/>
    <x v="0"/>
    <s v="Qualidade dos dados"/>
    <s v="KONTIK BUSINESS TRAVEL"/>
    <x v="2"/>
  </r>
  <r>
    <n v="23357701"/>
    <n v="24084702"/>
    <s v="ACC01"/>
    <x v="509"/>
    <d v="2025-11-19T22:25:51"/>
    <x v="3"/>
    <x v="3"/>
    <s v="5TR46L"/>
    <s v="TMS"/>
    <s v="RAFAEL MARQUES BRUNHOLI"/>
    <s v="Tms"/>
    <s v="Tms"/>
    <d v="2025-11-19T16:20:00"/>
    <n v="49138"/>
    <s v="Jundiaí / QDV"/>
    <s v="ON LINE"/>
    <s v="Invoice"/>
    <s v="Faturado"/>
    <x v="2"/>
    <s v="N"/>
    <x v="76"/>
    <s v="Motiva Filial"/>
    <s v="-"/>
    <s v="Movida - Br - Sp - Jundiai - Vila Mafalda"/>
    <s v="-"/>
    <x v="58"/>
    <s v="-"/>
    <x v="440"/>
    <n v="0"/>
    <n v="0"/>
    <n v="0"/>
    <n v="0"/>
    <n v="0"/>
    <n v="0"/>
    <s v="Reserva importada do Sistema TMS. OS: 49138"/>
    <s v="Fornecedor não preenchido! (ACC01)"/>
    <x v="5"/>
    <x v="1"/>
    <s v="Campo Fornecedor"/>
    <x v="0"/>
    <s v="Qualidade dos dados"/>
    <s v="KONTIK BUSINESS TRAVEL"/>
    <x v="2"/>
  </r>
  <r>
    <n v="23354998"/>
    <n v="24081977"/>
    <s v="ACC01"/>
    <x v="510"/>
    <d v="2025-11-19T15:48:55"/>
    <x v="3"/>
    <x v="3"/>
    <s v="5TH0MN"/>
    <s v="TMS"/>
    <s v="EVERTON MARQUES CORREIA"/>
    <s v="Tms"/>
    <s v="Tms"/>
    <d v="2025-11-19T14:43:00"/>
    <n v="49108"/>
    <s v="Jundiaí / QDV"/>
    <s v="ON LINE"/>
    <s v="Invoice"/>
    <s v="Faturado"/>
    <x v="2"/>
    <s v="N"/>
    <x v="76"/>
    <s v="Riosp"/>
    <s v="-"/>
    <s v="Movida - Br - Sp - Jundiai - Vila Mafalda"/>
    <s v="-"/>
    <x v="58"/>
    <s v="-"/>
    <x v="441"/>
    <n v="0"/>
    <n v="0"/>
    <n v="0"/>
    <n v="0"/>
    <n v="0"/>
    <n v="0"/>
    <s v="Reserva importada do Sistema TMS. OS: 49108"/>
    <s v="Fornecedor não preenchido! (ACC01)"/>
    <x v="5"/>
    <x v="1"/>
    <s v="Campo Fornecedor"/>
    <x v="0"/>
    <s v="Qualidade dos dados"/>
    <s v="KONTIK BUSINESS TRAVEL"/>
    <x v="2"/>
  </r>
  <r>
    <n v="23343113"/>
    <n v="24070866"/>
    <s v="ACC01"/>
    <x v="511"/>
    <d v="2025-11-17T21:21:29"/>
    <x v="0"/>
    <x v="0"/>
    <s v="5T6DHY"/>
    <s v="TMS"/>
    <s v="ELLEN CHIOCHETTI DA SILVA"/>
    <s v="Tms"/>
    <s v="Tms"/>
    <d v="2025-11-17T17:37:00"/>
    <n v="48896"/>
    <s v="Jundiaí / QDV"/>
    <s v="ON LINE"/>
    <s v="Invoice"/>
    <s v="Faturado"/>
    <x v="2"/>
    <s v="N"/>
    <x v="76"/>
    <s v="Motiva Filial"/>
    <s v="-"/>
    <s v="Movida - Br - Sp - Jundiai - Vila Mafalda"/>
    <s v="-"/>
    <x v="58"/>
    <s v="-"/>
    <x v="442"/>
    <n v="0"/>
    <n v="0"/>
    <n v="0"/>
    <n v="0"/>
    <n v="0"/>
    <n v="0"/>
    <s v="Reserva importada do Sistema TMS. OS: 48896"/>
    <s v="Fornecedor não preenchido! (ACC01)"/>
    <x v="5"/>
    <x v="1"/>
    <s v="Campo Fornecedor"/>
    <x v="0"/>
    <s v="Qualidade dos dados"/>
    <s v="KONTIK BUSINESS TRAVEL"/>
    <x v="2"/>
  </r>
  <r>
    <n v="23327631"/>
    <n v="24057219"/>
    <s v="ACC01"/>
    <x v="512"/>
    <d v="2025-11-17T06:10:40"/>
    <x v="0"/>
    <x v="2"/>
    <s v="5TB1UR"/>
    <s v="TMS"/>
    <s v="TASSIA FRAGUAS"/>
    <s v="Tms"/>
    <s v="Tms"/>
    <d v="2025-11-14T16:45:00"/>
    <n v="48750"/>
    <s v="-"/>
    <s v="ON LINE"/>
    <s v="Invoice"/>
    <s v="Faturado"/>
    <x v="1"/>
    <s v="N"/>
    <x v="76"/>
    <s v="Bloco Central"/>
    <s v="-"/>
    <s v="Brasil 21 Convention Suites - Inativo"/>
    <s v="-"/>
    <x v="58"/>
    <s v="-"/>
    <x v="443"/>
    <n v="0"/>
    <n v="0"/>
    <n v="0"/>
    <n v="0"/>
    <n v="25.95"/>
    <n v="0"/>
    <s v="Reserva importada do Sistema TMS. OS: 48750"/>
    <s v="Não foi possível encontrar um contrato válido para o fornecedor 17987 (Código fornecedor) "/>
    <x v="5"/>
    <x v="14"/>
    <s v="Análise Cadastro"/>
    <x v="0"/>
    <s v="Qualidade dos dados"/>
    <s v="KONTIK BUSINESS TRAVEL"/>
    <x v="2"/>
  </r>
  <r>
    <n v="23368881"/>
    <n v="24094843"/>
    <s v="ACC01"/>
    <x v="513"/>
    <d v="2025-11-21T22:57:50"/>
    <x v="3"/>
    <x v="3"/>
    <s v="5UGZRZ"/>
    <s v="TMS"/>
    <s v="VINICIUS FERNANDO NEVOA"/>
    <s v="Flavio Roberto Ferreira"/>
    <s v="Flavio Roberto Ferreira"/>
    <d v="2025-11-21T18:43:00"/>
    <n v="48021"/>
    <s v="-"/>
    <s v="OFF LINE"/>
    <s v="Invoice"/>
    <s v="Faturado"/>
    <x v="1"/>
    <s v="N"/>
    <x v="76"/>
    <s v="Motiva Filial"/>
    <s v="-"/>
    <s v="-"/>
    <s v="-"/>
    <x v="58"/>
    <s v="-"/>
    <x v="444"/>
    <n v="0"/>
    <n v="0"/>
    <n v="0"/>
    <n v="0"/>
    <n v="0"/>
    <n v="0"/>
    <s v="Reserva importada do Sistema TMS. OS: 48021"/>
    <s v="Fornecedor não preenchido! (ACC01)"/>
    <x v="5"/>
    <x v="1"/>
    <s v="Campo Fornecedor"/>
    <x v="0"/>
    <s v="Qualidade dos dados"/>
    <s v="KONTIK BUSINESS TRAVEL"/>
    <x v="2"/>
  </r>
  <r>
    <n v="23368888"/>
    <n v="24094850"/>
    <s v="ACC01"/>
    <x v="514"/>
    <d v="2025-11-21T23:01:51"/>
    <x v="3"/>
    <x v="3"/>
    <s v="5UQ241"/>
    <s v="TMS"/>
    <s v="LEANDRO MOTTA QUEIROZ"/>
    <s v="Flavio Roberto Ferreira"/>
    <s v="Flavio Roberto Ferreira"/>
    <d v="2025-11-21T18:39:00"/>
    <n v="48020"/>
    <s v="-"/>
    <s v="OFF LINE"/>
    <s v="Invoice"/>
    <s v="Faturado"/>
    <x v="1"/>
    <s v="N"/>
    <x v="76"/>
    <s v="Motiva Filial"/>
    <s v="-"/>
    <s v="-"/>
    <s v="-"/>
    <x v="58"/>
    <s v="-"/>
    <x v="444"/>
    <n v="0"/>
    <n v="0"/>
    <n v="0"/>
    <n v="0"/>
    <n v="0"/>
    <n v="0"/>
    <s v="Reserva importada do Sistema TMS. OS: 48020"/>
    <s v="Fornecedor não preenchido! (ACC01)"/>
    <x v="5"/>
    <x v="1"/>
    <s v="Campo Fornecedor"/>
    <x v="0"/>
    <s v="Qualidade dos dados"/>
    <s v="KONTIK BUSINESS TRAVEL"/>
    <x v="2"/>
  </r>
  <r>
    <n v="23368894"/>
    <n v="24094856"/>
    <s v="ACC01"/>
    <x v="515"/>
    <d v="2025-11-21T23:02:50"/>
    <x v="3"/>
    <x v="3"/>
    <s v="5UJXF1"/>
    <s v="TMS"/>
    <s v="MARIO FERREIRA"/>
    <s v="Flavio Roberto Ferreira"/>
    <s v="Flavio Roberto Ferreira"/>
    <d v="2025-11-21T18:45:00"/>
    <n v="48019"/>
    <s v="-"/>
    <s v="OFF LINE"/>
    <s v="Invoice"/>
    <s v="Faturado"/>
    <x v="1"/>
    <s v="N"/>
    <x v="76"/>
    <s v="Motiva Filial"/>
    <s v="-"/>
    <s v="-"/>
    <s v="-"/>
    <x v="58"/>
    <s v="-"/>
    <x v="444"/>
    <n v="0"/>
    <n v="0"/>
    <n v="0"/>
    <n v="0"/>
    <n v="0"/>
    <n v="0"/>
    <s v="Reserva importada do Sistema TMS. OS: 48019"/>
    <s v="Fornecedor não preenchido! (ACC01)"/>
    <x v="5"/>
    <x v="1"/>
    <s v="Campo Fornecedor"/>
    <x v="0"/>
    <s v="Qualidade dos dados"/>
    <s v="KONTIK BUSINESS TRAVEL"/>
    <x v="2"/>
  </r>
  <r>
    <n v="23305348"/>
    <n v="24035996"/>
    <s v="ACC01"/>
    <x v="516"/>
    <d v="2025-11-11T19:10:49"/>
    <x v="2"/>
    <x v="2"/>
    <s v="5TUX2P"/>
    <s v="TMS"/>
    <s v="ROMAO ROMERO/JULIANA"/>
    <s v="Flavio Roberto Ferreira"/>
    <s v="Flavio Roberto Ferreira"/>
    <d v="2025-11-11T17:07:00"/>
    <n v="48381"/>
    <s v="-"/>
    <s v="OFF LINE"/>
    <s v="Cartão de crédito"/>
    <s v="Cartão AMEX"/>
    <x v="0"/>
    <s v="N"/>
    <x v="76"/>
    <s v="Metro Bahia"/>
    <s v="-"/>
    <s v="Latam Airlines Brasil"/>
    <n v="4460942374"/>
    <x v="58"/>
    <s v="-"/>
    <x v="0"/>
    <n v="92"/>
    <n v="0"/>
    <n v="0"/>
    <n v="0"/>
    <n v="0"/>
    <n v="0"/>
    <s v="Reserva importada do Sistema TMS. OS: 48381"/>
    <s v="Tarifa mínima não preenchida! (ACC01)"/>
    <x v="5"/>
    <x v="0"/>
    <s v="Falta de informação Gerencial"/>
    <x v="0"/>
    <s v="Qualidade dos dados"/>
    <s v="KONTIK BUSINESS TRAVEL"/>
    <x v="3"/>
  </r>
  <r>
    <n v="23302387"/>
    <n v="24033029"/>
    <s v="ACC01"/>
    <x v="517"/>
    <d v="2025-11-11T12:51:55"/>
    <x v="2"/>
    <x v="2"/>
    <s v="5RMXCN"/>
    <s v="TMS"/>
    <s v="DA SILVEIRA BRESSAN/SILVIA"/>
    <s v="Flavio Roberto Ferreira"/>
    <s v="Flavio Roberto Ferreira"/>
    <d v="2025-11-11T10:49:00"/>
    <n v="48264"/>
    <s v="-"/>
    <s v="OFF LINE"/>
    <s v="Cartão de crédito"/>
    <s v="Cartão AMEX"/>
    <x v="0"/>
    <s v="N"/>
    <x v="76"/>
    <s v="Vlt"/>
    <s v="-"/>
    <s v="Azul Linhas Aereas"/>
    <n v="3024033029"/>
    <x v="58"/>
    <s v="-"/>
    <x v="0"/>
    <n v="129"/>
    <n v="0"/>
    <n v="0"/>
    <n v="0"/>
    <n v="0"/>
    <n v="0"/>
    <s v="Reserva importada do Sistema TMS. OS: 48264"/>
    <s v="Tarifa mínima não preenchida! (ACC01)"/>
    <x v="5"/>
    <x v="0"/>
    <s v="Falta de informação Gerencial"/>
    <x v="0"/>
    <s v="Qualidade dos dados"/>
    <s v="KONTIK BUSINESS TRAVEL"/>
    <x v="3"/>
  </r>
  <r>
    <n v="23302386"/>
    <n v="24033028"/>
    <s v="ACC01"/>
    <x v="518"/>
    <d v="2025-11-11T12:51:54"/>
    <x v="2"/>
    <x v="2"/>
    <s v="5RLQCN"/>
    <s v="TMS"/>
    <s v="OLIVEIRA/LUCIANA"/>
    <s v="Flavio Roberto Ferreira"/>
    <s v="Flavio Roberto Ferreira"/>
    <d v="2025-11-11T10:48:00"/>
    <n v="48265"/>
    <s v="-"/>
    <s v="OFF LINE"/>
    <s v="Cartão de crédito"/>
    <s v="Cartão AMEX"/>
    <x v="0"/>
    <s v="N"/>
    <x v="76"/>
    <s v="Vialagos"/>
    <s v="-"/>
    <s v="Azul Linhas Aereas"/>
    <n v="3024033028"/>
    <x v="58"/>
    <s v="-"/>
    <x v="0"/>
    <n v="129"/>
    <n v="0"/>
    <n v="0"/>
    <n v="0"/>
    <n v="0"/>
    <n v="0"/>
    <s v="Reserva importada do Sistema TMS. OS: 48265"/>
    <s v="Tarifa mínima não preenchida! (ACC01)"/>
    <x v="5"/>
    <x v="0"/>
    <s v="Falta de informação Gerencial"/>
    <x v="0"/>
    <s v="Qualidade dos dados"/>
    <s v="KONTIK BUSINESS TRAVEL"/>
    <x v="3"/>
  </r>
  <r>
    <n v="21933235"/>
    <n v="22831878"/>
    <s v="ACC01"/>
    <x v="519"/>
    <d v="2025-11-11T08:46:31"/>
    <x v="2"/>
    <x v="5"/>
    <s v="MCMJJG1"/>
    <s v="TMS"/>
    <s v="RENATA RUGGIERO MORAES"/>
    <s v="Flavio Roberto Ferreira"/>
    <s v="Flavio Roberto Ferreira"/>
    <d v="2025-04-04T15:16:00"/>
    <n v="28891"/>
    <s v="-"/>
    <s v="OFF LINE"/>
    <s v="Cartão de crédito"/>
    <s v="Cartão AMEX"/>
    <x v="0"/>
    <s v="N"/>
    <x v="76"/>
    <s v="Instituto Motiva"/>
    <s v="-"/>
    <s v="Gol Linhas Aereas"/>
    <n v="2135308439"/>
    <x v="58"/>
    <s v="-"/>
    <x v="0"/>
    <n v="0"/>
    <n v="0"/>
    <n v="0"/>
    <n v="0"/>
    <n v="0"/>
    <n v="0"/>
    <s v="Reserva importada do Sistema TMS. OS: 28891"/>
    <s v="Autorização do cartão da forma de pagamento não preenchida! (ACC01) Autorização do cartão da forma de recebimento não preenchida! (ACC01)"/>
    <x v="5"/>
    <x v="10"/>
    <s v="Falta de informação Gerencial"/>
    <x v="0"/>
    <s v="Qualidade dos dados"/>
    <s v="KONTIK BUSINESS TRAVEL"/>
    <x v="3"/>
  </r>
  <r>
    <n v="23362718"/>
    <n v="24089227"/>
    <s v="ACC01"/>
    <x v="520"/>
    <d v="2025-11-20T21:28:13"/>
    <x v="3"/>
    <x v="3"/>
    <s v="5U2YBB"/>
    <s v="TMS"/>
    <s v="HERNAN RIOS"/>
    <s v="Tms"/>
    <s v="Tms"/>
    <d v="2025-11-20T16:05:00"/>
    <n v="17"/>
    <s v="-"/>
    <s v="ON LINE"/>
    <s v="Cartão de crédito"/>
    <s v="Cartão de crédito"/>
    <x v="1"/>
    <s v="N"/>
    <x v="77"/>
    <s v="Syngenta Crop"/>
    <s v="-"/>
    <s v="-"/>
    <s v="-"/>
    <x v="59"/>
    <s v="-"/>
    <x v="445"/>
    <n v="0"/>
    <n v="0"/>
    <n v="0"/>
    <n v="0"/>
    <n v="74.26000000000001"/>
    <n v="0"/>
    <s v="Reserva importada do Sistema TMS. OS: 17"/>
    <s v="Fornecedor não preenchido! (ACC01)"/>
    <x v="5"/>
    <x v="1"/>
    <s v="Campo Fornecedor"/>
    <x v="0"/>
    <s v="Sistêmico"/>
    <s v="GRUPO KONTIK"/>
    <x v="1"/>
  </r>
  <r>
    <m/>
    <m/>
    <m/>
    <x v="521"/>
    <m/>
    <x v="7"/>
    <x v="7"/>
    <m/>
    <m/>
    <m/>
    <m/>
    <m/>
    <m/>
    <m/>
    <m/>
    <m/>
    <m/>
    <m/>
    <x v="4"/>
    <m/>
    <x v="78"/>
    <m/>
    <m/>
    <m/>
    <m/>
    <x v="60"/>
    <m/>
    <x v="446"/>
    <m/>
    <m/>
    <m/>
    <m/>
    <m/>
    <m/>
    <m/>
    <m/>
    <x v="8"/>
    <x v="16"/>
    <m/>
    <x v="4"/>
    <m/>
    <m/>
    <x v="7"/>
  </r>
</pivotCacheRecords>
</file>

<file path=xl/pivotCache/pivotCacheRecords2.xml><?xml version="1.0" encoding="utf-8"?>
<pivotCacheRecords xmlns="http://schemas.openxmlformats.org/spreadsheetml/2006/main" count="601">
  <r>
    <n v="23343399"/>
    <n v="24071145"/>
    <s v="ACC01"/>
    <x v="0"/>
    <d v="2025-11-17T20:56:40"/>
    <s v="06 a 08 dias"/>
    <s v="06 a 08 dias"/>
    <s v="KOACLC "/>
    <s v="GOVER"/>
    <s v="RODRIGO CALEIRO"/>
    <s v="Juliana dos Santos Pinto"/>
    <s v="Juliana dos Santos Pinto"/>
    <x v="0"/>
    <n v="4628623"/>
    <s v="-"/>
    <s v="OFF LINE"/>
    <s v="Cartão de crédito"/>
    <s v="Cartão de crédito"/>
    <s v="Aéreo"/>
    <s v="N"/>
    <s v="Grupo Banco Bbm"/>
    <s v="Banco Bbm"/>
    <s v="-"/>
    <s v="Latam Airlines Brasil"/>
    <n v="2259761616"/>
    <s v="KON-OPE-RIO-PVI-BTC-BANCO BBM"/>
    <s v="-"/>
    <x v="0"/>
    <n v="0"/>
    <n v="0"/>
    <n v="0"/>
    <n v="0"/>
    <n v="0"/>
    <n v="0"/>
    <s v="Reserva importada do sistema Gover. Id: 4628623"/>
    <s v="Tarifa mínima não preenchida! (ACC01)"/>
    <s v="GOVER"/>
    <s v="Tarifa mínima"/>
    <s v="Falta de informação Gerencial"/>
    <s v="Dados do Fornecedor"/>
    <s v="Qualidade dos dados"/>
    <s v="GRUPO KONTIK"/>
  </r>
  <r>
    <n v="23343401"/>
    <n v="24071147"/>
    <s v="ACC01"/>
    <x v="1"/>
    <d v="2025-11-17T20:56:41"/>
    <s v="06 a 08 dias"/>
    <s v="06 a 08 dias"/>
    <s v="OAIJQM"/>
    <s v="GOVER"/>
    <s v="LEANDRO OMENA SILVA"/>
    <s v="Juliana dos Santos Pinto"/>
    <s v="Juliana dos Santos Pinto"/>
    <x v="1"/>
    <n v="4628623"/>
    <s v="-"/>
    <s v="OFF LINE"/>
    <s v="Cartão de crédito"/>
    <s v="Cartão de crédito"/>
    <s v="Aéreo"/>
    <s v="N"/>
    <s v="Grupo Banco Bbm"/>
    <s v="Banco Bbm"/>
    <s v="-"/>
    <s v="Latam Airlines Brasil"/>
    <n v="2259763463"/>
    <s v="KON-OPE-RIO-PVI-BTC-BANCO BBM"/>
    <s v="-"/>
    <x v="0"/>
    <n v="0"/>
    <n v="0"/>
    <n v="0"/>
    <n v="0"/>
    <n v="0"/>
    <n v="0"/>
    <s v="Reserva importada do sistema Gover. Id: 4628623"/>
    <s v="Tarifa mínima não preenchida! (ACC01)"/>
    <s v="GOVER"/>
    <s v="Tarifa mínima"/>
    <s v="Falta de informação Gerencial"/>
    <s v="Dados do Fornecedor"/>
    <s v="Qualidade dos dados"/>
    <s v="GRUPO KONTIK"/>
  </r>
  <r>
    <n v="23278217"/>
    <n v="24010374"/>
    <s v="ACC01"/>
    <x v="2"/>
    <d v="2025-11-07T12:01:15"/>
    <s v="16 a 23 dias"/>
    <s v="16 a 23 dias"/>
    <n v="20752509"/>
    <s v="GOVER"/>
    <s v="leandro  cardoso da silva"/>
    <s v="Marcos de Oliveira Miklos"/>
    <s v="Marcos de Oliveira Miklos"/>
    <x v="2"/>
    <n v="4624880"/>
    <s v="-"/>
    <s v="OFF LINE"/>
    <s v="Cartão de crédito"/>
    <s v="Cartão de crédito"/>
    <s v="Hotel"/>
    <s v="N"/>
    <s v="Grupo Martins"/>
    <s v="Intecom Servicos de Logistica - Extrema"/>
    <s v="-"/>
    <s v="-"/>
    <s v="-"/>
    <s v="KON-OPE-RIO-PVI-BTC"/>
    <s v="-"/>
    <x v="1"/>
    <n v="12.8"/>
    <n v="0"/>
    <n v="0"/>
    <n v="0"/>
    <n v="0"/>
    <n v="0"/>
    <s v="Reserva importada do sistema Gover. Id: 4624880"/>
    <s v="Fornecedor não preenchido! (ACC01)"/>
    <s v="GOVER"/>
    <s v="Falta de Fornecedor"/>
    <s v="Campo Fornecedor"/>
    <s v="Dados do Fornecedor"/>
    <s v="Sistêmico"/>
    <s v="GRUPO KONTIK"/>
  </r>
  <r>
    <n v="23318551"/>
    <n v="24048249"/>
    <s v="ACC01"/>
    <x v="3"/>
    <d v="2025-11-13T17:10:51"/>
    <s v="09 a 15 dias"/>
    <s v="09 a 15 dias"/>
    <n v="20836438"/>
    <s v="GOVER"/>
    <s v="Otávio Francisco Lopes Neto"/>
    <s v="RAIANY DA PAZ VIDAL CORREIA DA SILVA"/>
    <s v="RAIANY DA PAZ VIDAL CORREIA DA SILVA"/>
    <x v="3"/>
    <n v="4624739"/>
    <s v="-"/>
    <s v="OFF LINE"/>
    <s v="Cartão de crédito"/>
    <s v="Faturado"/>
    <s v="Hotel"/>
    <s v="N"/>
    <s v="Grupo Biomerieux"/>
    <s v="Biomerieux"/>
    <s v="-"/>
    <s v="-"/>
    <s v="-"/>
    <s v="KON-OPE-RIO-PVI-BTC-BIOMERIEUX"/>
    <s v="-"/>
    <x v="2"/>
    <n v="15.12"/>
    <n v="0"/>
    <n v="0"/>
    <n v="0"/>
    <n v="0"/>
    <n v="0"/>
    <s v="Reserva importada do sistema Gover. Id: 4624739"/>
    <s v="Fornecedor não preenchido! (ACC01)"/>
    <s v="GOVER"/>
    <s v="Falta de Fornecedor"/>
    <s v="Campo Fornecedor"/>
    <s v="Dados do Fornecedor"/>
    <s v="Sistêmico"/>
    <s v="GRUPO KONTIK"/>
  </r>
  <r>
    <n v="23331586"/>
    <n v="24060548"/>
    <s v="ACC01"/>
    <x v="4"/>
    <d v="2025-11-18T14:35:02"/>
    <s v="06 a 08 dias"/>
    <s v="09 a 15 dias"/>
    <s v="HLC48G"/>
    <s v="GOVER"/>
    <s v="CAROLINE BALDI ROMANCINI"/>
    <s v="Gover"/>
    <s v="Gover"/>
    <x v="4"/>
    <n v="4628463"/>
    <s v="-"/>
    <s v="ON LINE"/>
    <s v="Cartão de crédito"/>
    <s v="Cartão AMEX"/>
    <s v="Aéreo"/>
    <s v="N"/>
    <s v="Grupo Biomerieux"/>
    <s v="Biomerieux"/>
    <s v="-"/>
    <s v="Azul Linhas Aereas"/>
    <n v="3024060547"/>
    <s v="KON-OPE-RIO-PVI-BTC-BIOMERIEUX"/>
    <s v="-"/>
    <x v="0"/>
    <n v="0"/>
    <n v="0"/>
    <n v="0"/>
    <n v="0"/>
    <n v="0"/>
    <n v="0"/>
    <s v="Reserva importada do sistema Gover. Id: 4628463"/>
    <s v="Accouting aérea não possui trechos (Bilhete: 3024060547)"/>
    <s v="GOVER"/>
    <s v="Falta informação nos trechos"/>
    <s v="Atualização de Trechos"/>
    <s v="Dados do Fornecedor"/>
    <s v="Qualidade dos dados"/>
    <s v="KONTIK BUSINESS TRAVEL"/>
  </r>
  <r>
    <n v="23364362"/>
    <n v="24090433"/>
    <s v="ACC01"/>
    <x v="5"/>
    <d v="2025-11-21T08:50:43"/>
    <s v="03 a 05 dias"/>
    <s v="03 a 05 dias"/>
    <s v="CQLGNH"/>
    <s v="MANUAL"/>
    <s v="LUCIA SALGADO"/>
    <s v="Ana Paula Salgado de Oliveira"/>
    <s v="Ana Paula Salgado de Oliveira"/>
    <x v="5"/>
    <s v="-"/>
    <s v="-"/>
    <s v="OFF LINE"/>
    <s v="Invoice"/>
    <s v="Cash"/>
    <s v="Aéreo"/>
    <s v="N"/>
    <s v="Grupo Pessoa Fisica"/>
    <s v="Pessoa Fisica - Vendas a Vista"/>
    <s v="-"/>
    <s v="Gol Linhas Aereas"/>
    <n v="2149835214"/>
    <s v="KON-OPE-RIO-PVI-BTC RJ"/>
    <s v="-"/>
    <x v="3"/>
    <n v="86.83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3364362"/>
    <n v="24090446"/>
    <s v="ACC02"/>
    <x v="5"/>
    <d v="2025-11-21T08:50:43"/>
    <s v="03 a 05 dias"/>
    <s v="03 a 05 dias"/>
    <s v="CQLGNH"/>
    <s v="MANUAL"/>
    <s v="GIOVANNA OLIVEIRA"/>
    <s v="Ana Paula Salgado de Oliveira"/>
    <s v="Ana Paula Salgado de Oliveira"/>
    <x v="5"/>
    <s v="-"/>
    <s v="-"/>
    <s v="OFF LINE"/>
    <s v="Invoice"/>
    <s v="Cash"/>
    <s v="Aéreo"/>
    <s v="N"/>
    <s v="Grupo Pessoa Fisica"/>
    <s v="Pessoa Fisica - Vendas a Vista"/>
    <s v="-"/>
    <s v="Gol Linhas Aereas"/>
    <n v="2149835213"/>
    <s v="KON-OPE-RIO-PVI-BTC RJ"/>
    <s v="-"/>
    <x v="3"/>
    <n v="86.83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3364393"/>
    <n v="24090453"/>
    <s v="ACC"/>
    <x v="6"/>
    <d v="2025-11-21T08:55:39"/>
    <s v="03 a 05 dias"/>
    <s v="03 a 05 dias"/>
    <s v="YLYZNW"/>
    <s v="MANUAL"/>
    <s v="ANA PAULA OLIVEIRA"/>
    <s v="Ana Paula Salgado de Oliveira"/>
    <s v="Ana Paula Salgado de Oliveira"/>
    <x v="6"/>
    <s v="-"/>
    <s v="-"/>
    <s v="OFF LINE"/>
    <s v="Invoice"/>
    <s v="Cash"/>
    <s v="Aéreo"/>
    <s v="N"/>
    <s v="Grupo Pessoa Fisica"/>
    <s v="Pessoa Fisica - Vendas a Vista"/>
    <s v="-"/>
    <s v="Gol Linhas Aereas"/>
    <n v="2149835239"/>
    <s v="KON-OPE-RIO-PVI-BTC RJ"/>
    <s v="-"/>
    <x v="4"/>
    <n v="86.83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3331525"/>
    <n v="24060495"/>
    <s v="ACC01"/>
    <x v="7"/>
    <d v="2025-11-15T16:01:13"/>
    <s v="09 a 15 dias"/>
    <s v="09 a 15 dias"/>
    <s v="5TZ9P5"/>
    <s v="MANUAL"/>
    <s v="ANTONIO FLAVIO RIBEIRO SANTOS"/>
    <s v="Felipe Aparecido da Silva Neves"/>
    <s v="Felipe Aparecido da Silva Neves"/>
    <x v="7"/>
    <s v=" TICKET #797792"/>
    <s v="-"/>
    <s v="OFF LINE"/>
    <s v="Invoice"/>
    <s v="Cartão AMEX"/>
    <s v="Aéreo"/>
    <s v="N"/>
    <s v="Grupo Lazer Kontik"/>
    <s v="Vendas Lazer - Pessoa Fisica"/>
    <s v="-"/>
    <s v="Latam Airlines Brasil"/>
    <n v="2259836288"/>
    <s v="EMERGENCIAL"/>
    <s v="-"/>
    <x v="5"/>
    <n v="0"/>
    <n v="450"/>
    <n v="0"/>
    <n v="0"/>
    <n v="0"/>
    <n v="0"/>
    <s v="Emergencial: Ticket #797792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3368835"/>
    <n v="24094795"/>
    <s v="ACC01"/>
    <x v="8"/>
    <d v="2025-11-21T22:48:59"/>
    <s v="03 a 05 dias"/>
    <s v="03 a 05 dias"/>
    <s v="5UTUDQ"/>
    <s v="TMS"/>
    <s v="CARLOS OLIVEIRA"/>
    <s v="Tms"/>
    <s v="Tms"/>
    <x v="8"/>
    <n v="476"/>
    <s v="Taubate / QHP"/>
    <s v="ON LINE"/>
    <s v="Invoice"/>
    <s v="Faturado"/>
    <s v="Carro"/>
    <s v="N"/>
    <s v="Grupo Zupper"/>
    <s v="Zupper Viagens Internas"/>
    <s v="-"/>
    <s v="-"/>
    <s v="-"/>
    <s v="KON-OPE-SAO-SUP-KONTIK DESPESAS"/>
    <s v="-"/>
    <x v="6"/>
    <n v="0"/>
    <n v="0"/>
    <n v="0"/>
    <n v="0"/>
    <n v="0"/>
    <n v="0"/>
    <s v="Reserva importada do Sistema TMS. OS: 476"/>
    <s v="Fornecedor não preenchido! (ACC01)"/>
    <s v="ZUPPER"/>
    <s v="Falta de Fornecedor"/>
    <s v="Campo Fornecedor"/>
    <s v="Dados do Fornecedor"/>
    <s v="Qualidade dos dados"/>
    <s v="ZUPPER VIAGENS"/>
  </r>
  <r>
    <n v="23364762"/>
    <n v="24090802"/>
    <s v="ACC01"/>
    <x v="9"/>
    <d v="2025-11-21T10:01:31"/>
    <s v="03 a 05 dias"/>
    <s v="03 a 05 dias"/>
    <s v="OMWEFT"/>
    <s v="MANUAL"/>
    <s v="VICTORIA LUIZA PIRES"/>
    <s v="Felipe Calderano"/>
    <s v="Felipe Calderano"/>
    <x v="9"/>
    <n v="6644058"/>
    <s v="-"/>
    <s v="OFF LINE"/>
    <s v="Invoice"/>
    <s v="Cartão convênio"/>
    <s v="Aéreo"/>
    <s v="N"/>
    <s v="Grupo Zupper"/>
    <s v="Victoria Luiza Pires"/>
    <s v="-"/>
    <s v="Azul Linhas Aereas"/>
    <n v="3024090824"/>
    <s v="ZUPPER"/>
    <s v="-"/>
    <x v="7"/>
    <n v="0"/>
    <n v="0"/>
    <n v="0"/>
    <n v="0"/>
    <n v="0"/>
    <n v="50"/>
    <s v="-"/>
    <s v="Não foi possível encontrar configuração válida para Administradora de código 1 e Data transação 19/11/2025"/>
    <s v="ZUPPER"/>
    <s v="Não identificado"/>
    <s v="Análise Benner"/>
    <s v="Sistema"/>
    <s v="Qualidade dos dados"/>
    <s v="ZUPPER VIAGENS"/>
  </r>
  <r>
    <n v="23369523"/>
    <n v="24095406"/>
    <s v="ACC01"/>
    <x v="10"/>
    <d v="2025-11-22T00:24:43"/>
    <s v="0 a 02 dias"/>
    <s v="0 a 02 dias"/>
    <s v="WQGIMK"/>
    <s v="EBOOKING"/>
    <s v="Ruane Ribeiro"/>
    <s v="Zupper"/>
    <s v="Zupper"/>
    <x v="10"/>
    <n v="6964114"/>
    <s v="-"/>
    <s v="OFF LINE"/>
    <s v="Cartão de crédito"/>
    <s v="Cartão de crédito"/>
    <s v="Aéreo"/>
    <s v="N"/>
    <s v="Grupo Zupper"/>
    <s v="Ruane Pinheiro Ribeiro"/>
    <s v="-"/>
    <s v="Azul Linhas Aereas"/>
    <n v="736459735"/>
    <s v="ZUPPER"/>
    <s v="-"/>
    <x v="8"/>
    <n v="34.11"/>
    <n v="0"/>
    <n v="0"/>
    <n v="0"/>
    <n v="0"/>
    <n v="92.01000000000001"/>
    <s v="-"/>
    <s v="Não foi possível definir o Local de destino!"/>
    <s v="ZUPPER"/>
    <s v="Cadastro enviado errado no Benner"/>
    <s v="Cadastro incompleto"/>
    <s v="Sistema"/>
    <s v="Sistêmico"/>
    <s v="ZUPPER VIAGENS"/>
  </r>
  <r>
    <n v="23370806"/>
    <n v="24096247"/>
    <s v="ACC01"/>
    <x v="11"/>
    <d v="2025-11-22T10:03:52"/>
    <s v="0 a 02 dias"/>
    <s v="0 a 02 dias"/>
    <s v="KTHPWB"/>
    <s v="EBOOKING"/>
    <s v="Mateus Sales"/>
    <s v="Zupper"/>
    <s v="Zupper"/>
    <x v="11"/>
    <n v="6964361"/>
    <s v="-"/>
    <s v="OFF LINE"/>
    <s v="Invoice"/>
    <s v="Cartão convênio"/>
    <s v="Aéreo"/>
    <s v="N"/>
    <s v="Grupo Zupper"/>
    <s v="Leticia Silva"/>
    <s v="-"/>
    <s v="Gol Linhas Aereas"/>
    <n v="2150003105"/>
    <s v="ZUPPER"/>
    <s v="-"/>
    <x v="9"/>
    <n v="30.32"/>
    <n v="0"/>
    <n v="0"/>
    <n v="0"/>
    <n v="0"/>
    <n v="70.2"/>
    <s v="-"/>
    <s v="Não foi possível definir o Local de destino!"/>
    <s v="ZUPPER"/>
    <s v="Cadastro enviado errado no Benner"/>
    <s v="Cadastro incompleto"/>
    <s v="Sistema"/>
    <s v="Sistêmico"/>
    <s v="ZUPPER VIAGENS"/>
  </r>
  <r>
    <n v="23370811"/>
    <n v="24096251"/>
    <s v="ACC01"/>
    <x v="12"/>
    <d v="2025-11-22T10:04:09"/>
    <s v="0 a 02 dias"/>
    <s v="0 a 02 dias"/>
    <s v="KCZEUS"/>
    <s v="EBOOKING"/>
    <s v="Mateus Sales"/>
    <s v="Zupper"/>
    <s v="Zupper"/>
    <x v="12"/>
    <n v="6964362"/>
    <s v="-"/>
    <s v="OFF LINE"/>
    <s v="Invoice"/>
    <s v="Cartão convênio"/>
    <s v="Aéreo"/>
    <s v="N"/>
    <s v="Grupo Zupper"/>
    <s v="Leticia Silva"/>
    <s v="-"/>
    <s v="Latam Airlines Brasil"/>
    <n v="2260820798"/>
    <s v="ZUPPER"/>
    <s v="-"/>
    <x v="10"/>
    <n v="32.87"/>
    <n v="0"/>
    <n v="0"/>
    <n v="0"/>
    <n v="0"/>
    <n v="94.22"/>
    <s v="-"/>
    <s v="Não foi possível definir o Local de destino!"/>
    <s v="ZUPPER"/>
    <s v="Cadastro enviado errado no Benner"/>
    <s v="Cadastro incompleto"/>
    <s v="Sistema"/>
    <s v="Sistêmico"/>
    <s v="ZUPPER VIAGENS"/>
  </r>
  <r>
    <n v="23374815"/>
    <n v="24099343"/>
    <s v="ACC01"/>
    <x v="13"/>
    <d v="2025-11-23T11:57:40"/>
    <s v="0 a 02 dias"/>
    <s v="0 a 02 dias"/>
    <s v="YRG8FH"/>
    <s v="EBOOKING"/>
    <s v="JOSENILDO Sousa"/>
    <s v="Zupper"/>
    <s v="Zupper"/>
    <x v="13"/>
    <n v="6965762"/>
    <s v="-"/>
    <s v="OFF LINE"/>
    <s v="Cartão de crédito"/>
    <s v="Cartão de crédito"/>
    <s v="Aéreo"/>
    <s v="N"/>
    <s v="Grupo Zupper"/>
    <s v="Antonio Carlos Oliveira Silva"/>
    <s v="-"/>
    <s v="Azul Linhas Aereas"/>
    <n v="4703757097"/>
    <s v="ZUPPER"/>
    <s v="-"/>
    <x v="11"/>
    <n v="33.56"/>
    <n v="0"/>
    <n v="0"/>
    <n v="0"/>
    <n v="0"/>
    <n v="81.83"/>
    <s v="-"/>
    <s v="Não foi possível definir o Local de destino!"/>
    <s v="ZUPPER"/>
    <s v="Cadastro enviado errado no Benner"/>
    <s v="Cadastro incompleto"/>
    <s v="Sistema"/>
    <s v="Sistêmico"/>
    <s v="ZUPPER VIAGENS"/>
  </r>
  <r>
    <n v="23374867"/>
    <n v="24099389"/>
    <s v="ACC01"/>
    <x v="14"/>
    <d v="2025-11-23T12:21:47"/>
    <s v="0 a 02 dias"/>
    <s v="0 a 02 dias"/>
    <s v="AQXLPD"/>
    <s v="EBOOKING"/>
    <s v="Wellington Bom Faria"/>
    <s v="Zupper"/>
    <s v="Zupper"/>
    <x v="14"/>
    <n v="6963960"/>
    <s v="-"/>
    <s v="OFF LINE"/>
    <s v="Cartão de crédito"/>
    <s v="Cartão de crédito"/>
    <s v="Aéreo"/>
    <s v="N"/>
    <s v="Grupo Zupper"/>
    <s v="Janisclei Rosa da Silva"/>
    <s v="-"/>
    <s v="Gol Linhas Aereas"/>
    <n v="2150050313"/>
    <s v="ZUPPER"/>
    <s v="-"/>
    <x v="12"/>
    <n v="54.45"/>
    <n v="0"/>
    <n v="0"/>
    <n v="0"/>
    <n v="0"/>
    <n v="105.23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079"/>
    <n v="24099570"/>
    <s v="ACC01"/>
    <x v="15"/>
    <d v="2025-11-23T13:27:49"/>
    <s v="0 a 02 dias"/>
    <s v="0 a 02 dias"/>
    <s v="WCNRVG"/>
    <s v="EBOOKING"/>
    <s v="Gleyson Henrique"/>
    <s v="Zupper"/>
    <s v="Zupper"/>
    <x v="15"/>
    <n v="6965893"/>
    <s v="-"/>
    <s v="OFF LINE"/>
    <s v="Invoice"/>
    <s v="Cartão convênio"/>
    <s v="Aéreo"/>
    <s v="N"/>
    <s v="Grupo Zupper"/>
    <s v="Jovelino Jose dos Santos Neto"/>
    <s v="-"/>
    <s v="Latam Airlines Brasil"/>
    <n v="2260946836"/>
    <s v="ZUPPER"/>
    <s v="-"/>
    <x v="13"/>
    <n v="33.64"/>
    <n v="0"/>
    <n v="0"/>
    <n v="0"/>
    <n v="0"/>
    <n v="182.7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080"/>
    <n v="24099571"/>
    <s v="ACC01"/>
    <x v="16"/>
    <d v="2025-11-23T13:27:55"/>
    <s v="0 a 02 dias"/>
    <s v="0 a 02 dias"/>
    <s v="JH8CGF"/>
    <s v="EBOOKING"/>
    <s v="Gleyson Henrique"/>
    <s v="Zupper"/>
    <s v="Zupper"/>
    <x v="16"/>
    <n v="6965892"/>
    <s v="-"/>
    <s v="OFF LINE"/>
    <s v="Invoice"/>
    <s v="Cartão convênio"/>
    <s v="Aéreo"/>
    <s v="N"/>
    <s v="Grupo Zupper"/>
    <s v="Jovelino Jose dos Santos Neto"/>
    <s v="-"/>
    <s v="Azul Linhas Aereas"/>
    <n v="4745344226"/>
    <s v="ZUPPER"/>
    <s v="-"/>
    <x v="14"/>
    <n v="58.89"/>
    <n v="0"/>
    <n v="0"/>
    <n v="0"/>
    <n v="0"/>
    <n v="225.04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531"/>
    <n v="24099958"/>
    <s v="ACC01"/>
    <x v="17"/>
    <d v="2025-11-23T16:03:28"/>
    <s v="0 a 02 dias"/>
    <s v="0 a 02 dias"/>
    <s v="NWQZWA"/>
    <s v="EBOOKING"/>
    <s v="Jacqueline Nascimento"/>
    <s v="Zupper"/>
    <s v="Zupper"/>
    <x v="17"/>
    <n v="6966141"/>
    <s v="-"/>
    <s v="OFF LINE"/>
    <s v="Cartão de crédito"/>
    <s v="Cartão de crédito"/>
    <s v="Aéreo"/>
    <s v="N"/>
    <s v="Grupo Zupper"/>
    <s v="Manoel Ferreira"/>
    <s v="-"/>
    <s v="Azul Linhas Aereas"/>
    <n v="3480890649"/>
    <s v="ZUPPER"/>
    <s v="-"/>
    <x v="15"/>
    <n v="52.72"/>
    <n v="0"/>
    <n v="0"/>
    <n v="0"/>
    <n v="0"/>
    <n v="170.35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531"/>
    <n v="24099959"/>
    <s v="ACC02"/>
    <x v="17"/>
    <d v="2025-11-23T16:03:28"/>
    <s v="0 a 02 dias"/>
    <s v="0 a 02 dias"/>
    <s v="NWQZWA"/>
    <s v="EBOOKING"/>
    <s v="Valdemir Nascimento"/>
    <s v="Zupper"/>
    <s v="Zupper"/>
    <x v="17"/>
    <n v="6966141"/>
    <s v="-"/>
    <s v="OFF LINE"/>
    <s v="Cartão de crédito"/>
    <s v="Cartão de crédito"/>
    <s v="Aéreo"/>
    <s v="N"/>
    <s v="Grupo Zupper"/>
    <s v="Manoel Ferreira"/>
    <s v="-"/>
    <s v="Azul Linhas Aereas"/>
    <n v="3419141345"/>
    <s v="ZUPPER"/>
    <s v="-"/>
    <x v="1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531"/>
    <n v="24099960"/>
    <s v="ACC03"/>
    <x v="17"/>
    <d v="2025-11-23T16:03:28"/>
    <s v="0 a 02 dias"/>
    <s v="0 a 02 dias"/>
    <s v="NWQZWA"/>
    <s v="EBOOKING"/>
    <s v="Guilherme Fiordelmundo"/>
    <s v="Zupper"/>
    <s v="Zupper"/>
    <x v="17"/>
    <n v="6966141"/>
    <s v="-"/>
    <s v="OFF LINE"/>
    <s v="Cartão de crédito"/>
    <s v="Cartão de crédito"/>
    <s v="Aéreo"/>
    <s v="N"/>
    <s v="Grupo Zupper"/>
    <s v="Manoel Ferreira"/>
    <s v="-"/>
    <s v="Azul Linhas Aereas"/>
    <n v="1561590167"/>
    <s v="ZUPPER"/>
    <s v="-"/>
    <x v="1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531"/>
    <n v="24099961"/>
    <s v="ACC04"/>
    <x v="17"/>
    <d v="2025-11-23T16:03:28"/>
    <s v="0 a 02 dias"/>
    <s v="0 a 02 dias"/>
    <s v="NWQZWA"/>
    <s v="EBOOKING"/>
    <s v="Gilmar Ferreira"/>
    <s v="Zupper"/>
    <s v="Zupper"/>
    <x v="17"/>
    <n v="6966141"/>
    <s v="-"/>
    <s v="OFF LINE"/>
    <s v="Cartão de crédito"/>
    <s v="Cartão de crédito"/>
    <s v="Aéreo"/>
    <s v="N"/>
    <s v="Grupo Zupper"/>
    <s v="Manoel Ferreira"/>
    <s v="-"/>
    <s v="Azul Linhas Aereas"/>
    <n v="1913571576"/>
    <s v="ZUPPER"/>
    <s v="-"/>
    <x v="1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531"/>
    <n v="24099962"/>
    <s v="ACC05"/>
    <x v="17"/>
    <d v="2025-11-23T16:03:28"/>
    <s v="0 a 02 dias"/>
    <s v="0 a 02 dias"/>
    <s v="NWQZWA"/>
    <s v="EBOOKING"/>
    <s v="Maria Eduarda Nascimento"/>
    <s v="Zupper"/>
    <s v="Zupper"/>
    <x v="17"/>
    <n v="6966141"/>
    <s v="-"/>
    <s v="OFF LINE"/>
    <s v="Cartão de crédito"/>
    <s v="Cartão de crédito"/>
    <s v="Aéreo"/>
    <s v="N"/>
    <s v="Grupo Zupper"/>
    <s v="Manoel Ferreira"/>
    <s v="-"/>
    <s v="Azul Linhas Aereas"/>
    <n v="9905373747"/>
    <s v="ZUPPER"/>
    <s v="-"/>
    <x v="1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889"/>
    <n v="24100236"/>
    <s v="ACC01"/>
    <x v="18"/>
    <d v="2025-11-23T18:03:52"/>
    <s v="0 a 02 dias"/>
    <s v="0 a 02 dias"/>
    <s v="AARMLS"/>
    <s v="EBOOKING"/>
    <s v="Vinicius Bulle da Silva"/>
    <s v="Zupper"/>
    <s v="Zupper"/>
    <x v="18"/>
    <n v="6966293"/>
    <s v="-"/>
    <s v="OFF LINE"/>
    <s v="Invoice"/>
    <s v="Cartão convênio"/>
    <s v="Aéreo"/>
    <s v="N"/>
    <s v="Grupo Zupper"/>
    <s v="Vinicius Bulle da Silva"/>
    <s v="-"/>
    <s v="Latam Airlines Brasil"/>
    <n v="2260978514"/>
    <s v="ZUPPER"/>
    <s v="-"/>
    <x v="16"/>
    <n v="31.4"/>
    <n v="0"/>
    <n v="0"/>
    <n v="0"/>
    <n v="0"/>
    <n v="56.95"/>
    <s v="-"/>
    <s v="Não foi possível definir o Local de destino!"/>
    <s v="ZUPPER"/>
    <s v="Cadastro enviado errado no Benner"/>
    <s v="Cadastro incompleto"/>
    <s v="Sistema"/>
    <s v="Sistêmico"/>
    <s v="ZUPPER VIAGENS"/>
  </r>
  <r>
    <n v="23375897"/>
    <n v="24100240"/>
    <s v="ACC01"/>
    <x v="19"/>
    <d v="2025-11-23T18:04:12"/>
    <s v="0 a 02 dias"/>
    <s v="0 a 02 dias"/>
    <s v="ACYYEJ"/>
    <s v="EBOOKING"/>
    <s v="Vinicius Bulle da Silva"/>
    <s v="Zupper"/>
    <s v="Zupper"/>
    <x v="19"/>
    <n v="6966294"/>
    <s v="-"/>
    <s v="OFF LINE"/>
    <s v="Invoice"/>
    <s v="Cartão convênio"/>
    <s v="Aéreo"/>
    <s v="N"/>
    <s v="Grupo Zupper"/>
    <s v="Vinicius Bulle da Silva"/>
    <s v="-"/>
    <s v="Gol Linhas Aereas"/>
    <n v="2150068260"/>
    <s v="ZUPPER"/>
    <s v="-"/>
    <x v="17"/>
    <n v="33.64"/>
    <n v="0"/>
    <n v="0"/>
    <n v="0"/>
    <n v="0"/>
    <n v="65.34"/>
    <s v="-"/>
    <s v="Não foi possível definir o Local de destino!"/>
    <s v="ZUPPER"/>
    <s v="Cadastro enviado errado no Benner"/>
    <s v="Cadastro incompleto"/>
    <s v="Sistema"/>
    <s v="Sistêmico"/>
    <s v="ZUPPER VIAGENS"/>
  </r>
  <r>
    <n v="23368324"/>
    <n v="24094308"/>
    <s v="ACC01"/>
    <x v="20"/>
    <d v="2025-11-21T20:46:42"/>
    <s v="03 a 05 dias"/>
    <s v="03 a 05 dias"/>
    <s v="BLUE9D"/>
    <s v="EBOOKING"/>
    <s v="WESLY SILVA"/>
    <s v="Zupper"/>
    <s v="Zupper"/>
    <x v="20"/>
    <n v="6963777"/>
    <s v="-"/>
    <s v="OFF LINE"/>
    <s v="Cartão de crédito"/>
    <s v="Cartão de crédito"/>
    <s v="Aéreo"/>
    <s v="N"/>
    <s v="Grupo Zupper"/>
    <s v="Wesly Henrique da Silva"/>
    <s v="-"/>
    <s v="Azul Linhas Aereas"/>
    <n v="4549935557"/>
    <s v="ZUPPER"/>
    <s v="-"/>
    <x v="18"/>
    <n v="86.3"/>
    <n v="0"/>
    <n v="0"/>
    <n v="0"/>
    <n v="0"/>
    <n v="305.55"/>
    <s v="-"/>
    <s v="Não foi possível definir o Local de destino!"/>
    <s v="ZUPPER"/>
    <s v="Cadastro enviado errado no Benner"/>
    <s v="Cadastro incompleto"/>
    <s v="Sistema"/>
    <s v="Sistêmico"/>
    <s v="ZUPPER VIAGENS"/>
  </r>
  <r>
    <n v="23368037"/>
    <n v="24094021"/>
    <s v="ACC01"/>
    <x v="21"/>
    <d v="2025-11-21T19:27:43"/>
    <s v="03 a 05 dias"/>
    <s v="03 a 05 dias"/>
    <s v="MILDBE"/>
    <s v="EBOOKING"/>
    <s v="Gedson Patrick Araujo Patricio"/>
    <s v="Zupper"/>
    <s v="Zupper"/>
    <x v="21"/>
    <n v="6963644"/>
    <s v="-"/>
    <s v="OFF LINE"/>
    <s v="Invoice"/>
    <s v="Cartão convênio"/>
    <s v="Aéreo"/>
    <s v="N"/>
    <s v="Grupo Zupper"/>
    <s v="Maycon Jhonatan da Silva Almeida"/>
    <s v="-"/>
    <s v="Latam Airlines Brasil"/>
    <n v="2260765059"/>
    <s v="ZUPPER"/>
    <s v="-"/>
    <x v="19"/>
    <n v="48.16"/>
    <n v="0"/>
    <n v="0"/>
    <n v="0"/>
    <n v="0"/>
    <n v="157.81"/>
    <s v="-"/>
    <s v="Não foi possível definir o Local de destino!"/>
    <s v="ZUPPER"/>
    <s v="Cadastro enviado errado no Benner"/>
    <s v="Cadastro incompleto"/>
    <s v="Sistema"/>
    <s v="Sistêmico"/>
    <s v="ZUPPER VIAGENS"/>
  </r>
  <r>
    <n v="23368038"/>
    <n v="24094023"/>
    <s v="ACC01"/>
    <x v="22"/>
    <d v="2025-11-21T19:27:50"/>
    <s v="03 a 05 dias"/>
    <s v="03 a 05 dias"/>
    <s v="WZKBUG"/>
    <s v="EBOOKING"/>
    <s v="Gedson Patrick Araujo Patricio"/>
    <s v="Zupper"/>
    <s v="Zupper"/>
    <x v="22"/>
    <n v="6963643"/>
    <s v="-"/>
    <s v="OFF LINE"/>
    <s v="Invoice"/>
    <s v="Cartão convênio"/>
    <s v="Aéreo"/>
    <s v="N"/>
    <s v="Grupo Zupper"/>
    <s v="Maycon Jhonatan da Silva Almeida"/>
    <s v="-"/>
    <s v="Gol Linhas Aereas"/>
    <n v="2149982416"/>
    <s v="ZUPPER"/>
    <s v="-"/>
    <x v="20"/>
    <n v="46.2"/>
    <n v="0"/>
    <n v="0"/>
    <n v="0"/>
    <n v="0"/>
    <n v="40.05"/>
    <s v="-"/>
    <s v="Não foi possível definir o Local de destino!"/>
    <s v="ZUPPER"/>
    <s v="Cadastro enviado errado no Benner"/>
    <s v="Cadastro incompleto"/>
    <s v="Sistema"/>
    <s v="Sistêmico"/>
    <s v="ZUPPER VIAGENS"/>
  </r>
  <r>
    <n v="23365423"/>
    <n v="24091460"/>
    <s v="ACC01"/>
    <x v="23"/>
    <d v="2025-11-21T11:51:46"/>
    <s v="03 a 05 dias"/>
    <s v="03 a 05 dias"/>
    <s v="AFBWDH"/>
    <s v="EBOOKING"/>
    <s v="apolonio marques"/>
    <s v="Zupper"/>
    <s v="Zupper"/>
    <x v="23"/>
    <n v="6963095"/>
    <s v="-"/>
    <s v="OFF LINE"/>
    <s v="Cartão de crédito"/>
    <s v="Cartão de crédito"/>
    <s v="Aéreo"/>
    <s v="N"/>
    <s v="Grupo Zupper"/>
    <s v="Apolonio Marques"/>
    <s v="-"/>
    <s v="Gol Linhas Aereas"/>
    <n v="2149950541"/>
    <s v="ZUPPER"/>
    <s v="-"/>
    <x v="21"/>
    <n v="51.67"/>
    <n v="0"/>
    <n v="115.38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65424"/>
    <n v="24091462"/>
    <s v="ACC01"/>
    <x v="23"/>
    <d v="2025-11-21T11:52:10"/>
    <s v="03 a 05 dias"/>
    <s v="03 a 05 dias"/>
    <s v="MBNVRS"/>
    <s v="EBOOKING"/>
    <s v="apolonio marques"/>
    <s v="Zupper"/>
    <s v="Zupper"/>
    <x v="23"/>
    <n v="6963083"/>
    <s v="-"/>
    <s v="OFF LINE"/>
    <s v="Cartão de crédito"/>
    <s v="Cartão de crédito"/>
    <s v="Aéreo"/>
    <s v="N"/>
    <s v="Grupo Zupper"/>
    <s v="Apolonio Marques"/>
    <s v="-"/>
    <s v="Gol Linhas Aereas"/>
    <n v="2149950178"/>
    <s v="ZUPPER"/>
    <s v="-"/>
    <x v="22"/>
    <n v="56.78"/>
    <n v="0"/>
    <n v="159.94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65969"/>
    <n v="24091981"/>
    <s v="ACC01"/>
    <x v="24"/>
    <d v="2025-11-21T14:09:49"/>
    <s v="03 a 05 dias"/>
    <s v="03 a 05 dias"/>
    <s v="NHHV4S"/>
    <s v="EBOOKING"/>
    <s v="Cleise Cavalcanti"/>
    <s v="Zupper"/>
    <s v="Zupper"/>
    <x v="24"/>
    <n v="6963258"/>
    <s v="-"/>
    <s v="OFF LINE"/>
    <s v="Cartão de crédito"/>
    <s v="Cartão de crédito"/>
    <s v="Aéreo"/>
    <s v="N"/>
    <s v="Grupo Zupper"/>
    <s v="Clesia de Miranda Cavalcanti"/>
    <s v="-"/>
    <s v="Azul Linhas Aereas"/>
    <n v="1095556789"/>
    <s v="ZUPPER"/>
    <s v="-"/>
    <x v="23"/>
    <n v="58.89"/>
    <n v="0"/>
    <n v="0"/>
    <n v="0"/>
    <n v="0"/>
    <n v="87.73999999999999"/>
    <s v="-"/>
    <s v="Não foi possível definir o Local de destino!"/>
    <s v="ZUPPER"/>
    <s v="Cadastro enviado errado no Benner"/>
    <s v="Cadastro incompleto"/>
    <s v="Sistema"/>
    <s v="Sistêmico"/>
    <s v="ZUPPER VIAGENS"/>
  </r>
  <r>
    <n v="23365969"/>
    <n v="24091982"/>
    <s v="ACC02"/>
    <x v="24"/>
    <d v="2025-11-21T14:09:49"/>
    <s v="03 a 05 dias"/>
    <s v="03 a 05 dias"/>
    <s v="NHHV4S"/>
    <s v="EBOOKING"/>
    <s v="Asafe Pereira"/>
    <s v="Zupper"/>
    <s v="Zupper"/>
    <x v="24"/>
    <n v="6963258"/>
    <s v="-"/>
    <s v="OFF LINE"/>
    <s v="Cartão de crédito"/>
    <s v="Cartão de crédito"/>
    <s v="Aéreo"/>
    <s v="N"/>
    <s v="Grupo Zupper"/>
    <s v="Clesia de Miranda Cavalcanti"/>
    <s v="-"/>
    <s v="Azul Linhas Aereas"/>
    <n v="3364173574"/>
    <s v="ZUPPER"/>
    <s v="-"/>
    <x v="23"/>
    <n v="58.89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364240"/>
    <n v="24090324"/>
    <s v="ACC01"/>
    <x v="25"/>
    <d v="2025-11-21T08:01:44"/>
    <s v="03 a 05 dias"/>
    <s v="03 a 05 dias"/>
    <s v="KGBXAW"/>
    <s v="EBOOKING"/>
    <s v="Brenda Silva"/>
    <s v="Zupper"/>
    <s v="Zupper"/>
    <x v="25"/>
    <n v="6962774"/>
    <s v="-"/>
    <s v="OFF LINE"/>
    <s v="Invoice"/>
    <s v="Cartão convênio"/>
    <s v="Aéreo"/>
    <s v="N"/>
    <s v="Grupo Zupper"/>
    <s v="Brenda Sousa da Silva"/>
    <s v="-"/>
    <s v="Latam Airlines Brasil"/>
    <n v="2260660552"/>
    <s v="ZUPPER"/>
    <s v="-"/>
    <x v="24"/>
    <n v="54.45"/>
    <n v="0"/>
    <n v="0"/>
    <n v="0"/>
    <n v="0"/>
    <n v="180.46"/>
    <s v="-"/>
    <s v="Não foi possível definir o Local de destino!"/>
    <s v="ZUPPER"/>
    <s v="Cadastro enviado errado no Benner"/>
    <s v="Cadastro incompleto"/>
    <s v="Sistema"/>
    <s v="Sistêmico"/>
    <s v="ZUPPER VIAGENS"/>
  </r>
  <r>
    <n v="23329909"/>
    <n v="24059071"/>
    <s v="ACC05"/>
    <x v="26"/>
    <d v="2025-11-18T09:01:37"/>
    <s v="06 a 08 dias"/>
    <s v="09 a 15 dias"/>
    <s v="CFLRJQ"/>
    <s v="EBOOKING"/>
    <s v="Ednildo Edgar Goncalves"/>
    <s v="Zupper"/>
    <s v="Zupper"/>
    <x v="26"/>
    <n v="6951692"/>
    <s v="-"/>
    <s v="OFF LINE"/>
    <s v="Invoice"/>
    <s v="Cartão convênio"/>
    <s v="Aéreo"/>
    <s v="S"/>
    <s v="Grupo Zupper"/>
    <s v="Zupper Cartao"/>
    <s v="-"/>
    <s v="Latam Airlines Brasil"/>
    <n v="2259793074"/>
    <s v="ZUPPER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0902"/>
    <n v="24059906"/>
    <s v="ACC01"/>
    <x v="27"/>
    <d v="2025-11-18T09:03:17"/>
    <s v="06 a 08 dias"/>
    <s v="09 a 15 dias"/>
    <s v="KGVCWI"/>
    <s v="EBOOKING"/>
    <s v="Satila Mateus Abrantes"/>
    <s v="Zupper"/>
    <s v="Zupper"/>
    <x v="27"/>
    <n v="6952102"/>
    <s v="-"/>
    <s v="OFF LINE"/>
    <s v="Invoice"/>
    <s v="Cartão convênio"/>
    <s v="Aéreo"/>
    <s v="S"/>
    <s v="Grupo Zupper"/>
    <s v="Eduardo Santos da Mata"/>
    <s v="-"/>
    <s v="Azul Linhas Aereas"/>
    <n v="9106749780"/>
    <s v="ZUPPER"/>
    <s v="-"/>
    <x v="26"/>
    <n v="32.87"/>
    <n v="0"/>
    <n v="0"/>
    <n v="0"/>
    <n v="0"/>
    <n v="169.18"/>
    <s v="-"/>
    <s v="Erro excluindo PNR: Não é possivel excluir a accounting de código: 25392354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13"/>
    <n v="24064301"/>
    <s v="ACC02"/>
    <x v="28"/>
    <d v="2025-11-18T09:17:26"/>
    <s v="06 a 08 dias"/>
    <s v="06 a 08 dias"/>
    <s v="GMKD4Q"/>
    <s v="EBOOKING"/>
    <s v="Giulianna Brito"/>
    <s v="Zupper"/>
    <s v="Zupper"/>
    <x v="28"/>
    <n v="6954279"/>
    <s v="-"/>
    <s v="OFF LINE"/>
    <s v="Invoice"/>
    <s v="Cartão convênio"/>
    <s v="Aéreo"/>
    <s v="S"/>
    <s v="Grupo Zupper"/>
    <s v="Giulianna Angelica Piason de Brito"/>
    <s v="-"/>
    <s v="Azul Linhas Aereas"/>
    <n v="1961580109"/>
    <s v="ZUPPER"/>
    <s v="-"/>
    <x v="27"/>
    <n v="58.89"/>
    <n v="0"/>
    <n v="0"/>
    <n v="0"/>
    <n v="0"/>
    <n v="0"/>
    <s v="-"/>
    <s v="Erro excluindo PNR: Não é possivel excluir a accounting de código: 25395430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392"/>
    <n v="24064696"/>
    <s v="ACC01"/>
    <x v="29"/>
    <d v="2025-11-18T09:17:57"/>
    <s v="06 a 08 dias"/>
    <s v="06 a 08 dias"/>
    <s v="MJ7MKP"/>
    <s v="EBOOKING"/>
    <s v="Jose Figueiredo"/>
    <s v="Zupper"/>
    <s v="Zupper"/>
    <x v="29"/>
    <n v="6954464"/>
    <s v="-"/>
    <s v="OFF LINE"/>
    <s v="Invoice"/>
    <s v="Cartão convênio"/>
    <s v="Aéreo"/>
    <s v="S"/>
    <s v="Grupo Zupper"/>
    <s v="Jose Antonio de Figueiredo"/>
    <s v="-"/>
    <s v="Azul Linhas Aereas"/>
    <n v="9825033326"/>
    <s v="ZUPPER"/>
    <s v="-"/>
    <x v="28"/>
    <n v="39.58"/>
    <n v="0"/>
    <n v="0"/>
    <n v="0"/>
    <n v="0"/>
    <n v="405.68"/>
    <s v="-"/>
    <s v="Erro excluindo PNR: Não é possivel excluir a accounting de código: 25395732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392"/>
    <n v="24064697"/>
    <s v="ACC02"/>
    <x v="29"/>
    <d v="2025-11-18T09:17:57"/>
    <s v="06 a 08 dias"/>
    <s v="06 a 08 dias"/>
    <s v="MJ7MKP"/>
    <s v="EBOOKING"/>
    <s v="Kelmey Santos"/>
    <s v="Zupper"/>
    <s v="Zupper"/>
    <x v="29"/>
    <n v="6954464"/>
    <s v="-"/>
    <s v="OFF LINE"/>
    <s v="Invoice"/>
    <s v="Cartão convênio"/>
    <s v="Aéreo"/>
    <s v="S"/>
    <s v="Grupo Zupper"/>
    <s v="Jose Antonio de Figueiredo"/>
    <s v="-"/>
    <s v="Azul Linhas Aereas"/>
    <n v="1720811985"/>
    <s v="ZUPPER"/>
    <s v="-"/>
    <x v="28"/>
    <n v="39.58"/>
    <n v="0"/>
    <n v="0"/>
    <n v="0"/>
    <n v="0"/>
    <n v="0"/>
    <s v="-"/>
    <s v="Erro excluindo PNR: Não é possivel excluir a accounting de código: 25395732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2722"/>
    <n v="24061614"/>
    <s v="ACC01"/>
    <x v="30"/>
    <d v="2025-11-18T09:06:47"/>
    <s v="06 a 08 dias"/>
    <s v="09 a 15 dias"/>
    <s v="RLZEGZ"/>
    <s v="EBOOKING"/>
    <s v="ADEMIR VALERIO"/>
    <s v="Zupper"/>
    <s v="Zupper"/>
    <x v="30"/>
    <n v="6952979"/>
    <s v="-"/>
    <s v="OFF LINE"/>
    <s v="Invoice"/>
    <s v="Cartão convênio"/>
    <s v="Aéreo"/>
    <s v="N"/>
    <s v="Grupo Zupper"/>
    <s v="Fabiana Sambini"/>
    <s v="-"/>
    <s v="Azul Linhas Aereas"/>
    <n v="3895134748"/>
    <s v="ZUPPER"/>
    <s v="-"/>
    <x v="29"/>
    <n v="92.53"/>
    <n v="0"/>
    <n v="0"/>
    <n v="0"/>
    <n v="0"/>
    <n v="0"/>
    <s v="-"/>
    <s v="Erro excluindo PNR: Não é possivel excluir a accounting de código: 25393682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3521"/>
    <n v="24062221"/>
    <s v="ACC01"/>
    <x v="31"/>
    <d v="2025-11-18T09:08:53"/>
    <s v="06 a 08 dias"/>
    <s v="06 a 08 dias"/>
    <s v="WFYUWK"/>
    <s v="EBOOKING"/>
    <s v="Victoria Cruz"/>
    <s v="Zupper"/>
    <s v="Zupper"/>
    <x v="31"/>
    <n v="6953294"/>
    <s v="-"/>
    <s v="OFF LINE"/>
    <s v="Invoice"/>
    <s v="Cartão convênio"/>
    <s v="Aéreo"/>
    <s v="S"/>
    <s v="Grupo Zupper"/>
    <s v="Zupper Cartao"/>
    <s v="-"/>
    <s v="Latam Airlines Brasil"/>
    <n v="2259897267"/>
    <s v="ZUPPER"/>
    <s v="-"/>
    <x v="30"/>
    <n v="56.78"/>
    <n v="0"/>
    <n v="0"/>
    <n v="0"/>
    <n v="0"/>
    <n v="357.92"/>
    <s v="-"/>
    <s v="Erro excluindo PNR: Não é possivel excluir a accounting de código: 25394052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3521"/>
    <n v="24062222"/>
    <s v="ACC02"/>
    <x v="31"/>
    <d v="2025-11-18T09:08:53"/>
    <s v="06 a 08 dias"/>
    <s v="06 a 08 dias"/>
    <s v="WFYUWK"/>
    <s v="EBOOKING"/>
    <s v="Benicio Oliveira"/>
    <s v="Zupper"/>
    <s v="Zupper"/>
    <x v="31"/>
    <n v="6953294"/>
    <s v="-"/>
    <s v="OFF LINE"/>
    <s v="Invoice"/>
    <s v="Cartão convênio"/>
    <s v="Aéreo"/>
    <s v="S"/>
    <s v="Grupo Zupper"/>
    <s v="Zupper Cartao"/>
    <s v="-"/>
    <s v="Latam Airlines Brasil"/>
    <n v="2259897268"/>
    <s v="ZUPPER"/>
    <s v="-"/>
    <x v="30"/>
    <n v="56.78"/>
    <n v="0"/>
    <n v="0"/>
    <n v="0"/>
    <n v="0"/>
    <n v="0"/>
    <s v="-"/>
    <s v="Erro excluindo PNR: Não é possivel excluir a accounting de código: 25394052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13"/>
    <n v="24064300"/>
    <s v="ACC01"/>
    <x v="28"/>
    <d v="2025-11-18T09:17:26"/>
    <s v="06 a 08 dias"/>
    <s v="06 a 08 dias"/>
    <s v="GMKD4Q"/>
    <s v="EBOOKING"/>
    <s v="Giullia Delgado"/>
    <s v="Zupper"/>
    <s v="Zupper"/>
    <x v="28"/>
    <n v="6954279"/>
    <s v="-"/>
    <s v="OFF LINE"/>
    <s v="Invoice"/>
    <s v="Cartão convênio"/>
    <s v="Aéreo"/>
    <s v="S"/>
    <s v="Grupo Zupper"/>
    <s v="Giulianna Angelica Piason de Brito"/>
    <s v="-"/>
    <s v="Azul Linhas Aereas"/>
    <n v="970450104"/>
    <s v="ZUPPER"/>
    <s v="-"/>
    <x v="27"/>
    <n v="58.89"/>
    <n v="0"/>
    <n v="0"/>
    <n v="0"/>
    <n v="0"/>
    <n v="151.32"/>
    <s v="-"/>
    <s v="Erro excluindo PNR: Não é possivel excluir a accounting de código: 25395430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52"/>
    <n v="24064347"/>
    <s v="ACC05"/>
    <x v="32"/>
    <d v="2025-11-18T09:17:30"/>
    <s v="06 a 08 dias"/>
    <s v="06 a 08 dias"/>
    <s v="BL8JGG"/>
    <s v="EBOOKING"/>
    <s v="Luisa Delgado"/>
    <s v="Zupper"/>
    <s v="Zupper"/>
    <x v="32"/>
    <n v="6954301"/>
    <s v="-"/>
    <s v="OFF LINE"/>
    <s v="Invoice"/>
    <s v="Cartão convênio"/>
    <s v="Aéreo"/>
    <s v="S"/>
    <s v="Grupo Zupper"/>
    <s v="Giulianna Angelica Piason de Brito"/>
    <s v="-"/>
    <s v="Azul Linhas Aereas"/>
    <n v="2175324568"/>
    <s v="ZUPPER"/>
    <s v="-"/>
    <x v="0"/>
    <n v="0"/>
    <n v="0"/>
    <n v="0"/>
    <n v="0"/>
    <n v="0"/>
    <n v="0"/>
    <s v="-"/>
    <s v="Erro excluindo PNR: Não é possivel excluir a accounting de código: 25395461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29909"/>
    <n v="24059067"/>
    <s v="ACC01"/>
    <x v="26"/>
    <d v="2025-11-18T09:01:37"/>
    <s v="06 a 08 dias"/>
    <s v="09 a 15 dias"/>
    <s v="CFLRJQ"/>
    <s v="EBOOKING"/>
    <s v="Rosenir Silva Braga"/>
    <s v="Zupper"/>
    <s v="Zupper"/>
    <x v="26"/>
    <n v="6951692"/>
    <s v="-"/>
    <s v="OFF LINE"/>
    <s v="Invoice"/>
    <s v="Cartão convênio"/>
    <s v="Aéreo"/>
    <s v="S"/>
    <s v="Grupo Zupper"/>
    <s v="Zupper Cartao"/>
    <s v="-"/>
    <s v="Latam Airlines Brasil"/>
    <n v="2259793070"/>
    <s v="ZUPPER"/>
    <s v="-"/>
    <x v="25"/>
    <n v="55.17"/>
    <n v="0"/>
    <n v="0"/>
    <n v="0"/>
    <n v="0"/>
    <n v="490.9"/>
    <s v="-"/>
    <s v="Erro excluindo PNR: Não é possivel excluir a accounting de código: 25391809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29909"/>
    <n v="24059068"/>
    <s v="ACC02"/>
    <x v="26"/>
    <d v="2025-11-18T09:01:37"/>
    <s v="06 a 08 dias"/>
    <s v="09 a 15 dias"/>
    <s v="CFLRJQ"/>
    <s v="EBOOKING"/>
    <s v="Girleno Menezes Barbosa"/>
    <s v="Zupper"/>
    <s v="Zupper"/>
    <x v="26"/>
    <n v="6951692"/>
    <s v="-"/>
    <s v="OFF LINE"/>
    <s v="Invoice"/>
    <s v="Cartão convênio"/>
    <s v="Aéreo"/>
    <s v="S"/>
    <s v="Grupo Zupper"/>
    <s v="Zupper Cartao"/>
    <s v="-"/>
    <s v="Latam Airlines Brasil"/>
    <n v="2259793071"/>
    <s v="ZUPPER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29909"/>
    <n v="24059069"/>
    <s v="ACC03"/>
    <x v="26"/>
    <d v="2025-11-18T09:01:37"/>
    <s v="06 a 08 dias"/>
    <s v="09 a 15 dias"/>
    <s v="CFLRJQ"/>
    <s v="EBOOKING"/>
    <s v="Paulo Vitor Meireles"/>
    <s v="Zupper"/>
    <s v="Zupper"/>
    <x v="26"/>
    <n v="6951692"/>
    <s v="-"/>
    <s v="OFF LINE"/>
    <s v="Invoice"/>
    <s v="Cartão convênio"/>
    <s v="Aéreo"/>
    <s v="S"/>
    <s v="Grupo Zupper"/>
    <s v="Zupper Cartao"/>
    <s v="-"/>
    <s v="Latam Airlines Brasil"/>
    <n v="2259793072"/>
    <s v="ZUPPER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29909"/>
    <n v="24059070"/>
    <s v="ACC04"/>
    <x v="26"/>
    <d v="2025-11-18T09:01:37"/>
    <s v="06 a 08 dias"/>
    <s v="09 a 15 dias"/>
    <s v="CFLRJQ"/>
    <s v="EBOOKING"/>
    <s v="Emanuel Ribeiro Franca"/>
    <s v="Zupper"/>
    <s v="Zupper"/>
    <x v="26"/>
    <n v="6951692"/>
    <s v="-"/>
    <s v="OFF LINE"/>
    <s v="Invoice"/>
    <s v="Cartão convênio"/>
    <s v="Aéreo"/>
    <s v="S"/>
    <s v="Grupo Zupper"/>
    <s v="Zupper Cartao"/>
    <s v="-"/>
    <s v="Latam Airlines Brasil"/>
    <n v="2259793073"/>
    <s v="ZUPPER"/>
    <s v="-"/>
    <x v="25"/>
    <n v="55.17"/>
    <n v="0"/>
    <n v="0"/>
    <n v="0"/>
    <n v="0"/>
    <n v="0"/>
    <s v="-"/>
    <s v="Erro excluindo PNR: Não é possivel excluir a accounting de código: 25391809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13"/>
    <n v="24064302"/>
    <s v="ACC03"/>
    <x v="28"/>
    <d v="2025-11-18T09:17:26"/>
    <s v="06 a 08 dias"/>
    <s v="06 a 08 dias"/>
    <s v="GMKD4Q"/>
    <s v="EBOOKING"/>
    <s v="Felipe Vieira"/>
    <s v="Zupper"/>
    <s v="Zupper"/>
    <x v="28"/>
    <n v="6954279"/>
    <s v="-"/>
    <s v="OFF LINE"/>
    <s v="Invoice"/>
    <s v="Cartão convênio"/>
    <s v="Aéreo"/>
    <s v="S"/>
    <s v="Grupo Zupper"/>
    <s v="Giulianna Angelica Piason de Brito"/>
    <s v="-"/>
    <s v="Azul Linhas Aereas"/>
    <n v="5373137183"/>
    <s v="ZUPPER"/>
    <s v="-"/>
    <x v="27"/>
    <n v="58.89"/>
    <n v="0"/>
    <n v="0"/>
    <n v="0"/>
    <n v="0"/>
    <n v="0"/>
    <s v="-"/>
    <s v="Erro excluindo PNR: Não é possivel excluir a accounting de código: 25395430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13"/>
    <n v="24064303"/>
    <s v="ACC04"/>
    <x v="28"/>
    <d v="2025-11-18T09:17:26"/>
    <s v="06 a 08 dias"/>
    <s v="06 a 08 dias"/>
    <s v="GMKD4Q"/>
    <s v="EBOOKING"/>
    <s v="Rafael Vieira"/>
    <s v="Zupper"/>
    <s v="Zupper"/>
    <x v="28"/>
    <n v="6954279"/>
    <s v="-"/>
    <s v="OFF LINE"/>
    <s v="Invoice"/>
    <s v="Cartão convênio"/>
    <s v="Aéreo"/>
    <s v="S"/>
    <s v="Grupo Zupper"/>
    <s v="Giulianna Angelica Piason de Brito"/>
    <s v="-"/>
    <s v="Azul Linhas Aereas"/>
    <n v="2846058807"/>
    <s v="ZUPPER"/>
    <s v="-"/>
    <x v="0"/>
    <n v="0"/>
    <n v="0"/>
    <n v="0"/>
    <n v="0"/>
    <n v="0"/>
    <n v="0"/>
    <s v="-"/>
    <s v="Erro excluindo PNR: Não é possivel excluir a accounting de código: 25395430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13"/>
    <n v="24064304"/>
    <s v="ACC05"/>
    <x v="28"/>
    <d v="2025-11-18T09:17:26"/>
    <s v="06 a 08 dias"/>
    <s v="06 a 08 dias"/>
    <s v="GMKD4Q"/>
    <s v="EBOOKING"/>
    <s v="Luisa Delgado"/>
    <s v="Zupper"/>
    <s v="Zupper"/>
    <x v="28"/>
    <n v="6954279"/>
    <s v="-"/>
    <s v="OFF LINE"/>
    <s v="Invoice"/>
    <s v="Cartão convênio"/>
    <s v="Aéreo"/>
    <s v="S"/>
    <s v="Grupo Zupper"/>
    <s v="Giulianna Angelica Piason de Brito"/>
    <s v="-"/>
    <s v="Azul Linhas Aereas"/>
    <n v="2252583666"/>
    <s v="ZUPPER"/>
    <s v="-"/>
    <x v="0"/>
    <n v="0"/>
    <n v="0"/>
    <n v="0"/>
    <n v="0"/>
    <n v="0"/>
    <n v="0"/>
    <s v="-"/>
    <s v="Erro excluindo PNR: Não é possivel excluir a accounting de código: 25395430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52"/>
    <n v="24064343"/>
    <s v="ACC01"/>
    <x v="32"/>
    <d v="2025-11-18T09:17:30"/>
    <s v="06 a 08 dias"/>
    <s v="06 a 08 dias"/>
    <s v="BL8JGG"/>
    <s v="EBOOKING"/>
    <s v="Giullia Delgado"/>
    <s v="Zupper"/>
    <s v="Zupper"/>
    <x v="32"/>
    <n v="6954301"/>
    <s v="-"/>
    <s v="OFF LINE"/>
    <s v="Invoice"/>
    <s v="Cartão convênio"/>
    <s v="Aéreo"/>
    <s v="S"/>
    <s v="Grupo Zupper"/>
    <s v="Giulianna Angelica Piason de Brito"/>
    <s v="-"/>
    <s v="Azul Linhas Aereas"/>
    <n v="3340742969"/>
    <s v="ZUPPER"/>
    <s v="-"/>
    <x v="27"/>
    <n v="58.89"/>
    <n v="0"/>
    <n v="0"/>
    <n v="0"/>
    <n v="0"/>
    <n v="151.32"/>
    <s v="-"/>
    <s v="Erro excluindo PNR: Não é possivel excluir a accounting de código: 25395461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52"/>
    <n v="24064344"/>
    <s v="ACC02"/>
    <x v="32"/>
    <d v="2025-11-18T09:17:30"/>
    <s v="06 a 08 dias"/>
    <s v="06 a 08 dias"/>
    <s v="BL8JGG"/>
    <s v="EBOOKING"/>
    <s v="Giulianna Delgado"/>
    <s v="Zupper"/>
    <s v="Zupper"/>
    <x v="32"/>
    <n v="6954301"/>
    <s v="-"/>
    <s v="OFF LINE"/>
    <s v="Invoice"/>
    <s v="Cartão convênio"/>
    <s v="Aéreo"/>
    <s v="S"/>
    <s v="Grupo Zupper"/>
    <s v="Giulianna Angelica Piason de Brito"/>
    <s v="-"/>
    <s v="Azul Linhas Aereas"/>
    <n v="5824548844"/>
    <s v="ZUPPER"/>
    <s v="-"/>
    <x v="27"/>
    <n v="58.89"/>
    <n v="0"/>
    <n v="0"/>
    <n v="0"/>
    <n v="0"/>
    <n v="0"/>
    <s v="-"/>
    <s v="Erro excluindo PNR: Não é possivel excluir a accounting de código: 25395461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52"/>
    <n v="24064345"/>
    <s v="ACC03"/>
    <x v="32"/>
    <d v="2025-11-18T09:17:30"/>
    <s v="06 a 08 dias"/>
    <s v="06 a 08 dias"/>
    <s v="BL8JGG"/>
    <s v="EBOOKING"/>
    <s v="Felipe Vieira"/>
    <s v="Zupper"/>
    <s v="Zupper"/>
    <x v="32"/>
    <n v="6954301"/>
    <s v="-"/>
    <s v="OFF LINE"/>
    <s v="Invoice"/>
    <s v="Cartão convênio"/>
    <s v="Aéreo"/>
    <s v="S"/>
    <s v="Grupo Zupper"/>
    <s v="Giulianna Angelica Piason de Brito"/>
    <s v="-"/>
    <s v="Azul Linhas Aereas"/>
    <n v="6776511627"/>
    <s v="ZUPPER"/>
    <s v="-"/>
    <x v="27"/>
    <n v="58.89"/>
    <n v="0"/>
    <n v="0"/>
    <n v="0"/>
    <n v="0"/>
    <n v="0"/>
    <s v="-"/>
    <s v="Erro excluindo PNR: Não é possivel excluir a accounting de código: 25395461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36052"/>
    <n v="24064346"/>
    <s v="ACC04"/>
    <x v="32"/>
    <d v="2025-11-18T09:17:30"/>
    <s v="06 a 08 dias"/>
    <s v="06 a 08 dias"/>
    <s v="BL8JGG"/>
    <s v="EBOOKING"/>
    <s v="Rafael Vieira"/>
    <s v="Zupper"/>
    <s v="Zupper"/>
    <x v="32"/>
    <n v="6954301"/>
    <s v="-"/>
    <s v="OFF LINE"/>
    <s v="Invoice"/>
    <s v="Cartão convênio"/>
    <s v="Aéreo"/>
    <s v="S"/>
    <s v="Grupo Zupper"/>
    <s v="Giulianna Angelica Piason de Brito"/>
    <s v="-"/>
    <s v="Azul Linhas Aereas"/>
    <n v="4961395002"/>
    <s v="ZUPPER"/>
    <s v="-"/>
    <x v="0"/>
    <n v="0"/>
    <n v="0"/>
    <n v="0"/>
    <n v="0"/>
    <n v="0"/>
    <n v="0"/>
    <s v="-"/>
    <s v="Erro excluindo PNR: Não é possivel excluir a accounting de código: 25395461. A mesma está ligada a conciliação de cartão &quot;PAYMEE 17.11.2025.xlsx&quot;"/>
    <s v="ZUPPER"/>
    <s v="Conciliação de Cartão"/>
    <s v="Financeiro Conciliado"/>
    <s v="Edição não Permitida"/>
    <s v="Processo Operacional"/>
    <s v="ZUPPER VIAGENS"/>
  </r>
  <r>
    <n v="23365966"/>
    <n v="24091974"/>
    <s v="ACC01"/>
    <x v="33"/>
    <d v="2025-11-21T14:06:31"/>
    <s v="03 a 05 dias"/>
    <s v="03 a 05 dias"/>
    <s v="JXYBHA"/>
    <s v="EBOOKING"/>
    <s v="PRISCILA DE OLIVEIRA/PAOLA"/>
    <s v="Kontrip"/>
    <s v="Kontrip"/>
    <x v="3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958810"/>
    <s v="KONTRIP"/>
    <s v="-"/>
    <x v="31"/>
    <n v="47.02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46584"/>
    <n v="24073922"/>
    <s v="ACC01"/>
    <x v="34"/>
    <d v="2025-11-18T12:40:08"/>
    <s v="06 a 08 dias"/>
    <s v="06 a 08 dias"/>
    <s v="LA9572603ISTA"/>
    <s v="EBOOKING"/>
    <s v="VEIGA/FELIPE"/>
    <s v="Kontrip"/>
    <s v="Kontrip"/>
    <x v="34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202126"/>
    <s v="KONTRIP"/>
    <s v="-"/>
    <x v="32"/>
    <n v="85.59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46905"/>
    <n v="24074284"/>
    <s v="ACC01"/>
    <x v="35"/>
    <d v="2025-11-18T12:33:57"/>
    <s v="06 a 08 dias"/>
    <s v="06 a 08 dias"/>
    <s v="UG1W8Y"/>
    <s v="EBOOKING"/>
    <s v="Marcello Sigabinazze/Alexandre"/>
    <s v="Kontrip"/>
    <s v="Kontrip"/>
    <x v="35"/>
    <s v="-"/>
    <s v="-"/>
    <s v="OFF LINE"/>
    <s v="Cartão de crédito"/>
    <s v="Cartão de crédito"/>
    <s v="Aéreo"/>
    <s v="N"/>
    <s v="Grupo Mercurio York"/>
    <s v="Agencia Mercurio York Viagens e Turismo Ltda"/>
    <s v="-"/>
    <s v="Azul Linhas Aereas"/>
    <n v="667427834"/>
    <s v="KONTRIP"/>
    <s v="-"/>
    <x v="33"/>
    <n v="84.66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46086"/>
    <n v="24073393"/>
    <s v="ACC02"/>
    <x v="36"/>
    <d v="2025-11-18T10:25:34"/>
    <s v="06 a 08 dias"/>
    <s v="06 a 08 dias"/>
    <s v="LA9572656FWVK"/>
    <s v="EBOOKING"/>
    <s v="PEDRO BARTILOTTI/JOAO"/>
    <s v="Kontrip"/>
    <s v="Kontrip"/>
    <x v="36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191433"/>
    <s v="KONTRIP"/>
    <s v="-"/>
    <x v="34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46086"/>
    <n v="24073394"/>
    <s v="ACC03"/>
    <x v="36"/>
    <d v="2025-11-18T10:25:34"/>
    <s v="06 a 08 dias"/>
    <s v="06 a 08 dias"/>
    <s v="LA9572656FWVK"/>
    <s v="EBOOKING"/>
    <s v="LEANDRA DA CONCEICAO/BERNARDINA"/>
    <s v="Kontrip"/>
    <s v="Kontrip"/>
    <x v="36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191434"/>
    <s v="KONTRIP"/>
    <s v="-"/>
    <x v="34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46086"/>
    <n v="24073392"/>
    <s v="ACC01"/>
    <x v="36"/>
    <d v="2025-11-18T10:25:34"/>
    <s v="06 a 08 dias"/>
    <s v="06 a 08 dias"/>
    <s v="LA9572656FWVK"/>
    <s v="EBOOKING"/>
    <s v="BARTILOTTI/PATRICIA"/>
    <s v="Kontrip"/>
    <s v="Kontrip"/>
    <x v="36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191432"/>
    <s v="KONTRIP"/>
    <s v="-"/>
    <x v="34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46089"/>
    <n v="24073397"/>
    <s v="ACC01"/>
    <x v="37"/>
    <d v="2025-11-18T10:22:15"/>
    <s v="06 a 08 dias"/>
    <s v="06 a 08 dias"/>
    <s v="JWSTWN"/>
    <s v="EBOOKING"/>
    <s v="Marcello Sigabinazze/Alexandre"/>
    <s v="Kontrip"/>
    <s v="Kontrip"/>
    <x v="37"/>
    <s v="-"/>
    <s v="-"/>
    <s v="OFF LINE"/>
    <s v="Cartão de crédito"/>
    <s v="Cartão de crédito"/>
    <s v="Aéreo"/>
    <s v="N"/>
    <s v="Grupo Mercurio York"/>
    <s v="Agencia Mercurio York Viagens e Turismo Ltda"/>
    <s v="-"/>
    <s v="Azul Linhas Aereas"/>
    <n v="805013566"/>
    <s v="KONTRIP"/>
    <s v="-"/>
    <x v="35"/>
    <n v="84.66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47373"/>
    <n v="24074760"/>
    <s v="ACC01"/>
    <x v="38"/>
    <d v="2025-11-18T13:49:05"/>
    <s v="06 a 08 dias"/>
    <s v="06 a 08 dias"/>
    <s v="LA9578712CYFA"/>
    <s v="EBOOKING"/>
    <s v="RODRIGUES SOUZA/RENATA"/>
    <s v="Kontrip"/>
    <s v="Kontrip"/>
    <x v="38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224770"/>
    <s v="KONTRIP"/>
    <s v="-"/>
    <x v="36"/>
    <n v="33.64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38317"/>
    <n v="24066122"/>
    <s v="ACC01"/>
    <x v="39"/>
    <d v="2025-11-17T09:13:03"/>
    <s v="06 a 08 dias"/>
    <s v="06 a 08 dias"/>
    <s v="LA9571642LMOD"/>
    <s v="EBOOKING"/>
    <s v="VEIGA/FELIPE"/>
    <s v="Kontrip"/>
    <s v="Kontrip"/>
    <x v="39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016800"/>
    <s v="KONTRIP"/>
    <s v="-"/>
    <x v="37"/>
    <n v="85.59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38293"/>
    <n v="24066102"/>
    <s v="ACC01"/>
    <x v="40"/>
    <d v="2025-11-17T09:06:30"/>
    <s v="06 a 08 dias"/>
    <s v="06 a 08 dias"/>
    <s v="LA9579496FMEX"/>
    <s v="EBOOKING"/>
    <s v="VEIGA/FELIPE"/>
    <s v="Kontrip"/>
    <s v="Kontrip"/>
    <x v="40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60016749"/>
    <s v="KONTRIP"/>
    <s v="-"/>
    <x v="38"/>
    <n v="85.59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331632"/>
    <n v="24060596"/>
    <s v="ACC01"/>
    <x v="41"/>
    <d v="2025-11-15T16:15:25"/>
    <s v="09 a 15 dias"/>
    <s v="09 a 15 dias"/>
    <s v="LA9573238YNLB"/>
    <s v="EBOOKING"/>
    <s v="BARTILOTTI/PATRICIA"/>
    <s v="Kontrip"/>
    <s v="Kontrip"/>
    <x v="41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843869"/>
    <s v="KONTRIP"/>
    <s v="-"/>
    <x v="39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31632"/>
    <n v="24060597"/>
    <s v="ACC02"/>
    <x v="41"/>
    <d v="2025-11-15T16:15:25"/>
    <s v="09 a 15 dias"/>
    <s v="09 a 15 dias"/>
    <s v="LA9573238YNLB"/>
    <s v="EBOOKING"/>
    <s v="PEDRO BARTILOTTI/JOAO"/>
    <s v="Kontrip"/>
    <s v="Kontrip"/>
    <x v="41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843870"/>
    <s v="KONTRIP"/>
    <s v="-"/>
    <x v="39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31632"/>
    <n v="24060598"/>
    <s v="ACC03"/>
    <x v="41"/>
    <d v="2025-11-15T16:15:25"/>
    <s v="09 a 15 dias"/>
    <s v="09 a 15 dias"/>
    <s v="LA9573238YNLB"/>
    <s v="EBOOKING"/>
    <s v="LEANDRA DA CONCEICAO/BERNARDINA"/>
    <s v="Kontrip"/>
    <s v="Kontrip"/>
    <x v="41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843871"/>
    <s v="KONTRIP"/>
    <s v="-"/>
    <x v="39"/>
    <n v="52.7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35504"/>
    <n v="24063828"/>
    <s v="ACC01"/>
    <x v="42"/>
    <d v="2025-11-16T15:49:04"/>
    <s v="06 a 08 dias"/>
    <s v="06 a 08 dias"/>
    <s v="QWRMEE"/>
    <s v="EBOOKING"/>
    <s v="SOARES SANTOS/IVANA"/>
    <s v="Kontrip"/>
    <s v="Kontrip"/>
    <x v="42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619797"/>
    <s v="KONTRIP"/>
    <s v="-"/>
    <x v="40"/>
    <n v="113.34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298506"/>
    <n v="24029456"/>
    <s v="ACC03"/>
    <x v="43"/>
    <d v="2025-11-10T21:01:10"/>
    <s v="09 a 15 dias"/>
    <s v="09 a 15 dias"/>
    <s v="WCJCRK"/>
    <s v="EBOOKING"/>
    <s v="DIAS/GUSTAVO"/>
    <s v="Kontrip"/>
    <s v="Kontrip"/>
    <x v="4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8906"/>
    <s v="KONTRIP"/>
    <s v="-"/>
    <x v="41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00986"/>
    <n v="24031601"/>
    <s v="ACC01"/>
    <x v="44"/>
    <d v="2025-11-11T09:30:43"/>
    <s v="09 a 15 dias"/>
    <s v="09 a 15 dias"/>
    <s v="LKAOZY"/>
    <s v="EBOOKING"/>
    <s v="OLIVEIRA/PRISCILA"/>
    <s v="Kontrip"/>
    <s v="Kontrip"/>
    <x v="44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28029"/>
    <s v="KONTRIP"/>
    <s v="-"/>
    <x v="42"/>
    <n v="60.62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298602"/>
    <n v="24029562"/>
    <s v="ACC01"/>
    <x v="45"/>
    <d v="2025-11-10T21:16:14"/>
    <s v="09 a 15 dias"/>
    <s v="09 a 15 dias"/>
    <s v="LA9578646MFJQ"/>
    <s v="EBOOKING"/>
    <s v="Calheira/Patrici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0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02"/>
    <n v="24029563"/>
    <s v="ACC02"/>
    <x v="45"/>
    <d v="2025-11-10T21:16:14"/>
    <s v="09 a 15 dias"/>
    <s v="09 a 15 dias"/>
    <s v="LA9578646MFJQ"/>
    <s v="EBOOKING"/>
    <s v="Souza/Carolin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1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02"/>
    <n v="24029564"/>
    <s v="ACC03"/>
    <x v="45"/>
    <d v="2025-11-10T21:16:14"/>
    <s v="09 a 15 dias"/>
    <s v="09 a 15 dias"/>
    <s v="LA9578646MFJQ"/>
    <s v="EBOOKING"/>
    <s v="Rayanne Brito Morais/Nan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2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02"/>
    <n v="24029565"/>
    <s v="ACC04"/>
    <x v="45"/>
    <d v="2025-11-10T21:16:14"/>
    <s v="09 a 15 dias"/>
    <s v="09 a 15 dias"/>
    <s v="LA9578646MFJQ"/>
    <s v="EBOOKING"/>
    <s v="VIEIRA BARRETO/LUCIAN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3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02"/>
    <n v="24029566"/>
    <s v="ACC05"/>
    <x v="45"/>
    <d v="2025-11-10T21:16:14"/>
    <s v="09 a 15 dias"/>
    <s v="09 a 15 dias"/>
    <s v="LA9578646MFJQ"/>
    <s v="EBOOKING"/>
    <s v="Cristiane Santos/Andrei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4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02"/>
    <n v="24029567"/>
    <s v="ACC06"/>
    <x v="45"/>
    <d v="2025-11-10T21:16:14"/>
    <s v="09 a 15 dias"/>
    <s v="09 a 15 dias"/>
    <s v="LA9578646MFJQ"/>
    <s v="EBOOKING"/>
    <s v="Cavalcanti de Sa/Talita"/>
    <s v="Kontrip"/>
    <s v="Kontrip"/>
    <x v="45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055745"/>
    <s v="KONTRIP"/>
    <s v="-"/>
    <x v="43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31"/>
    <n v="24029609"/>
    <s v="ACC01"/>
    <x v="46"/>
    <d v="2025-11-10T21:24:38"/>
    <s v="09 a 15 dias"/>
    <s v="09 a 15 dias"/>
    <s v="FJPLXB"/>
    <s v="EBOOKING"/>
    <s v="Rios/Aline"/>
    <s v="Kontrip"/>
    <s v="Kontrip"/>
    <x v="4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0370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707"/>
    <n v="24029687"/>
    <s v="ACC01"/>
    <x v="47"/>
    <d v="2025-11-10T21:37:14"/>
    <s v="09 a 15 dias"/>
    <s v="09 a 15 dias"/>
    <s v="WBFXKJ"/>
    <s v="EBOOKING"/>
    <s v="Vilela/Lidiany"/>
    <s v="Kontrip"/>
    <s v="Kontrip"/>
    <x v="47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1515"/>
    <s v="KONTRIP"/>
    <s v="-"/>
    <x v="41"/>
    <n v="60.62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298631"/>
    <n v="24029614"/>
    <s v="ACC05"/>
    <x v="46"/>
    <d v="2025-11-10T21:24:38"/>
    <s v="09 a 15 dias"/>
    <s v="09 a 15 dias"/>
    <s v="FJPLXB"/>
    <s v="EBOOKING"/>
    <s v="Faria/Catarina"/>
    <s v="Kontrip"/>
    <s v="Kontrip"/>
    <x v="4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0374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31"/>
    <n v="24029610"/>
    <s v="ACC02"/>
    <x v="46"/>
    <d v="2025-11-10T21:24:38"/>
    <s v="09 a 15 dias"/>
    <s v="09 a 15 dias"/>
    <s v="FJPLXB"/>
    <s v="EBOOKING"/>
    <s v="Eduardo dias de Azevedo/Carlos"/>
    <s v="Kontrip"/>
    <s v="Kontrip"/>
    <x v="4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0371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31"/>
    <n v="24029611"/>
    <s v="ACC03"/>
    <x v="46"/>
    <d v="2025-11-10T21:24:38"/>
    <s v="09 a 15 dias"/>
    <s v="09 a 15 dias"/>
    <s v="FJPLXB"/>
    <s v="EBOOKING"/>
    <s v="Mota/Luiza"/>
    <s v="Kontrip"/>
    <s v="Kontrip"/>
    <x v="4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0372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631"/>
    <n v="24029612"/>
    <s v="ACC04"/>
    <x v="46"/>
    <d v="2025-11-10T21:24:38"/>
    <s v="09 a 15 dias"/>
    <s v="09 a 15 dias"/>
    <s v="FJPLXB"/>
    <s v="EBOOKING"/>
    <s v="Varjao/Lorena"/>
    <s v="Kontrip"/>
    <s v="Kontrip"/>
    <x v="4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10373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300846"/>
    <n v="24031455"/>
    <s v="ACC01"/>
    <x v="48"/>
    <d v="2025-11-11T09:01:40"/>
    <s v="09 a 15 dias"/>
    <s v="09 a 15 dias"/>
    <s v="LA9577795OSVJ"/>
    <s v="EBOOKING"/>
    <s v="ANGE ARAUJO/ENY"/>
    <s v="Kontrip"/>
    <s v="Kontrip"/>
    <x v="48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100812"/>
    <s v="KONTRIP"/>
    <s v="-"/>
    <x v="44"/>
    <n v="52.7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3300846"/>
    <n v="24031456"/>
    <s v="ACC02"/>
    <x v="48"/>
    <d v="2025-11-11T09:01:40"/>
    <s v="09 a 15 dias"/>
    <s v="09 a 15 dias"/>
    <s v="LA9577795OSVJ"/>
    <s v="EBOOKING"/>
    <s v="Dias/Eloa"/>
    <s v="Kontrip"/>
    <s v="Kontrip"/>
    <x v="48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9100813"/>
    <s v="KONTRIP"/>
    <s v="-"/>
    <x v="44"/>
    <n v="52.7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3298506"/>
    <n v="24029454"/>
    <s v="ACC01"/>
    <x v="43"/>
    <d v="2025-11-10T21:01:10"/>
    <s v="09 a 15 dias"/>
    <s v="09 a 15 dias"/>
    <s v="WCJCRK"/>
    <s v="EBOOKING"/>
    <s v="ANGE ARAUJO/ENY"/>
    <s v="Kontrip"/>
    <s v="Kontrip"/>
    <x v="4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8904"/>
    <s v="KONTRIP"/>
    <s v="-"/>
    <x v="41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298506"/>
    <n v="24029455"/>
    <s v="ACC02"/>
    <x v="43"/>
    <d v="2025-11-10T21:01:10"/>
    <s v="09 a 15 dias"/>
    <s v="09 a 15 dias"/>
    <s v="WCJCRK"/>
    <s v="EBOOKING"/>
    <s v="Dias/Eloa"/>
    <s v="Kontrip"/>
    <s v="Kontrip"/>
    <x v="4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8905"/>
    <s v="KONTRIP"/>
    <s v="-"/>
    <x v="41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298545"/>
    <n v="24029504"/>
    <s v="ACC02"/>
    <x v="49"/>
    <d v="2025-11-10T21:06:17"/>
    <s v="09 a 15 dias"/>
    <s v="09 a 15 dias"/>
    <s v="CYTJTB"/>
    <s v="EBOOKING"/>
    <s v="Malaquias Santos/Elder"/>
    <s v="Kontrip"/>
    <s v="Kontrip"/>
    <x v="49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9030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545"/>
    <n v="24029505"/>
    <s v="ACC03"/>
    <x v="49"/>
    <d v="2025-11-10T21:06:17"/>
    <s v="09 a 15 dias"/>
    <s v="09 a 15 dias"/>
    <s v="CYTJTB"/>
    <s v="EBOOKING"/>
    <s v="Costa/Isabel"/>
    <s v="Kontrip"/>
    <s v="Kontrip"/>
    <x v="49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9031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545"/>
    <n v="24029506"/>
    <s v="ACC04"/>
    <x v="49"/>
    <d v="2025-11-10T21:06:17"/>
    <s v="09 a 15 dias"/>
    <s v="09 a 15 dias"/>
    <s v="CYTJTB"/>
    <s v="EBOOKING"/>
    <s v="Luz Santos/Uendeo"/>
    <s v="Kontrip"/>
    <s v="Kontrip"/>
    <x v="49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9032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0"/>
    <n v="24029350"/>
    <s v="ACC01"/>
    <x v="50"/>
    <d v="2025-11-10T20:44:08"/>
    <s v="09 a 15 dias"/>
    <s v="09 a 15 dias"/>
    <s v="FMGGRI"/>
    <s v="EBOOKING"/>
    <s v="Costa/Isabel"/>
    <s v="Kontrip"/>
    <s v="Kontrip"/>
    <x v="50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459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0"/>
    <n v="24029351"/>
    <s v="ACC02"/>
    <x v="50"/>
    <d v="2025-11-10T20:44:08"/>
    <s v="09 a 15 dias"/>
    <s v="09 a 15 dias"/>
    <s v="FMGGRI"/>
    <s v="EBOOKING"/>
    <s v="Malaquias Santos/Elder"/>
    <s v="Kontrip"/>
    <s v="Kontrip"/>
    <x v="50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460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0"/>
    <n v="24029352"/>
    <s v="ACC03"/>
    <x v="50"/>
    <d v="2025-11-10T20:44:08"/>
    <s v="09 a 15 dias"/>
    <s v="09 a 15 dias"/>
    <s v="FMGGRI"/>
    <s v="EBOOKING"/>
    <s v="Luz Santos/Uendeo"/>
    <s v="Kontrip"/>
    <s v="Kontrip"/>
    <x v="50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461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0"/>
    <n v="24029353"/>
    <s v="ACC04"/>
    <x v="50"/>
    <d v="2025-11-10T20:44:08"/>
    <s v="09 a 15 dias"/>
    <s v="09 a 15 dias"/>
    <s v="FMGGRI"/>
    <s v="EBOOKING"/>
    <s v="Hasselmann/Bruna"/>
    <s v="Kontrip"/>
    <s v="Kontrip"/>
    <x v="50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462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0"/>
    <n v="24029354"/>
    <s v="ACC05"/>
    <x v="50"/>
    <d v="2025-11-10T20:44:08"/>
    <s v="09 a 15 dias"/>
    <s v="09 a 15 dias"/>
    <s v="FMGGRI"/>
    <s v="EBOOKING"/>
    <s v="Maciel/Marcela"/>
    <s v="Kontrip"/>
    <s v="Kontrip"/>
    <x v="50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463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545"/>
    <n v="24029502"/>
    <s v="ACC01"/>
    <x v="49"/>
    <d v="2025-11-10T21:06:17"/>
    <s v="09 a 15 dias"/>
    <s v="09 a 15 dias"/>
    <s v="CYTJTB"/>
    <s v="EBOOKING"/>
    <s v="Hasselmann/Bruna"/>
    <s v="Kontrip"/>
    <s v="Kontrip"/>
    <x v="49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9029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545"/>
    <n v="24029507"/>
    <s v="ACC05"/>
    <x v="49"/>
    <d v="2025-11-10T21:06:17"/>
    <s v="09 a 15 dias"/>
    <s v="09 a 15 dias"/>
    <s v="CYTJTB"/>
    <s v="EBOOKING"/>
    <s v="Maciel/Marcela"/>
    <s v="Kontrip"/>
    <s v="Kontrip"/>
    <x v="49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9033"/>
    <s v="KONTRIP"/>
    <s v="-"/>
    <x v="41"/>
    <n v="60.6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7"/>
    <n v="24029360"/>
    <s v="ACC01"/>
    <x v="51"/>
    <d v="2025-11-10T20:45:48"/>
    <s v="09 a 15 dias"/>
    <s v="09 a 15 dias"/>
    <s v="IWCSOS"/>
    <s v="EBOOKING"/>
    <s v="Vilela/Lidiany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815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7"/>
    <n v="24029362"/>
    <s v="ACC02"/>
    <x v="51"/>
    <d v="2025-11-10T20:45:48"/>
    <s v="09 a 15 dias"/>
    <s v="09 a 15 dias"/>
    <s v="IWCSOS"/>
    <s v="EBOOKING"/>
    <s v="Mota/Luiza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816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7"/>
    <n v="24029364"/>
    <s v="ACC03"/>
    <x v="51"/>
    <d v="2025-11-10T20:45:48"/>
    <s v="09 a 15 dias"/>
    <s v="09 a 15 dias"/>
    <s v="IWCSOS"/>
    <s v="EBOOKING"/>
    <s v="OLIVEIRA/PRISCILA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817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7"/>
    <n v="24029365"/>
    <s v="ACC04"/>
    <x v="51"/>
    <d v="2025-11-10T20:45:48"/>
    <s v="09 a 15 dias"/>
    <s v="09 a 15 dias"/>
    <s v="IWCSOS"/>
    <s v="EBOOKING"/>
    <s v="Varjao/Lorena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818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98427"/>
    <n v="24029367"/>
    <s v="ACC05"/>
    <x v="51"/>
    <d v="2025-11-10T20:45:48"/>
    <s v="09 a 15 dias"/>
    <s v="09 a 15 dias"/>
    <s v="IWCSOS"/>
    <s v="EBOOKING"/>
    <s v="Faria/Catarina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207819"/>
    <s v="KONTRIP"/>
    <s v="-"/>
    <x v="41"/>
    <n v="52.72"/>
    <n v="0"/>
    <n v="0"/>
    <n v="0"/>
    <n v="0"/>
    <n v="0"/>
    <s v="obs"/>
    <s v=" Centro de custo não preenchido! (ACC03) Verificação d"/>
    <s v="KONTRIP"/>
    <s v="Centro de custo"/>
    <s v="Falta de informação Gerencial"/>
    <s v="Dados do Fornecedor"/>
    <s v="Qualidade dos dados"/>
    <s v="KONTRIP VIAGENS"/>
  </r>
  <r>
    <n v="23274601"/>
    <n v="24007279"/>
    <s v="ACC02"/>
    <x v="52"/>
    <d v="2025-11-06T20:27:20"/>
    <s v="16 a 23 dias"/>
    <s v="16 a 23 dias"/>
    <s v="LA9579914AWQT"/>
    <s v="EBOOKING"/>
    <s v="PEDRO BARTILOTTI/JOAO"/>
    <s v="Kontrip"/>
    <s v="Kontrip"/>
    <x v="52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8477241"/>
    <s v="KONTRIP"/>
    <s v="-"/>
    <x v="45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274601"/>
    <n v="24007278"/>
    <s v="ACC01"/>
    <x v="52"/>
    <d v="2025-11-06T20:27:20"/>
    <s v="16 a 23 dias"/>
    <s v="16 a 23 dias"/>
    <s v="LA9579914AWQT"/>
    <s v="EBOOKING"/>
    <s v="BARTILOTTI/PATRICIA"/>
    <s v="Kontrip"/>
    <s v="Kontrip"/>
    <x v="52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8477240"/>
    <s v="KONTRIP"/>
    <s v="-"/>
    <x v="45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274601"/>
    <n v="24007280"/>
    <s v="ACC03"/>
    <x v="52"/>
    <d v="2025-11-06T20:27:20"/>
    <s v="16 a 23 dias"/>
    <s v="16 a 23 dias"/>
    <s v="LA9579914AWQT"/>
    <s v="EBOOKING"/>
    <s v="DA CONCEICAO/BERNARDINA"/>
    <s v="Kontrip"/>
    <s v="Kontrip"/>
    <x v="52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58477242"/>
    <s v="KONTRIP"/>
    <s v="-"/>
    <x v="45"/>
    <n v="60.62"/>
    <n v="0"/>
    <n v="0"/>
    <n v="0"/>
    <n v="0"/>
    <n v="0"/>
    <s v="obs"/>
    <s v=" Centro de custo não preenchido! (ACC03)"/>
    <s v="KONTRIP"/>
    <s v="Centro de custo"/>
    <s v="Falta de informação Gerencial"/>
    <s v="Dados do Fornecedor"/>
    <s v="Qualidade dos dados"/>
    <s v="KONTRIP VIAGENS"/>
  </r>
  <r>
    <n v="23372676"/>
    <n v="24097838"/>
    <s v="ACC01"/>
    <x v="53"/>
    <d v="2025-11-22T20:39:39"/>
    <s v="0 a 02 dias"/>
    <s v="0 a 02 dias"/>
    <s v="EENPBK"/>
    <s v="EBOOKING"/>
    <s v="ANGE ARAUJO/ENY"/>
    <s v="Kontrip"/>
    <s v="Kontrip"/>
    <x v="5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50030508"/>
    <s v="KONTRIP"/>
    <s v="-"/>
    <x v="46"/>
    <n v="52.7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3372676"/>
    <n v="24097839"/>
    <s v="ACC02"/>
    <x v="53"/>
    <d v="2025-11-22T20:39:39"/>
    <s v="0 a 02 dias"/>
    <s v="0 a 02 dias"/>
    <s v="EENPBK"/>
    <s v="EBOOKING"/>
    <s v="Dias/Eloa"/>
    <s v="Kontrip"/>
    <s v="Kontrip"/>
    <x v="5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50030509"/>
    <s v="KONTRIP"/>
    <s v="-"/>
    <x v="46"/>
    <n v="52.7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3362325"/>
    <n v="24088853"/>
    <s v="ACC01"/>
    <x v="54"/>
    <d v="2025-11-20T19:42:36"/>
    <s v="03 a 05 dias"/>
    <s v="03 a 05 dias"/>
    <s v="EHOQSQ"/>
    <s v="EBOOKING"/>
    <s v="CONCEICAO/RONILDO"/>
    <s v="Kontrip"/>
    <s v="Kontrip"/>
    <x v="54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9920186"/>
    <s v="KONTRIP"/>
    <s v="-"/>
    <x v="47"/>
    <n v="113.34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133216"/>
    <n v="23879711"/>
    <s v="ACC01"/>
    <x v="55"/>
    <d v="2025-11-11T07:51:03"/>
    <s v="09 a 15 dias"/>
    <s v="31 dias ou +"/>
    <s v="YQISLX"/>
    <s v="GOVER"/>
    <s v="Talita Da Trindade Reis"/>
    <s v="Gover"/>
    <s v="Gover"/>
    <x v="55"/>
    <n v="4614960"/>
    <s v="-"/>
    <s v="ON LINE"/>
    <s v="Invoice"/>
    <s v="Cartão convênio"/>
    <s v="Aéreo"/>
    <s v="N"/>
    <s v="Grupo Hypera"/>
    <s v="Hypera S.a."/>
    <s v="-"/>
    <s v="Latam Airlines Brasil"/>
    <n v="2255422465"/>
    <s v="KON-OPE-SAO-PVI-HYPERA"/>
    <s v="-"/>
    <x v="48"/>
    <n v="191.2"/>
    <n v="0"/>
    <n v="0"/>
    <n v="0"/>
    <n v="0"/>
    <n v="0"/>
    <s v="Reserva importada do sistema Gover. Id: 4614960"/>
    <s v="Erro excluindo PNR: Não é possivel excluir a accounting de código: 25222646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3119164"/>
    <n v="23866795"/>
    <s v="ACC01"/>
    <x v="56"/>
    <d v="2025-11-11T07:49:59"/>
    <s v="09 a 15 dias"/>
    <s v="31 dias ou +"/>
    <s v="LFHSLZ"/>
    <s v="GOVER"/>
    <s v="Luis Fernando Garisto Calejon"/>
    <s v="Gover"/>
    <s v="Gover"/>
    <x v="56"/>
    <n v="4612456"/>
    <s v="-"/>
    <s v="ON LINE"/>
    <s v="Invoice"/>
    <s v="Cartão convênio"/>
    <s v="Aéreo"/>
    <s v="N"/>
    <s v="Grupo Hypera"/>
    <s v="Hypera S.a."/>
    <s v="-"/>
    <s v="Latam Airlines Brasil"/>
    <n v="2255087627"/>
    <s v="KON-OPE-SAO-PVI-HYPERA"/>
    <s v="-"/>
    <x v="49"/>
    <n v="95.20999999999999"/>
    <n v="0"/>
    <n v="0"/>
    <n v="0"/>
    <n v="0"/>
    <n v="0"/>
    <s v="Reserva importada do sistema Gover. Id: 4612456"/>
    <s v="Erro excluindo PNR: Não é possivel excluir a accounting de código: 25209820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3200481"/>
    <n v="23936672"/>
    <s v="ACC01"/>
    <x v="57"/>
    <d v="2025-10-27T08:56:44"/>
    <s v="24 a 31 dias"/>
    <s v="24 a 31 dias"/>
    <n v="20574139"/>
    <s v="GOVER"/>
    <s v="ANDRE HENRIQUE BATISTA DA SILVA"/>
    <s v="Gover"/>
    <s v="Gover"/>
    <x v="57"/>
    <n v="4616918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50"/>
    <n v="0"/>
    <n v="0"/>
    <n v="0"/>
    <n v="0"/>
    <n v="0"/>
    <n v="0"/>
    <s v="Reserva importada do sistema Gover. Id: 4616918"/>
    <s v="Fornecedor não preenchido! (ACC01)"/>
    <s v="GOVER"/>
    <s v="Falta de Fornecedor"/>
    <s v="Campo Fornecedor"/>
    <s v="Dados do Fornecedor"/>
    <s v="Sistêmico"/>
    <s v="GRUPO KONTIK"/>
  </r>
  <r>
    <n v="23296023"/>
    <n v="24026844"/>
    <s v="ACC01"/>
    <x v="58"/>
    <d v="2025-11-10T16:31:12"/>
    <s v="09 a 15 dias"/>
    <s v="09 a 15 dias"/>
    <s v="SBSHVV-1"/>
    <s v="MANUAL"/>
    <s v="ANA BIGUILIN AVANCO"/>
    <s v="WAGNER PAULINO"/>
    <s v="WAGNER PAULINO"/>
    <x v="58"/>
    <n v="4622775"/>
    <s v="-"/>
    <s v="OFF LINE"/>
    <s v="Outros"/>
    <s v="Cartão de crédito"/>
    <s v="Aéreo"/>
    <s v="N"/>
    <s v="Grupo Hypera"/>
    <s v="Hypera S.a."/>
    <s v="-"/>
    <s v="Gol Linhas Aereas"/>
    <n v="4434919217"/>
    <s v="KON-OPE-SAO-PVI-HYPERA"/>
    <s v="-"/>
    <x v="51"/>
    <n v="0"/>
    <n v="0"/>
    <n v="0"/>
    <n v="0"/>
    <n v="0"/>
    <n v="0"/>
    <s v="Reserva importada do sistema Gover. Id: 4622775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3328346"/>
    <n v="24057897"/>
    <s v="ACC01"/>
    <x v="59"/>
    <d v="2025-11-17T11:56:13"/>
    <s v="06 a 08 dias"/>
    <s v="09 a 15 dias"/>
    <s v="ENLCWS"/>
    <s v="SABRE"/>
    <s v="HUELLER/ANDREAS"/>
    <s v="Flavia Constanzi do Nascimento"/>
    <s v="CT"/>
    <x v="59"/>
    <s v="ENLCWS"/>
    <s v="-"/>
    <s v="ON LINE"/>
    <s v="Cartão de crédito"/>
    <s v="Cartão AMEX"/>
    <s v="Aéreo"/>
    <s v="N"/>
    <s v="Grupo Bosch"/>
    <s v="Robert Bosch Limitada - 908a"/>
    <s v="Cliente FEE no POS"/>
    <s v="Lufthansa"/>
    <n v="5580610877"/>
    <s v="FCM-OPE-SAO-PVI-BOSCH"/>
    <s v="-"/>
    <x v="52"/>
    <n v="59.54"/>
    <n v="963.48"/>
    <n v="0"/>
    <n v="59.54"/>
    <n v="0"/>
    <n v="19.2"/>
    <s v="Reserva importada por HubTravel"/>
    <s v="9748659/6262832&quot; possui uma transação de cartão efetivada"/>
    <s v="SABRE"/>
    <s v="Conciliação de Cartão"/>
    <s v="Financeiro Conciliado"/>
    <s v="Edição não Permitida"/>
    <s v="Qualidade dos dados"/>
    <s v="GRUPO KONTIK"/>
  </r>
  <r>
    <n v="23346434"/>
    <n v="24073751"/>
    <s v="ACC01"/>
    <x v="60"/>
    <d v="2025-11-18T11:19:50"/>
    <s v="06 a 08 dias"/>
    <s v="06 a 08 dias"/>
    <s v="QVFSPET"/>
    <s v="SABRE"/>
    <s v="ALBUQUERQUE/ALESSANDRO SANTANA"/>
    <s v="Ernani Afranio dos Santos"/>
    <s v="Ernani Afranio dos Santos"/>
    <x v="60"/>
    <s v="EMAIL"/>
    <s v="-"/>
    <s v="ON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502"/>
    <n v="24082474"/>
    <s v="ACC01"/>
    <x v="61"/>
    <d v="2025-11-19T16:06:36"/>
    <s v="03 a 05 dias"/>
    <s v="03 a 05 dias"/>
    <s v="EBBGGTT"/>
    <s v="SABRE"/>
    <s v="ALBUQUERQUE/ALESSANDRO SANTANA"/>
    <s v="Valeria Domingues Cavalcante"/>
    <s v="Valeria Domingues Cavalcante"/>
    <x v="61"/>
    <s v="EMAIL"/>
    <s v="-"/>
    <s v="OFF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649"/>
    <n v="24082618"/>
    <s v="ACC01"/>
    <x v="62"/>
    <d v="2025-11-19T16:31:45"/>
    <s v="03 a 05 dias"/>
    <s v="03 a 05 dias"/>
    <s v="JKCHSO"/>
    <s v="SABRE"/>
    <s v="MEDEIRO CABRAL NETO/LAERSON"/>
    <s v="Valeria Domingues Cavalcante"/>
    <s v="Valeria Domingues Cavalcante"/>
    <x v="62"/>
    <s v="EMAIL"/>
    <s v="-"/>
    <s v="OFF LINE"/>
    <s v="Invoice"/>
    <s v="Faturado"/>
    <s v="Aéreo"/>
    <s v="N"/>
    <s v="Grupo Bosch"/>
    <s v="Johnson Controls Hitachi Ar Condicionado do Brasil Ltda"/>
    <s v="-"/>
    <s v="Azul Linhas Aereas"/>
    <n v="7700081115"/>
    <s v="FCM-OPE-SAO-PVI-BOSCH"/>
    <s v="-"/>
    <x v="0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3349294"/>
    <n v="24076730"/>
    <s v="ACC01"/>
    <x v="63"/>
    <d v="2025-11-18T17:37:05"/>
    <s v="06 a 08 dias"/>
    <s v="06 a 08 dias"/>
    <s v="GWJOSXT"/>
    <s v="SABRE"/>
    <s v="APARECIDA DOS SANTOS/JAQUELINE"/>
    <s v="Valeria Domingues Cavalcante"/>
    <s v="Valeria Domingues Cavalcante"/>
    <x v="63"/>
    <s v="EMAIL"/>
    <s v="-"/>
    <s v="OFF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4203"/>
    <n v="24081192"/>
    <s v="ACC01"/>
    <x v="64"/>
    <d v="2025-11-19T13:48:57"/>
    <s v="03 a 05 dias"/>
    <s v="03 a 05 dias"/>
    <s v="LCKOKUT"/>
    <s v="SABRE"/>
    <s v="FERREIRA DE OLIVEIRA/ALEX"/>
    <s v="Valeria Domingues Cavalcante"/>
    <s v="Valeria Domingues Cavalcante"/>
    <x v="64"/>
    <s v="EMAIL"/>
    <s v="-"/>
    <s v="OFF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4392"/>
    <n v="24081364"/>
    <s v="ACC01"/>
    <x v="65"/>
    <d v="2025-11-19T14:30:52"/>
    <s v="03 a 05 dias"/>
    <s v="03 a 05 dias"/>
    <s v="CQANYTT"/>
    <s v="SABRE"/>
    <s v="DOS SANTOS SOARES/ANTONIO MARCOS"/>
    <s v="Valeria Domingues Cavalcante"/>
    <s v="Valeria Domingues Cavalcante"/>
    <x v="65"/>
    <s v="EMAIL"/>
    <s v="-"/>
    <s v="OFF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00751"/>
    <n v="24031381"/>
    <s v="ACC01"/>
    <x v="66"/>
    <d v="2025-11-11T08:15:34"/>
    <s v="09 a 15 dias"/>
    <s v="09 a 15 dias"/>
    <n v="20789396"/>
    <s v="GOVER"/>
    <s v="Auro Augusto Baier"/>
    <s v="Wilson Jose Araujo de Gusmao Junior"/>
    <s v="Wilson Jose Araujo de Gusmao Junior"/>
    <x v="66"/>
    <n v="4625715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58"/>
    <n v="13.8"/>
    <n v="0"/>
    <n v="0"/>
    <n v="0"/>
    <n v="0"/>
    <n v="0"/>
    <s v="Reserva importada do sistema Gover. Id: 4625715"/>
    <s v="Fornecedor não preenchido! (ACC01)"/>
    <s v="GOVER"/>
    <s v="Falta de Fornecedor"/>
    <s v="Campo Fornecedor"/>
    <s v="Dados do Fornecedor"/>
    <s v="Sistêmico"/>
    <s v="GRUPO KONTIK"/>
  </r>
  <r>
    <n v="23325092"/>
    <n v="24054568"/>
    <s v="ACC01"/>
    <x v="67"/>
    <d v="2025-11-14T14:13:16"/>
    <s v="09 a 15 dias"/>
    <s v="09 a 15 dias"/>
    <n v="5187263"/>
    <s v="GOVER"/>
    <s v="Carlos Alberto Pereira de Moraes"/>
    <s v="Wilson Jose Araujo de Gusmao Junior"/>
    <s v="Wilson Jose Araujo de Gusmao Junior"/>
    <x v="67"/>
    <n v="4628080"/>
    <s v="-"/>
    <s v="OFF LINE"/>
    <s v="Cartão de crédito"/>
    <s v="Cartão de crédito"/>
    <s v="Hotel"/>
    <s v="N"/>
    <s v="Grupo Intercement"/>
    <s v="Intercement Nacoes Unidas"/>
    <s v="-"/>
    <s v="Hotel Cordeiro"/>
    <s v="-"/>
    <s v="-"/>
    <s v="-"/>
    <x v="59"/>
    <n v="0"/>
    <n v="0"/>
    <n v="0"/>
    <n v="0"/>
    <n v="0"/>
    <n v="0"/>
    <s v="Reserva importada do sistema Gover. Id: 4628080"/>
    <s v="Canal de venda não preenchido! (ACC01)"/>
    <s v="GOVER"/>
    <s v="Canal de venda"/>
    <s v="Falta de informação Gerencial"/>
    <s v="Dados do Fornecedor"/>
    <s v="Qualidade dos dados"/>
    <s v="KONTIK BUSINESS TRAVEL"/>
  </r>
  <r>
    <n v="23325094"/>
    <n v="24054569"/>
    <s v="ACC01"/>
    <x v="68"/>
    <d v="2025-11-14T14:13:18"/>
    <s v="09 a 15 dias"/>
    <s v="09 a 15 dias"/>
    <s v="AVD5WSRU6A"/>
    <s v="GOVER"/>
    <s v="Carlos Alberto Pereira de Moraes"/>
    <s v="Wilson Jose Araujo de Gusmao Junior"/>
    <s v="Wilson Jose Araujo de Gusmao Junior"/>
    <x v="68"/>
    <n v="4628080"/>
    <s v="Localiza - Br - Sp - Sorocaba - Jardim Pelegrino Endereço: Av. Dom Aguirre, N 2393 2393 Jardim Peleg"/>
    <s v="OFF LINE"/>
    <s v="Invoice"/>
    <s v="Faturado"/>
    <s v="Carro"/>
    <s v="N"/>
    <s v="Grupo Intercement"/>
    <s v="Intercement Nacoes Unidas"/>
    <s v="-"/>
    <s v="Localiza - Br - Sp - Sorocaba - Jardim Pelegrino"/>
    <s v="-"/>
    <s v="-"/>
    <s v="-"/>
    <x v="60"/>
    <n v="0"/>
    <n v="0"/>
    <n v="0"/>
    <n v="0"/>
    <n v="0"/>
    <n v="0"/>
    <s v="Reserva importada do sistema Gover. Id: 4628080"/>
    <s v="Canal de venda não preenchido! (ACC01)"/>
    <s v="GOVER"/>
    <s v="Canal de venda"/>
    <s v="Falta de informação Gerencial"/>
    <s v="Dados do Fornecedor"/>
    <s v="Qualidade dos dados"/>
    <s v="KONTIK BUSINESS TRAVEL"/>
  </r>
  <r>
    <n v="23204725"/>
    <n v="23941038"/>
    <s v="ACC01"/>
    <x v="69"/>
    <d v="2025-10-27T19:21:39"/>
    <s v="24 a 31 dias"/>
    <s v="24 a 31 dias"/>
    <n v="20575541"/>
    <s v="GOVER"/>
    <s v="THALES HENRIQUE TORRES DE ALMEIDA"/>
    <s v="Gover"/>
    <s v="Gover"/>
    <x v="69"/>
    <n v="4618951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1"/>
    <n v="0"/>
    <n v="0"/>
    <n v="0"/>
    <n v="0"/>
    <n v="0"/>
    <n v="0"/>
    <s v="Reserva importada do sistema Gover. Id: 4618951"/>
    <s v="Fornecedor não preenchido! (ACC01)"/>
    <s v="GOVER"/>
    <s v="Falta de Fornecedor"/>
    <s v="Campo Fornecedor"/>
    <s v="Dados do Fornecedor"/>
    <s v="Sistêmico"/>
    <s v="GRUPO KONTIK"/>
  </r>
  <r>
    <n v="23331587"/>
    <n v="24060549"/>
    <s v="ACC01"/>
    <x v="70"/>
    <d v="2025-11-15T16:16:11"/>
    <s v="09 a 15 dias"/>
    <s v="09 a 15 dias"/>
    <s v="HFUTNY"/>
    <s v="GOVER"/>
    <s v="Ederson Belo da Silva"/>
    <s v="Gover"/>
    <s v="Gover"/>
    <x v="70"/>
    <n v="4628581"/>
    <s v="-"/>
    <s v="ON LINE"/>
    <s v="Cartão de crédito"/>
    <s v="Cartão AMEX"/>
    <s v="Aéreo"/>
    <s v="N"/>
    <s v="Grupo Intercement"/>
    <s v="Intercement Nacoes Unidas"/>
    <s v="-"/>
    <s v="Azul Linhas Aereas"/>
    <n v="3024060548"/>
    <s v="-"/>
    <s v="-"/>
    <x v="0"/>
    <n v="0"/>
    <n v="0"/>
    <n v="0"/>
    <n v="0"/>
    <n v="0"/>
    <n v="0"/>
    <s v="Reserva importada do sistema Gover. Id: 4628581"/>
    <s v="Accouting aérea não possui trechos (Bilhete: 3024060548)"/>
    <s v="GOVER"/>
    <s v="Falta informação nos trechos"/>
    <s v="Atualização de Trechos"/>
    <s v="Dados do Fornecedor"/>
    <s v="Qualidade dos dados"/>
    <s v="KONTIK BUSINESS TRAVEL"/>
  </r>
  <r>
    <n v="23331588"/>
    <n v="24060550"/>
    <s v="ACC01"/>
    <x v="71"/>
    <d v="2025-11-15T16:16:12"/>
    <s v="09 a 15 dias"/>
    <s v="09 a 15 dias"/>
    <s v="VGYL6Y"/>
    <s v="GOVER"/>
    <s v="Antero  Alves Neto"/>
    <s v="Gover"/>
    <s v="Gover"/>
    <x v="71"/>
    <n v="4628641"/>
    <s v="-"/>
    <s v="ON LINE"/>
    <s v="Cartão de crédito"/>
    <s v="Cartão AMEX"/>
    <s v="Aéreo"/>
    <s v="N"/>
    <s v="Grupo Intercement"/>
    <s v="Intercement Nacoes Unidas"/>
    <s v="-"/>
    <s v="Azul Linhas Aereas"/>
    <n v="3024060549"/>
    <s v="KON-OPE-SAO-PVI-MOVER"/>
    <s v="-"/>
    <x v="0"/>
    <n v="0"/>
    <n v="0"/>
    <n v="0"/>
    <n v="0"/>
    <n v="0"/>
    <n v="0"/>
    <s v="Reserva importada do sistema Gover. Id: 4628641"/>
    <s v="Accouting aérea não possui trechos (Bilhete: 3024060549)"/>
    <s v="GOVER"/>
    <s v="Falta informação nos trechos"/>
    <s v="Atualização de Trechos"/>
    <s v="Dados do Fornecedor"/>
    <s v="Qualidade dos dados"/>
    <s v="KONTIK BUSINESS TRAVEL"/>
  </r>
  <r>
    <n v="23226222"/>
    <n v="23961296"/>
    <s v="ACC01"/>
    <x v="72"/>
    <d v="2025-10-30T19:35:56"/>
    <s v="24 a 31 dias"/>
    <s v="24 a 31 dias"/>
    <n v="20647002"/>
    <s v="GOVER"/>
    <s v="Wilson Perussi  Okiyama"/>
    <s v="Gover"/>
    <s v="Gover"/>
    <x v="72"/>
    <n v="4621395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2"/>
    <n v="34.5"/>
    <n v="0"/>
    <n v="0"/>
    <n v="0"/>
    <n v="0"/>
    <n v="0"/>
    <s v="Reserva importada do sistema Gover. Id: 4621395"/>
    <s v="Fornecedor não preenchido! (ACC01)"/>
    <s v="GOVER"/>
    <s v="Falta de Fornecedor"/>
    <s v="Campo Fornecedor"/>
    <s v="Dados do Fornecedor"/>
    <s v="Sistêmico"/>
    <s v="GRUPO KONTIK"/>
  </r>
  <r>
    <n v="23226223"/>
    <n v="23961297"/>
    <s v="ACC01"/>
    <x v="73"/>
    <d v="2025-10-30T19:35:56"/>
    <s v="24 a 31 dias"/>
    <s v="24 a 31 dias"/>
    <n v="20647077"/>
    <s v="GOVER"/>
    <s v="Wilson Perussi  Okiyama"/>
    <s v="Gover"/>
    <s v="Gover"/>
    <x v="73"/>
    <n v="4621398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3"/>
    <n v="0"/>
    <n v="0"/>
    <n v="0"/>
    <n v="0"/>
    <n v="0"/>
    <n v="0"/>
    <s v="Reserva importada do sistema Gover. Id: 4621398"/>
    <s v="Fornecedor não preenchido! (ACC01)"/>
    <s v="GOVER"/>
    <s v="Falta de Fornecedor"/>
    <s v="Campo Fornecedor"/>
    <s v="Dados do Fornecedor"/>
    <s v="Sistêmico"/>
    <s v="GRUPO KONTIK"/>
  </r>
  <r>
    <n v="23263086"/>
    <n v="23995554"/>
    <s v="ACC01"/>
    <x v="74"/>
    <d v="2025-11-05T18:06:19"/>
    <s v="16 a 23 dias"/>
    <s v="16 a 23 dias"/>
    <n v="20713368"/>
    <s v="GOVER"/>
    <s v="JEFFERSON ALVES DE CASTRO"/>
    <s v="Gover"/>
    <s v="Gover"/>
    <x v="74"/>
    <n v="4623846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1"/>
    <n v="0"/>
    <n v="0"/>
    <n v="0"/>
    <n v="0"/>
    <n v="0"/>
    <n v="0"/>
    <s v="Reserva importada do sistema Gover. Id: 4623846"/>
    <s v="Fornecedor não preenchido! (ACC01)"/>
    <s v="GOVER"/>
    <s v="Falta de Fornecedor"/>
    <s v="Campo Fornecedor"/>
    <s v="Dados do Fornecedor"/>
    <s v="Sistêmico"/>
    <s v="GRUPO KONTIK"/>
  </r>
  <r>
    <n v="23346303"/>
    <n v="24073606"/>
    <s v="ACC01"/>
    <x v="75"/>
    <d v="2025-11-18T10:55:07"/>
    <s v="06 a 08 dias"/>
    <s v="06 a 08 dias"/>
    <n v="5192565"/>
    <s v="GOVER"/>
    <s v="Wilson Perussi Okiyama"/>
    <s v="Rafaela Leitao Oliveira"/>
    <s v="Rafaela Leitao Oliveira"/>
    <x v="75"/>
    <n v="4627784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64"/>
    <n v="0"/>
    <n v="0"/>
    <n v="0"/>
    <n v="0"/>
    <n v="0"/>
    <n v="0"/>
    <s v="Reserva importada do sistema Gover. Id: 4627784"/>
    <s v="Fornecedor não preenchido! (ACC01)"/>
    <s v="GOVER"/>
    <s v="Falta de Fornecedor"/>
    <s v="Campo Fornecedor"/>
    <s v="Dados do Fornecedor"/>
    <s v="Sistêmico"/>
    <s v="GRUPO KONTIK"/>
  </r>
  <r>
    <n v="23338393"/>
    <n v="24066186"/>
    <s v="ACC01"/>
    <x v="76"/>
    <d v="2025-11-17T09:26:28"/>
    <s v="06 a 08 dias"/>
    <s v="06 a 08 dias"/>
    <n v="20859966"/>
    <s v="GOVER"/>
    <s v="Ederson Belo da Silva"/>
    <s v="Marcos de Oliveira Miklos"/>
    <s v="Marcos de Oliveira Miklos"/>
    <x v="76"/>
    <n v="4628585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5"/>
    <n v="0"/>
    <n v="0"/>
    <n v="0"/>
    <n v="0"/>
    <n v="0"/>
    <n v="0"/>
    <s v="Reserva importada do sistema Gover. Id: 4628585"/>
    <s v="Fornecedor não preenchido! (ACC01)"/>
    <s v="GOVER"/>
    <s v="Falta de Fornecedor"/>
    <s v="Campo Fornecedor"/>
    <s v="Dados do Fornecedor"/>
    <s v="Sistêmico"/>
    <s v="GRUPO KONTIK"/>
  </r>
  <r>
    <n v="23356273"/>
    <n v="24083259"/>
    <s v="ACC01"/>
    <x v="77"/>
    <d v="2025-11-19T18:06:59"/>
    <s v="03 a 05 dias"/>
    <s v="03 a 05 dias"/>
    <s v="MV4H58XBNAQBR"/>
    <s v="GOVER"/>
    <s v="Guilherme Souza Silveira"/>
    <s v="RAYSSA MARTINS FERREIRA"/>
    <s v="RAYSSA MARTINS FERREIRA"/>
    <x v="77"/>
    <n v="4630048"/>
    <s v="Movida - Br - Mg - Mvd - Ipatinga Endereço: Avenida Pedro Linhares Gomes, 3900"/>
    <s v="OFF LINE"/>
    <s v="Invoice"/>
    <s v="Faturado"/>
    <s v="Carro"/>
    <s v="N"/>
    <s v="Grupo Intercement"/>
    <s v="Intercement Nacoes Unidas"/>
    <s v="-"/>
    <s v="Movida - Br - Mg - Ipatinga - Shopping Vale do Aco"/>
    <s v="-"/>
    <s v="KON-OPE-SAO-PVI-MOVER"/>
    <s v="-"/>
    <x v="66"/>
    <n v="0"/>
    <n v="0"/>
    <n v="0"/>
    <n v="0"/>
    <n v="0"/>
    <n v="0"/>
    <s v="Reserva importada do sistema Gover. Id: 4630048"/>
    <s v="Fornecedor não preenchido! (ACC01)"/>
    <s v="GOVER"/>
    <s v="Falta de Fornecedor"/>
    <s v="Campo Fornecedor"/>
    <s v="Dados do Fornecedor"/>
    <s v="Qualidade dos dados"/>
    <s v="KONTIK BUSINESS TRAVEL"/>
  </r>
  <r>
    <n v="23203709"/>
    <n v="23939935"/>
    <s v="ACC01"/>
    <x v="78"/>
    <d v="2025-10-27T16:25:53"/>
    <s v="24 a 31 dias"/>
    <s v="24 a 31 dias"/>
    <n v="20587875"/>
    <s v="GOVER"/>
    <s v="Paulo Sergio Rodrigues"/>
    <s v="RAYSSA MARTINS FERREIRA"/>
    <s v="RAYSSA MARTINS FERREIRA"/>
    <x v="78"/>
    <n v="4619116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67"/>
    <n v="0"/>
    <n v="0"/>
    <n v="0"/>
    <n v="0"/>
    <n v="0"/>
    <n v="0"/>
    <s v="Reserva importada do sistema Gover. Id: 4619116"/>
    <s v="Fornecedor não preenchido! (ACC01)"/>
    <s v="GOVER"/>
    <s v="Falta de Fornecedor"/>
    <s v="Campo Fornecedor"/>
    <s v="Dados do Fornecedor"/>
    <s v="Sistêmico"/>
    <s v="GRUPO KONTIK"/>
  </r>
  <r>
    <n v="23325144"/>
    <n v="24054619"/>
    <s v="ACC01"/>
    <x v="79"/>
    <d v="2025-11-15T16:25:34"/>
    <s v="09 a 15 dias"/>
    <s v="09 a 15 dias"/>
    <s v="CJLRBH1"/>
    <s v="TMS"/>
    <s v="GIORGIO FRANCESCHETTI"/>
    <s v="Jose de Oliveira Cunha"/>
    <s v="Jose de Oliveira Cunha"/>
    <x v="79"/>
    <n v="14794"/>
    <s v="-"/>
    <s v="OFF LINE"/>
    <s v="Invoice"/>
    <s v="Cartão convênio"/>
    <s v="Aéreo"/>
    <s v="N"/>
    <s v="Grupo Braskem"/>
    <s v="Braskem - Camacari"/>
    <s v="-"/>
    <s v="Gol Linhas Aereas"/>
    <n v="2149484073"/>
    <s v="KON-OPE-SAO-PVI-BRASKEM"/>
    <s v="-"/>
    <x v="68"/>
    <n v="0"/>
    <n v="0"/>
    <n v="0"/>
    <n v="0"/>
    <n v="0"/>
    <n v="0"/>
    <s v="Reserva importada do Sistema TMS. OS: 14794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GRUPO KONTIK"/>
  </r>
  <r>
    <n v="23367248"/>
    <n v="24093268"/>
    <s v="ACC01"/>
    <x v="80"/>
    <d v="2025-11-21T22:15:58"/>
    <s v="03 a 05 dias"/>
    <s v="03 a 05 dias"/>
    <s v="5UOC0A"/>
    <s v="TMS"/>
    <s v="AMANDA COPSTEIN"/>
    <s v="ADRIANA MIRANDA COUTINHO"/>
    <s v="ADRIANA MIRANDA COUTINHO"/>
    <x v="80"/>
    <n v="15071"/>
    <s v="Manaus / AM, Brasil (MAO)"/>
    <s v="OFF LINE"/>
    <s v="Invoice"/>
    <s v="Faturado"/>
    <s v="Carro"/>
    <s v="N"/>
    <s v="Grupo Braskem"/>
    <s v="Braskem - Camacari"/>
    <s v="-"/>
    <s v="-"/>
    <s v="-"/>
    <s v="KON-OPE-SAO-PVI-BRASKEM"/>
    <s v="-"/>
    <x v="69"/>
    <n v="0"/>
    <n v="0"/>
    <n v="0"/>
    <n v="0"/>
    <n v="0"/>
    <n v="0"/>
    <s v="Reserva importada do Sistema TMS. OS: 15071"/>
    <s v="Fornecedor não preenchido! (ACC01)"/>
    <s v="ARGO(TMS)"/>
    <s v="Falta de Fornecedor"/>
    <s v="Campo Fornecedor"/>
    <s v="Dados do Fornecedor"/>
    <s v="Qualidade dos dados"/>
    <s v="KONTIK BUSINESS TRAVEL"/>
  </r>
  <r>
    <n v="23358171"/>
    <n v="24085183"/>
    <s v="ACC01"/>
    <x v="81"/>
    <d v="2025-11-19T23:42:35"/>
    <s v="03 a 05 dias"/>
    <s v="03 a 05 dias"/>
    <s v="5TXW9L"/>
    <s v="TMS"/>
    <s v="MARCELO BENINCA"/>
    <s v="Carlos Henrique da Silva"/>
    <s v="Carlos Henrique da Silva"/>
    <x v="81"/>
    <n v="15014"/>
    <s v="-"/>
    <s v="OFF LINE"/>
    <s v="Cartão de crédito"/>
    <s v="Cartão de crédito"/>
    <s v="Hotel"/>
    <s v="N"/>
    <s v="Grupo Braskem"/>
    <s v="Braskem - Camacari"/>
    <s v="-"/>
    <s v="Slaviero Sao Paulo Ibirapuera"/>
    <s v="-"/>
    <s v="KON-OPE-SAO-PVI-BRASKEM"/>
    <s v="-"/>
    <x v="70"/>
    <n v="0"/>
    <n v="0"/>
    <n v="0"/>
    <n v="0"/>
    <n v="0"/>
    <n v="0"/>
    <s v="Reserva importada do Sistema TMS. OS: 15014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3355402"/>
    <n v="24082371"/>
    <s v="ACC01"/>
    <x v="82"/>
    <d v="2025-11-19T22:18:18"/>
    <s v="03 a 05 dias"/>
    <s v="03 a 05 dias"/>
    <s v="5TGSXO"/>
    <s v="TMS"/>
    <s v="MAURICIO CARDOSO"/>
    <s v="Renato Ferreira Gomes"/>
    <s v="Renato Ferreira Gomes"/>
    <x v="82"/>
    <n v="15002"/>
    <s v="Belo Horizonte / BHZ"/>
    <s v="OFF LINE"/>
    <s v="Invoice"/>
    <s v="Faturado"/>
    <s v="Carro"/>
    <s v="N"/>
    <s v="Grupo Braskem"/>
    <s v="Braskem - Camacari"/>
    <s v="-"/>
    <s v="Movida - Br - Mg - Lagoa Santa - Ponte de Pedra"/>
    <s v="-"/>
    <s v="KON-OPE-SAO-PVI-BRASKEM"/>
    <s v="-"/>
    <x v="71"/>
    <n v="0"/>
    <n v="0"/>
    <n v="0"/>
    <n v="0"/>
    <n v="0"/>
    <n v="0"/>
    <s v="Reserva importada do Sistema TMS. OS: 15002"/>
    <s v="Fornecedor não preenchido! (ACC01)"/>
    <s v="ARGO(TMS)"/>
    <s v="Falta de Fornecedor"/>
    <s v="Campo Fornecedor"/>
    <s v="Dados do Fornecedor"/>
    <s v="Qualidade dos dados"/>
    <s v="KONTIK BUSINESS TRAVEL"/>
  </r>
  <r>
    <n v="23367245"/>
    <n v="24093265"/>
    <s v="ACC01"/>
    <x v="83"/>
    <d v="2025-11-21T18:17:57"/>
    <s v="03 a 05 dias"/>
    <s v="03 a 05 dias"/>
    <s v="5UUDP1"/>
    <s v="TMS"/>
    <s v="MAURICIO SANTOS"/>
    <s v="Renato Ferreira Gomes"/>
    <s v="Renato Ferreira Gomes"/>
    <x v="83"/>
    <n v="15080"/>
    <s v="São Paulo / SP, Brasil - Congonhas (CGH)"/>
    <s v="OFF LINE"/>
    <s v="Invoice"/>
    <s v="Faturado"/>
    <s v="Carro"/>
    <s v="N"/>
    <s v="Grupo Braskem"/>
    <s v="Braskem - Camacari"/>
    <s v="-"/>
    <s v="-"/>
    <s v="-"/>
    <s v="KON-OPE-SAO-PVI-BRASKEM"/>
    <s v="-"/>
    <x v="72"/>
    <n v="0"/>
    <n v="0"/>
    <n v="0"/>
    <n v="0"/>
    <n v="0"/>
    <n v="0"/>
    <s v="Reserva importada do Sistema TMS. OS: 15080"/>
    <s v="Fornecedor não preenchido! (ACC01)"/>
    <s v="ARGO(TMS)"/>
    <s v="Falta de Fornecedor"/>
    <s v="Campo Fornecedor"/>
    <s v="Dados do Fornecedor"/>
    <s v="Qualidade dos dados"/>
    <s v="KONTIK BUSINESS TRAVEL"/>
  </r>
  <r>
    <n v="23376667"/>
    <n v="24100904"/>
    <s v="ACC01"/>
    <x v="84"/>
    <d v="2025-11-23T22:25:45"/>
    <s v="0 a 02 dias"/>
    <s v="0 a 02 dias"/>
    <s v="5UJ6UA"/>
    <s v="TMS"/>
    <s v="DANILO PACHECO"/>
    <s v="Tms"/>
    <s v="Tms"/>
    <x v="84"/>
    <n v="15100"/>
    <s v="Juazeiro do Norte / JDO"/>
    <s v="ON LINE"/>
    <s v="Invoice"/>
    <s v="Faturado"/>
    <s v="Carro"/>
    <s v="N"/>
    <s v="Grupo Braskem"/>
    <s v="Braskem - Camacari"/>
    <s v="-"/>
    <s v="-"/>
    <s v="-"/>
    <s v="KON-OPE-SAO-PVI-BRASKEM"/>
    <s v="-"/>
    <x v="73"/>
    <n v="0"/>
    <n v="0"/>
    <n v="0"/>
    <n v="0"/>
    <n v="0"/>
    <n v="0"/>
    <s v="Reserva importada do Sistema TMS. OS: 15100"/>
    <s v="Fornecedor não preenchido! (ACC01)"/>
    <s v="ARGO(TMS)"/>
    <s v="Falta de Fornecedor"/>
    <s v="Campo Fornecedor"/>
    <s v="Dados do Fornecedor"/>
    <s v="Qualidade dos dados"/>
    <s v="KONTIK BUSINESS TRAVEL"/>
  </r>
  <r>
    <n v="23375609"/>
    <n v="24100025"/>
    <s v="ACC01"/>
    <x v="85"/>
    <d v="2025-11-23T22:15:44"/>
    <s v="0 a 02 dias"/>
    <s v="0 a 02 dias"/>
    <s v="5ULE7Z"/>
    <s v="TMS"/>
    <s v="KATLEN SCHLICKMANN"/>
    <s v="Tms"/>
    <s v="Tms"/>
    <x v="85"/>
    <n v="15094"/>
    <s v="Goiânia / GYN"/>
    <s v="ON LINE"/>
    <s v="Invoice"/>
    <s v="Faturado"/>
    <s v="Carro"/>
    <s v="N"/>
    <s v="Grupo Braskem"/>
    <s v="Braskem - Camacari"/>
    <s v="-"/>
    <s v="-"/>
    <s v="-"/>
    <s v="KON-OPE-SAO-PVI-BRASKEM"/>
    <s v="-"/>
    <x v="74"/>
    <n v="0"/>
    <n v="0"/>
    <n v="0"/>
    <n v="0"/>
    <n v="0"/>
    <n v="0"/>
    <s v="Reserva importada do Sistema TMS. OS: 15094"/>
    <s v="Fornecedor não preenchido! (ACC01)"/>
    <s v="ARGO(TMS)"/>
    <s v="Falta de Fornecedor"/>
    <s v="Campo Fornecedor"/>
    <s v="Dados do Fornecedor"/>
    <s v="Qualidade dos dados"/>
    <s v="KONTIK BUSINESS TRAVEL"/>
  </r>
  <r>
    <n v="23358153"/>
    <n v="24085165"/>
    <s v="ACC01"/>
    <x v="86"/>
    <d v="2025-11-19T22:17:44"/>
    <s v="03 a 05 dias"/>
    <s v="03 a 05 dias"/>
    <s v="ECCAAK"/>
    <s v="TMS"/>
    <s v="CLAUDIO SPERB"/>
    <s v="Tms"/>
    <s v="Tms"/>
    <x v="86"/>
    <n v="15050"/>
    <s v="-"/>
    <s v="ON LINE"/>
    <s v="Cartão de crédito"/>
    <s v="Cartão AMEX"/>
    <s v="Aéreo"/>
    <s v="N"/>
    <s v="Grupo Braskem"/>
    <s v="Braskem - Camacari"/>
    <s v="-"/>
    <s v="Latam Airlines Brasil"/>
    <n v="5580596440"/>
    <s v="KON-OPE-SAO-PVI-BRASKEM"/>
    <s v="-"/>
    <x v="75"/>
    <n v="60.62"/>
    <n v="0"/>
    <n v="0"/>
    <n v="0"/>
    <n v="0"/>
    <n v="0"/>
    <s v="Reserva importada do Sistema TMS. OS: 15050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3358161"/>
    <n v="24085173"/>
    <s v="ACC01"/>
    <x v="87"/>
    <d v="2025-11-21T11:01:53"/>
    <s v="03 a 05 dias"/>
    <s v="03 a 05 dias"/>
    <s v="5TIZ9O"/>
    <s v="TMS"/>
    <s v="HUGO ROCHA"/>
    <s v="Tms"/>
    <s v="Tms"/>
    <x v="87"/>
    <n v="15041"/>
    <s v="Joinville / JOI"/>
    <s v="ON LINE"/>
    <s v="Invoice"/>
    <s v="Faturado"/>
    <s v="Carro"/>
    <s v="N"/>
    <s v="Grupo Braskem"/>
    <s v="Braskem - Camacari"/>
    <s v="-"/>
    <s v="Localiza - Br - Sc - Joinville - Aventureiro"/>
    <s v="-"/>
    <s v="KON-OPE-SAO-PVI-BRASKEM"/>
    <s v="-"/>
    <x v="76"/>
    <n v="0"/>
    <n v="0"/>
    <n v="0"/>
    <n v="0"/>
    <n v="0"/>
    <n v="0"/>
    <s v="Reserva importada do Sistema TMS. OS: 15041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3352115"/>
    <n v="24079382"/>
    <s v="ACC01"/>
    <x v="88"/>
    <d v="2025-11-19T22:16:17"/>
    <s v="03 a 05 dias"/>
    <s v="03 a 05 dias"/>
    <s v="5T2O4I"/>
    <s v="TMS"/>
    <s v="LUIS ANDRE"/>
    <s v="Tms"/>
    <s v="Tms"/>
    <x v="88"/>
    <n v="14983"/>
    <s v="São Paulo / SAO"/>
    <s v="ON LINE"/>
    <s v="Invoice"/>
    <s v="Faturado"/>
    <s v="Carro"/>
    <s v="N"/>
    <s v="Grupo Braskem"/>
    <s v="Braskem - Camacari"/>
    <s v="-"/>
    <s v="Localiza - Br - Sp - Guarulhos - Aeroporto"/>
    <s v="-"/>
    <s v="KON-OPE-SAO-PVI-BRASKEM"/>
    <s v="-"/>
    <x v="77"/>
    <n v="0"/>
    <n v="0"/>
    <n v="0"/>
    <n v="0"/>
    <n v="0"/>
    <n v="0"/>
    <s v="Reserva importada do Sistema TMS. OS: 14983"/>
    <s v="Fornecedor não preenchido! (ACC01)"/>
    <s v="ARGO(TMS)"/>
    <s v="Falta de Fornecedor"/>
    <s v="Campo Fornecedor"/>
    <s v="Dados do Fornecedor"/>
    <s v="Qualidade dos dados"/>
    <s v="KONTIK BUSINESS TRAVEL"/>
  </r>
  <r>
    <n v="23346972"/>
    <n v="24074350"/>
    <s v="ACC01"/>
    <x v="89"/>
    <d v="2025-11-18T12:55:42"/>
    <s v="06 a 08 dias"/>
    <s v="06 a 08 dias"/>
    <s v="YZMFWS"/>
    <s v="SABRE"/>
    <s v="FLAUSINO/KARINA"/>
    <s v="Paulo Roberto Mendes da Silva"/>
    <s v="Paulo Roberto Mendes da Silva"/>
    <x v="89"/>
    <s v="FUXFTN"/>
    <s v="-"/>
    <s v="OFF LINE"/>
    <s v="Cartão de crédito"/>
    <s v="Cartão de crédito"/>
    <s v="Aéreo"/>
    <s v="N"/>
    <s v="Grupo Parexel"/>
    <s v="Parexel International Pesquisas Clinicas Ltda"/>
    <s v="-"/>
    <s v="Gol Linhas Aereas"/>
    <n v="2149734876"/>
    <s v="FCM-OPE-SAO-PVI-BTC-CONCUR"/>
    <s v="-"/>
    <x v="78"/>
    <n v="52.72"/>
    <n v="0"/>
    <n v="0"/>
    <n v="0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3355683"/>
    <n v="24082659"/>
    <s v="ACC01"/>
    <x v="90"/>
    <d v="2025-11-19T16:52:12"/>
    <s v="03 a 05 dias"/>
    <s v="03 a 05 dias"/>
    <s v="HGFPBF"/>
    <s v="SABRE"/>
    <s v="STRINGHINI/RENATA DO CARMO"/>
    <s v="Paulo Roberto Mendes da Silva"/>
    <s v="Paulo Roberto Mendes da Silva"/>
    <x v="90"/>
    <s v="FQHEAJ"/>
    <s v="-"/>
    <s v="OFF LINE"/>
    <s v="Cartão de crédito"/>
    <s v="Cartão de crédito"/>
    <s v="Aéreo"/>
    <s v="N"/>
    <s v="Grupo Parexel"/>
    <s v="Parexel International Pesquisas Clinicas Ltda"/>
    <s v="-"/>
    <s v="Gol Linhas Aereas"/>
    <n v="2149699956"/>
    <s v="FCM-OPE-SAO-PVI-BTC-CONCUR"/>
    <s v="-"/>
    <x v="79"/>
    <n v="120.08"/>
    <n v="0"/>
    <n v="0"/>
    <n v="0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3367516"/>
    <n v="24093524"/>
    <s v="ACC01"/>
    <x v="91"/>
    <d v="2025-11-21T17:42:14"/>
    <s v="03 a 05 dias"/>
    <s v="03 a 05 dias"/>
    <s v="AICXFU"/>
    <s v="SABRE"/>
    <s v="SOLDATELLI/OTAVIO"/>
    <s v="Paulo Roberto Mendes da Silva"/>
    <s v="Paulo Roberto Mendes da Silva"/>
    <x v="91"/>
    <s v="XIR9KS"/>
    <s v="-"/>
    <s v="OFF LINE"/>
    <s v="Cartão de crédito"/>
    <s v="Cartão de crédito"/>
    <s v="Aéreo"/>
    <s v="N"/>
    <s v="Grupo Parexel"/>
    <s v="Parexel International Pesquisas Clinicas Ltda"/>
    <s v="-"/>
    <s v="Azul Linhas Aereas"/>
    <n v="7700081275"/>
    <s v="FCM-OPE-SAO-PVI-BTC-CONCUR"/>
    <s v="-"/>
    <x v="80"/>
    <n v="33.56"/>
    <n v="0"/>
    <n v="0"/>
    <n v="0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3367517"/>
    <n v="24093525"/>
    <s v="ACC01"/>
    <x v="92"/>
    <d v="2025-11-21T17:42:15"/>
    <s v="03 a 05 dias"/>
    <s v="03 a 05 dias"/>
    <s v="MCXZEA"/>
    <s v="SABRE"/>
    <s v="SOLDATELLI/OTAVIO"/>
    <s v="Paulo Roberto Mendes da Silva"/>
    <s v="Paulo Roberto Mendes da Silva"/>
    <x v="92"/>
    <s v="NWPBHN"/>
    <s v="-"/>
    <s v="OFF LINE"/>
    <s v="Cartão de crédito"/>
    <s v="Cartão de crédito"/>
    <s v="Aéreo"/>
    <s v="N"/>
    <s v="Grupo Parexel"/>
    <s v="Parexel International Pesquisas Clinicas Ltda"/>
    <s v="-"/>
    <s v="Azul Linhas Aereas"/>
    <n v="7700081276"/>
    <s v="FCM-OPE-SAO-PVI-BTC-CONCUR"/>
    <s v="-"/>
    <x v="81"/>
    <n v="36.4"/>
    <n v="0"/>
    <n v="0"/>
    <n v="0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3318066"/>
    <n v="24047709"/>
    <s v="ACC01"/>
    <x v="93"/>
    <d v="2025-11-17T11:30:40"/>
    <s v="06 a 08 dias"/>
    <s v="09 a 15 dias"/>
    <s v="WSIWOD"/>
    <s v="SABRE"/>
    <s v="MACHADO DA COSTA/JOAO PEDRO"/>
    <s v="Clayton Alves de Rezende"/>
    <s v="Paulo Roberto Mendes da Silva"/>
    <x v="93"/>
    <s v="WSIWOD"/>
    <s v="-"/>
    <s v="ON LINE"/>
    <s v="Cartão de crédito"/>
    <s v="Cartão AMEX"/>
    <s v="Aéreo"/>
    <s v="N"/>
    <s v="Grupo Wallenius"/>
    <s v="Wallenius"/>
    <s v="-"/>
    <s v="Latam Airlines Brasil"/>
    <n v="5580597973"/>
    <s v="FCM-OPE-SAO-PVI-BTC"/>
    <s v="-"/>
    <x v="82"/>
    <n v="33.64"/>
    <n v="0"/>
    <n v="0"/>
    <n v="33.64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GRUPO KONTIK"/>
  </r>
  <r>
    <n v="23294965"/>
    <n v="24025861"/>
    <s v="ACC01"/>
    <x v="94"/>
    <d v="2025-11-10T13:01:06"/>
    <s v="09 a 15 dias"/>
    <s v="09 a 15 dias"/>
    <s v="OXDYGJT"/>
    <s v="SABRE"/>
    <s v="LIBERATO/RAPHAEL HENRIQUE DE"/>
    <s v="WS"/>
    <s v="WS"/>
    <x v="94"/>
    <s v="OXDYGJ"/>
    <s v="-"/>
    <s v="ON LINE"/>
    <s v="Cartão de crédito"/>
    <s v="Cartão de crédito"/>
    <s v="Hotel"/>
    <s v="N"/>
    <s v="Grupo Wallenius"/>
    <s v="Wallenius"/>
    <s v="-"/>
    <s v="-"/>
    <s v="-"/>
    <s v="FCM-OPE-SAO-PVI-BTC"/>
    <s v="-"/>
    <x v="83"/>
    <n v="63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11039"/>
    <n v="24041353"/>
    <s v="ACC01"/>
    <x v="95"/>
    <d v="2025-11-12T15:18:20"/>
    <s v="09 a 15 dias"/>
    <s v="09 a 15 dias"/>
    <s v="WLSFFPT"/>
    <s v="SABRE"/>
    <s v="PENAYO/OSCAR AUGUSTO JOSE MR"/>
    <s v="WS"/>
    <s v="WS"/>
    <x v="95"/>
    <s v="WLSFFP"/>
    <s v="-"/>
    <s v="ON LINE"/>
    <s v="Cartão de crédito"/>
    <s v="Cartão de crédito"/>
    <s v="Hotel"/>
    <s v="N"/>
    <s v="Grupo Vertex"/>
    <s v="Vertex Farmaceutica do Brasil"/>
    <s v="-"/>
    <s v="-"/>
    <s v="-"/>
    <s v="FCM-OPE-SAO-PVI-BTC-CONCUR"/>
    <s v="-"/>
    <x v="84"/>
    <n v="20.9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64935"/>
    <n v="24090976"/>
    <s v="ACC01"/>
    <x v="96"/>
    <d v="2025-11-21T11:05:27"/>
    <s v="03 a 05 dias"/>
    <s v="03 a 05 dias"/>
    <s v="MSIENX"/>
    <s v="SABRE"/>
    <s v="RODRIGUES ALVES/MATEUS"/>
    <s v="Paulo Roberto Mendes da Silva"/>
    <s v="Paulo Roberto Mendes da Silva"/>
    <x v="96"/>
    <s v="NUMBER"/>
    <s v="-"/>
    <s v="OFF LINE"/>
    <s v="Cartão de crédito"/>
    <s v="Cartão de crédito"/>
    <s v="Aéreo"/>
    <s v="N"/>
    <s v="Grupo Vertex"/>
    <s v="Vertex Farmaceutica do Brasil"/>
    <s v="-"/>
    <s v="Azul Linhas Aereas"/>
    <n v="7700081243"/>
    <s v="FCM-OPE-SAO-PVI-BTC-CONCUR"/>
    <s v="-"/>
    <x v="85"/>
    <n v="33.56"/>
    <n v="0"/>
    <n v="0"/>
    <n v="0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3364936"/>
    <n v="24090977"/>
    <s v="ACC01"/>
    <x v="97"/>
    <d v="2025-11-21T11:06:32"/>
    <s v="03 a 05 dias"/>
    <s v="03 a 05 dias"/>
    <s v="MSIENXT"/>
    <s v="SABRE"/>
    <s v="RODRIGUES ALVES/MATEUS"/>
    <s v="Paulo Roberto Mendes da Silva"/>
    <s v="Paulo Roberto Mendes da Silva"/>
    <x v="96"/>
    <s v="NUMBER"/>
    <s v="-"/>
    <s v="OFF LINE"/>
    <s v="Cartão de crédito"/>
    <s v="Cartão de crédito"/>
    <s v="Hotel"/>
    <s v="N"/>
    <s v="Grupo Vertex"/>
    <s v="Vertex Farmaceutica do Brasil"/>
    <s v="-"/>
    <s v="-"/>
    <s v="-"/>
    <s v="FCM-OPE-SAO-PVI-BTC-CONCUR"/>
    <s v="-"/>
    <x v="86"/>
    <n v="34.54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3348220"/>
    <n v="24075614"/>
    <s v="ACC01"/>
    <x v="98"/>
    <d v="2025-11-19T16:35:48"/>
    <s v="03 a 05 dias"/>
    <s v="06 a 08 dias"/>
    <s v="CBCICV"/>
    <s v="SABRE"/>
    <s v="MELO/RENATA FRANCO DE ALMEIDA MS"/>
    <s v="Paulo Roberto Mendes da Silva"/>
    <s v="Paulo Roberto Mendes da Silva"/>
    <x v="97"/>
    <s v="WMTPII"/>
    <s v="-"/>
    <s v="OFF LINE"/>
    <s v="Cartão de crédito"/>
    <s v="Cartão de crédito"/>
    <s v="Aéreo"/>
    <s v="N"/>
    <s v="Grupo Vertex"/>
    <s v="Vertex Farmaceutica do Brasil"/>
    <s v="-"/>
    <s v="Gol Linhas Aereas"/>
    <n v="2149697669"/>
    <s v="FCM-OPE-SAO-PVI-BTC-CONCUR"/>
    <s v="-"/>
    <x v="87"/>
    <n v="60.62"/>
    <n v="0"/>
    <n v="0"/>
    <n v="0"/>
    <n v="0"/>
    <n v="0"/>
    <s v="Reserva importada por HubTravel"/>
    <s v="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3353275"/>
    <n v="24080233"/>
    <s v="ACC01"/>
    <x v="99"/>
    <d v="2025-11-19T10:31:23"/>
    <s v="03 a 05 dias"/>
    <s v="03 a 05 dias"/>
    <s v="DGHNWAT"/>
    <s v="SABRE"/>
    <s v="FILHO/ROMEL TOLENTINO"/>
    <s v="Paulo Roberto Mendes da Silva"/>
    <s v="Paulo Roberto Mendes da Silva"/>
    <x v="98"/>
    <s v="DGHNWA"/>
    <s v="-"/>
    <s v="ON LINE"/>
    <s v="Cartão de crédito"/>
    <s v="Cartão de crédito"/>
    <s v="Hotel"/>
    <s v="N"/>
    <s v="Grupo Iron Mountain"/>
    <s v="Iron Mountain"/>
    <s v="-"/>
    <s v="Sheraton Maria Isabel Hotel &amp; Towers"/>
    <s v="-"/>
    <s v="FCM-OPE-SAO-PVI-BTC-CONCUR-IRON "/>
    <s v="-"/>
    <x v="88"/>
    <n v="328.59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3355692"/>
    <n v="24082665"/>
    <s v="ACC01"/>
    <x v="100"/>
    <d v="2025-11-19T16:36:56"/>
    <s v="03 a 05 dias"/>
    <s v="03 a 05 dias"/>
    <s v="DOEZAFT"/>
    <s v="SABRE"/>
    <s v="FERNANDES/CARLA SCOTT"/>
    <s v="Paulo Roberto Mendes da Silva"/>
    <s v="Paulo Roberto Mendes da Silva"/>
    <x v="99"/>
    <s v="DOEBVK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15306"/>
    <n v="24045088"/>
    <s v="ACC01"/>
    <x v="101"/>
    <d v="2025-11-13T08:00:57"/>
    <s v="09 a 15 dias"/>
    <s v="09 a 15 dias"/>
    <s v="5TEQXS"/>
    <s v="LEMONTECH"/>
    <s v="BARBOSA/KARLA"/>
    <s v="Danilo dos Santos Alves Cardoso"/>
    <s v="Danilo dos Santos Alves Cardoso"/>
    <x v="100"/>
    <n v="18019074"/>
    <s v="-"/>
    <s v="OFF LINE"/>
    <s v="Invoice"/>
    <s v="Faturado"/>
    <s v="Serviço"/>
    <s v="N"/>
    <s v="Grupo Benner"/>
    <s v="Benner Sistemas - Blumenau"/>
    <s v="-"/>
    <s v="Azul Linhas Aereas"/>
    <s v="-"/>
    <s v="EMERGENCIAL"/>
    <s v="-"/>
    <x v="90"/>
    <n v="1"/>
    <n v="0"/>
    <n v="0"/>
    <n v="0"/>
    <n v="0"/>
    <n v="0"/>
    <s v="Reserva importada do Sistema Lemontech. Solicitação: 18019074"/>
    <s v="Empenho/departamento não preenchido! (ACC01)"/>
    <s v="LEMONTECH"/>
    <s v="Empenho/departamento"/>
    <s v="Falta de informação Gerencial"/>
    <s v="Dados do Fornecedor"/>
    <s v="Qualidade dos dados"/>
    <s v="KONTIK BUSINESS TRAVEL"/>
  </r>
  <r>
    <n v="23365967"/>
    <n v="24091975"/>
    <s v="ACC01"/>
    <x v="102"/>
    <d v="2025-11-21T14:06:36"/>
    <s v="03 a 05 dias"/>
    <s v="03 a 05 dias"/>
    <s v="HPVHSA"/>
    <s v="EBOOKING"/>
    <s v="RODRIGUES JUNIOR/JACQUES"/>
    <s v="Kontrip"/>
    <s v="Kontrip"/>
    <x v="101"/>
    <s v="-"/>
    <s v="-"/>
    <s v="OFF LINE"/>
    <s v="Cartão de crédito"/>
    <s v="Cartão de crédito"/>
    <s v="Aéreo"/>
    <s v="N"/>
    <s v="Grupo Merb"/>
    <s v="Mebr Varejo de Joias"/>
    <s v="-"/>
    <s v="Gol Linhas Aereas"/>
    <n v="2149958729"/>
    <s v="KONTRIP"/>
    <s v="-"/>
    <x v="91"/>
    <n v="97.29000000000001"/>
    <n v="0"/>
    <n v="0"/>
    <n v="0"/>
    <n v="0"/>
    <n v="407.04"/>
    <s v="obs"/>
    <s v="Não foi possível encontrar configuração válida para Administradora de código 1 e Data Emissão 19/11/2025"/>
    <s v="KONTRIP"/>
    <s v="Não identificado"/>
    <s v="Análise Benner"/>
    <s v="Sistema"/>
    <s v="Qualidade dos dados"/>
    <s v="KONTRIP VIAGENS"/>
  </r>
  <r>
    <n v="23365967"/>
    <n v="24091976"/>
    <s v="ACC02"/>
    <x v="102"/>
    <d v="2025-11-21T14:06:36"/>
    <s v="03 a 05 dias"/>
    <s v="03 a 05 dias"/>
    <s v="HPVHSA"/>
    <s v="EBOOKING"/>
    <s v="RODRIGUES/THAIS"/>
    <s v="Kontrip"/>
    <s v="Kontrip"/>
    <x v="101"/>
    <s v="-"/>
    <s v="-"/>
    <s v="OFF LINE"/>
    <s v="Cartão de crédito"/>
    <s v="Cartão de crédito"/>
    <s v="Aéreo"/>
    <s v="N"/>
    <s v="Grupo Merb"/>
    <s v="Mebr Varejo de Joias"/>
    <s v="-"/>
    <s v="Gol Linhas Aereas"/>
    <n v="2149958730"/>
    <s v="KONTRIP"/>
    <s v="-"/>
    <x v="91"/>
    <n v="97.29000000000001"/>
    <n v="0"/>
    <n v="0"/>
    <n v="0"/>
    <n v="0"/>
    <n v="0"/>
    <s v="obs"/>
    <s v="Não foi possível encontrar configuração válida para Administradora de código 1 e Data Emissão 19/11/2025"/>
    <s v="KONTRIP"/>
    <s v="Não identificado"/>
    <s v="Análise Benner"/>
    <s v="Sistema"/>
    <s v="Qualidade dos dados"/>
    <s v="KONTRIP VIAGENS"/>
  </r>
  <r>
    <n v="23365967"/>
    <n v="24091977"/>
    <s v="ACC03"/>
    <x v="102"/>
    <d v="2025-11-21T14:06:36"/>
    <s v="03 a 05 dias"/>
    <s v="03 a 05 dias"/>
    <s v="HPVHSA"/>
    <s v="EBOOKING"/>
    <s v="RODRIGUES NETO/JACQUES"/>
    <s v="Kontrip"/>
    <s v="Kontrip"/>
    <x v="101"/>
    <s v="-"/>
    <s v="-"/>
    <s v="OFF LINE"/>
    <s v="Cartão de crédito"/>
    <s v="Cartão de crédito"/>
    <s v="Aéreo"/>
    <s v="N"/>
    <s v="Grupo Merb"/>
    <s v="Mebr Varejo de Joias"/>
    <s v="-"/>
    <s v="Gol Linhas Aereas"/>
    <n v="2149958731"/>
    <s v="KONTRIP"/>
    <s v="-"/>
    <x v="91"/>
    <n v="97.29000000000001"/>
    <n v="0"/>
    <n v="0"/>
    <n v="0"/>
    <n v="0"/>
    <n v="0"/>
    <s v="obs"/>
    <s v="Não foi possível encontrar configuração válida para Administradora de código 1 e Data Emissão 19/11/2025"/>
    <s v="KONTRIP"/>
    <s v="Não identificado"/>
    <s v="Análise Benner"/>
    <s v="Sistema"/>
    <s v="Qualidade dos dados"/>
    <s v="KONTRIP VIAGENS"/>
  </r>
  <r>
    <n v="23343359"/>
    <n v="24071111"/>
    <s v="ACC01"/>
    <x v="103"/>
    <d v="2025-11-17T21:52:46"/>
    <s v="06 a 08 dias"/>
    <s v="06 a 08 dias"/>
    <s v="5TC67Y"/>
    <s v="TMS"/>
    <s v="DANIEL CAVALCANTE"/>
    <s v="Deise Fernanda Franca de Souza"/>
    <s v="Deise Fernanda Franca de Souza"/>
    <x v="102"/>
    <n v="18880"/>
    <s v="-"/>
    <s v="OFF LINE"/>
    <s v="Invoice"/>
    <s v="Faturado"/>
    <s v="Serviço"/>
    <s v="N"/>
    <s v="Grupo Petroreconcavo"/>
    <s v="Petroreconcavo"/>
    <s v="-"/>
    <s v="-"/>
    <s v="-"/>
    <s v="KON-OPE-RIO-PVI-BTC-PETRORECONCAVO"/>
    <s v="-"/>
    <x v="92"/>
    <n v="0"/>
    <n v="0"/>
    <n v="0"/>
    <n v="0"/>
    <n v="0"/>
    <n v="0"/>
    <s v="Reserva importada do Sistema TMS. OS: 18880"/>
    <s v="Fornecedor não preenchido! (ACC01)"/>
    <s v="ARGO(TMS)"/>
    <s v="Falta de Fornecedor"/>
    <s v="Campo Fornecedor"/>
    <s v="Dados do Fornecedor"/>
    <s v="Qualidade dos dados"/>
    <s v="KONTIK BUSINESS TRAVEL"/>
  </r>
  <r>
    <n v="23270939"/>
    <n v="24003353"/>
    <s v="ACC01"/>
    <x v="104"/>
    <d v="2025-11-06T13:15:38"/>
    <s v="16 a 23 dias"/>
    <s v="16 a 23 dias"/>
    <s v="H20736308"/>
    <s v="GOVER"/>
    <s v="Luciano Russo Hoehne"/>
    <s v="Emilia Alejandra Pacheco Maraboli"/>
    <s v="Emilia Alejandra Pacheco Maraboli"/>
    <x v="103"/>
    <n v="4624667"/>
    <s v="-"/>
    <s v="OFF LINE"/>
    <s v="Pagamento direto"/>
    <s v="Pagamento direto"/>
    <s v="Hotel"/>
    <s v="N"/>
    <s v="Grupo Fm Global"/>
    <s v="Fm Global - Servicos"/>
    <s v="Cliente FEE no POS"/>
    <s v="Ipe Hotel"/>
    <s v="-"/>
    <s v="FCM-OPE-SAO-PVI-BTC-FM GLOBAL"/>
    <s v="-"/>
    <x v="93"/>
    <n v="0"/>
    <n v="0"/>
    <n v="0"/>
    <n v="0"/>
    <n v="0"/>
    <n v="0"/>
    <s v="Reserva importada do sistema Gover. Id: 4624667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56178"/>
    <n v="24083168"/>
    <s v="ACC01"/>
    <x v="105"/>
    <d v="2025-11-19T17:55:20"/>
    <s v="03 a 05 dias"/>
    <s v="03 a 05 dias"/>
    <s v="MV3025GBGMBR"/>
    <s v="GOVER"/>
    <s v="Renata Fernandes Vieira Camargo"/>
    <s v="RAYSSA MARTINS FERREIRA"/>
    <s v="RAYSSA MARTINS FERREIRA"/>
    <x v="104"/>
    <n v="4630169"/>
    <s v="Movida - Br - Sp - Sao Paulo - Pinheiros Endereço: Avenida Reboucas, 3970 Pinheiros"/>
    <s v="OFF LINE"/>
    <s v="Invoice"/>
    <s v="Faturado"/>
    <s v="Carro"/>
    <s v="N"/>
    <s v="Grupo Unica"/>
    <s v="Unica Sp"/>
    <s v="-"/>
    <s v="Movida - Br - Sp - Sao Paulo - Pinheiros"/>
    <s v="-"/>
    <s v="KON-OPE-RIO-PVI-BTC"/>
    <s v="-"/>
    <x v="94"/>
    <n v="0"/>
    <n v="0"/>
    <n v="0"/>
    <n v="0"/>
    <n v="0"/>
    <n v="0"/>
    <s v="Reserva importada do sistema Gover. Id: 4630169"/>
    <s v="Fornecedor não preenchido! (ACC01)"/>
    <s v="GOVER"/>
    <s v="Falta de Fornecedor"/>
    <s v="Campo Fornecedor"/>
    <s v="Dados do Fornecedor"/>
    <s v="Qualidade dos dados"/>
    <s v="KONTIK BUSINESS TRAVEL"/>
  </r>
  <r>
    <n v="23340862"/>
    <n v="24068640"/>
    <s v="ACC01"/>
    <x v="106"/>
    <d v="2025-11-17T15:15:18"/>
    <s v="06 a 08 dias"/>
    <s v="06 a 08 dias"/>
    <s v="5T8CQ6"/>
    <s v="MANUAL"/>
    <s v="EVALDO ALVES DA SILVA JUNIOR"/>
    <s v="Rafaela Leitao Oliveira"/>
    <s v="Rafaela Leitao Oliveira"/>
    <x v="105"/>
    <s v="EMAIL"/>
    <s v="-"/>
    <s v="OFF LINE"/>
    <s v="Invoice"/>
    <s v="Faturado"/>
    <s v="Serviço"/>
    <s v="N"/>
    <s v="Grupo Falcon Active"/>
    <s v="Falcon Goiania"/>
    <s v="-"/>
    <s v="Aguiar Locacao e Turismo"/>
    <s v="-"/>
    <s v="EMERGENCIAL"/>
    <s v="-"/>
    <x v="95"/>
    <n v="10.95"/>
    <n v="0"/>
    <n v="0"/>
    <n v="0"/>
    <n v="0"/>
    <n v="0"/>
    <s v="-"/>
    <s v="Não foi possível encontrar um contrato válido para o fornecedor 391813 (Código fornecedor) "/>
    <s v="MANUAL"/>
    <s v="Contrato de fornecedor"/>
    <s v="Análise Cadastro"/>
    <s v="Dados do Fornecedor"/>
    <s v="Qualidade dos dados"/>
    <s v="KONTIK BUSINESS TRAVEL"/>
  </r>
  <r>
    <n v="23211265"/>
    <n v="23947173"/>
    <s v="ACC01"/>
    <x v="107"/>
    <d v="2025-11-11T08:07:06"/>
    <s v="09 a 15 dias"/>
    <s v="24 a 31 dias"/>
    <s v="EPSYAF"/>
    <s v="GOVER"/>
    <s v="Willians Valter Fiori Da Cruz"/>
    <s v="Gover"/>
    <s v="Gover"/>
    <x v="106"/>
    <n v="4619655"/>
    <s v="-"/>
    <s v="ON LINE"/>
    <s v="Invoice"/>
    <s v="Cartão convênio"/>
    <s v="Aéreo"/>
    <s v="N"/>
    <s v="Grupo Falcon Active"/>
    <s v="Falcon Goiania"/>
    <s v="-"/>
    <s v="Latam Airlines Brasil"/>
    <n v="2256986008"/>
    <s v="KON-OPE-RIO-PVI-BTC-FALCON ACTIVE"/>
    <s v="-"/>
    <x v="96"/>
    <n v="108.92"/>
    <n v="0"/>
    <n v="0"/>
    <n v="0"/>
    <n v="0"/>
    <n v="0"/>
    <s v="Reserva importada do sistema Gover. Id: 4619655"/>
    <s v="Erro excluindo PNR: Não é possivel excluir a accounting de código: 25283752. A mesma está ligada a conciliação de cartão &quot;REDE 03.11.2025.xlsx&quot;"/>
    <s v="GOVER"/>
    <s v="Conciliação de Cartão"/>
    <s v="Financeiro Conciliado"/>
    <s v="Edição não Permitida"/>
    <s v="Processo Operacional"/>
    <s v="GRUPO KONTIK"/>
  </r>
  <r>
    <n v="23277839"/>
    <n v="24009990"/>
    <s v="ACC01"/>
    <x v="108"/>
    <d v="2025-11-07T11:10:44"/>
    <s v="16 a 23 dias"/>
    <s v="16 a 23 dias"/>
    <n v="20607600"/>
    <s v="GOVER"/>
    <s v="Renato Dhiego Vidal de Amorim"/>
    <s v="Gover"/>
    <s v="Gover"/>
    <x v="107"/>
    <n v="4620205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97"/>
    <n v="0"/>
    <n v="0"/>
    <n v="0"/>
    <n v="0"/>
    <n v="0"/>
    <n v="0"/>
    <s v="Reserva importada do sistema Gover. Id: 4620205"/>
    <s v="Fornecedor não preenchido! (ACC01)"/>
    <s v="GOVER"/>
    <s v="Falta de Fornecedor"/>
    <s v="Campo Fornecedor"/>
    <s v="Dados do Fornecedor"/>
    <s v="Sistêmico"/>
    <s v="GRUPO KONTIK"/>
  </r>
  <r>
    <n v="23366752"/>
    <n v="24092778"/>
    <s v="ACC01"/>
    <x v="109"/>
    <d v="2025-11-24T02:00:57"/>
    <s v="0 a 02 dias"/>
    <s v="03 a 05 dias"/>
    <s v="5U26UM"/>
    <s v="TMS"/>
    <s v="PRISCILA M DE SOUZA"/>
    <s v="Tms"/>
    <s v="Tms"/>
    <x v="108"/>
    <n v="48000"/>
    <s v="-"/>
    <s v="OFF LINE"/>
    <s v="Invoice"/>
    <s v="Faturado"/>
    <s v="Serviço"/>
    <s v="N"/>
    <s v="Grupo Htb"/>
    <s v="Htb Engenharia e Construcao"/>
    <s v="-"/>
    <s v="-"/>
    <s v="-"/>
    <s v="KON-OPE-SAO-PVI-BTC-ARGO-HTB"/>
    <s v="-"/>
    <x v="98"/>
    <n v="52.73"/>
    <n v="0"/>
    <n v="0"/>
    <n v="0"/>
    <n v="0"/>
    <n v="0"/>
    <s v="Reserva importada do Sistema TMS. OS: 48000"/>
    <s v="Fornecedor não preenchido! (ACC01)"/>
    <s v="ARGO(TMS)"/>
    <s v="Falta de Fornecedor"/>
    <s v="Campo Fornecedor"/>
    <s v="Dados do Fornecedor"/>
    <s v="Qualidade dos dados"/>
    <s v="KONTIK BUSINESS TRAVEL"/>
  </r>
  <r>
    <n v="23366753"/>
    <n v="24092779"/>
    <s v="ACC01"/>
    <x v="110"/>
    <d v="2025-11-24T02:00:57"/>
    <s v="0 a 02 dias"/>
    <s v="03 a 05 dias"/>
    <s v="5UEHUM"/>
    <s v="TMS"/>
    <s v="DACILIA AQUIE M DE SOUZA"/>
    <s v="Tms"/>
    <s v="Tms"/>
    <x v="109"/>
    <n v="47999"/>
    <s v="-"/>
    <s v="OFF LINE"/>
    <s v="Invoice"/>
    <s v="Faturado"/>
    <s v="Serviço"/>
    <s v="N"/>
    <s v="Grupo Htb"/>
    <s v="Htb Engenharia e Construcao"/>
    <s v="-"/>
    <s v="-"/>
    <s v="-"/>
    <s v="KON-OPE-SAO-PVI-BTC-ARGO-HTB"/>
    <s v="-"/>
    <x v="98"/>
    <n v="52.73"/>
    <n v="0"/>
    <n v="0"/>
    <n v="0"/>
    <n v="0"/>
    <n v="0"/>
    <s v="Reserva importada do Sistema TMS. OS: 47999"/>
    <s v="Fornecedor não preenchido! (ACC01)"/>
    <s v="ARGO(TMS)"/>
    <s v="Falta de Fornecedor"/>
    <s v="Campo Fornecedor"/>
    <s v="Dados do Fornecedor"/>
    <s v="Qualidade dos dados"/>
    <s v="KONTIK BUSINESS TRAVEL"/>
  </r>
  <r>
    <n v="23361375"/>
    <n v="24087947"/>
    <s v="ACC01"/>
    <x v="111"/>
    <d v="2025-11-24T01:55:12"/>
    <s v="0 a 02 dias"/>
    <s v="03 a 05 dias"/>
    <s v="5UN0BB"/>
    <s v="TMS"/>
    <s v="THIAGO COELHO SA"/>
    <s v="Tms"/>
    <s v="Tms"/>
    <x v="110"/>
    <n v="47995"/>
    <s v="-"/>
    <s v="OFF LINE"/>
    <s v="Invoice"/>
    <s v="Faturado"/>
    <s v="Serviço"/>
    <s v="N"/>
    <s v="Grupo Htb"/>
    <s v="Htb Engenharia e Construcao"/>
    <s v="-"/>
    <s v="-"/>
    <s v="-"/>
    <s v="KON-OPE-SAO-PVI-BTC-ARGO-HTB"/>
    <s v="-"/>
    <x v="99"/>
    <n v="47.88"/>
    <n v="0"/>
    <n v="0"/>
    <n v="0"/>
    <n v="0"/>
    <n v="0"/>
    <s v="Reserva importada do Sistema TMS. OS: 47995"/>
    <s v="Fornecedor não preenchido! (ACC01)"/>
    <s v="ARGO(TMS)"/>
    <s v="Falta de Fornecedor"/>
    <s v="Campo Fornecedor"/>
    <s v="Dados do Fornecedor"/>
    <s v="Qualidade dos dados"/>
    <s v="KONTIK BUSINESS TRAVEL"/>
  </r>
  <r>
    <n v="23338315"/>
    <n v="24066135"/>
    <s v="ACC01"/>
    <x v="112"/>
    <d v="2025-11-17T09:15:30"/>
    <s v="06 a 08 dias"/>
    <s v="06 a 08 dias"/>
    <n v="16658033"/>
    <s v="MANUAL"/>
    <s v="EURICACIO EMANUEL OLIVEIRA DUARTE NUNES"/>
    <s v="Cintya Cocco Figueiredo"/>
    <s v="Cintya Cocco Figueiredo"/>
    <x v="111"/>
    <n v="47265"/>
    <s v="-"/>
    <s v="OFF LINE"/>
    <s v="Invoice"/>
    <s v="Faturado"/>
    <s v="Serviço"/>
    <s v="N"/>
    <s v="Grupo Htb"/>
    <s v="Htb Construcoes"/>
    <s v="-"/>
    <s v="Real Expresso"/>
    <s v="-"/>
    <s v="KON-OPE-SAO-PVI-BTC-ARGO-HTB"/>
    <s v="-"/>
    <x v="100"/>
    <n v="0"/>
    <n v="0"/>
    <n v="0"/>
    <n v="0"/>
    <n v="0"/>
    <n v="0"/>
    <s v="-"/>
    <s v="Não foi possível encontrar um contrato válido para o fornecedor 665136 (Código fornecedor) "/>
    <s v="MANUAL"/>
    <s v="Contrato de fornecedor"/>
    <s v="Análise Cadastro"/>
    <s v="Dados do Fornecedor"/>
    <s v="Qualidade dos dados"/>
    <s v="KONTIK BUSINESS TRAVEL"/>
  </r>
  <r>
    <n v="23366757"/>
    <n v="24092783"/>
    <s v="ACC01"/>
    <x v="113"/>
    <d v="2025-11-21T16:05:30"/>
    <s v="03 a 05 dias"/>
    <s v="03 a 05 dias"/>
    <s v="5URY70"/>
    <s v="TMS"/>
    <s v="PAES B. DE AZEVEDO/MARCELA"/>
    <s v="Claudia Lucia Stella"/>
    <s v="Claudia Lucia Stella"/>
    <x v="112"/>
    <n v="47986"/>
    <s v="-"/>
    <s v="OFF LINE"/>
    <s v="Cartão de crédito"/>
    <s v="Cartão AMEX"/>
    <s v="Aéreo"/>
    <s v="N"/>
    <s v="Grupo Htb"/>
    <s v="Htb Engenharia e Construcao"/>
    <s v="-"/>
    <s v="Azul Linhas Aereas"/>
    <n v="3024092783"/>
    <s v="KON-OPE-SAO-PVI-BTC-ARGO-HTB"/>
    <s v="-"/>
    <x v="0"/>
    <n v="200"/>
    <n v="0"/>
    <n v="0"/>
    <n v="0"/>
    <n v="0"/>
    <n v="0"/>
    <s v="Reserva importada do Sistema TMS. OS: 47986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27311"/>
    <n v="24056912"/>
    <s v="ACC01"/>
    <x v="114"/>
    <d v="2025-11-14T19:45:54"/>
    <s v="09 a 15 dias"/>
    <s v="09 a 15 dias"/>
    <s v="GYDXLH"/>
    <s v="TMS"/>
    <s v="VANESSA CHAGAS"/>
    <s v="Herbert Amancio de Santana"/>
    <s v="Tms"/>
    <x v="113"/>
    <n v="105502"/>
    <s v="-"/>
    <s v="ON LINE"/>
    <s v="Invoice"/>
    <s v="Faturado"/>
    <s v="Aéreo"/>
    <s v="N"/>
    <s v="Grupo Claro Sa"/>
    <s v="Brasil Center Comunicacoes Ltda"/>
    <s v="-"/>
    <s v="Gol Linhas Aereas"/>
    <n v="2149509801"/>
    <s v="KON-OPE-SAO-POS-CLARO"/>
    <s v="-"/>
    <x v="101"/>
    <n v="120.57"/>
    <n v="0"/>
    <n v="0"/>
    <n v="0"/>
    <n v="0"/>
    <n v="0"/>
    <s v="Reserva importada do Sistema TMS. OS: 105502"/>
    <s v="Matrícula não preenchida! (ACC01)"/>
    <s v="ARGO(TMS)"/>
    <s v="Matrícula"/>
    <s v="Falta de informação Gerencial"/>
    <s v="Dados do Fornecedor"/>
    <s v="Qualidade dos dados"/>
    <s v="KONTIK BUSINESS TRAVEL"/>
  </r>
  <r>
    <n v="23185906"/>
    <n v="23923894"/>
    <s v="ACC01"/>
    <x v="115"/>
    <d v="2025-10-24T13:00:02"/>
    <s v="31 dias ou +"/>
    <s v="31 dias ou +"/>
    <s v="5Q98BM"/>
    <s v="TMS"/>
    <s v="JORGE GOMES DA SILVA BASI"/>
    <s v="Larissa Nunes dos Santos"/>
    <s v="Larissa Nunes dos Santos"/>
    <x v="114"/>
    <n v="92506"/>
    <s v="-"/>
    <s v="OFF LINE"/>
    <s v="Cartão de crédito"/>
    <s v="Cartão de crédito"/>
    <s v="Hotel"/>
    <s v="N"/>
    <s v="Grupo Claro Sa"/>
    <s v="Claro Sao Paulo (santo Amaro)"/>
    <s v="-"/>
    <s v="Catuai Hotel"/>
    <s v="-"/>
    <s v="KON-OPE-SAO-POS-CLARO"/>
    <s v="-"/>
    <x v="102"/>
    <n v="0"/>
    <n v="0"/>
    <n v="0"/>
    <n v="0"/>
    <n v="0"/>
    <n v="0"/>
    <s v="Reserva importada do Sistema TMS. OS: 92506"/>
    <s v="Matrícula não preenchida! (ACC01)"/>
    <s v="ARGO(TMS)"/>
    <s v="Matrícula"/>
    <s v="Falta de informação Gerencial"/>
    <s v="Dados do Fornecedor"/>
    <s v="Qualidade dos dados"/>
    <s v="KONTIK BUSINESS TRAVEL"/>
  </r>
  <r>
    <n v="23305059"/>
    <n v="24035710"/>
    <s v="ACC01"/>
    <x v="116"/>
    <d v="2025-11-24T06:55:10"/>
    <s v="0 a 02 dias"/>
    <s v="09 a 15 dias"/>
    <s v="5TUA1B"/>
    <s v="TMS"/>
    <s v="PAULLINE RAMOS"/>
    <s v="Herbert Amancio de Santana"/>
    <s v="Herbert Amancio de Santana"/>
    <x v="115"/>
    <n v="91053"/>
    <s v="-"/>
    <s v="OFF LINE"/>
    <s v="Cartão de crédito"/>
    <s v="Cartão de crédito"/>
    <s v="Hotel"/>
    <s v="N"/>
    <s v="Grupo Claro Sa"/>
    <s v="Brasil Center Comunicacoes Ltda"/>
    <s v="-"/>
    <s v="VILA MAR EMPREENDIMENTO HOTELEIRO LTDA"/>
    <s v="-"/>
    <s v="KON-OPE-SAO-POS-CLARO"/>
    <s v="-"/>
    <x v="103"/>
    <n v="0"/>
    <n v="0"/>
    <n v="0"/>
    <n v="0"/>
    <n v="0"/>
    <n v="0"/>
    <s v="Reserva importada do Sistema TMS. OS: 91053"/>
    <s v="Pr"/>
    <s v="ARGO(TMS)"/>
    <s v="Não identificado"/>
    <s v="Análise Benner"/>
    <s v="Sistema"/>
    <s v="Qualidade dos dados"/>
    <s v="KONTIK BUSINESS TRAVEL"/>
  </r>
  <r>
    <n v="23305060"/>
    <n v="24035711"/>
    <s v="ACC01"/>
    <x v="117"/>
    <d v="2025-11-24T06:55:10"/>
    <s v="0 a 02 dias"/>
    <s v="09 a 15 dias"/>
    <s v="5TIQQM"/>
    <s v="TMS"/>
    <s v="LUCIANA COSTA DA FONSECA"/>
    <s v="Herbert Amancio de Santana"/>
    <s v="Herbert Amancio de Santana"/>
    <x v="116"/>
    <n v="91050"/>
    <s v="-"/>
    <s v="OFF LINE"/>
    <s v="Cartão de crédito"/>
    <s v="Cartão de crédito"/>
    <s v="Hotel"/>
    <s v="N"/>
    <s v="Grupo Claro Sa"/>
    <s v="Brasil Center Comunicacoes Ltda"/>
    <s v="-"/>
    <s v="VILA MAR EMPREENDIMENTO HOTELEIRO LTDA"/>
    <s v="-"/>
    <s v="KON-OPE-SAO-POS-CLARO"/>
    <s v="-"/>
    <x v="103"/>
    <n v="0"/>
    <n v="0"/>
    <n v="0"/>
    <n v="0"/>
    <n v="0"/>
    <n v="0"/>
    <s v="Reserva importada do Sistema TMS. OS: 91050"/>
    <s v="Pr"/>
    <s v="ARGO(TMS)"/>
    <s v="Não identificado"/>
    <s v="Análise Benner"/>
    <s v="Sistema"/>
    <s v="Qualidade dos dados"/>
    <s v="KONTIK BUSINESS TRAVEL"/>
  </r>
  <r>
    <n v="23250311"/>
    <n v="23983359"/>
    <s v="ACC01"/>
    <x v="118"/>
    <d v="2025-11-03T22:32:31"/>
    <s v="16 a 23 dias"/>
    <s v="16 a 23 dias"/>
    <s v="5RG55M"/>
    <s v="TMS"/>
    <s v="JORGE GOMES DA SILVA BASI"/>
    <s v="Lucy de Freitas Paes Brazil"/>
    <s v="Lucy de Freitas Paes Brazil"/>
    <x v="117"/>
    <n v="101248"/>
    <s v="-"/>
    <s v="OFF LINE"/>
    <s v="Cartão de crédito"/>
    <s v="Cartão de crédito"/>
    <s v="Hotel"/>
    <s v="N"/>
    <s v="Grupo Claro Sa"/>
    <s v="Claro Sao Paulo (santo Amaro)"/>
    <s v="-"/>
    <s v="Hotel Veneza"/>
    <s v="-"/>
    <s v="KON-OPE-SAO-POS-CLARO"/>
    <s v="-"/>
    <x v="104"/>
    <n v="0"/>
    <n v="0"/>
    <n v="0"/>
    <n v="0"/>
    <n v="0"/>
    <n v="0"/>
    <s v="Reserva importada do Sistema TMS. OS: 101248"/>
    <s v="Matrícula não preenchida! (ACC01)"/>
    <s v="ARGO(TMS)"/>
    <s v="Matrícula"/>
    <s v="Falta de informação Gerencial"/>
    <s v="Dados do Fornecedor"/>
    <s v="Qualidade dos dados"/>
    <s v="KONTIK BUSINESS TRAVEL"/>
  </r>
  <r>
    <n v="23338445"/>
    <n v="24066249"/>
    <s v="ACC01"/>
    <x v="119"/>
    <d v="2025-11-17T09:45:19"/>
    <s v="06 a 08 dias"/>
    <s v="06 a 08 dias"/>
    <n v="3582"/>
    <s v="GOVER"/>
    <s v="Rodrigo Teixeira dos Anjos"/>
    <s v="Marcos de Oliveira Miklos"/>
    <s v="Marcos de Oliveira Miklos"/>
    <x v="118"/>
    <n v="4628335"/>
    <s v="-"/>
    <s v="OFF LINE"/>
    <s v="Cartão de crédito"/>
    <s v="Cartão de crédito"/>
    <s v="Hotel"/>
    <s v="N"/>
    <s v="Grupo Santista"/>
    <s v="Santista Textil Americana"/>
    <s v="-"/>
    <s v="Hotel Bergozza"/>
    <s v="-"/>
    <s v="-"/>
    <s v="-"/>
    <x v="105"/>
    <n v="0"/>
    <n v="0"/>
    <n v="0"/>
    <n v="0"/>
    <n v="0"/>
    <n v="0"/>
    <s v="Reserva importada do sistema Gover. Id: 4628335"/>
    <s v="Canal de venda não preenchido! (ACC01)"/>
    <s v="GOVER"/>
    <s v="Canal de venda"/>
    <s v="Falta de informação Gerencial"/>
    <s v="Dados do Fornecedor"/>
    <s v="Qualidade dos dados"/>
    <s v="KONTIK BUSINESS TRAVEL"/>
  </r>
  <r>
    <n v="23325715"/>
    <n v="24055216"/>
    <s v="ACC01"/>
    <x v="120"/>
    <d v="2025-11-14T16:02:07"/>
    <s v="09 a 15 dias"/>
    <s v="09 a 15 dias"/>
    <n v="218134842"/>
    <s v="GOVER"/>
    <s v="Maurício  Fabiano Kruger"/>
    <s v="ALEXANDRE DA CONCEIÇÃO ALVES"/>
    <s v="ALEXANDRE DA CONCEIÇÃO ALVES"/>
    <x v="119"/>
    <n v="4628172"/>
    <s v="-"/>
    <s v="OFF LINE"/>
    <s v="Cartão de crédito"/>
    <s v="Cartão de crédito"/>
    <s v="Hotel"/>
    <s v="N"/>
    <s v="Grupo Santista"/>
    <s v="Santista Textil Americana"/>
    <s v="-"/>
    <s v="Ibis Americana"/>
    <s v="-"/>
    <s v="-"/>
    <s v="-"/>
    <x v="106"/>
    <n v="137.55"/>
    <n v="0"/>
    <n v="0"/>
    <n v="0"/>
    <n v="0"/>
    <n v="0"/>
    <s v="Reserva importada do sistema Gover. Id: 4628172"/>
    <s v="Canal de venda não preenchido! (ACC01)"/>
    <s v="GOVER"/>
    <s v="Canal de venda"/>
    <s v="Falta de informação Gerencial"/>
    <s v="Dados do Fornecedor"/>
    <s v="Qualidade dos dados"/>
    <s v="KONTIK BUSINESS TRAVEL"/>
  </r>
  <r>
    <n v="23325716"/>
    <n v="24055217"/>
    <s v="ACC01"/>
    <x v="121"/>
    <d v="2025-11-14T16:02:09"/>
    <s v="09 a 15 dias"/>
    <s v="09 a 15 dias"/>
    <n v="218134842"/>
    <s v="GOVER"/>
    <s v="Maurício  Fabiano Kruger"/>
    <s v="ALEXANDRE DA CONCEIÇÃO ALVES"/>
    <s v="ALEXANDRE DA CONCEIÇÃO ALVES"/>
    <x v="120"/>
    <n v="4628174"/>
    <s v="-"/>
    <s v="OFF LINE"/>
    <s v="Cartão de crédito"/>
    <s v="Cartão de crédito"/>
    <s v="Hotel"/>
    <s v="N"/>
    <s v="Grupo Santista"/>
    <s v="Santista Textil Americana"/>
    <s v="-"/>
    <s v="Ibis Americana"/>
    <s v="-"/>
    <s v="-"/>
    <s v="-"/>
    <x v="106"/>
    <n v="137.55"/>
    <n v="0"/>
    <n v="0"/>
    <n v="0"/>
    <n v="0"/>
    <n v="0"/>
    <s v="Reserva importada do sistema Gover. Id: 4628174"/>
    <s v="Canal de venda não preenchido! (ACC01)"/>
    <s v="GOVER"/>
    <s v="Canal de venda"/>
    <s v="Falta de informação Gerencial"/>
    <s v="Dados do Fornecedor"/>
    <s v="Qualidade dos dados"/>
    <s v="KONTIK BUSINESS TRAVEL"/>
  </r>
  <r>
    <n v="23325720"/>
    <n v="24055218"/>
    <s v="ACC01"/>
    <x v="122"/>
    <d v="2025-11-14T16:02:10"/>
    <s v="09 a 15 dias"/>
    <s v="09 a 15 dias"/>
    <n v="218134842"/>
    <s v="GOVER"/>
    <s v="Maurício  Fabiano Kruger"/>
    <s v="ALEXANDRE DA CONCEIÇÃO ALVES"/>
    <s v="ALEXANDRE DA CONCEIÇÃO ALVES"/>
    <x v="120"/>
    <n v="4628176"/>
    <s v="-"/>
    <s v="OFF LINE"/>
    <s v="Cartão de crédito"/>
    <s v="Cartão de crédito"/>
    <s v="Hotel"/>
    <s v="N"/>
    <s v="Grupo Santista"/>
    <s v="Santista Textil Americana"/>
    <s v="-"/>
    <s v="Ibis Americana"/>
    <s v="-"/>
    <s v="-"/>
    <s v="-"/>
    <x v="107"/>
    <n v="209"/>
    <n v="0"/>
    <n v="0"/>
    <n v="0"/>
    <n v="0"/>
    <n v="0"/>
    <s v="Reserva importada do sistema Gover. Id: 4628176"/>
    <s v="Canal de venda não preenchido! (ACC01)"/>
    <s v="GOVER"/>
    <s v="Canal de venda"/>
    <s v="Falta de informação Gerencial"/>
    <s v="Dados do Fornecedor"/>
    <s v="Qualidade dos dados"/>
    <s v="KONTIK BUSINESS TRAVEL"/>
  </r>
  <r>
    <n v="23295473"/>
    <n v="24026323"/>
    <s v="ACC01"/>
    <x v="123"/>
    <d v="2025-11-10T14:55:25"/>
    <s v="09 a 15 dias"/>
    <s v="09 a 15 dias"/>
    <s v="SPDL5K    "/>
    <s v="MANUAL"/>
    <s v="RAFAEL MORETTI ROHRER"/>
    <s v="Juliana Cardoso"/>
    <s v="Juliana Cardoso"/>
    <x v="121"/>
    <s v="-"/>
    <s v="-"/>
    <s v="OFF LINE"/>
    <s v="Cartão de crédito"/>
    <s v="Cartão de crédito"/>
    <s v="Aéreo"/>
    <s v="N"/>
    <s v="Grupo Kontrip"/>
    <s v="Aceflex do Nordeste Contentores Flexiveis Ltda"/>
    <s v="-"/>
    <s v="Azul Linhas Aereas"/>
    <n v="3024026322"/>
    <s v="KONTRIP"/>
    <s v="-"/>
    <x v="108"/>
    <n v="84.66"/>
    <n v="0"/>
    <n v="0"/>
    <n v="0"/>
    <n v="0"/>
    <n v="402.18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295473"/>
    <n v="24026336"/>
    <s v="ACC02"/>
    <x v="123"/>
    <d v="2025-11-10T14:55:25"/>
    <s v="09 a 15 dias"/>
    <s v="09 a 15 dias"/>
    <s v="SPDL5K    "/>
    <s v="MANUAL"/>
    <s v="RODRIGO AUGUSTO RISSO DE CASTRO"/>
    <s v="Juliana Cardoso"/>
    <s v="Juliana Cardoso"/>
    <x v="121"/>
    <s v="-"/>
    <s v="-"/>
    <s v="OFF LINE"/>
    <s v="Cartão de crédito"/>
    <s v="Cartão de crédito"/>
    <s v="Aéreo"/>
    <s v="N"/>
    <s v="Grupo Kontrip"/>
    <s v="Aceflex do Nordeste Contentores Flexiveis Ltda"/>
    <s v="-"/>
    <s v="Azul Linhas Aereas"/>
    <n v="3024026340"/>
    <s v="KONTRIP"/>
    <s v="-"/>
    <x v="108"/>
    <n v="84.66"/>
    <n v="0"/>
    <n v="0"/>
    <n v="0"/>
    <n v="0"/>
    <n v="0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295473"/>
    <n v="24026346"/>
    <s v="ACC03"/>
    <x v="123"/>
    <d v="2025-11-10T14:55:25"/>
    <s v="09 a 15 dias"/>
    <s v="09 a 15 dias"/>
    <s v="SPDL5K    "/>
    <s v="MANUAL"/>
    <s v="FELIPE GUSTAVO RIZZI"/>
    <s v="Juliana Cardoso"/>
    <s v="Juliana Cardoso"/>
    <x v="121"/>
    <s v="-"/>
    <s v="-"/>
    <s v="OFF LINE"/>
    <s v="Cartão de crédito"/>
    <s v="Cartão de crédito"/>
    <s v="Aéreo"/>
    <s v="N"/>
    <s v="Grupo Kontrip"/>
    <s v="Aceflex do Nordeste Contentores Flexiveis Ltda"/>
    <s v="-"/>
    <s v="Azul Linhas Aereas"/>
    <n v="3024026349"/>
    <s v="KONTRIP"/>
    <s v="-"/>
    <x v="108"/>
    <n v="84.66"/>
    <n v="0"/>
    <n v="0"/>
    <n v="0"/>
    <n v="0"/>
    <n v="0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364854"/>
    <n v="24090891"/>
    <s v="ACC01"/>
    <x v="124"/>
    <d v="2025-11-21T10:15:34"/>
    <s v="03 a 05 dias"/>
    <s v="03 a 05 dias"/>
    <s v="5UKVXM"/>
    <s v="MANUAL"/>
    <s v="HENRIQUE OCTAVIO SOARES"/>
    <s v="Juliana Cardoso"/>
    <s v="Juliana Cardoso"/>
    <x v="122"/>
    <s v="-"/>
    <s v="-"/>
    <s v="OFF LINE"/>
    <s v="Invoice"/>
    <s v="Cartão convênio"/>
    <s v="Aéreo"/>
    <s v="N"/>
    <s v="Grupo Kontrip"/>
    <s v="Berkan"/>
    <s v="-"/>
    <s v="Azul Linhas Aereas"/>
    <n v="3024090890"/>
    <s v="KONTRIP"/>
    <s v="-"/>
    <x v="109"/>
    <n v="46.72"/>
    <n v="0"/>
    <n v="0"/>
    <n v="0"/>
    <n v="0"/>
    <n v="204.46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3364854"/>
    <n v="24090898"/>
    <s v="ACC02"/>
    <x v="124"/>
    <d v="2025-11-21T10:15:34"/>
    <s v="03 a 05 dias"/>
    <s v="03 a 05 dias"/>
    <s v="5UKVXM"/>
    <s v="MANUAL"/>
    <s v="ARTHUR HENRIQUE WEISE OLIVEIRA"/>
    <s v="Juliana Cardoso"/>
    <s v="Juliana Cardoso"/>
    <x v="122"/>
    <s v="-"/>
    <s v="-"/>
    <s v="OFF LINE"/>
    <s v="Invoice"/>
    <s v="Cartão convênio"/>
    <s v="Aéreo"/>
    <s v="N"/>
    <s v="Grupo Kontrip"/>
    <s v="Berkan"/>
    <s v="-"/>
    <s v="Azul Linhas Aereas"/>
    <n v="3024090899"/>
    <s v="KONTRIP"/>
    <s v="-"/>
    <x v="109"/>
    <n v="46.72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3365658"/>
    <n v="24091682"/>
    <s v="ACC01"/>
    <x v="125"/>
    <d v="2025-11-21T12:45:49"/>
    <s v="03 a 05 dias"/>
    <s v="03 a 05 dias"/>
    <s v="THVE4S"/>
    <s v="MANUAL"/>
    <s v="EVANILDO FELIX DE SOUSA"/>
    <s v="Juliana Cardoso"/>
    <s v="Juliana Cardoso"/>
    <x v="123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3024091681"/>
    <s v="KONTRIP"/>
    <s v="-"/>
    <x v="110"/>
    <n v="80.83"/>
    <n v="0"/>
    <n v="0"/>
    <n v="0"/>
    <n v="0"/>
    <n v="207.32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365658"/>
    <n v="24091690"/>
    <s v="ACC02"/>
    <x v="125"/>
    <d v="2025-11-21T12:45:49"/>
    <s v="03 a 05 dias"/>
    <s v="03 a 05 dias"/>
    <s v="THVE4S"/>
    <s v="MANUAL"/>
    <s v="JOAO PEDRO GARCIA DE OLIVEIRA"/>
    <s v="Juliana Cardoso"/>
    <s v="Juliana Cardoso"/>
    <x v="123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3024091697"/>
    <s v="KONTRIP"/>
    <s v="-"/>
    <x v="110"/>
    <n v="80.83"/>
    <n v="0"/>
    <n v="0"/>
    <n v="0"/>
    <n v="0"/>
    <n v="0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366691"/>
    <n v="24092867"/>
    <s v="ACC01"/>
    <x v="126"/>
    <d v="2025-11-21T16:05:12"/>
    <s v="03 a 05 dias"/>
    <s v="03 a 05 dias"/>
    <s v="ESRENQ"/>
    <s v="MANUAL"/>
    <s v="GUSTAVO DE OLIVEIRA PINTO"/>
    <s v="Juliana Cardoso"/>
    <s v="Juliana Cardoso"/>
    <x v="124"/>
    <s v="-"/>
    <s v="-"/>
    <s v="OFF LINE"/>
    <s v="Invoice"/>
    <s v="Cartão convênio"/>
    <s v="Aéreo"/>
    <s v="N"/>
    <s v="Grupo Kontrip"/>
    <s v="Smart Electric Engenharia e Sistemas Ltda"/>
    <s v="-"/>
    <s v="Gol Linhas Aereas"/>
    <n v="2133181079"/>
    <s v="KONTRIP"/>
    <s v="-"/>
    <x v="111"/>
    <n v="0"/>
    <n v="0"/>
    <n v="0"/>
    <n v="0"/>
    <n v="0"/>
    <n v="0"/>
    <s v="-"/>
    <s v="Validação do documento: Documento está dentro de um período financeiro já fechado!"/>
    <s v="KONTRIP"/>
    <s v="Não identificado"/>
    <s v="Análise Benner"/>
    <s v="Sistema"/>
    <s v="Qualidade dos dados"/>
    <s v="KONTRIP VIAGENS"/>
  </r>
  <r>
    <n v="23368281"/>
    <n v="24094259"/>
    <s v="ACC01"/>
    <x v="127"/>
    <d v="2025-11-21T20:37:02"/>
    <s v="03 a 05 dias"/>
    <s v="03 a 05 dias"/>
    <s v="MSYNSE"/>
    <s v="EBOOKING"/>
    <s v="Moreira Dos Santos/Vinicius"/>
    <s v="Kontrip"/>
    <s v="Kontrip"/>
    <x v="125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530562902"/>
    <s v="KONTRIP"/>
    <s v="-"/>
    <x v="112"/>
    <n v="33.64"/>
    <n v="0"/>
    <n v="0"/>
    <n v="0"/>
    <n v="0"/>
    <n v="23.43"/>
    <s v="obs"/>
    <s v="Não foi possível encontrar configuração válida para Administradora de código 1 e Data Emissão 21/11/2025"/>
    <s v="KONTRIP"/>
    <s v="Não identificado"/>
    <s v="Análise Benner"/>
    <s v="Sistema"/>
    <s v="Qualidade dos dados"/>
    <s v="KONTRIP VIAGENS"/>
  </r>
  <r>
    <n v="23367558"/>
    <n v="24093556"/>
    <s v="ACC01"/>
    <x v="128"/>
    <d v="2025-11-21T17:28:01"/>
    <s v="03 a 05 dias"/>
    <s v="03 a 05 dias"/>
    <s v="FIWPMH"/>
    <s v="EBOOKING"/>
    <s v="TORQUATO LOPES DA SILVA/SELHO"/>
    <s v="Kontrip"/>
    <s v="Kontrip"/>
    <x v="126"/>
    <s v="-"/>
    <s v="-"/>
    <s v="OFF LINE"/>
    <s v="Cartão de crédito"/>
    <s v="Cartão de crédito"/>
    <s v="Aéreo"/>
    <s v="N"/>
    <s v="Grupo Kontrip"/>
    <s v="Mopar Engenharia"/>
    <s v="-"/>
    <s v="Gol Linhas Aereas"/>
    <n v="2149973428"/>
    <s v="KONTRIP"/>
    <s v="-"/>
    <x v="113"/>
    <n v="109.6"/>
    <n v="0"/>
    <n v="0"/>
    <n v="0"/>
    <n v="0"/>
    <n v="157.32"/>
    <s v="obs"/>
    <s v="Não foi possível encontrar configuração válida para Administradora de código 1 e Data Emissão 19/11/2025"/>
    <s v="KONTRIP"/>
    <s v="Não identificado"/>
    <s v="Análise Benner"/>
    <s v="Sistema"/>
    <s v="Qualidade dos dados"/>
    <s v="KONTRIP VIAGENS"/>
  </r>
  <r>
    <n v="23281044"/>
    <n v="24013228"/>
    <s v="ACC01"/>
    <x v="129"/>
    <d v="2025-11-17T11:30:38"/>
    <s v="06 a 08 dias"/>
    <s v="16 a 23 dias"/>
    <s v="JRWMOT"/>
    <s v="SABRE"/>
    <s v="ANJO/CRISTIANO GIRALDES SANTO"/>
    <s v="Itamar de Souza"/>
    <s v="WS"/>
    <x v="127"/>
    <s v="JRWMOT"/>
    <s v="-"/>
    <s v="ON LINE"/>
    <s v="?"/>
    <s v="TKT"/>
    <s v="Aéreo"/>
    <s v="N"/>
    <s v="Grupo Elanco"/>
    <s v="Elanco - Morumbi"/>
    <s v="-"/>
    <s v="Latam Airlines Brasil"/>
    <n v="5580558176"/>
    <s v="FCM-OPE-SAO-PVI-BTC-CONCUR"/>
    <s v="-"/>
    <x v="0"/>
    <n v="0"/>
    <n v="346.5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3316551"/>
    <n v="24046212"/>
    <s v="ACC01"/>
    <x v="130"/>
    <d v="2025-11-13T12:49:54"/>
    <s v="09 a 15 dias"/>
    <s v="09 a 15 dias"/>
    <s v="SHRJWVT"/>
    <s v="SABRE"/>
    <s v="DOURADO/JOANNA"/>
    <s v="WS"/>
    <s v="WS"/>
    <x v="128"/>
    <s v="SHRJWV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14"/>
    <n v="4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08736"/>
    <n v="24039008"/>
    <s v="ACC01"/>
    <x v="131"/>
    <d v="2025-11-12T09:25:39"/>
    <s v="09 a 15 dias"/>
    <s v="09 a 15 dias"/>
    <s v="JYKWVQT"/>
    <s v="SABRE"/>
    <s v="EMERICH/EDUARDO FERRARI MR"/>
    <s v="WS"/>
    <s v="WS"/>
    <x v="129"/>
    <s v="JYKWVQ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15"/>
    <n v="36.2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09353"/>
    <n v="24039628"/>
    <s v="ACC01"/>
    <x v="132"/>
    <d v="2025-11-12T11:26:26"/>
    <s v="09 a 15 dias"/>
    <s v="09 a 15 dias"/>
    <s v="GYMMNWC"/>
    <s v="SABRE"/>
    <s v="EMERICH/EDUARDO FERRARI MR"/>
    <s v="WS"/>
    <s v="WS"/>
    <x v="130"/>
    <s v="GYMMNW"/>
    <s v="MCI"/>
    <s v="ON LINE"/>
    <s v="Invoice"/>
    <s v="Faturado"/>
    <s v="Carro"/>
    <s v="N"/>
    <s v="Grupo Elanco"/>
    <s v="Elanco - Morumbi"/>
    <s v="-"/>
    <s v="-"/>
    <s v="-"/>
    <s v="FCM-OPE-SAO-PVI-BTC-CONCUR"/>
    <s v="-"/>
    <x v="1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22311"/>
    <n v="23957300"/>
    <s v="ACC01"/>
    <x v="133"/>
    <d v="2025-10-30T10:01:32"/>
    <s v="24 a 31 dias"/>
    <s v="24 a 31 dias"/>
    <s v="QOMJYZC"/>
    <s v="SABRE"/>
    <s v="VALARELLI/RODRIGO LECHUGO"/>
    <s v="WS"/>
    <s v="WS"/>
    <x v="131"/>
    <s v="QOMJYZ"/>
    <s v="BZN"/>
    <s v="ON LINE"/>
    <s v="Invoice"/>
    <s v="Faturado"/>
    <s v="Carro"/>
    <s v="N"/>
    <s v="Grupo Elanco"/>
    <s v="Elanco - Morumbi"/>
    <s v="-"/>
    <s v="-"/>
    <s v="-"/>
    <s v="FCM-OPE-SAO-PVI-BTC-CONCUR"/>
    <s v="-"/>
    <x v="117"/>
    <n v="98.8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157789"/>
    <n v="23901852"/>
    <s v="ACC01"/>
    <x v="134"/>
    <d v="2025-10-21T15:08:19"/>
    <s v="31 dias ou +"/>
    <s v="31 dias ou +"/>
    <s v="WYTKJHT"/>
    <s v="SABRE"/>
    <s v="VALARELLI/RODRIGO LECHUGO"/>
    <s v="WS"/>
    <s v="WS"/>
    <x v="132"/>
    <s v="WYTKJH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18"/>
    <n v="70.4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52798"/>
    <n v="23985459"/>
    <s v="ACC01"/>
    <x v="135"/>
    <d v="2025-11-04T09:12:40"/>
    <s v="16 a 23 dias"/>
    <s v="16 a 23 dias"/>
    <s v="GMKZKJT"/>
    <s v="SABRE"/>
    <s v="VALARELLI/RODRIGO LECHUGO"/>
    <s v="WS"/>
    <s v="WS"/>
    <x v="133"/>
    <s v="GMKZKJ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19"/>
    <n v="18.1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68877"/>
    <n v="24001029"/>
    <s v="ACC01"/>
    <x v="136"/>
    <d v="2025-11-06T08:55:30"/>
    <s v="16 a 23 dias"/>
    <s v="16 a 23 dias"/>
    <s v="DKQKGDT"/>
    <s v="SABRE"/>
    <s v="VALARELLI/RODRIGO LECHUGO"/>
    <s v="WS"/>
    <s v="WS"/>
    <x v="134"/>
    <s v="DKQKGD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20"/>
    <n v="29.4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49504"/>
    <n v="23982535"/>
    <s v="ACC01"/>
    <x v="137"/>
    <d v="2025-11-03T19:54:13"/>
    <s v="16 a 23 dias"/>
    <s v="16 a 23 dias"/>
    <s v="LXKHEET"/>
    <s v="SABRE"/>
    <s v="WAQUIL/VANESSA ALVES"/>
    <s v="WS"/>
    <s v="WS"/>
    <x v="135"/>
    <s v="LXKHEE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49504"/>
    <n v="23982536"/>
    <s v="ACC02"/>
    <x v="137"/>
    <d v="2025-11-03T19:54:13"/>
    <s v="16 a 23 dias"/>
    <s v="16 a 23 dias"/>
    <s v="LXKHEET"/>
    <s v="SABRE"/>
    <s v="WAQUIL/VANESSA ALVES"/>
    <s v="WS"/>
    <s v="WS"/>
    <x v="135"/>
    <s v="LXKHEE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22"/>
    <n v="15.9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24328"/>
    <n v="24053803"/>
    <s v="ACC01"/>
    <x v="138"/>
    <d v="2025-11-14T13:21:50"/>
    <s v="09 a 15 dias"/>
    <s v="09 a 15 dias"/>
    <s v="5T7PLE"/>
    <s v="TMS"/>
    <s v="FELIPE WAKAMI"/>
    <s v="Viviane Novaes Araujo"/>
    <s v="Viviane Novaes Araujo"/>
    <x v="136"/>
    <n v="24663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23"/>
    <n v="0"/>
    <n v="0"/>
    <n v="0"/>
    <n v="0"/>
    <n v="239.75"/>
    <n v="0"/>
    <s v="Reserva importada do Sistema TMS. OS: 246631"/>
    <s v="Fornecedor não preenchido! (ACC01)"/>
    <s v="ARGO(TMS)"/>
    <s v="Falta de Fornecedor"/>
    <s v="Campo Fornecedor"/>
    <s v="Dados do Fornecedor"/>
    <s v="Qualidade dos dados"/>
    <s v="KONTIK BUSINESS TRAVEL"/>
  </r>
  <r>
    <n v="23309843"/>
    <n v="24040141"/>
    <s v="ACC01"/>
    <x v="139"/>
    <d v="2025-11-12T12:50:43"/>
    <s v="09 a 15 dias"/>
    <s v="09 a 15 dias"/>
    <s v="5TFZOB"/>
    <s v="TMS"/>
    <s v="TAMARA AZEVEDO"/>
    <s v="Viviane Novaes Araujo"/>
    <s v="Viviane Novaes Araujo"/>
    <x v="137"/>
    <n v="245708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24"/>
    <n v="0"/>
    <n v="0"/>
    <n v="0"/>
    <n v="0"/>
    <n v="0"/>
    <n v="0"/>
    <s v="Reserva importada do Sistema TMS. OS: 245708"/>
    <s v="Fornecedor não preenchido! (ACC01)"/>
    <s v="ARGO(TMS)"/>
    <s v="Falta de Fornecedor"/>
    <s v="Campo Fornecedor"/>
    <s v="Dados do Fornecedor"/>
    <s v="Qualidade dos dados"/>
    <s v="KONTIK BUSINESS TRAVEL"/>
  </r>
  <r>
    <n v="23304665"/>
    <n v="24035315"/>
    <s v="ACC01"/>
    <x v="140"/>
    <d v="2025-11-11T18:37:16"/>
    <s v="09 a 15 dias"/>
    <s v="09 a 15 dias"/>
    <s v="5RLBNO"/>
    <s v="TMS"/>
    <s v="FABIAN SOUSA"/>
    <s v="Viviane Novaes Araujo"/>
    <s v="Viviane Novaes Araujo"/>
    <x v="138"/>
    <n v="245710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25"/>
    <n v="0"/>
    <n v="0"/>
    <n v="0"/>
    <n v="0"/>
    <n v="0"/>
    <n v="0"/>
    <s v="Reserva importada do Sistema TMS. OS: 245710"/>
    <s v="Fornecedor não preenchido! (ACC01)"/>
    <s v="ARGO(TMS)"/>
    <s v="Falta de Fornecedor"/>
    <s v="Campo Fornecedor"/>
    <s v="Dados do Fornecedor"/>
    <s v="Qualidade dos dados"/>
    <s v="KONTIK BUSINESS TRAVEL"/>
  </r>
  <r>
    <n v="23304672"/>
    <n v="24035319"/>
    <s v="ACC01"/>
    <x v="141"/>
    <d v="2025-11-11T18:37:31"/>
    <s v="09 a 15 dias"/>
    <s v="09 a 15 dias"/>
    <s v="5RZQ9O"/>
    <s v="TMS"/>
    <s v="RICARDO RIBEIRO"/>
    <s v="Viviane Novaes Araujo"/>
    <s v="Viviane Novaes Araujo"/>
    <x v="139"/>
    <n v="245709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25"/>
    <n v="0"/>
    <n v="0"/>
    <n v="0"/>
    <n v="0"/>
    <n v="0"/>
    <n v="0"/>
    <s v="Reserva importada do Sistema TMS. OS: 245709"/>
    <s v="Fornecedor não preenchido! (ACC01)"/>
    <s v="ARGO(TMS)"/>
    <s v="Falta de Fornecedor"/>
    <s v="Campo Fornecedor"/>
    <s v="Dados do Fornecedor"/>
    <s v="Qualidade dos dados"/>
    <s v="KONTIK BUSINESS TRAVEL"/>
  </r>
  <r>
    <n v="23258431"/>
    <n v="23991214"/>
    <s v="ACC01"/>
    <x v="142"/>
    <d v="2025-11-04T22:21:09"/>
    <s v="16 a 23 dias"/>
    <s v="16 a 23 dias"/>
    <s v="5RF5ZS"/>
    <s v="TMS"/>
    <s v="RICARDO FILHO"/>
    <s v="Viviane Novaes Araujo"/>
    <s v="Viviane Novaes Araujo"/>
    <x v="140"/>
    <n v="243800"/>
    <s v="San Francisco / CA, Estados Unidos - San Francisco International Airport (SFO)"/>
    <s v="OFF LINE"/>
    <s v="Invoice"/>
    <s v="Faturado"/>
    <s v="Carro"/>
    <s v="N"/>
    <s v="Grupo Kpmg"/>
    <s v="Kpmg Consultoria"/>
    <s v="-"/>
    <s v="-"/>
    <s v="-"/>
    <s v="KON-OPE-SAO-PVI-KPMG"/>
    <s v="-"/>
    <x v="126"/>
    <n v="0"/>
    <n v="0"/>
    <n v="0"/>
    <n v="0"/>
    <n v="0"/>
    <n v="0"/>
    <s v="Reserva importada do Sistema TMS. OS: 243800"/>
    <s v="Fornecedor não preenchido! (ACC01)"/>
    <s v="ARGO(TMS)"/>
    <s v="Falta de Fornecedor"/>
    <s v="Campo Fornecedor"/>
    <s v="Dados do Fornecedor"/>
    <s v="Qualidade dos dados"/>
    <s v="KONTIK BUSINESS TRAVEL"/>
  </r>
  <r>
    <n v="23180366"/>
    <n v="23918648"/>
    <s v="ACC01"/>
    <x v="143"/>
    <d v="2025-10-23T18:31:01"/>
    <s v="31 dias ou +"/>
    <s v="31 dias ou +"/>
    <s v="5P56LI"/>
    <s v="TMS"/>
    <s v="BERNARDO NETO"/>
    <s v="Viviane Novaes Araujo"/>
    <s v="Viviane Novaes Araujo"/>
    <x v="141"/>
    <n v="240862"/>
    <s v="-"/>
    <s v="OFF LINE"/>
    <s v="Invoice"/>
    <s v="Faturado"/>
    <s v="Serviço"/>
    <s v="N"/>
    <s v="Grupo Kpmg"/>
    <s v="Kpmg"/>
    <s v="-"/>
    <s v="-"/>
    <s v="-"/>
    <s v="KON-OPE-SAO-PVI-KPMG"/>
    <s v="-"/>
    <x v="127"/>
    <n v="0"/>
    <n v="0"/>
    <n v="0"/>
    <n v="0"/>
    <n v="0"/>
    <n v="0"/>
    <s v="Reserva importada do Sistema TMS. OS: 240862"/>
    <s v="Fornecedor não preenchido! (ACC01)"/>
    <s v="ARGO(TMS)"/>
    <s v="Falta de Fornecedor"/>
    <s v="Campo Fornecedor"/>
    <s v="Dados do Fornecedor"/>
    <s v="Qualidade dos dados"/>
    <s v="KONTIK BUSINESS TRAVEL"/>
  </r>
  <r>
    <n v="23255424"/>
    <n v="23988076"/>
    <s v="ACC01"/>
    <x v="144"/>
    <d v="2025-11-04T16:26:07"/>
    <s v="16 a 23 dias"/>
    <s v="16 a 23 dias"/>
    <s v="5R46V1"/>
    <s v="TMS"/>
    <s v="JAMES JACKSON"/>
    <s v="Viviane Novaes Araujo"/>
    <s v="Viviane Novaes Araujo"/>
    <x v="142"/>
    <n v="24289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28"/>
    <n v="0"/>
    <n v="0"/>
    <n v="0"/>
    <n v="0"/>
    <n v="172"/>
    <n v="0"/>
    <s v="Reserva importada do Sistema TMS. OS: 242891"/>
    <s v="Fornecedor não preenchido! (ACC01)"/>
    <s v="ARGO(TMS)"/>
    <s v="Falta de Fornecedor"/>
    <s v="Campo Fornecedor"/>
    <s v="Dados do Fornecedor"/>
    <s v="Qualidade dos dados"/>
    <s v="KONTIK BUSINESS TRAVEL"/>
  </r>
  <r>
    <n v="23366442"/>
    <n v="24092478"/>
    <s v="ACC01"/>
    <x v="145"/>
    <d v="2025-11-21T16:06:01"/>
    <s v="03 a 05 dias"/>
    <s v="03 a 05 dias"/>
    <s v="5UAZ6M"/>
    <s v="TMS"/>
    <s v="JOHN DEPMAN"/>
    <s v="Viviane Novaes Araujo"/>
    <s v="Viviane Novaes Araujo"/>
    <x v="143"/>
    <n v="247990"/>
    <s v="-"/>
    <s v="OFF LINE"/>
    <s v="Invoice"/>
    <s v="Faturado"/>
    <s v="Serviço"/>
    <s v="N"/>
    <s v="Grupo Kpmg"/>
    <s v="Kpmg"/>
    <s v="-"/>
    <s v="-"/>
    <s v="-"/>
    <s v="KON-OPE-SAO-PVI-KPMG"/>
    <s v="-"/>
    <x v="129"/>
    <n v="0"/>
    <n v="0"/>
    <n v="0"/>
    <n v="0"/>
    <n v="0"/>
    <n v="0"/>
    <s v="Reserva importada do Sistema TMS. OS: 247990"/>
    <s v="Fornecedor não preenchido! (ACC01)"/>
    <s v="ARGO(TMS)"/>
    <s v="Falta de Fornecedor"/>
    <s v="Campo Fornecedor"/>
    <s v="Dados do Fornecedor"/>
    <s v="Qualidade dos dados"/>
    <s v="KONTIK BUSINESS TRAVEL"/>
  </r>
  <r>
    <n v="23273640"/>
    <n v="24006302"/>
    <s v="ACC01"/>
    <x v="146"/>
    <d v="2025-11-19T13:07:23"/>
    <s v="03 a 05 dias"/>
    <s v="16 a 23 dias"/>
    <s v="5R6OQT"/>
    <s v="TMS"/>
    <s v="RODRIGO MONTEIRO"/>
    <s v="Valeria Bottino da Silva"/>
    <s v="Valeria Bottino da Silva"/>
    <x v="144"/>
    <n v="244439"/>
    <s v="-"/>
    <s v="OFF LINE"/>
    <s v="Cartão de crédito"/>
    <s v="Cartão de crédito"/>
    <s v="Hotel"/>
    <s v="N"/>
    <s v="Grupo Kpmg"/>
    <s v="Kpmg Consultoria"/>
    <s v="-"/>
    <s v="Hotel Express Confort - Inativo"/>
    <s v="-"/>
    <s v="KON-OPE-SAO-PVI-KPMG"/>
    <s v="-"/>
    <x v="130"/>
    <n v="0"/>
    <n v="0"/>
    <n v="0"/>
    <n v="0"/>
    <n v="0"/>
    <n v="0"/>
    <s v="Reserva importada do Sistema TMS. OS: 244439"/>
    <s v="Não foi possível encontrar um contrato válido para o fornecedor 7907 (Código fornecedor) "/>
    <s v="ARGO(TMS)"/>
    <s v="Contrato de fornecedor"/>
    <s v="Análise Cadastro"/>
    <s v="Dados do Fornecedor"/>
    <s v="Qualidade dos dados"/>
    <s v="KONTIK BUSINESS TRAVEL"/>
  </r>
  <r>
    <n v="23282572"/>
    <n v="24014929"/>
    <s v="ACC01"/>
    <x v="147"/>
    <d v="2025-11-07T23:11:59"/>
    <s v="16 a 23 dias"/>
    <s v="16 a 23 dias"/>
    <s v="5RQQ96"/>
    <s v="TMS"/>
    <s v="ULYSSES PEREIRA"/>
    <s v="Valeria Bottino da Silva"/>
    <s v="Valeria Bottino da Silva"/>
    <x v="145"/>
    <n v="24464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1"/>
    <n v="0"/>
    <n v="0"/>
    <n v="0"/>
    <n v="0"/>
    <n v="0"/>
    <n v="0"/>
    <s v="Reserva importada do Sistema TMS. OS: 244641"/>
    <s v="Fornecedor não preenchido! (ACC01)"/>
    <s v="ARGO(TMS)"/>
    <s v="Falta de Fornecedor"/>
    <s v="Campo Fornecedor"/>
    <s v="Dados do Fornecedor"/>
    <s v="Qualidade dos dados"/>
    <s v="KONTIK BUSINESS TRAVEL"/>
  </r>
  <r>
    <n v="23304762"/>
    <n v="24035410"/>
    <s v="ACC01"/>
    <x v="148"/>
    <d v="2025-11-11T18:55:25"/>
    <s v="09 a 15 dias"/>
    <s v="09 a 15 dias"/>
    <s v="5R27O9"/>
    <s v="TMS"/>
    <s v="ULYSSES PEREIRA"/>
    <s v="Valeria Bottino da Silva"/>
    <s v="Valeria Bottino da Silva"/>
    <x v="146"/>
    <n v="24525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2"/>
    <n v="0"/>
    <n v="0"/>
    <n v="0"/>
    <n v="0"/>
    <n v="0"/>
    <n v="0"/>
    <s v="Reserva importada do Sistema TMS. OS: 245251"/>
    <s v="Fornecedor não preenchido! (ACC01)"/>
    <s v="ARGO(TMS)"/>
    <s v="Falta de Fornecedor"/>
    <s v="Campo Fornecedor"/>
    <s v="Dados do Fornecedor"/>
    <s v="Qualidade dos dados"/>
    <s v="KONTIK BUSINESS TRAVEL"/>
  </r>
  <r>
    <n v="23340746"/>
    <n v="24068506"/>
    <s v="ACC01"/>
    <x v="149"/>
    <d v="2025-11-17T16:38:15"/>
    <s v="06 a 08 dias"/>
    <s v="06 a 08 dias"/>
    <s v="5T8LMY"/>
    <s v="TMS"/>
    <s v="PABLO FERNANDES"/>
    <s v="Valeria Bottino da Silva"/>
    <s v="Valeria Bottino da Silva"/>
    <x v="147"/>
    <n v="246374"/>
    <s v="Florianópolis / SC, Brasil (FLN)"/>
    <s v="OFF LINE"/>
    <s v="Invoice"/>
    <s v="Faturado"/>
    <s v="Carro"/>
    <s v="N"/>
    <s v="Grupo Kpmg"/>
    <s v="Kpmg Consultoria"/>
    <s v="-"/>
    <s v="Movida - Br - Sc - Florianopolis - Carianos - Box Patio"/>
    <s v="-"/>
    <s v="KON-OPE-SAO-PVI-KPMG"/>
    <s v="-"/>
    <x v="133"/>
    <n v="0"/>
    <n v="1280.15"/>
    <n v="0"/>
    <n v="0"/>
    <n v="0"/>
    <n v="0"/>
    <s v="Reserva importada do Sistema TMS. OS: 246374"/>
    <s v="Fornecedor não preenchido! (ACC01)"/>
    <s v="ARGO(TMS)"/>
    <s v="Falta de Fornecedor"/>
    <s v="Campo Fornecedor"/>
    <s v="Dados do Fornecedor"/>
    <s v="Qualidade dos dados"/>
    <s v="KONTIK BUSINESS TRAVEL"/>
  </r>
  <r>
    <n v="23347686"/>
    <n v="24075063"/>
    <s v="ACC01"/>
    <x v="150"/>
    <d v="2025-11-18T14:47:03"/>
    <s v="06 a 08 dias"/>
    <s v="06 a 08 dias"/>
    <s v="5T6T4J"/>
    <s v="TMS"/>
    <s v="MATHEUS BRITO"/>
    <s v="Valeria Bottino da Silva"/>
    <s v="Valeria Bottino da Silva"/>
    <x v="148"/>
    <n v="247503"/>
    <s v="Tangara da Serra / MT, Brasil - Aeroporto Tangará da Serra (TGQ)"/>
    <s v="OFF LINE"/>
    <s v="Invoice"/>
    <s v="Faturado"/>
    <s v="Carro"/>
    <s v="N"/>
    <s v="Grupo Kpmg"/>
    <s v="Kpmg"/>
    <s v="-"/>
    <s v="Localiza - Br - Mt - Tangara da Serra - Triangulo"/>
    <s v="-"/>
    <s v="KON-OPE-SAO-PVI-KPMG"/>
    <s v="-"/>
    <x v="134"/>
    <n v="0"/>
    <n v="287.11"/>
    <n v="0"/>
    <n v="0"/>
    <n v="0"/>
    <n v="0"/>
    <s v="Reserva importada do Sistema TMS. OS: 247503"/>
    <s v="Fornecedor não preenchido! (ACC01)"/>
    <s v="ARGO(TMS)"/>
    <s v="Falta de Fornecedor"/>
    <s v="Campo Fornecedor"/>
    <s v="Dados do Fornecedor"/>
    <s v="Qualidade dos dados"/>
    <s v="KONTIK BUSINESS TRAVEL"/>
  </r>
  <r>
    <n v="23366446"/>
    <n v="24092482"/>
    <s v="ACC01"/>
    <x v="151"/>
    <d v="2025-11-21T16:06:25"/>
    <s v="03 a 05 dias"/>
    <s v="03 a 05 dias"/>
    <s v="5UFZ60"/>
    <s v="TMS"/>
    <s v="RODRIGO MONTEIRO"/>
    <s v="Valeria Bottino da Silva"/>
    <s v="Valeria Bottino da Silva"/>
    <x v="149"/>
    <n v="247938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5"/>
    <n v="0"/>
    <n v="0"/>
    <n v="0"/>
    <n v="0"/>
    <n v="0"/>
    <n v="0"/>
    <s v="Reserva importada do Sistema TMS. OS: 247938"/>
    <s v="Fornecedor não preenchido! (ACC01)"/>
    <s v="ARGO(TMS)"/>
    <s v="Falta de Fornecedor"/>
    <s v="Campo Fornecedor"/>
    <s v="Dados do Fornecedor"/>
    <s v="Qualidade dos dados"/>
    <s v="KONTIK BUSINESS TRAVEL"/>
  </r>
  <r>
    <n v="23340738"/>
    <n v="24068497"/>
    <s v="ACC01"/>
    <x v="152"/>
    <d v="2025-11-17T16:38:02"/>
    <s v="06 a 08 dias"/>
    <s v="06 a 08 dias"/>
    <s v="5TQOPH"/>
    <s v="TMS"/>
    <s v="MANUEL SOUSA"/>
    <s v="Donizete Alves de Souza"/>
    <s v="Donizete Alves de Souza"/>
    <x v="150"/>
    <n v="247092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6"/>
    <n v="0"/>
    <n v="0"/>
    <n v="0"/>
    <n v="0"/>
    <n v="0"/>
    <n v="0"/>
    <s v="Reserva importada do Sistema TMS. OS: 247092"/>
    <s v="Fornecedor não preenchido! (ACC01)"/>
    <s v="ARGO(TMS)"/>
    <s v="Falta de Fornecedor"/>
    <s v="Campo Fornecedor"/>
    <s v="Dados do Fornecedor"/>
    <s v="Qualidade dos dados"/>
    <s v="KONTIK BUSINESS TRAVEL"/>
  </r>
  <r>
    <n v="23297825"/>
    <n v="24028685"/>
    <s v="ACC01"/>
    <x v="153"/>
    <d v="2025-11-10T20:33:55"/>
    <s v="09 a 15 dias"/>
    <s v="09 a 15 dias"/>
    <s v="5R8LTK"/>
    <s v="TMS"/>
    <s v="FABRICIO ROYER"/>
    <s v="Donizete Alves de Souza"/>
    <s v="Donizete Alves de Souza"/>
    <x v="151"/>
    <n v="24533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7"/>
    <n v="0"/>
    <n v="0"/>
    <n v="0"/>
    <n v="0"/>
    <n v="0"/>
    <n v="0"/>
    <s v="Reserva importada do Sistema TMS. OS: 245339"/>
    <s v="Fornecedor não preenchido! (ACC01)"/>
    <s v="ARGO(TMS)"/>
    <s v="Falta de Fornecedor"/>
    <s v="Campo Fornecedor"/>
    <s v="Dados do Fornecedor"/>
    <s v="Qualidade dos dados"/>
    <s v="KONTIK BUSINESS TRAVEL"/>
  </r>
  <r>
    <n v="23297826"/>
    <n v="24028686"/>
    <s v="ACC01"/>
    <x v="154"/>
    <d v="2025-11-10T20:35:25"/>
    <s v="09 a 15 dias"/>
    <s v="09 a 15 dias"/>
    <s v="5ROOGI"/>
    <s v="TMS"/>
    <s v="RICARDO FILHO"/>
    <s v="Donizete Alves de Souza"/>
    <s v="Donizete Alves de Souza"/>
    <x v="152"/>
    <n v="245338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7"/>
    <n v="0"/>
    <n v="0"/>
    <n v="0"/>
    <n v="0"/>
    <n v="0"/>
    <n v="0"/>
    <s v="Reserva importada do Sistema TMS. OS: 245338"/>
    <s v="Fornecedor não preenchido! (ACC01)"/>
    <s v="ARGO(TMS)"/>
    <s v="Falta de Fornecedor"/>
    <s v="Campo Fornecedor"/>
    <s v="Dados do Fornecedor"/>
    <s v="Qualidade dos dados"/>
    <s v="KONTIK BUSINESS TRAVEL"/>
  </r>
  <r>
    <n v="23282585"/>
    <n v="24014942"/>
    <s v="ACC01"/>
    <x v="155"/>
    <d v="2025-11-07T23:15:31"/>
    <s v="16 a 23 dias"/>
    <s v="16 a 23 dias"/>
    <s v="5RAXO6"/>
    <s v="TMS"/>
    <s v="ALEJANDRO BARRAN ZUBARAN"/>
    <s v="Marcio Jose da Silva"/>
    <s v="Marcio Jose da Silva"/>
    <x v="153"/>
    <n v="244169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38"/>
    <n v="0"/>
    <n v="0"/>
    <n v="0"/>
    <n v="0"/>
    <n v="311.64"/>
    <n v="0"/>
    <s v="Reserva importada do Sistema TMS. OS: 244169"/>
    <s v="Fornecedor não preenchido! (ACC01)"/>
    <s v="ARGO(TMS)"/>
    <s v="Falta de Fornecedor"/>
    <s v="Campo Fornecedor"/>
    <s v="Dados do Fornecedor"/>
    <s v="Qualidade dos dados"/>
    <s v="KONTIK BUSINESS TRAVEL"/>
  </r>
  <r>
    <n v="23255380"/>
    <n v="23988033"/>
    <s v="ACC01"/>
    <x v="156"/>
    <d v="2025-11-06T13:15:40"/>
    <s v="16 a 23 dias"/>
    <s v="16 a 23 dias"/>
    <s v="5RPFFQ"/>
    <s v="TMS"/>
    <s v="SAMIA GIRAO"/>
    <s v="Eduardo Vinicius Souto Longo"/>
    <s v="Eduardo Vinicius Souto Longo"/>
    <x v="154"/>
    <n v="243550"/>
    <s v="-"/>
    <s v="OFF LINE"/>
    <s v="Cartão de crédito"/>
    <s v="Cartão de crédito"/>
    <s v="Hotel"/>
    <s v="N"/>
    <s v="Grupo Kpmg"/>
    <s v="Kpmg Assessores"/>
    <s v="-"/>
    <s v="Blue Tree Premium Congonhas Inativo"/>
    <s v="-"/>
    <s v="KON-OPE-SAO-PVI-KPMG"/>
    <s v="-"/>
    <x v="139"/>
    <n v="0"/>
    <n v="0"/>
    <n v="0"/>
    <n v="0"/>
    <n v="0"/>
    <n v="0"/>
    <s v="Reserva importada do Sistema TMS. OS: 243550"/>
    <s v="Não foi possível encontrar um contrato válido para o fornecedor 27169 (Código fornecedor) "/>
    <s v="ARGO(TMS)"/>
    <s v="Contrato de fornecedor"/>
    <s v="Análise Cadastro"/>
    <s v="Dados do Fornecedor"/>
    <s v="Qualidade dos dados"/>
    <s v="KONTIK BUSINESS TRAVEL"/>
  </r>
  <r>
    <n v="23366488"/>
    <n v="24092524"/>
    <s v="ACC01"/>
    <x v="157"/>
    <d v="2025-11-21T16:11:53"/>
    <s v="03 a 05 dias"/>
    <s v="03 a 05 dias"/>
    <s v="5UH3Y0"/>
    <s v="TMS"/>
    <s v="PAULO PEREIRA"/>
    <s v="Eduardo Vinicius Souto Longo"/>
    <s v="Eduardo Vinicius Souto Longo"/>
    <x v="155"/>
    <n v="247108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0"/>
    <n v="0"/>
    <n v="0"/>
    <n v="0"/>
    <n v="0"/>
    <n v="0"/>
    <n v="0"/>
    <s v="Reserva importada do Sistema TMS. OS: 247108"/>
    <s v="Fornecedor não preenchido! (ACC01)"/>
    <s v="ARGO(TMS)"/>
    <s v="Falta de Fornecedor"/>
    <s v="Campo Fornecedor"/>
    <s v="Dados do Fornecedor"/>
    <s v="Qualidade dos dados"/>
    <s v="KONTIK BUSINESS TRAVEL"/>
  </r>
  <r>
    <n v="23366495"/>
    <n v="24092531"/>
    <s v="ACC01"/>
    <x v="158"/>
    <d v="2025-11-21T16:12:38"/>
    <s v="03 a 05 dias"/>
    <s v="03 a 05 dias"/>
    <s v="5UAFY0"/>
    <s v="TMS"/>
    <s v="LUIZ JUNIOR"/>
    <s v="Eduardo Vinicius Souto Longo"/>
    <s v="Eduardo Vinicius Souto Longo"/>
    <x v="156"/>
    <n v="24791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1"/>
    <n v="0"/>
    <n v="0"/>
    <n v="0"/>
    <n v="0"/>
    <n v="0"/>
    <n v="0"/>
    <s v="Reserva importada do Sistema TMS. OS: 247919"/>
    <s v="Fornecedor não preenchido! (ACC01)"/>
    <s v="ARGO(TMS)"/>
    <s v="Falta de Fornecedor"/>
    <s v="Campo Fornecedor"/>
    <s v="Dados do Fornecedor"/>
    <s v="Qualidade dos dados"/>
    <s v="KONTIK BUSINESS TRAVEL"/>
  </r>
  <r>
    <n v="23368510"/>
    <n v="24094472"/>
    <s v="ACC01"/>
    <x v="159"/>
    <d v="2025-11-21T21:51:18"/>
    <s v="03 a 05 dias"/>
    <s v="03 a 05 dias"/>
    <s v="5UFLZA"/>
    <s v="TMS"/>
    <s v="TALISE SILVA"/>
    <s v="Eduardo Vinicius Souto Longo"/>
    <s v="Eduardo Vinicius Souto Longo"/>
    <x v="157"/>
    <n v="248451"/>
    <s v="Passo Fundo / RS, Brasil (PFB)"/>
    <s v="OFF LINE"/>
    <s v="Invoice"/>
    <s v="Faturado"/>
    <s v="Carro"/>
    <s v="N"/>
    <s v="Grupo Kpmg"/>
    <s v="Kpmg"/>
    <s v="-"/>
    <s v="-"/>
    <s v="-"/>
    <s v="KON-OPE-SAO-PVI-KPMG"/>
    <s v="-"/>
    <x v="141"/>
    <n v="0"/>
    <n v="0"/>
    <n v="0"/>
    <n v="0"/>
    <n v="0"/>
    <n v="0"/>
    <s v="Reserva importada do Sistema TMS. OS: 248451"/>
    <s v="Fornecedor não preenchido! (ACC01)"/>
    <s v="ARGO(TMS)"/>
    <s v="Falta de Fornecedor"/>
    <s v="Campo Fornecedor"/>
    <s v="Dados do Fornecedor"/>
    <s v="Qualidade dos dados"/>
    <s v="KONTIK BUSINESS TRAVEL"/>
  </r>
  <r>
    <n v="23368625"/>
    <n v="24094578"/>
    <s v="ACC01"/>
    <x v="160"/>
    <d v="2025-11-21T22:07:30"/>
    <s v="03 a 05 dias"/>
    <s v="03 a 05 dias"/>
    <s v="5UI5SZ"/>
    <s v="TMS"/>
    <s v="RODRIGO MONTEIRO"/>
    <s v="Eduardo Vinicius Souto Longo"/>
    <s v="Eduardo Vinicius Souto Longo"/>
    <x v="158"/>
    <n v="24794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42"/>
    <n v="0"/>
    <n v="0"/>
    <n v="0"/>
    <n v="0"/>
    <n v="0"/>
    <n v="0"/>
    <s v="Reserva importada do Sistema TMS. OS: 247940"/>
    <s v="Fornecedor não preenchido! (ACC01)"/>
    <s v="ARGO(TMS)"/>
    <s v="Falta de Fornecedor"/>
    <s v="Campo Fornecedor"/>
    <s v="Dados do Fornecedor"/>
    <s v="Qualidade dos dados"/>
    <s v="KONTIK BUSINESS TRAVEL"/>
  </r>
  <r>
    <n v="23368532"/>
    <n v="24094492"/>
    <s v="ACC01"/>
    <x v="161"/>
    <d v="2025-11-21T21:55:51"/>
    <s v="03 a 05 dias"/>
    <s v="03 a 05 dias"/>
    <s v="5UN02Q"/>
    <s v="TMS"/>
    <s v="ISMAEL MARTINS"/>
    <s v="Tms"/>
    <s v="Tms"/>
    <x v="159"/>
    <n v="248422"/>
    <s v="Goiânia / GYN"/>
    <s v="ON LINE"/>
    <s v="Invoice"/>
    <s v="Faturado"/>
    <s v="Carro"/>
    <s v="N"/>
    <s v="Grupo Kpmg"/>
    <s v="Kpmg"/>
    <s v="-"/>
    <s v="-"/>
    <s v="-"/>
    <s v="KON-OPE-SAO-PVI-KPMG"/>
    <s v="-"/>
    <x v="143"/>
    <n v="0"/>
    <n v="0"/>
    <n v="0"/>
    <n v="0"/>
    <n v="0"/>
    <n v="0"/>
    <s v="Reserva importada do Sistema TMS. OS: 248422"/>
    <s v="Fornecedor não preenchido! (ACC01)"/>
    <s v="ARGO(TMS)"/>
    <s v="Falta de Fornecedor"/>
    <s v="Campo Fornecedor"/>
    <s v="Dados do Fornecedor"/>
    <s v="Qualidade dos dados"/>
    <s v="KONTIK BUSINESS TRAVEL"/>
  </r>
  <r>
    <n v="23368534"/>
    <n v="24094494"/>
    <s v="ACC01"/>
    <x v="162"/>
    <d v="2025-11-21T21:55:56"/>
    <s v="03 a 05 dias"/>
    <s v="03 a 05 dias"/>
    <s v="5UAQSA"/>
    <s v="TMS"/>
    <s v="JOAO BRANDAO"/>
    <s v="Tms"/>
    <s v="Tms"/>
    <x v="159"/>
    <n v="248421"/>
    <s v="Goiânia / GYN"/>
    <s v="ON LINE"/>
    <s v="Invoice"/>
    <s v="Faturado"/>
    <s v="Carro"/>
    <s v="N"/>
    <s v="Grupo Kpmg"/>
    <s v="Kpmg"/>
    <s v="-"/>
    <s v="-"/>
    <s v="-"/>
    <s v="KON-OPE-SAO-PVI-KPMG"/>
    <s v="-"/>
    <x v="143"/>
    <n v="0"/>
    <n v="0"/>
    <n v="0"/>
    <n v="0"/>
    <n v="0"/>
    <n v="0"/>
    <s v="Reserva importada do Sistema TMS. OS: 248421"/>
    <s v="Fornecedor não preenchido! (ACC01)"/>
    <s v="ARGO(TMS)"/>
    <s v="Falta de Fornecedor"/>
    <s v="Campo Fornecedor"/>
    <s v="Dados do Fornecedor"/>
    <s v="Qualidade dos dados"/>
    <s v="KONTIK BUSINESS TRAVEL"/>
  </r>
  <r>
    <n v="23366328"/>
    <n v="24092364"/>
    <s v="ACC01"/>
    <x v="163"/>
    <d v="2025-11-21T15:40:50"/>
    <s v="03 a 05 dias"/>
    <s v="03 a 05 dias"/>
    <s v="5UGZGM"/>
    <s v="TMS"/>
    <s v="DENIS ANDRADE"/>
    <s v="Tms"/>
    <s v="Tms"/>
    <x v="160"/>
    <n v="248449"/>
    <s v="Goiânia / GYN"/>
    <s v="ON LINE"/>
    <s v="Invoice"/>
    <s v="Faturado"/>
    <s v="Carro"/>
    <s v="N"/>
    <s v="Grupo Kpmg"/>
    <s v="Kpmg Consultoria"/>
    <s v="-"/>
    <s v="-"/>
    <s v="-"/>
    <s v="KON-OPE-SAO-PVI-KPMG"/>
    <s v="-"/>
    <x v="144"/>
    <n v="0"/>
    <n v="0"/>
    <n v="0"/>
    <n v="0"/>
    <n v="0"/>
    <n v="0"/>
    <s v="Reserva importada do Sistema TMS. OS: 248449"/>
    <s v="Fornecedor não preenchido! (ACC01)"/>
    <s v="ARGO(TMS)"/>
    <s v="Falta de Fornecedor"/>
    <s v="Campo Fornecedor"/>
    <s v="Dados do Fornecedor"/>
    <s v="Qualidade dos dados"/>
    <s v="KONTIK BUSINESS TRAVEL"/>
  </r>
  <r>
    <n v="23366329"/>
    <n v="24092365"/>
    <s v="ACC01"/>
    <x v="164"/>
    <d v="2025-11-21T15:40:51"/>
    <s v="03 a 05 dias"/>
    <s v="03 a 05 dias"/>
    <s v="5UY1GB"/>
    <s v="TMS"/>
    <s v="ELAYNE SOUZA"/>
    <s v="Tms"/>
    <s v="Tms"/>
    <x v="161"/>
    <n v="248444"/>
    <s v="Cuiaba / CGB"/>
    <s v="ON LINE"/>
    <s v="Invoice"/>
    <s v="Faturado"/>
    <s v="Carro"/>
    <s v="N"/>
    <s v="Grupo Kpmg"/>
    <s v="Kpmg"/>
    <s v="-"/>
    <s v="-"/>
    <s v="-"/>
    <s v="KON-OPE-SAO-PVI-KPMG"/>
    <s v="-"/>
    <x v="145"/>
    <n v="0"/>
    <n v="0"/>
    <n v="0"/>
    <n v="0"/>
    <n v="0"/>
    <n v="0"/>
    <s v="Reserva importada do Sistema TMS. OS: 248444"/>
    <s v="Fornecedor não preenchido! (ACC01)"/>
    <s v="ARGO(TMS)"/>
    <s v="Falta de Fornecedor"/>
    <s v="Campo Fornecedor"/>
    <s v="Dados do Fornecedor"/>
    <s v="Qualidade dos dados"/>
    <s v="KONTIK BUSINESS TRAVEL"/>
  </r>
  <r>
    <n v="23366333"/>
    <n v="24092369"/>
    <s v="ACC01"/>
    <x v="165"/>
    <d v="2025-11-21T15:41:12"/>
    <s v="03 a 05 dias"/>
    <s v="03 a 05 dias"/>
    <s v="5UIZTM"/>
    <s v="TMS"/>
    <s v="RENAN LIRA"/>
    <s v="Tms"/>
    <s v="Tms"/>
    <x v="162"/>
    <n v="248408"/>
    <s v="São Paulo / SAO"/>
    <s v="ON LINE"/>
    <s v="Invoice"/>
    <s v="Faturado"/>
    <s v="Carro"/>
    <s v="N"/>
    <s v="Grupo Kpmg"/>
    <s v="Kpmg"/>
    <s v="-"/>
    <s v="-"/>
    <s v="-"/>
    <s v="KON-OPE-SAO-PVI-KPMG"/>
    <s v="-"/>
    <x v="146"/>
    <n v="0"/>
    <n v="0"/>
    <n v="0"/>
    <n v="0"/>
    <n v="0"/>
    <n v="0"/>
    <s v="Reserva importada do Sistema TMS. OS: 248408"/>
    <s v="Fornecedor não preenchido! (ACC01)"/>
    <s v="ARGO(TMS)"/>
    <s v="Falta de Fornecedor"/>
    <s v="Campo Fornecedor"/>
    <s v="Dados do Fornecedor"/>
    <s v="Qualidade dos dados"/>
    <s v="KONTIK BUSINESS TRAVEL"/>
  </r>
  <r>
    <n v="23366337"/>
    <n v="24092373"/>
    <s v="ACC01"/>
    <x v="166"/>
    <d v="2025-11-21T15:41:27"/>
    <s v="03 a 05 dias"/>
    <s v="03 a 05 dias"/>
    <s v="5UB2TP"/>
    <s v="TMS"/>
    <s v="ERYK SILVA"/>
    <s v="Tms"/>
    <s v="Tms"/>
    <x v="163"/>
    <n v="248397"/>
    <s v="Uberlândia / UDI"/>
    <s v="ON LINE"/>
    <s v="Invoice"/>
    <s v="Faturado"/>
    <s v="Carro"/>
    <s v="N"/>
    <s v="Grupo Kpmg"/>
    <s v="Kpmg"/>
    <s v="-"/>
    <s v="-"/>
    <s v="-"/>
    <s v="KON-OPE-SAO-PVI-KPMG"/>
    <s v="-"/>
    <x v="147"/>
    <n v="0"/>
    <n v="0"/>
    <n v="0"/>
    <n v="0"/>
    <n v="0"/>
    <n v="0"/>
    <s v="Reserva importada do Sistema TMS. OS: 248397"/>
    <s v="Fornecedor não preenchido! (ACC01)"/>
    <s v="ARGO(TMS)"/>
    <s v="Falta de Fornecedor"/>
    <s v="Campo Fornecedor"/>
    <s v="Dados do Fornecedor"/>
    <s v="Qualidade dos dados"/>
    <s v="KONTIK BUSINESS TRAVEL"/>
  </r>
  <r>
    <n v="23366346"/>
    <n v="24092382"/>
    <s v="ACC01"/>
    <x v="167"/>
    <d v="2025-11-21T15:42:25"/>
    <s v="03 a 05 dias"/>
    <s v="03 a 05 dias"/>
    <s v="5UYWTM"/>
    <s v="TMS"/>
    <s v="KAUAN CARVALHO"/>
    <s v="Tms"/>
    <s v="Tms"/>
    <x v="164"/>
    <n v="248384"/>
    <s v="Sinop / OPS"/>
    <s v="ON LINE"/>
    <s v="Invoice"/>
    <s v="Faturado"/>
    <s v="Carro"/>
    <s v="N"/>
    <s v="Grupo Kpmg"/>
    <s v="Kpmg"/>
    <s v="-"/>
    <s v="-"/>
    <s v="-"/>
    <s v="KON-OPE-SAO-PVI-KPMG"/>
    <s v="-"/>
    <x v="148"/>
    <n v="0"/>
    <n v="0"/>
    <n v="0"/>
    <n v="0"/>
    <n v="0"/>
    <n v="0"/>
    <s v="Reserva importada do Sistema TMS. OS: 248384"/>
    <s v="Fornecedor não preenchido! (ACC01)"/>
    <s v="ARGO(TMS)"/>
    <s v="Falta de Fornecedor"/>
    <s v="Campo Fornecedor"/>
    <s v="Dados do Fornecedor"/>
    <s v="Qualidade dos dados"/>
    <s v="KONTIK BUSINESS TRAVEL"/>
  </r>
  <r>
    <n v="23366353"/>
    <n v="24092389"/>
    <s v="ACC01"/>
    <x v="168"/>
    <d v="2025-11-21T15:42:47"/>
    <s v="03 a 05 dias"/>
    <s v="03 a 05 dias"/>
    <s v="5UB3G0"/>
    <s v="TMS"/>
    <s v="DAVI MONTEIRO"/>
    <s v="Tms"/>
    <s v="Tms"/>
    <x v="83"/>
    <n v="248377"/>
    <s v="Londrina / LDB"/>
    <s v="ON LINE"/>
    <s v="Invoice"/>
    <s v="Faturado"/>
    <s v="Carro"/>
    <s v="N"/>
    <s v="Grupo Kpmg"/>
    <s v="Kpmg"/>
    <s v="-"/>
    <s v="-"/>
    <s v="-"/>
    <s v="KON-OPE-SAO-PVI-KPMG"/>
    <s v="-"/>
    <x v="149"/>
    <n v="0"/>
    <n v="0"/>
    <n v="0"/>
    <n v="0"/>
    <n v="0"/>
    <n v="0"/>
    <s v="Reserva importada do Sistema TMS. OS: 248377"/>
    <s v="Fornecedor não preenchido! (ACC01)"/>
    <s v="ARGO(TMS)"/>
    <s v="Falta de Fornecedor"/>
    <s v="Campo Fornecedor"/>
    <s v="Dados do Fornecedor"/>
    <s v="Qualidade dos dados"/>
    <s v="KONTIK BUSINESS TRAVEL"/>
  </r>
  <r>
    <n v="23366369"/>
    <n v="24092405"/>
    <s v="ACC01"/>
    <x v="169"/>
    <d v="2025-11-21T15:46:48"/>
    <s v="03 a 05 dias"/>
    <s v="03 a 05 dias"/>
    <s v="5UF4G0"/>
    <s v="TMS"/>
    <s v="LEONARDO LIMA"/>
    <s v="Tms"/>
    <s v="Tms"/>
    <x v="165"/>
    <n v="248352"/>
    <s v="Campo Grande / CGR"/>
    <s v="ON LINE"/>
    <s v="Invoice"/>
    <s v="Faturado"/>
    <s v="Carro"/>
    <s v="N"/>
    <s v="Grupo Kpmg"/>
    <s v="Kpmg"/>
    <s v="-"/>
    <s v="-"/>
    <s v="-"/>
    <s v="KON-OPE-SAO-PVI-KPMG"/>
    <s v="-"/>
    <x v="150"/>
    <n v="0"/>
    <n v="0"/>
    <n v="0"/>
    <n v="0"/>
    <n v="0"/>
    <n v="0"/>
    <s v="Reserva importada do Sistema TMS. OS: 248352"/>
    <s v="Fornecedor não preenchido! (ACC01)"/>
    <s v="ARGO(TMS)"/>
    <s v="Falta de Fornecedor"/>
    <s v="Campo Fornecedor"/>
    <s v="Dados do Fornecedor"/>
    <s v="Qualidade dos dados"/>
    <s v="KONTIK BUSINESS TRAVEL"/>
  </r>
  <r>
    <n v="23366384"/>
    <n v="24092420"/>
    <s v="ACC01"/>
    <x v="170"/>
    <d v="2025-11-21T15:51:14"/>
    <s v="03 a 05 dias"/>
    <s v="03 a 05 dias"/>
    <s v="5UI55B"/>
    <s v="TMS"/>
    <s v="BRUNO ZAPOLA"/>
    <s v="Tms"/>
    <s v="Tms"/>
    <x v="166"/>
    <n v="248340"/>
    <s v="Barreiras / BRA"/>
    <s v="ON LINE"/>
    <s v="Invoice"/>
    <s v="Faturado"/>
    <s v="Carro"/>
    <s v="N"/>
    <s v="Grupo Kpmg"/>
    <s v="Kpmg"/>
    <s v="-"/>
    <s v="-"/>
    <s v="-"/>
    <s v="KON-OPE-SAO-PVI-KPMG"/>
    <s v="-"/>
    <x v="151"/>
    <n v="0"/>
    <n v="0"/>
    <n v="0"/>
    <n v="0"/>
    <n v="0"/>
    <n v="0"/>
    <s v="Reserva importada do Sistema TMS. OS: 248340"/>
    <s v="Fornecedor não preenchido! (ACC01)"/>
    <s v="ARGO(TMS)"/>
    <s v="Falta de Fornecedor"/>
    <s v="Campo Fornecedor"/>
    <s v="Dados do Fornecedor"/>
    <s v="Qualidade dos dados"/>
    <s v="KONTIK BUSINESS TRAVEL"/>
  </r>
  <r>
    <n v="23366396"/>
    <n v="24092432"/>
    <s v="ACC01"/>
    <x v="171"/>
    <d v="2025-11-21T15:51:57"/>
    <s v="03 a 05 dias"/>
    <s v="03 a 05 dias"/>
    <s v="5U7YGB"/>
    <s v="TMS"/>
    <s v="BRAYAN LIRA"/>
    <s v="Tms"/>
    <s v="Tms"/>
    <x v="167"/>
    <n v="248307"/>
    <s v="Recife / REC"/>
    <s v="ON LINE"/>
    <s v="Invoice"/>
    <s v="Faturado"/>
    <s v="Carro"/>
    <s v="N"/>
    <s v="Grupo Kpmg"/>
    <s v="Kpmg"/>
    <s v="-"/>
    <s v="-"/>
    <s v="-"/>
    <s v="KON-OPE-SAO-PVI-KPMG"/>
    <s v="-"/>
    <x v="152"/>
    <n v="0"/>
    <n v="0"/>
    <n v="0"/>
    <n v="0"/>
    <n v="0"/>
    <n v="0"/>
    <s v="Reserva importada do Sistema TMS. OS: 248307"/>
    <s v="Fornecedor não preenchido! (ACC01)"/>
    <s v="ARGO(TMS)"/>
    <s v="Falta de Fornecedor"/>
    <s v="Campo Fornecedor"/>
    <s v="Dados do Fornecedor"/>
    <s v="Qualidade dos dados"/>
    <s v="KONTIK BUSINESS TRAVEL"/>
  </r>
  <r>
    <n v="23350218"/>
    <n v="24077608"/>
    <s v="ACC01"/>
    <x v="172"/>
    <d v="2025-11-18T20:55:55"/>
    <s v="06 a 08 dias"/>
    <s v="06 a 08 dias"/>
    <s v="5TXFBK"/>
    <s v="TMS"/>
    <s v="ISABELLE SILVA"/>
    <s v="Tms"/>
    <s v="Tms"/>
    <x v="168"/>
    <n v="247662"/>
    <s v="Uberlândia / UDI"/>
    <s v="ON LINE"/>
    <s v="Invoice"/>
    <s v="Faturado"/>
    <s v="Carro"/>
    <s v="N"/>
    <s v="Grupo Kpmg"/>
    <s v="Kpmg"/>
    <s v="-"/>
    <s v="Movida - Br - Mg - Uberlandia - Aeroporto"/>
    <s v="-"/>
    <s v="KON-OPE-SAO-PVI-KPMG"/>
    <s v="-"/>
    <x v="153"/>
    <n v="0"/>
    <n v="0"/>
    <n v="0"/>
    <n v="0"/>
    <n v="0"/>
    <n v="0"/>
    <s v="Reserva importada do Sistema TMS. OS: 247662"/>
    <s v="Fornecedor não preenchido! (ACC01)"/>
    <s v="ARGO(TMS)"/>
    <s v="Falta de Fornecedor"/>
    <s v="Campo Fornecedor"/>
    <s v="Dados do Fornecedor"/>
    <s v="Qualidade dos dados"/>
    <s v="KONTIK BUSINESS TRAVEL"/>
  </r>
  <r>
    <n v="23355365"/>
    <n v="24082334"/>
    <s v="ACC01"/>
    <x v="173"/>
    <d v="2025-11-19T16:40:47"/>
    <s v="03 a 05 dias"/>
    <s v="03 a 05 dias"/>
    <s v="5TRMSN"/>
    <s v="TMS"/>
    <s v="LAURA CARDOSO"/>
    <s v="Tms"/>
    <s v="Tms"/>
    <x v="169"/>
    <n v="248035"/>
    <s v="Ribeirão Preto / RAO"/>
    <s v="ON LINE"/>
    <s v="Invoice"/>
    <s v="Faturado"/>
    <s v="Carro"/>
    <s v="N"/>
    <s v="Grupo Kpmg"/>
    <s v="Kpmg"/>
    <s v="-"/>
    <s v="Movida - Br - Sp - Ribeirao Preto - Pq Ind Cel Quito Junqueira"/>
    <s v="-"/>
    <s v="KON-OPE-SAO-PVI-KPMG"/>
    <s v="-"/>
    <x v="154"/>
    <n v="0"/>
    <n v="0"/>
    <n v="0"/>
    <n v="0"/>
    <n v="0"/>
    <n v="0"/>
    <s v="Reserva importada do Sistema TMS. OS: 248035"/>
    <s v="Fornecedor não preenchido! (ACC01)"/>
    <s v="ARGO(TMS)"/>
    <s v="Falta de Fornecedor"/>
    <s v="Campo Fornecedor"/>
    <s v="Dados do Fornecedor"/>
    <s v="Qualidade dos dados"/>
    <s v="KONTIK BUSINESS TRAVEL"/>
  </r>
  <r>
    <n v="23368487"/>
    <n v="24094449"/>
    <s v="ACC01"/>
    <x v="174"/>
    <d v="2025-11-21T21:45:50"/>
    <s v="03 a 05 dias"/>
    <s v="03 a 05 dias"/>
    <s v="5UGUZ1"/>
    <s v="TMS"/>
    <s v="ELAYNE SOUZA"/>
    <s v="Tms"/>
    <s v="Tms"/>
    <x v="170"/>
    <n v="248485"/>
    <s v="Teresina / THE"/>
    <s v="ON LINE"/>
    <s v="Invoice"/>
    <s v="Faturado"/>
    <s v="Carro"/>
    <s v="N"/>
    <s v="Grupo Kpmg"/>
    <s v="Kpmg"/>
    <s v="-"/>
    <s v="-"/>
    <s v="-"/>
    <s v="KON-OPE-SAO-PVI-KPMG"/>
    <s v="-"/>
    <x v="155"/>
    <n v="0"/>
    <n v="0"/>
    <n v="0"/>
    <n v="0"/>
    <n v="0"/>
    <n v="0"/>
    <s v="Reserva importada do Sistema TMS. OS: 248485"/>
    <s v="Fornecedor não preenchido! (ACC01)"/>
    <s v="ARGO(TMS)"/>
    <s v="Falta de Fornecedor"/>
    <s v="Campo Fornecedor"/>
    <s v="Dados do Fornecedor"/>
    <s v="Qualidade dos dados"/>
    <s v="KONTIK BUSINESS TRAVEL"/>
  </r>
  <r>
    <n v="23340042"/>
    <n v="24067823"/>
    <s v="ACC01"/>
    <x v="175"/>
    <d v="2025-11-17T14:40:48"/>
    <s v="06 a 08 dias"/>
    <s v="06 a 08 dias"/>
    <s v="5TZX75"/>
    <s v="TMS"/>
    <s v="LUCAS LIMA"/>
    <s v="Tuane Cristina Alves de Oliveira"/>
    <s v="Tuane Cristina Alves de Oliveira"/>
    <x v="171"/>
    <n v="246851"/>
    <s v="Natal / RN, Brasil (NAT)"/>
    <s v="OFF LINE"/>
    <s v="Invoice"/>
    <s v="Faturado"/>
    <s v="Carro"/>
    <s v="N"/>
    <s v="Grupo Kpmg"/>
    <s v="Kpmg Consultoria"/>
    <s v="-"/>
    <s v="Movida - Br - Rn - Natal - Ponta Negra"/>
    <s v="-"/>
    <s v="KON-OPE-SAO-PVI-KPMG"/>
    <s v="-"/>
    <x v="156"/>
    <n v="0"/>
    <n v="0"/>
    <n v="0"/>
    <n v="0"/>
    <n v="0"/>
    <n v="0"/>
    <s v="Reserva importada do Sistema TMS. OS: 246851"/>
    <s v="Fornecedor não preenchido! (ACC01)"/>
    <s v="ARGO(TMS)"/>
    <s v="Falta de Fornecedor"/>
    <s v="Campo Fornecedor"/>
    <s v="Dados do Fornecedor"/>
    <s v="Qualidade dos dados"/>
    <s v="KONTIK BUSINESS TRAVEL"/>
  </r>
  <r>
    <n v="23153469"/>
    <n v="23898056"/>
    <s v="ACC01"/>
    <x v="176"/>
    <d v="2025-10-20T23:16:11"/>
    <s v="31 dias ou +"/>
    <s v="31 dias ou +"/>
    <s v="5PDXH4"/>
    <s v="TMS"/>
    <s v="OSCAR ADORNO"/>
    <s v="Tuane Cristina Alves de Oliveira"/>
    <s v="Tuane Cristina Alves de Oliveira"/>
    <x v="172"/>
    <n v="23945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157"/>
    <n v="0"/>
    <n v="0"/>
    <n v="0"/>
    <n v="0"/>
    <n v="0"/>
    <n v="0"/>
    <s v="Reserva importada do Sistema TMS. OS: 239454"/>
    <s v="Fornecedor não preenchido! (ACC01)"/>
    <s v="ARGO(TMS)"/>
    <s v="Falta de Fornecedor"/>
    <s v="Campo Fornecedor"/>
    <s v="Dados do Fornecedor"/>
    <s v="Qualidade dos dados"/>
    <s v="KONTIK BUSINESS TRAVEL"/>
  </r>
  <r>
    <n v="23312351"/>
    <n v="24042662"/>
    <s v="ACC01"/>
    <x v="177"/>
    <d v="2025-11-19T13:08:30"/>
    <s v="03 a 05 dias"/>
    <s v="09 a 15 dias"/>
    <s v="5T5QTA"/>
    <s v="TMS"/>
    <s v="RODRIGO MONTEIRO"/>
    <s v="Tuane Cristina Alves de Oliveira"/>
    <s v="Tuane Cristina Alves de Oliveira"/>
    <x v="173"/>
    <n v="245258"/>
    <s v="-"/>
    <s v="OFF LINE"/>
    <s v="Cartão de crédito"/>
    <s v="Cartão de crédito"/>
    <s v="Hotel"/>
    <s v="N"/>
    <s v="Grupo Kpmg"/>
    <s v="Kpmg Consultoria"/>
    <s v="-"/>
    <s v="Hotel Express Confort - Inativo"/>
    <s v="-"/>
    <s v="KON-OPE-SAO-PVI-KPMG"/>
    <s v="-"/>
    <x v="158"/>
    <n v="0"/>
    <n v="0"/>
    <n v="0"/>
    <n v="0"/>
    <n v="0"/>
    <n v="0"/>
    <s v="Reserva importada do Sistema TMS. OS: 245258"/>
    <s v="Não foi possível encontrar um contrato válido para o fornecedor 7907 (Código fornecedor) "/>
    <s v="ARGO(TMS)"/>
    <s v="Contrato de fornecedor"/>
    <s v="Análise Cadastro"/>
    <s v="Dados do Fornecedor"/>
    <s v="Qualidade dos dados"/>
    <s v="KONTIK BUSINESS TRAVEL"/>
  </r>
  <r>
    <n v="23312366"/>
    <n v="24042679"/>
    <s v="ACC01"/>
    <x v="178"/>
    <d v="2025-11-12T19:11:42"/>
    <s v="09 a 15 dias"/>
    <s v="09 a 15 dias"/>
    <s v="5TM3TQ"/>
    <s v="TMS"/>
    <s v="RICARDO LOCKS"/>
    <s v="Tuane Cristina Alves de Oliveira"/>
    <s v="Tuane Cristina Alves de Oliveira"/>
    <x v="174"/>
    <n v="244889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59"/>
    <n v="0"/>
    <n v="0"/>
    <n v="0"/>
    <n v="0"/>
    <n v="0"/>
    <n v="0"/>
    <s v="Reserva importada do Sistema TMS. OS: 244889"/>
    <s v="Fornecedor não preenchido! (ACC01)"/>
    <s v="ARGO(TMS)"/>
    <s v="Falta de Fornecedor"/>
    <s v="Campo Fornecedor"/>
    <s v="Dados do Fornecedor"/>
    <s v="Qualidade dos dados"/>
    <s v="KONTIK BUSINESS TRAVEL"/>
  </r>
  <r>
    <n v="23088209"/>
    <n v="23838794"/>
    <s v="ACC01"/>
    <x v="179"/>
    <d v="2025-10-10T20:01:47"/>
    <s v="31 dias ou +"/>
    <s v="31 dias ou +"/>
    <s v="5OTOC3"/>
    <s v="TMS"/>
    <s v="BERTIE WALKER"/>
    <s v="Tuane Cristina Alves de Oliveira"/>
    <s v="Tuane Cristina Alves de Oliveira"/>
    <x v="175"/>
    <n v="23787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0"/>
    <n v="0"/>
    <n v="0"/>
    <n v="0"/>
    <n v="0"/>
    <n v="0"/>
    <n v="0"/>
    <s v="Reserva importada do Sistema TMS. OS: 237877"/>
    <s v="Fornecedor não preenchido! (ACC01)"/>
    <s v="ARGO(TMS)"/>
    <s v="Falta de Fornecedor"/>
    <s v="Campo Fornecedor"/>
    <s v="Dados do Fornecedor"/>
    <s v="Qualidade dos dados"/>
    <s v="KONTIK BUSINESS TRAVEL"/>
  </r>
  <r>
    <n v="23088212"/>
    <n v="23838797"/>
    <s v="ACC01"/>
    <x v="180"/>
    <d v="2025-10-10T20:02:18"/>
    <s v="31 dias ou +"/>
    <s v="31 dias ou +"/>
    <s v="5O8O33"/>
    <s v="TMS"/>
    <s v="JOHN MCCALLALEACY"/>
    <s v="Tuane Cristina Alves de Oliveira"/>
    <s v="Tuane Cristina Alves de Oliveira"/>
    <x v="176"/>
    <n v="237876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0"/>
    <n v="0"/>
    <n v="0"/>
    <n v="0"/>
    <n v="0"/>
    <n v="0"/>
    <n v="0"/>
    <s v="Reserva importada do Sistema TMS. OS: 237876"/>
    <s v="Fornecedor não preenchido! (ACC01)"/>
    <s v="ARGO(TMS)"/>
    <s v="Falta de Fornecedor"/>
    <s v="Campo Fornecedor"/>
    <s v="Dados do Fornecedor"/>
    <s v="Qualidade dos dados"/>
    <s v="KONTIK BUSINESS TRAVEL"/>
  </r>
  <r>
    <n v="23088216"/>
    <n v="23838801"/>
    <s v="ACC01"/>
    <x v="181"/>
    <d v="2025-10-10T20:03:06"/>
    <s v="31 dias ou +"/>
    <s v="31 dias ou +"/>
    <s v="5OQBVC"/>
    <s v="TMS"/>
    <s v="NADIA MONTOTO"/>
    <s v="Tuane Cristina Alves de Oliveira"/>
    <s v="Tuane Cristina Alves de Oliveira"/>
    <x v="177"/>
    <n v="237874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1"/>
    <n v="0"/>
    <n v="0"/>
    <n v="0"/>
    <n v="0"/>
    <n v="0"/>
    <n v="0"/>
    <s v="Reserva importada do Sistema TMS. OS: 237874"/>
    <s v="Fornecedor não preenchido! (ACC01)"/>
    <s v="ARGO(TMS)"/>
    <s v="Falta de Fornecedor"/>
    <s v="Campo Fornecedor"/>
    <s v="Dados do Fornecedor"/>
    <s v="Qualidade dos dados"/>
    <s v="KONTIK BUSINESS TRAVEL"/>
  </r>
  <r>
    <n v="23350270"/>
    <n v="24077658"/>
    <s v="ACC01"/>
    <x v="182"/>
    <d v="2025-11-18T21:05:08"/>
    <s v="06 a 08 dias"/>
    <s v="06 a 08 dias"/>
    <s v="5TUU0I"/>
    <s v="TMS"/>
    <s v="PEDRO JUNIOR"/>
    <s v="Tuane Cristina Alves de Oliveira"/>
    <s v="Tuane Cristina Alves de Oliveira"/>
    <x v="178"/>
    <n v="247366"/>
    <s v="Juazeiro do Norte / CE, Brasil (JDO)"/>
    <s v="OFF LINE"/>
    <s v="Invoice"/>
    <s v="Faturado"/>
    <s v="Carro"/>
    <s v="N"/>
    <s v="Grupo Kpmg"/>
    <s v="Kpmg"/>
    <s v="-"/>
    <s v="Movida - Br - Ce - Juazeiro do Norte - Aeroporto"/>
    <s v="-"/>
    <s v="KON-OPE-SAO-PVI-KPMG"/>
    <s v="-"/>
    <x v="162"/>
    <n v="0"/>
    <n v="0"/>
    <n v="0"/>
    <n v="0"/>
    <n v="0"/>
    <n v="0"/>
    <s v="Reserva importada do Sistema TMS. OS: 247366"/>
    <s v="Fornecedor não preenchido! (ACC01)"/>
    <s v="ARGO(TMS)"/>
    <s v="Falta de Fornecedor"/>
    <s v="Campo Fornecedor"/>
    <s v="Dados do Fornecedor"/>
    <s v="Qualidade dos dados"/>
    <s v="KONTIK BUSINESS TRAVEL"/>
  </r>
  <r>
    <n v="23357276"/>
    <n v="24084282"/>
    <s v="ACC01"/>
    <x v="183"/>
    <d v="2025-11-19T21:36:44"/>
    <s v="03 a 05 dias"/>
    <s v="03 a 05 dias"/>
    <s v="5TD74N"/>
    <s v="TMS"/>
    <s v="CARLOS TAKAUTHI"/>
    <s v="Tuane Cristina Alves de Oliveira"/>
    <s v="Tuane Cristina Alves de Oliveira"/>
    <x v="179"/>
    <n v="247538"/>
    <s v="São José do Rio Preto / SP, Brasil (SJP)"/>
    <s v="OFF LINE"/>
    <s v="Invoice"/>
    <s v="Faturado"/>
    <s v="Carro"/>
    <s v="N"/>
    <s v="Grupo Kpmg"/>
    <s v="Kpmg"/>
    <s v="-"/>
    <s v="Localiza - Br - Sp - Sao Jose do Rio Preto - Jardim Novo Aeroporto"/>
    <s v="-"/>
    <s v="KON-OPE-SAO-PVI-KPMG"/>
    <s v="-"/>
    <x v="163"/>
    <n v="0"/>
    <n v="0"/>
    <n v="0"/>
    <n v="0"/>
    <n v="0"/>
    <n v="0"/>
    <s v="Reserva importada do Sistema TMS. OS: 247538"/>
    <s v="Fornecedor não preenchido! (ACC01)"/>
    <s v="ARGO(TMS)"/>
    <s v="Falta de Fornecedor"/>
    <s v="Campo Fornecedor"/>
    <s v="Dados do Fornecedor"/>
    <s v="Qualidade dos dados"/>
    <s v="KONTIK BUSINESS TRAVEL"/>
  </r>
  <r>
    <n v="23357282"/>
    <n v="24084288"/>
    <s v="ACC01"/>
    <x v="184"/>
    <d v="2025-11-19T21:36:58"/>
    <s v="03 a 05 dias"/>
    <s v="03 a 05 dias"/>
    <s v="5T67F9"/>
    <s v="TMS"/>
    <s v="THAYNA LIMA"/>
    <s v="Tuane Cristina Alves de Oliveira"/>
    <s v="Tuane Cristina Alves de Oliveira"/>
    <x v="180"/>
    <n v="247449"/>
    <s v="Itatiba / SP, Brasil (CPQ)"/>
    <s v="OFF LINE"/>
    <s v="Invoice"/>
    <s v="Faturado"/>
    <s v="Carro"/>
    <s v="N"/>
    <s v="Grupo Kpmg"/>
    <s v="Kpmg"/>
    <s v="-"/>
    <s v="Localiza - Br - Sp - Atibaia - Alvinopolis"/>
    <s v="-"/>
    <s v="KON-OPE-SAO-PVI-KPMG"/>
    <s v="-"/>
    <x v="164"/>
    <n v="0"/>
    <n v="0"/>
    <n v="0"/>
    <n v="0"/>
    <n v="0"/>
    <n v="0"/>
    <s v="Reserva importada do Sistema TMS. OS: 247449"/>
    <s v="Fornecedor não preenchido! (ACC01)"/>
    <s v="ARGO(TMS)"/>
    <s v="Falta de Fornecedor"/>
    <s v="Campo Fornecedor"/>
    <s v="Dados do Fornecedor"/>
    <s v="Qualidade dos dados"/>
    <s v="KONTIK BUSINESS TRAVEL"/>
  </r>
  <r>
    <n v="23357303"/>
    <n v="24084311"/>
    <s v="ACC01"/>
    <x v="185"/>
    <d v="2025-11-19T21:40:53"/>
    <s v="03 a 05 dias"/>
    <s v="03 a 05 dias"/>
    <s v="5TI8R9"/>
    <s v="TMS"/>
    <s v="PAULO JUNIOR"/>
    <s v="Tuane Cristina Alves de Oliveira"/>
    <s v="Tuane Cristina Alves de Oliveira"/>
    <x v="181"/>
    <n v="247156"/>
    <s v="Navegantes / SC, Brasil (NVT)"/>
    <s v="OFF LINE"/>
    <s v="Invoice"/>
    <s v="Faturado"/>
    <s v="Carro"/>
    <s v="N"/>
    <s v="Grupo Kpmg"/>
    <s v="Kpmg Consultoria"/>
    <s v="-"/>
    <s v="Movida - Br - Sc - Navegantes - Centro"/>
    <s v="-"/>
    <s v="KON-OPE-SAO-PVI-KPMG"/>
    <s v="-"/>
    <x v="165"/>
    <n v="0"/>
    <n v="0"/>
    <n v="0"/>
    <n v="0"/>
    <n v="0"/>
    <n v="0"/>
    <s v="Reserva importada do Sistema TMS. OS: 247156"/>
    <s v="Fornecedor não preenchido! (ACC01)"/>
    <s v="ARGO(TMS)"/>
    <s v="Falta de Fornecedor"/>
    <s v="Campo Fornecedor"/>
    <s v="Dados do Fornecedor"/>
    <s v="Qualidade dos dados"/>
    <s v="KONTIK BUSINESS TRAVEL"/>
  </r>
  <r>
    <n v="23366471"/>
    <n v="24092507"/>
    <s v="ACC01"/>
    <x v="186"/>
    <d v="2025-11-21T16:11:19"/>
    <s v="03 a 05 dias"/>
    <s v="03 a 05 dias"/>
    <s v="5UUSHM"/>
    <s v="TMS"/>
    <s v="GUILHERME SILVA"/>
    <s v="Tuane Cristina Alves de Oliveira"/>
    <s v="Tuane Cristina Alves de Oliveira"/>
    <x v="182"/>
    <n v="247794"/>
    <s v="Uberlândia / MG, Brasil (UDI)"/>
    <s v="OFF LINE"/>
    <s v="Invoice"/>
    <s v="Faturado"/>
    <s v="Carro"/>
    <s v="N"/>
    <s v="Grupo Kpmg"/>
    <s v="Kpmg Consultoria"/>
    <s v="-"/>
    <s v="-"/>
    <s v="-"/>
    <s v="KON-OPE-SAO-PVI-KPMG"/>
    <s v="-"/>
    <x v="166"/>
    <n v="0"/>
    <n v="0"/>
    <n v="0"/>
    <n v="0"/>
    <n v="0"/>
    <n v="0"/>
    <s v="Reserva importada do Sistema TMS. OS: 247794"/>
    <s v="Fornecedor não preenchido! (ACC01)"/>
    <s v="ARGO(TMS)"/>
    <s v="Falta de Fornecedor"/>
    <s v="Campo Fornecedor"/>
    <s v="Dados do Fornecedor"/>
    <s v="Qualidade dos dados"/>
    <s v="KONTIK BUSINESS TRAVEL"/>
  </r>
  <r>
    <n v="23366473"/>
    <n v="24092509"/>
    <s v="ACC01"/>
    <x v="187"/>
    <d v="2025-11-21T16:11:19"/>
    <s v="03 a 05 dias"/>
    <s v="03 a 05 dias"/>
    <s v="5U8260"/>
    <s v="TMS"/>
    <s v="DAVI SANTOS"/>
    <s v="Tuane Cristina Alves de Oliveira"/>
    <s v="Tuane Cristina Alves de Oliveira"/>
    <x v="183"/>
    <n v="247785"/>
    <s v="Sinop / MT, Brasil (OPS)"/>
    <s v="OFF LINE"/>
    <s v="Invoice"/>
    <s v="Faturado"/>
    <s v="Carro"/>
    <s v="N"/>
    <s v="Grupo Kpmg"/>
    <s v="Kpmg Consultoria"/>
    <s v="-"/>
    <s v="-"/>
    <s v="-"/>
    <s v="KON-OPE-SAO-PVI-KPMG"/>
    <s v="-"/>
    <x v="167"/>
    <n v="0"/>
    <n v="0"/>
    <n v="0"/>
    <n v="0"/>
    <n v="0"/>
    <n v="0"/>
    <s v="Reserva importada do Sistema TMS. OS: 247785"/>
    <s v="Fornecedor não preenchido! (ACC01)"/>
    <s v="ARGO(TMS)"/>
    <s v="Falta de Fornecedor"/>
    <s v="Campo Fornecedor"/>
    <s v="Dados do Fornecedor"/>
    <s v="Qualidade dos dados"/>
    <s v="KONTIK BUSINESS TRAVEL"/>
  </r>
  <r>
    <n v="23366475"/>
    <n v="24092511"/>
    <s v="ACC01"/>
    <x v="188"/>
    <d v="2025-11-21T16:11:19"/>
    <s v="03 a 05 dias"/>
    <s v="03 a 05 dias"/>
    <s v="5UOX6P"/>
    <s v="TMS"/>
    <s v="GUSTAVO ROCHA"/>
    <s v="Tuane Cristina Alves de Oliveira"/>
    <s v="Tuane Cristina Alves de Oliveira"/>
    <x v="184"/>
    <n v="247751"/>
    <s v="Cuiaba / MT, Brasil (CGB)"/>
    <s v="OFF LINE"/>
    <s v="Invoice"/>
    <s v="Faturado"/>
    <s v="Carro"/>
    <s v="N"/>
    <s v="Grupo Kpmg"/>
    <s v="Kpmg Consultoria"/>
    <s v="-"/>
    <s v="-"/>
    <s v="-"/>
    <s v="KON-OPE-SAO-PVI-KPMG"/>
    <s v="-"/>
    <x v="166"/>
    <n v="0"/>
    <n v="0"/>
    <n v="0"/>
    <n v="0"/>
    <n v="0"/>
    <n v="0"/>
    <s v="Reserva importada do Sistema TMS. OS: 247751"/>
    <s v="Fornecedor não preenchido! (ACC01)"/>
    <s v="ARGO(TMS)"/>
    <s v="Falta de Fornecedor"/>
    <s v="Campo Fornecedor"/>
    <s v="Dados do Fornecedor"/>
    <s v="Qualidade dos dados"/>
    <s v="KONTIK BUSINESS TRAVEL"/>
  </r>
  <r>
    <n v="23366476"/>
    <n v="24092512"/>
    <s v="ACC01"/>
    <x v="189"/>
    <d v="2025-11-21T16:11:19"/>
    <s v="03 a 05 dias"/>
    <s v="03 a 05 dias"/>
    <s v="5U0CHM"/>
    <s v="TMS"/>
    <s v="JEFERSON ALMEIDA"/>
    <s v="Tuane Cristina Alves de Oliveira"/>
    <s v="Tuane Cristina Alves de Oliveira"/>
    <x v="185"/>
    <n v="247750"/>
    <s v="Cuiaba / MT, Brasil (CGB)"/>
    <s v="OFF LINE"/>
    <s v="Invoice"/>
    <s v="Faturado"/>
    <s v="Carro"/>
    <s v="N"/>
    <s v="Grupo Kpmg"/>
    <s v="Kpmg Consultoria"/>
    <s v="-"/>
    <s v="-"/>
    <s v="-"/>
    <s v="KON-OPE-SAO-PVI-KPMG"/>
    <s v="-"/>
    <x v="166"/>
    <n v="0"/>
    <n v="0"/>
    <n v="0"/>
    <n v="0"/>
    <n v="0"/>
    <n v="0"/>
    <s v="Reserva importada do Sistema TMS. OS: 247750"/>
    <s v="Fornecedor não preenchido! (ACC01)"/>
    <s v="ARGO(TMS)"/>
    <s v="Falta de Fornecedor"/>
    <s v="Campo Fornecedor"/>
    <s v="Dados do Fornecedor"/>
    <s v="Qualidade dos dados"/>
    <s v="KONTIK BUSINESS TRAVEL"/>
  </r>
  <r>
    <n v="23366481"/>
    <n v="24092517"/>
    <s v="ACC01"/>
    <x v="190"/>
    <d v="2025-11-21T16:11:42"/>
    <s v="03 a 05 dias"/>
    <s v="03 a 05 dias"/>
    <s v="5UV3HB"/>
    <s v="TMS"/>
    <s v="HELDER SILVA"/>
    <s v="Tuane Cristina Alves de Oliveira"/>
    <s v="Tuane Cristina Alves de Oliveira"/>
    <x v="186"/>
    <n v="247526"/>
    <s v="Florianópolis / SC, Brasil (FLN)"/>
    <s v="OFF LINE"/>
    <s v="Invoice"/>
    <s v="Faturado"/>
    <s v="Carro"/>
    <s v="N"/>
    <s v="Grupo Kpmg"/>
    <s v="Kpmg"/>
    <s v="-"/>
    <s v="-"/>
    <s v="-"/>
    <s v="KON-OPE-SAO-PVI-KPMG"/>
    <s v="-"/>
    <x v="168"/>
    <n v="0"/>
    <n v="0"/>
    <n v="0"/>
    <n v="0"/>
    <n v="0"/>
    <n v="0"/>
    <s v="Reserva importada do Sistema TMS. OS: 247526"/>
    <s v="Fornecedor não preenchido! (ACC01)"/>
    <s v="ARGO(TMS)"/>
    <s v="Falta de Fornecedor"/>
    <s v="Campo Fornecedor"/>
    <s v="Dados do Fornecedor"/>
    <s v="Qualidade dos dados"/>
    <s v="KONTIK BUSINESS TRAVEL"/>
  </r>
  <r>
    <n v="23366443"/>
    <n v="24092479"/>
    <s v="ACC01"/>
    <x v="191"/>
    <d v="2025-11-21T16:06:01"/>
    <s v="03 a 05 dias"/>
    <s v="03 a 05 dias"/>
    <s v="5UD16P"/>
    <s v="TMS"/>
    <s v="GABRIELY PAZ"/>
    <s v="Tuane Cristina Alves de Oliveira"/>
    <s v="Tuane Cristina Alves de Oliveira"/>
    <x v="187"/>
    <n v="247950"/>
    <s v="Sao Jose dos Pinhais / PR, Brasil (CWB)"/>
    <s v="OFF LINE"/>
    <s v="Invoice"/>
    <s v="Faturado"/>
    <s v="Carro"/>
    <s v="N"/>
    <s v="Grupo Kpmg"/>
    <s v="Kpmg Consultoria"/>
    <s v="-"/>
    <s v="-"/>
    <s v="-"/>
    <s v="KON-OPE-SAO-PVI-KPMG"/>
    <s v="-"/>
    <x v="169"/>
    <n v="0"/>
    <n v="0"/>
    <n v="0"/>
    <n v="0"/>
    <n v="0"/>
    <n v="0"/>
    <s v="Reserva importada do Sistema TMS. OS: 247950"/>
    <s v="Fornecedor não preenchido! (ACC01)"/>
    <s v="ARGO(TMS)"/>
    <s v="Falta de Fornecedor"/>
    <s v="Campo Fornecedor"/>
    <s v="Dados do Fornecedor"/>
    <s v="Qualidade dos dados"/>
    <s v="KONTIK BUSINESS TRAVEL"/>
  </r>
  <r>
    <n v="23327016"/>
    <n v="24056628"/>
    <s v="ACC01"/>
    <x v="192"/>
    <d v="2025-11-17T06:10:39"/>
    <s v="06 a 08 dias"/>
    <s v="09 a 15 dias"/>
    <s v="5TG544"/>
    <s v="TMS"/>
    <s v="FERNANDO LIANI"/>
    <s v="Tms"/>
    <s v="Tms"/>
    <x v="188"/>
    <n v="246890"/>
    <s v="-"/>
    <s v="ON LINE"/>
    <s v="Cartão de crédito"/>
    <s v="Cartão de crédito"/>
    <s v="Hotel"/>
    <s v="N"/>
    <s v="Grupo Kpmg"/>
    <s v="Kpmg"/>
    <s v="-"/>
    <s v="Brasil 21 Convention Suites - Inativo"/>
    <s v="-"/>
    <s v="KON-OPE-SAO-PVI-KPMG"/>
    <s v="-"/>
    <x v="170"/>
    <n v="0"/>
    <n v="0"/>
    <n v="0"/>
    <n v="0"/>
    <n v="24.71"/>
    <n v="0"/>
    <s v="Reserva importada do Sistema TMS. OS: 246890"/>
    <s v="Não foi possível encontrar um contrato válido para o fornecedor 17987 (Código fornecedor) "/>
    <s v="ARGO(TMS)"/>
    <s v="Contrato de fornecedor"/>
    <s v="Análise Cadastro"/>
    <s v="Dados do Fornecedor"/>
    <s v="Qualidade dos dados"/>
    <s v="KONTIK BUSINESS TRAVEL"/>
  </r>
  <r>
    <n v="23342694"/>
    <n v="24070443"/>
    <s v="ACC01"/>
    <x v="193"/>
    <d v="2025-11-17T20:25:30"/>
    <s v="06 a 08 dias"/>
    <s v="06 a 08 dias"/>
    <s v="5TNSRY"/>
    <s v="TMS"/>
    <s v="LEONARDO LIMA"/>
    <s v="Tms"/>
    <s v="Tms"/>
    <x v="189"/>
    <n v="247339"/>
    <s v="Uberlândia / UDI"/>
    <s v="ON LINE"/>
    <s v="Invoice"/>
    <s v="Faturado"/>
    <s v="Carro"/>
    <s v="N"/>
    <s v="Grupo Kpmg"/>
    <s v="Kpmg"/>
    <s v="-"/>
    <s v="Movida - Br - Mg - Uberlandia - Aeroporto"/>
    <s v="-"/>
    <s v="KON-OPE-SAO-PVI-KPMG"/>
    <s v="-"/>
    <x v="171"/>
    <n v="0"/>
    <n v="0"/>
    <n v="0"/>
    <n v="0"/>
    <n v="0"/>
    <n v="0"/>
    <s v="Reserva importada do Sistema TMS. OS: 247339"/>
    <s v="Fornecedor não preenchido! (ACC01)"/>
    <s v="ARGO(TMS)"/>
    <s v="Falta de Fornecedor"/>
    <s v="Campo Fornecedor"/>
    <s v="Dados do Fornecedor"/>
    <s v="Qualidade dos dados"/>
    <s v="KONTIK BUSINESS TRAVEL"/>
  </r>
  <r>
    <n v="23342705"/>
    <n v="24070455"/>
    <s v="ACC01"/>
    <x v="194"/>
    <d v="2025-11-17T20:25:57"/>
    <s v="06 a 08 dias"/>
    <s v="06 a 08 dias"/>
    <s v="5TWEF6"/>
    <s v="TMS"/>
    <s v="JOAO BRANDAO"/>
    <s v="Tms"/>
    <s v="Tms"/>
    <x v="190"/>
    <n v="247314"/>
    <s v="Goiânia / GYN"/>
    <s v="ON LINE"/>
    <s v="Invoice"/>
    <s v="Faturado"/>
    <s v="Carro"/>
    <s v="N"/>
    <s v="Grupo Kpmg"/>
    <s v="Kpmg"/>
    <s v="-"/>
    <s v="Movida - Br - Go - Goiania - Santa Genoveva - Aeroporto"/>
    <s v="-"/>
    <s v="KON-OPE-SAO-PVI-KPMG"/>
    <s v="-"/>
    <x v="172"/>
    <n v="0"/>
    <n v="0"/>
    <n v="0"/>
    <n v="0"/>
    <n v="0"/>
    <n v="0"/>
    <s v="Reserva importada do Sistema TMS. OS: 247314"/>
    <s v="Fornecedor não preenchido! (ACC01)"/>
    <s v="ARGO(TMS)"/>
    <s v="Falta de Fornecedor"/>
    <s v="Campo Fornecedor"/>
    <s v="Dados do Fornecedor"/>
    <s v="Qualidade dos dados"/>
    <s v="KONTIK BUSINESS TRAVEL"/>
  </r>
  <r>
    <n v="23364575"/>
    <n v="24090615"/>
    <s v="ACC01"/>
    <x v="195"/>
    <d v="2025-11-21T09:45:25"/>
    <s v="03 a 05 dias"/>
    <s v="03 a 05 dias"/>
    <n v="20715405"/>
    <s v="GOVER"/>
    <s v="Karla Barbosa"/>
    <s v="Gover"/>
    <s v="Gover"/>
    <x v="191"/>
    <n v="4623915"/>
    <s v="-"/>
    <s v="ON LINE"/>
    <s v="Pagamento direto"/>
    <s v="Pagamento direto"/>
    <s v="Hotel"/>
    <s v="N"/>
    <s v="Grupo Diageo"/>
    <s v="Diageo Brasil"/>
    <s v="Cliente FEE no POS"/>
    <s v="Master Premium Grande Hotel"/>
    <s v="-"/>
    <s v="FCM-OPE-SAO-PVI-DIAGEO"/>
    <s v="-"/>
    <x v="173"/>
    <n v="0"/>
    <n v="0"/>
    <n v="0"/>
    <n v="0"/>
    <n v="0"/>
    <n v="0"/>
    <s v="Reserva importada do sistema Gover. Id: 4623915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64576"/>
    <n v="24090616"/>
    <s v="ACC01"/>
    <x v="196"/>
    <d v="2025-11-21T09:45:25"/>
    <s v="03 a 05 dias"/>
    <s v="03 a 05 dias"/>
    <n v="20716687"/>
    <s v="GOVER"/>
    <s v="Karla Barbosa"/>
    <s v="Gover"/>
    <s v="Gover"/>
    <x v="192"/>
    <n v="4623963"/>
    <s v="-"/>
    <s v="ON LINE"/>
    <s v="Pagamento direto"/>
    <s v="Pagamento direto"/>
    <s v="Hotel"/>
    <s v="N"/>
    <s v="Grupo Diageo"/>
    <s v="Diageo Brasil"/>
    <s v="Cliente FEE no POS"/>
    <s v="Ez Moema Hotel"/>
    <s v="-"/>
    <s v="FCM-OPE-SAO-PVI-DIAGEO"/>
    <s v="-"/>
    <x v="174"/>
    <n v="0"/>
    <n v="0"/>
    <n v="0"/>
    <n v="0"/>
    <n v="0"/>
    <n v="0"/>
    <s v="Reserva importada do sistema Gover. Id: 4623963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64578"/>
    <n v="24090617"/>
    <s v="ACC01"/>
    <x v="196"/>
    <d v="2025-11-21T09:45:25"/>
    <s v="03 a 05 dias"/>
    <s v="03 a 05 dias"/>
    <n v="20722456"/>
    <s v="GOVER"/>
    <s v="Karla Barbosa"/>
    <s v="Gover"/>
    <s v="Gover"/>
    <x v="193"/>
    <n v="4624148"/>
    <s v="-"/>
    <s v="ON LINE"/>
    <s v="Pagamento direto"/>
    <s v="Pagamento direto"/>
    <s v="Hotel"/>
    <s v="N"/>
    <s v="Grupo Diageo"/>
    <s v="Diageo Brasil"/>
    <s v="Cliente FEE no POS"/>
    <s v="San Michel Hotel"/>
    <s v="-"/>
    <s v="FCM-OPE-SAO-PVI-DIAGEO"/>
    <s v="-"/>
    <x v="175"/>
    <n v="9.5"/>
    <n v="0"/>
    <n v="0"/>
    <n v="0"/>
    <n v="0"/>
    <n v="0"/>
    <s v="Reserva importada do sistema Gover. Id: 462414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202562"/>
    <n v="23938738"/>
    <s v="ACC01"/>
    <x v="197"/>
    <d v="2025-11-24T06:55:09"/>
    <s v="0 a 02 dias"/>
    <s v="24 a 31 dias"/>
    <s v="5QQR2W"/>
    <s v="TMS"/>
    <s v="MATHEUS ONCINS GUIDA"/>
    <s v="Tms"/>
    <s v="Tms"/>
    <x v="194"/>
    <n v="4155"/>
    <s v="-"/>
    <s v="ON LINE"/>
    <s v="Cartão de crédito"/>
    <s v="Cartão de crédito"/>
    <s v="Hotel"/>
    <s v="N"/>
    <s v="Grupo Orizon"/>
    <s v="Orizon"/>
    <s v="-"/>
    <s v="Ibis Rio de Janeiro Porto Atlantico (combo Com Novotel)"/>
    <s v="-"/>
    <s v="KON-OPE-SAO-PVI-BTC-ARGO-CIELO"/>
    <s v="-"/>
    <x v="176"/>
    <n v="0"/>
    <n v="0"/>
    <n v="0"/>
    <n v="0"/>
    <n v="23.5"/>
    <n v="0"/>
    <s v="Reserva importada do Sistema TMS. OS: 4155"/>
    <s v="V"/>
    <s v="ARGO(TMS)"/>
    <s v="Não identificado"/>
    <s v="Análise Benner"/>
    <s v="Sistema"/>
    <s v="Qualidade dos dados"/>
    <s v="KONTIK BUSINESS TRAVEL"/>
  </r>
  <r>
    <n v="21721135"/>
    <n v="22644986"/>
    <s v="ACC01"/>
    <x v="198"/>
    <d v="2025-11-07T16:55:10"/>
    <s v="16 a 23 dias"/>
    <s v="31 dias ou +"/>
    <s v="4VZ88I"/>
    <s v="TMS"/>
    <s v="MATEUS TAVARES"/>
    <s v="Tms"/>
    <s v="Tms"/>
    <x v="195"/>
    <n v="101346"/>
    <s v="-"/>
    <s v="ON LINE"/>
    <s v="Pagamento direto"/>
    <s v="Pagamento direto"/>
    <s v="Hotel"/>
    <s v="S"/>
    <s v="Grupo Deloitte"/>
    <s v="Deloitte Consultores - Rio de Janeiro"/>
    <s v="-"/>
    <s v="Blue Tree Premium Morumbi"/>
    <s v="-"/>
    <s v="KON-OPE-SAO-PVI-BTC-ARGO-DELOITTE"/>
    <s v="-"/>
    <x v="177"/>
    <n v="0"/>
    <n v="0"/>
    <n v="0"/>
    <n v="0"/>
    <n v="21"/>
    <n v="0"/>
    <s v="Reserva importada do Sistema TMS. OS: 101346"/>
    <s v="Erro excluindo PNR: Erro ao excluir documento financeiro: Documento está dentro de um período financeiro já fechado!"/>
    <s v="ARGO(TMS)"/>
    <s v="Não identificado"/>
    <s v="Análise Benner"/>
    <s v="Sistema"/>
    <s v="Qualidade dos dados"/>
    <s v="KONTIK BUSINESS TRAVEL"/>
  </r>
  <r>
    <n v="23350443"/>
    <n v="24077832"/>
    <s v="ACC01"/>
    <x v="199"/>
    <d v="2025-11-18T21:15:49"/>
    <s v="06 a 08 dias"/>
    <s v="06 a 08 dias"/>
    <s v="OTUYXO1"/>
    <s v="TMS"/>
    <s v="RODRIGO FERNANDES"/>
    <s v="Adriana Dias de Grano"/>
    <s v="Adriana Dias de Grano"/>
    <x v="196"/>
    <n v="119426"/>
    <s v="-"/>
    <s v="OFF LINE"/>
    <s v="Cartão de crédito"/>
    <s v="Cartão AMEX"/>
    <s v="Aéreo"/>
    <s v="N"/>
    <s v="Grupo Deloitte"/>
    <s v="Deloitte Consultores - Sao Paulo"/>
    <s v="-"/>
    <s v="Gol Linhas Aereas"/>
    <n v="2149775014"/>
    <s v="KON-OPE-SAO-PVI-BTC-ARGO-DELOITTE"/>
    <s v="-"/>
    <x v="0"/>
    <n v="0"/>
    <n v="0"/>
    <n v="0"/>
    <n v="0"/>
    <n v="0"/>
    <n v="0"/>
    <s v="Reserva importada do Sistema TMS. OS: 119426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350447"/>
    <n v="24077836"/>
    <s v="ACC01"/>
    <x v="200"/>
    <d v="2025-11-18T21:15:53"/>
    <s v="06 a 08 dias"/>
    <s v="06 a 08 dias"/>
    <s v="ONPIVH1"/>
    <s v="TMS"/>
    <s v="LAIS COSTA"/>
    <s v="Adriana Dias de Grano"/>
    <s v="Adriana Dias de Grano"/>
    <x v="197"/>
    <n v="119423"/>
    <s v="-"/>
    <s v="OFF LINE"/>
    <s v="Cartão de crédito"/>
    <s v="Cartão AMEX"/>
    <s v="Aéreo"/>
    <s v="N"/>
    <s v="Grupo Deloitte"/>
    <s v="Deloitte Consultores - Sao Paulo"/>
    <s v="-"/>
    <s v="Gol Linhas Aereas"/>
    <n v="2149774204"/>
    <s v="KON-OPE-SAO-PVI-BTC-ARGO-DELOITTE"/>
    <s v="-"/>
    <x v="0"/>
    <n v="0"/>
    <n v="0"/>
    <n v="0"/>
    <n v="0"/>
    <n v="0"/>
    <n v="0"/>
    <s v="Reserva importada do Sistema TMS. OS: 119423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350449"/>
    <n v="24077837"/>
    <s v="ACC01"/>
    <x v="201"/>
    <d v="2025-11-18T21:15:53"/>
    <s v="06 a 08 dias"/>
    <s v="06 a 08 dias"/>
    <s v="FBDCUI1"/>
    <s v="TMS"/>
    <s v="JULIO CHACON"/>
    <s v="Adriana Dias de Grano"/>
    <s v="Adriana Dias de Grano"/>
    <x v="198"/>
    <n v="119422"/>
    <s v="-"/>
    <s v="OFF LINE"/>
    <s v="Cartão de crédito"/>
    <s v="Cartão AMEX"/>
    <s v="Aéreo"/>
    <s v="N"/>
    <s v="Grupo Deloitte"/>
    <s v="Deloitte Auditores - Sao Paulo"/>
    <s v="-"/>
    <s v="Gol Linhas Aereas"/>
    <n v="2149773506"/>
    <s v="KON-OPE-SAO-PVI-BTC-ARGO-DELOITTE"/>
    <s v="-"/>
    <x v="0"/>
    <n v="0"/>
    <n v="0"/>
    <n v="0"/>
    <n v="0"/>
    <n v="0"/>
    <n v="0"/>
    <s v="Reserva importada do Sistema TMS. OS: 119422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319648"/>
    <n v="24049371"/>
    <s v="ACC01"/>
    <x v="202"/>
    <d v="2025-11-13T20:01:35"/>
    <s v="09 a 15 dias"/>
    <s v="09 a 15 dias"/>
    <s v="5TALQC"/>
    <s v="TMS"/>
    <s v="THAIS SOBRINHO"/>
    <s v="Adriana Dias de Grano"/>
    <s v="Adriana Dias de Grano"/>
    <x v="199"/>
    <n v="118818"/>
    <s v="Suzano / SP, Brasil (SAO)"/>
    <s v="OFF LINE"/>
    <s v="Pagamento direto"/>
    <s v="Pagamento direto"/>
    <s v="Carro"/>
    <s v="N"/>
    <s v="Grupo Deloitte"/>
    <s v="Deloitte Auditores - Sao Paulo"/>
    <s v="-"/>
    <s v="Movida - Br - Sp - Suzano - Vila Figueira -"/>
    <s v="-"/>
    <s v="KON-OPE-SAO-PVI-BTC-ARGO-DELOITTE"/>
    <s v="-"/>
    <x v="178"/>
    <n v="0"/>
    <n v="79.97"/>
    <n v="0"/>
    <n v="0"/>
    <n v="0"/>
    <n v="0"/>
    <s v="Reserva importada do Sistema TMS. OS: 118818"/>
    <s v="Fornecedor não preenchido! (ACC01)"/>
    <s v="ARGO(TMS)"/>
    <s v="Falta de Fornecedor"/>
    <s v="Campo Fornecedor"/>
    <s v="Dados do Fornecedor"/>
    <s v="Qualidade dos dados"/>
    <s v="KONTIK BUSINESS TRAVEL"/>
  </r>
  <r>
    <n v="21958084"/>
    <n v="22853091"/>
    <s v="ACC01"/>
    <x v="203"/>
    <d v="2025-11-11T08:46:38"/>
    <s v="09 a 15 dias"/>
    <s v="31 dias ou +"/>
    <s v="FVRELX1"/>
    <s v="TMS"/>
    <s v="PRISCILA PEREIRA"/>
    <s v="Adriana Dias de Grano"/>
    <s v="Adriana Dias de Grano"/>
    <x v="200"/>
    <n v="103800"/>
    <s v="-"/>
    <s v="OFF LINE"/>
    <s v="Cartão de crédito"/>
    <s v="Cartão AMEX"/>
    <s v="Aéreo"/>
    <s v="N"/>
    <s v="Grupo Deloitte"/>
    <s v="Deloitte Consultores - Sao Paulo"/>
    <s v="-"/>
    <s v="Gol Linhas Aereas"/>
    <n v="2135764403"/>
    <s v="KON-OPE-SAO-PVI-BTC-ARGO-DELOITTE"/>
    <s v="-"/>
    <x v="0"/>
    <n v="0"/>
    <n v="0"/>
    <n v="0"/>
    <n v="0"/>
    <n v="0"/>
    <n v="0"/>
    <s v="Reserva importada do Sistema TMS. OS: 103800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1878709"/>
    <n v="22784732"/>
    <s v="ACC01"/>
    <x v="204"/>
    <d v="2025-11-11T08:45:57"/>
    <s v="09 a 15 dias"/>
    <s v="31 dias ou +"/>
    <s v="HMRP3N1"/>
    <s v="TMS"/>
    <s v="ILVANIR CASTRO"/>
    <s v="Adriana Dias de Grano"/>
    <s v="Adriana Dias de Grano"/>
    <x v="201"/>
    <n v="102823"/>
    <s v="-"/>
    <s v="OFF LINE"/>
    <s v="Cartão de crédito"/>
    <s v="Cartão AMEX"/>
    <s v="Aéreo"/>
    <s v="N"/>
    <s v="Grupo Deloitte"/>
    <s v="Deloitte Operate Services"/>
    <s v="-"/>
    <s v="Azul Linhas Aereas"/>
    <n v="3022784732"/>
    <s v="KON-OPE-SAO-PVI-BTC-ARGO-DELOITTE"/>
    <s v="-"/>
    <x v="0"/>
    <n v="0"/>
    <n v="0"/>
    <n v="0"/>
    <n v="0"/>
    <n v="0"/>
    <n v="0"/>
    <s v="Reserva importada do Sistema TMS. OS: 102823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282856"/>
    <n v="24015207"/>
    <s v="ACC01"/>
    <x v="205"/>
    <d v="2025-11-07T23:49:34"/>
    <s v="16 a 23 dias"/>
    <s v="16 a 23 dias"/>
    <s v="5RW2MJ"/>
    <s v="TMS"/>
    <s v="NIVALDO MELLO"/>
    <s v="SAMANTHA OLIVEIRA NASCIMENTO"/>
    <s v="SAMANTHA OLIVEIRA NASCIMENTO"/>
    <x v="202"/>
    <n v="116838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179"/>
    <n v="0"/>
    <n v="0"/>
    <n v="0"/>
    <n v="0"/>
    <n v="0"/>
    <n v="0"/>
    <s v="Reserva importada do Sistema TMS. OS: 116838"/>
    <s v="Fornecedor não preenchido! (ACC01)"/>
    <s v="ARGO(TMS)"/>
    <s v="Falta de Fornecedor"/>
    <s v="Campo Fornecedor"/>
    <s v="Dados do Fornecedor"/>
    <s v="Qualidade dos dados"/>
    <s v="KONTIK BUSINESS TRAVEL"/>
  </r>
  <r>
    <n v="23289403"/>
    <n v="24020833"/>
    <s v="ACC01"/>
    <x v="206"/>
    <d v="2025-11-09T11:45:46"/>
    <s v="09 a 15 dias"/>
    <s v="09 a 15 dias"/>
    <s v="5RNFC7"/>
    <s v="MANUAL"/>
    <s v="GABRIEL NOGUEIRA MUNHOZ"/>
    <s v="Felipe Aparecido da Silva Neves"/>
    <s v="Felipe Aparecido da Silva Neves"/>
    <x v="203"/>
    <s v="TICKET #778314"/>
    <s v="-"/>
    <s v="OFF LINE"/>
    <s v="Pagamento direto"/>
    <s v="Cartão de crédito"/>
    <s v="Hotel"/>
    <s v="N"/>
    <s v="Grupo Deloitte"/>
    <s v="Deloitte Consultores - Sao Paulo"/>
    <s v="-"/>
    <s v="Blue Tree Towers Fortaleza"/>
    <s v="-"/>
    <s v="EMERGENCIAL"/>
    <s v="-"/>
    <x v="180"/>
    <n v="0"/>
    <n v="0"/>
    <n v="0"/>
    <n v="0"/>
    <n v="0"/>
    <n v="0"/>
    <s v="Emergencial: Ticket #778314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3305170"/>
    <n v="24035818"/>
    <s v="ACC01"/>
    <x v="207"/>
    <d v="2025-11-11T19:35:53"/>
    <s v="09 a 15 dias"/>
    <s v="09 a 15 dias"/>
    <s v="5TVVAP"/>
    <s v="TMS"/>
    <s v="WELLENSOHN COSTA"/>
    <s v="Cintya Cocco Figueiredo"/>
    <s v="Cintya Cocco Figueiredo"/>
    <x v="204"/>
    <n v="118602"/>
    <s v="-"/>
    <s v="OFF LINE"/>
    <s v="Pagamento direto"/>
    <s v="Pagamento direto"/>
    <s v="Hotel"/>
    <s v="N"/>
    <s v="Grupo Deloitte"/>
    <s v="Deloitte Assessoria - Recife"/>
    <s v="-"/>
    <s v="-"/>
    <s v="-"/>
    <s v="KON-OPE-SAO-PVI-BTC-ARGO-DELOITTE"/>
    <s v="-"/>
    <x v="181"/>
    <n v="0"/>
    <n v="0"/>
    <n v="0"/>
    <n v="0"/>
    <n v="0"/>
    <n v="0"/>
    <s v="Reserva importada do Sistema TMS. OS: 118602"/>
    <s v="Fornecedor não preenchido! (ACC01)"/>
    <s v="ARGO(TMS)"/>
    <s v="Falta de Fornecedor"/>
    <s v="Campo Fornecedor"/>
    <s v="Dados do Fornecedor"/>
    <s v="Qualidade dos dados"/>
    <s v="KONTIK BUSINESS TRAVEL"/>
  </r>
  <r>
    <n v="23329212"/>
    <n v="24058646"/>
    <s v="ACC01"/>
    <x v="208"/>
    <d v="2025-11-15T01:33:43"/>
    <s v="09 a 15 dias"/>
    <s v="09 a 15 dias"/>
    <s v="5TY1P5"/>
    <s v="TMS"/>
    <s v="CAUE OLIVEIRA"/>
    <s v="Cintya Cocco Figueiredo"/>
    <s v="Cintya Cocco Figueiredo"/>
    <x v="205"/>
    <n v="118875"/>
    <s v="Carajas / PA, Brasil (CKS)"/>
    <s v="OFF LINE"/>
    <s v="Pagamento direto"/>
    <s v="Pagamento direto"/>
    <s v="Carro"/>
    <s v="N"/>
    <s v="Grupo Deloitte"/>
    <s v="Deloitte Consultores - Sao Paulo"/>
    <s v="-"/>
    <s v="Movida - Br - Pa - Parauapebas - Carajas"/>
    <s v="-"/>
    <s v="KON-OPE-SAO-PVI-BTC-ARGO-DELOITTE"/>
    <s v="-"/>
    <x v="182"/>
    <n v="0"/>
    <n v="116.54"/>
    <n v="0"/>
    <n v="0"/>
    <n v="0"/>
    <n v="0"/>
    <s v="Reserva importada do Sistema TMS. OS: 118875"/>
    <s v="Fornecedor não preenchido! (ACC01)"/>
    <s v="ARGO(TMS)"/>
    <s v="Falta de Fornecedor"/>
    <s v="Campo Fornecedor"/>
    <s v="Dados do Fornecedor"/>
    <s v="Qualidade dos dados"/>
    <s v="KONTIK BUSINESS TRAVEL"/>
  </r>
  <r>
    <n v="23368259"/>
    <n v="24094237"/>
    <s v="ACC01"/>
    <x v="209"/>
    <d v="2025-11-21T20:51:26"/>
    <s v="03 a 05 dias"/>
    <s v="03 a 05 dias"/>
    <s v="AIJFVM"/>
    <s v="SABRE"/>
    <s v="BERLINSKY/PAULO ANDRE"/>
    <s v="Beatrys Ferreira Rocha"/>
    <s v="WS"/>
    <x v="206"/>
    <s v="AIJFVM"/>
    <s v="-"/>
    <s v="ON LINE"/>
    <s v="Cartão de crédito"/>
    <s v="Cartão de crédito"/>
    <s v="Aéreo"/>
    <s v="N"/>
    <s v="Grupo Ses"/>
    <s v="New Skies"/>
    <s v="-"/>
    <s v="American Airlines"/>
    <n v="5580637777"/>
    <s v="FCM-OPE-SAO-PVI-BTC-CONCUR"/>
    <s v="-"/>
    <x v="183"/>
    <n v="60.41"/>
    <n v="425.3"/>
    <n v="0"/>
    <n v="60.41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GRUPO KONTIK"/>
  </r>
  <r>
    <n v="23342531"/>
    <n v="24070278"/>
    <s v="ACC01"/>
    <x v="210"/>
    <d v="2025-11-19T06:10:44"/>
    <s v="03 a 05 dias"/>
    <s v="06 a 08 dias"/>
    <s v="FQYEWIT"/>
    <s v="SABRE"/>
    <s v="ALENCAR/FABIO FRANCO COSTA DE MR"/>
    <s v="WS"/>
    <s v="WS"/>
    <x v="207"/>
    <s v="FQYEWI"/>
    <s v="-"/>
    <s v="ON LINE"/>
    <s v="Cartão de crédito"/>
    <s v="Cartão de crédito"/>
    <s v="Hotel"/>
    <s v="N"/>
    <s v="Grupo Ses"/>
    <s v="Ses Dth"/>
    <s v="-"/>
    <s v="Hyatt Place Dc Georgetown West"/>
    <s v="-"/>
    <s v="FCM-OPE-SAO-PVI-BTC-CONCUR"/>
    <s v="-"/>
    <x v="184"/>
    <n v="89.05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3252906"/>
    <n v="23985547"/>
    <s v="ACC01"/>
    <x v="211"/>
    <d v="2025-11-04T09:40:47"/>
    <s v="16 a 23 dias"/>
    <s v="16 a 23 dias"/>
    <s v="QXKNDR"/>
    <s v="GOVER"/>
    <s v="THASSIA CONTI DE ALBUQUERQUE"/>
    <s v="Gover"/>
    <s v="Gover"/>
    <x v="208"/>
    <n v="4623151"/>
    <s v="-"/>
    <s v="ON LINE"/>
    <s v="Pagamento direto"/>
    <s v="Pagamento direto"/>
    <s v="Hotel"/>
    <s v="N"/>
    <s v="Grupo Firmenich"/>
    <s v="Firmenich"/>
    <s v="-"/>
    <s v="-"/>
    <s v="-"/>
    <s v="FCM-OPE-SAO-PVI-BTC-FIRMENICH"/>
    <s v="-"/>
    <x v="185"/>
    <n v="34.23"/>
    <n v="0"/>
    <n v="0"/>
    <n v="0"/>
    <n v="0"/>
    <n v="0"/>
    <s v="Reserva importada do sistema Gover. Id: 4623151"/>
    <s v="Fornecedor não preenchido! (ACC01)"/>
    <s v="GOVER"/>
    <s v="Falta de Fornecedor"/>
    <s v="Campo Fornecedor"/>
    <s v="Dados do Fornecedor"/>
    <s v="Sistêmico"/>
    <s v="GRUPO KONTIK"/>
  </r>
  <r>
    <n v="23355982"/>
    <n v="24082945"/>
    <s v="ACC01"/>
    <x v="212"/>
    <d v="2025-11-19T17:16:25"/>
    <s v="03 a 05 dias"/>
    <s v="03 a 05 dias"/>
    <s v="EARTCC"/>
    <s v="GOVER"/>
    <s v="RAFAEL LIMA DE OLIVEIRA"/>
    <s v="Gover"/>
    <s v="Gover"/>
    <x v="209"/>
    <n v="4629648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186"/>
    <n v="21.08"/>
    <n v="0"/>
    <n v="0"/>
    <n v="0"/>
    <n v="0"/>
    <n v="0"/>
    <s v="Reserva importada do sistema Gover. Id: 4629648"/>
    <s v="Fornecedor não preenchido! (ACC01)"/>
    <s v="GOVER"/>
    <s v="Falta de Fornecedor"/>
    <s v="Campo Fornecedor"/>
    <s v="Dados do Fornecedor"/>
    <s v="Sistêmico"/>
    <s v="GRUPO KONTIK"/>
  </r>
  <r>
    <n v="23355482"/>
    <n v="24082457"/>
    <s v="ACC01"/>
    <x v="213"/>
    <d v="2025-11-19T16:07:02"/>
    <s v="03 a 05 dias"/>
    <s v="03 a 05 dias"/>
    <s v="5TOCXO"/>
    <s v="LEMONTECH"/>
    <s v="AMPARO GARCIA/CRISTIANO"/>
    <s v="Maria Clara Landeira Mezavila"/>
    <s v="Maria Clara Landeira Mezavila"/>
    <x v="210"/>
    <n v="18057731"/>
    <s v="-"/>
    <s v="ON LINE"/>
    <s v="Invoice"/>
    <s v="Faturado"/>
    <s v="Hotel"/>
    <s v="N"/>
    <s v="Grupo Aeroleo"/>
    <s v="Bristow"/>
    <s v="-"/>
    <s v="-"/>
    <s v="-"/>
    <s v="KON-OPE-SAO-PVI-BTC-LEMON"/>
    <s v="-"/>
    <x v="187"/>
    <n v="0"/>
    <n v="0"/>
    <n v="0"/>
    <n v="0"/>
    <n v="0"/>
    <n v="0"/>
    <s v="Reserva importada do Sistema Lemontech. Solicitação: 18057731"/>
    <s v="Fornecedor não preenchido! (ACC01)"/>
    <s v="LEMONTECH"/>
    <s v="Falta de Fornecedor"/>
    <s v="Campo Fornecedor"/>
    <s v="Dados do Fornecedor"/>
    <s v="Qualidade dos dados"/>
    <s v="KONTIK BUSINESS TRAVEL"/>
  </r>
  <r>
    <n v="23356593"/>
    <n v="24083591"/>
    <s v="ACC01"/>
    <x v="214"/>
    <d v="2025-11-20T05:03:07"/>
    <s v="03 a 05 dias"/>
    <s v="03 a 05 dias"/>
    <s v="CNTEDBT"/>
    <s v="SABRE"/>
    <s v="DIAS DE OLIVEIRA/JOAO RAFAEL RAFAEL MR"/>
    <s v="WS"/>
    <s v="WS"/>
    <x v="211"/>
    <s v="CNTEDB"/>
    <s v="-"/>
    <s v="ON LINE"/>
    <s v="Cartão de crédito"/>
    <s v="Cartão de crédito"/>
    <s v="Hotel"/>
    <s v="N"/>
    <s v="Grupo Stanley Black e Decker"/>
    <s v="Black e Decker do Brasil Ltda"/>
    <s v="Cliente FEE no POS"/>
    <s v="-"/>
    <s v="-"/>
    <s v="FCM-OPE-SAO-PVI-BTC-CONCUR"/>
    <s v="-"/>
    <x v="188"/>
    <n v="32.85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67852"/>
    <n v="24093844"/>
    <s v="ACC01"/>
    <x v="215"/>
    <d v="2025-11-21T19:06:19"/>
    <s v="03 a 05 dias"/>
    <s v="03 a 05 dias"/>
    <s v="WRUPWNT"/>
    <s v="SABRE"/>
    <s v="DIAS/BLOTON ALAOR DA ROSA"/>
    <s v="Paulo Roberto Mendes da Silva"/>
    <s v="Paulo Roberto Mendes da Silva"/>
    <x v="212"/>
    <s v="WRUPWN"/>
    <s v="-"/>
    <s v="ON LINE"/>
    <s v="Invoice"/>
    <s v="Faturado"/>
    <s v="Hotel"/>
    <s v="N"/>
    <s v="Grupo Stanley Black e Decker"/>
    <s v="Bdb Ferramentas do Brasil Ltda"/>
    <s v="Cliente FEE no POS"/>
    <s v="Ibis Novo Hamburgo"/>
    <s v="-"/>
    <s v="FCM-OPE-SAO-PVI-BTC-CONCUR"/>
    <s v="-"/>
    <x v="189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338981"/>
    <n v="24066763"/>
    <s v="ACC01"/>
    <x v="216"/>
    <d v="2025-11-18T15:42:33"/>
    <s v="06 a 08 dias"/>
    <s v="06 a 08 dias"/>
    <s v="AAZJZDT"/>
    <s v="SABRE"/>
    <s v="ANASTACIO/JOSE STENYLSON"/>
    <s v="CORA TORLAI CIRINO"/>
    <s v="CORA TORLAI CIRINO"/>
    <x v="213"/>
    <s v="AAZJZD"/>
    <s v="-"/>
    <s v="ON LINE"/>
    <s v="Invoice"/>
    <s v="Faturado"/>
    <s v="Hotel"/>
    <s v="N"/>
    <s v="Grupo Stanley Black e Decker"/>
    <s v="Bdb Ferramentas do Brasil Ltda"/>
    <s v="Cliente FEE no POS"/>
    <s v="HOTEL EXECUTIVO BOULEVARD"/>
    <s v="-"/>
    <s v="FCM-OPE-SAO-PVI-BTC-CONCUR"/>
    <s v="-"/>
    <x v="190"/>
    <n v="0"/>
    <n v="0"/>
    <n v="0"/>
    <n v="0"/>
    <n v="0"/>
    <n v="0"/>
    <s v="Reserva importada por HubTravel"/>
    <s v="23Ocorreu o erro 'The INSERT statement conflicted with the FOREIGN KEY constraint &quot;FK_1416_10421&quot;. The conflict occurred in database &quot;Corporativo&quot;, "/>
    <s v="SABRE"/>
    <s v="Falta de informação Gerencial"/>
    <s v="Mais de um campo não preenchido"/>
    <s v="Dados do Fornecedor"/>
    <s v="Sistêmico"/>
    <s v="KONTIK BUSINESS TRAVEL"/>
  </r>
  <r>
    <n v="23355951"/>
    <n v="24082921"/>
    <s v="ACC01"/>
    <x v="217"/>
    <d v="2025-11-20T04:55:49"/>
    <s v="03 a 05 dias"/>
    <s v="03 a 05 dias"/>
    <s v="OFFKCM"/>
    <s v="SABRE"/>
    <s v="DIAS DE OLIVEIRA/JOAO RAFAEL RAFAEL"/>
    <s v="CORA TORLAI CIRINO"/>
    <s v="CORA TORLAI CIRINO"/>
    <x v="214"/>
    <s v="MWKWDN"/>
    <s v="-"/>
    <s v="ON LINE"/>
    <s v="Cartão de crédito"/>
    <s v="Cartão de crédito"/>
    <s v="Aéreo"/>
    <s v="N"/>
    <s v="Grupo Stanley Black e Decker"/>
    <s v="Black e Decker do Brasil Ltda"/>
    <s v="Cliente FEE no POS"/>
    <s v="Gol Linhas Aereas"/>
    <n v="2149820148"/>
    <s v="FCM-OPE-SAO-PVI-BTC-CONCUR"/>
    <s v="-"/>
    <x v="191"/>
    <n v="87.69"/>
    <n v="0"/>
    <n v="0"/>
    <n v="0"/>
    <n v="0"/>
    <n v="17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187098"/>
    <n v="23925043"/>
    <s v="ACC01"/>
    <x v="218"/>
    <d v="2025-10-25T22:15:12"/>
    <s v="24 a 31 dias"/>
    <s v="31 dias ou +"/>
    <s v="IRRSDQ"/>
    <s v="GOVER"/>
    <s v="Eduardo Marques Santos "/>
    <s v="Gover"/>
    <s v="Gover"/>
    <x v="215"/>
    <n v="4618064"/>
    <s v="-"/>
    <s v="OFF LINE"/>
    <s v="Invoice"/>
    <s v="Faturado"/>
    <s v="Hotel"/>
    <s v="N"/>
    <s v="Grupo Atos"/>
    <s v="Atos Brasil Ltda"/>
    <s v="-"/>
    <s v="-"/>
    <s v="-"/>
    <s v="FCM-OPE-SAO-PVI-ATOS"/>
    <s v="-"/>
    <x v="192"/>
    <n v="4.46"/>
    <n v="0"/>
    <n v="0"/>
    <n v="0"/>
    <n v="0"/>
    <n v="0"/>
    <s v="Reserva importada do sistema Gover. Id: 4618064"/>
    <s v="Fornecedor não preenchido! (ACC01)"/>
    <s v="GOVER"/>
    <s v="Falta de Fornecedor"/>
    <s v="Campo Fornecedor"/>
    <s v="Dados do Fornecedor"/>
    <s v="Sistêmico"/>
    <s v="GRUPO KONTIK"/>
  </r>
  <r>
    <n v="23187100"/>
    <n v="23925045"/>
    <s v="ACC01"/>
    <x v="219"/>
    <d v="2025-10-25T22:15:13"/>
    <s v="24 a 31 dias"/>
    <s v="31 dias ou +"/>
    <s v="CMBHVE"/>
    <s v="GOVER"/>
    <s v="Pablo Peruzzi Zanati "/>
    <s v="Gover"/>
    <s v="Gover"/>
    <x v="216"/>
    <n v="4618071"/>
    <s v="-"/>
    <s v="OFF LINE"/>
    <s v="Invoice"/>
    <s v="Faturado"/>
    <s v="Hotel"/>
    <s v="N"/>
    <s v="Grupo Atos"/>
    <s v="Atos Brasil Ltda"/>
    <s v="-"/>
    <s v="-"/>
    <s v="-"/>
    <s v="FCM-OPE-SAO-PVI-ATOS"/>
    <s v="-"/>
    <x v="192"/>
    <n v="4.46"/>
    <n v="0"/>
    <n v="0"/>
    <n v="0"/>
    <n v="0"/>
    <n v="0"/>
    <s v="Reserva importada do sistema Gover. Id: 4618071"/>
    <s v="Fornecedor não preenchido! (ACC01)"/>
    <s v="GOVER"/>
    <s v="Falta de Fornecedor"/>
    <s v="Campo Fornecedor"/>
    <s v="Dados do Fornecedor"/>
    <s v="Sistêmico"/>
    <s v="GRUPO KONTIK"/>
  </r>
  <r>
    <n v="23367494"/>
    <n v="24093497"/>
    <s v="ACC01"/>
    <x v="220"/>
    <d v="2025-11-22T05:07:09"/>
    <s v="0 a 02 dias"/>
    <s v="03 a 05 dias"/>
    <s v="OMGPBZ"/>
    <s v="SABRE"/>
    <s v="AGUIAR/DORIVALDO GONCALVES"/>
    <s v="Jennifer dos Santos Guedes de Oliveira"/>
    <s v="Jennifer dos Santos Guedes de Oliveira"/>
    <x v="217"/>
    <s v="OMGPBZ"/>
    <s v="-"/>
    <s v="ON LINE"/>
    <s v="Cartão de crédito"/>
    <s v="Cartão de crédito"/>
    <s v="Aéreo"/>
    <s v="N"/>
    <s v="Grupo Honeywell"/>
    <s v="Honeywell"/>
    <s v="Cliente FEE no POS"/>
    <s v="Latam Airlines Brasil"/>
    <n v="5580579285"/>
    <s v="FCM-OPE-SAO-PVI-BTC-CONCUR-HONEYWELL"/>
    <s v="-"/>
    <x v="193"/>
    <n v="120.08"/>
    <n v="0"/>
    <n v="0"/>
    <n v="120.08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164693"/>
    <n v="23908506"/>
    <s v="ACC01"/>
    <x v="221"/>
    <d v="2025-10-22T13:25:53"/>
    <s v="31 dias ou +"/>
    <s v="31 dias ou +"/>
    <s v="UTWGQNC"/>
    <s v="SABRE"/>
    <s v="PARRA SR/FERNANDO MR"/>
    <s v="WS"/>
    <s v="WS"/>
    <x v="218"/>
    <s v="UTWGQN"/>
    <s v="LIM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94"/>
    <n v="33.5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32738"/>
    <n v="23967330"/>
    <s v="ACC01"/>
    <x v="222"/>
    <d v="2025-11-01T05:13:59"/>
    <s v="16 a 23 dias"/>
    <s v="24 a 31 dias"/>
    <s v="AGZQCCT"/>
    <s v="SABRE"/>
    <s v="BORGHI/ANA BEATRIZ"/>
    <s v="WS"/>
    <s v="WS"/>
    <x v="219"/>
    <s v="AGZQCC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95"/>
    <n v="26.17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135349"/>
    <n v="23881951"/>
    <s v="ACC01"/>
    <x v="223"/>
    <d v="2025-10-18T05:08:57"/>
    <s v="31 dias ou +"/>
    <s v="31 dias ou +"/>
    <s v="OKELFNT"/>
    <s v="SABRE"/>
    <s v="MONTEALEGRE/MATEO MR"/>
    <s v="WS"/>
    <s v="WS"/>
    <x v="220"/>
    <s v="OKELFN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96"/>
    <n v="4102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53687"/>
    <n v="23986342"/>
    <s v="ACC01"/>
    <x v="224"/>
    <d v="2025-11-05T05:06:33"/>
    <s v="16 a 23 dias"/>
    <s v="16 a 23 dias"/>
    <s v="IOUFUGT"/>
    <s v="SABRE"/>
    <s v="TAVARES/THOMAZ DAIBERT MACHADO MR"/>
    <s v="WS"/>
    <s v="WS"/>
    <x v="221"/>
    <s v="IOUFUG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97"/>
    <n v="34.99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54292"/>
    <n v="23986968"/>
    <s v="ACC01"/>
    <x v="225"/>
    <d v="2025-11-05T05:07:07"/>
    <s v="16 a 23 dias"/>
    <s v="16 a 23 dias"/>
    <s v="APLQJUT"/>
    <s v="SABRE"/>
    <s v="PARRA SR/FERNANDO MR"/>
    <s v="WS"/>
    <s v="WS"/>
    <x v="222"/>
    <s v="APLQJU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98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45441"/>
    <n v="23978415"/>
    <s v="ACC01"/>
    <x v="226"/>
    <d v="2025-11-04T05:06:31"/>
    <s v="16 a 23 dias"/>
    <s v="16 a 23 dias"/>
    <s v="FLOAUYT"/>
    <s v="SABRE"/>
    <s v="BORGHI/ANA BEATRIZ"/>
    <s v="WS"/>
    <s v="WS"/>
    <x v="223"/>
    <s v="FLOAU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99"/>
    <n v="8.449999999999999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245443"/>
    <n v="23978417"/>
    <s v="ACC01"/>
    <x v="227"/>
    <d v="2025-11-03T11:15:50"/>
    <s v="16 a 23 dias"/>
    <s v="16 a 23 dias"/>
    <s v="NNQWGQC"/>
    <s v="SABRE"/>
    <s v="PIMENTA DE PADUA SR/VINICIUS MR"/>
    <s v="WS"/>
    <s v="WS"/>
    <x v="224"/>
    <s v="NNQWGQ"/>
    <s v="GIG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200"/>
    <n v="167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782"/>
    <n v="24082749"/>
    <s v="ACC01"/>
    <x v="228"/>
    <d v="2025-11-19T16:57:45"/>
    <s v="03 a 05 dias"/>
    <s v="03 a 05 dias"/>
    <s v="KXOZBZC"/>
    <s v="SABRE"/>
    <s v="MAY/VINICIUS FELIPE"/>
    <s v="WS"/>
    <s v="WS"/>
    <x v="225"/>
    <s v="KXOZBZ"/>
    <s v="REC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201"/>
    <n v="33.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783"/>
    <n v="24082750"/>
    <s v="ACC01"/>
    <x v="229"/>
    <d v="2025-11-20T05:08:22"/>
    <s v="03 a 05 dias"/>
    <s v="03 a 05 dias"/>
    <s v="KWKQVAT"/>
    <s v="SABRE"/>
    <s v="FERREIRA PINTO/CLAYTON RENATO MR"/>
    <s v="WS"/>
    <s v="WS"/>
    <x v="226"/>
    <s v="KWKQVA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02"/>
    <n v="11.55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55783"/>
    <n v="24082751"/>
    <s v="ACC02"/>
    <x v="229"/>
    <d v="2025-11-20T05:08:22"/>
    <s v="03 a 05 dias"/>
    <s v="03 a 05 dias"/>
    <s v="KWKQVAT"/>
    <s v="SABRE"/>
    <s v="FERREIRA PINTO/CLAYTON RENATO MR"/>
    <s v="WS"/>
    <s v="WS"/>
    <x v="226"/>
    <s v="KWKQVA"/>
    <s v="-"/>
    <s v="ON LINE"/>
    <s v="Cartão de crédito"/>
    <s v="Cartão de crédito"/>
    <s v="Hotel"/>
    <s v="N"/>
    <s v="Grupo Honeywell"/>
    <s v="Honeywell"/>
    <s v="Cliente FEE no POS"/>
    <s v="Ibis Styles Confins Aeroporto"/>
    <s v="-"/>
    <s v="FCM-OPE-SAO-PVI-BTC-CONCUR-HONEYWELL"/>
    <s v="-"/>
    <x v="203"/>
    <n v="9.0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55783"/>
    <n v="24082752"/>
    <s v="ACC03"/>
    <x v="229"/>
    <d v="2025-11-20T05:08:22"/>
    <s v="03 a 05 dias"/>
    <s v="03 a 05 dias"/>
    <s v="KWKQVAT"/>
    <s v="SABRE"/>
    <s v="FERREIRA PINTO/CLAYTON RENATO MR"/>
    <s v="WS"/>
    <s v="WS"/>
    <x v="226"/>
    <s v="KWKQVA"/>
    <s v="-"/>
    <s v="ON LINE"/>
    <s v="Cartão de crédito"/>
    <s v="Cartão de crédito"/>
    <s v="Hotel"/>
    <s v="N"/>
    <s v="Grupo Honeywell"/>
    <s v="Honeywell"/>
    <s v="Cliente FEE no POS"/>
    <s v="Ibis Styles Parauapebas"/>
    <s v="-"/>
    <s v="FCM-OPE-SAO-PVI-BTC-CONCUR-HONEYWELL"/>
    <s v="-"/>
    <x v="204"/>
    <n v="22.3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61905"/>
    <n v="24088463"/>
    <s v="ACC01"/>
    <x v="230"/>
    <d v="2025-11-21T09:01:47"/>
    <s v="03 a 05 dias"/>
    <s v="03 a 05 dias"/>
    <s v="IZPNSJC"/>
    <s v="SABRE"/>
    <s v="TAVARES/THOMAZ DAIBERT MACHADO MR"/>
    <s v="WS"/>
    <s v="WS"/>
    <x v="227"/>
    <s v="IZPNSJ"/>
    <s v="SJU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205"/>
    <n v="138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7593"/>
    <n v="24093587"/>
    <s v="ACC01"/>
    <x v="231"/>
    <d v="2025-11-21T17:42:27"/>
    <s v="03 a 05 dias"/>
    <s v="03 a 05 dias"/>
    <s v="IHZPXVC"/>
    <s v="SABRE"/>
    <s v="OLIVEIRA/GIUMARA CRISTINA DE MELO MS"/>
    <s v="WS"/>
    <s v="WS"/>
    <x v="228"/>
    <s v="IHZPXV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206"/>
    <n v="100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5795"/>
    <n v="24091808"/>
    <s v="ACC01"/>
    <x v="232"/>
    <d v="2025-11-22T05:15:28"/>
    <s v="0 a 02 dias"/>
    <s v="03 a 05 dias"/>
    <s v="INMAGBT"/>
    <s v="SABRE"/>
    <s v="MORAIS/BRUNO MARCIO TAVARES MR"/>
    <s v="WS"/>
    <s v="WS"/>
    <x v="229"/>
    <s v="INMAGB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07"/>
    <n v="1211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64435"/>
    <n v="24090488"/>
    <s v="ACC01"/>
    <x v="233"/>
    <d v="2025-11-21T09:09:33"/>
    <s v="03 a 05 dias"/>
    <s v="03 a 05 dias"/>
    <s v="JOFFJQC"/>
    <s v="SABRE"/>
    <s v="ROLIM/JOANA CELIA MISS"/>
    <s v="WS"/>
    <s v="WS"/>
    <x v="230"/>
    <s v="JOFFJQ"/>
    <s v="VCP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206"/>
    <n v="134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478"/>
    <n v="24082508"/>
    <s v="ACC"/>
    <x v="234"/>
    <d v="2025-11-20T05:05:24"/>
    <s v="03 a 05 dias"/>
    <s v="03 a 05 dias"/>
    <s v="IB1Z09"/>
    <s v="MANUAL"/>
    <s v="MORAIS/BRUNO MARCIO TAVARES MR"/>
    <s v="Luciene Carvalho Santos"/>
    <s v="Itamar de Souza"/>
    <x v="231"/>
    <s v="HO1811251603"/>
    <s v="-"/>
    <s v="OFF LINE"/>
    <s v="Cartão de crédito"/>
    <s v="Cartão de crédito"/>
    <s v="Aéreo"/>
    <s v="N"/>
    <s v="Grupo Honeywell"/>
    <s v="Honeywell do Brasil"/>
    <s v="Cliente FEE no POS"/>
    <s v="Latam Airlines Brasil"/>
    <n v="5580579294"/>
    <s v="FCM-OPE-SAO-PVI-BTC-CONCUR-HONEYWELL"/>
    <s v="-"/>
    <x v="208"/>
    <n v="34.11"/>
    <n v="0"/>
    <n v="0"/>
    <n v="0"/>
    <n v="0"/>
    <n v="13"/>
    <s v="-"/>
    <s v="Accouting aérea não possui trechos (Bilhete: 5580579294)"/>
    <s v="MANUAL"/>
    <s v="Falta informação nos trechos"/>
    <s v="Atualização de Trechos"/>
    <s v="Dados do Fornecedor"/>
    <s v="Qualidade dos dados"/>
    <s v="GRUPO KONTIK"/>
  </r>
  <r>
    <n v="23357597"/>
    <n v="24084608"/>
    <s v="ACC01"/>
    <x v="235"/>
    <d v="2025-11-19T22:07:44"/>
    <s v="03 a 05 dias"/>
    <s v="03 a 05 dias"/>
    <s v="5TG9GN"/>
    <s v="TMS"/>
    <s v="LAURA SILVA"/>
    <s v="Tms"/>
    <s v="Tms"/>
    <x v="232"/>
    <n v="10020"/>
    <s v="São Paulo / SAO"/>
    <s v="ON LINE"/>
    <s v="Invoice"/>
    <s v="Faturado"/>
    <s v="Carro"/>
    <s v="N"/>
    <s v="Grupo Mars"/>
    <s v="Mars Brasil - Mogi Mirim"/>
    <s v="-"/>
    <s v="Localiza - Br - Sp - Guarulhos - Aeroporto"/>
    <s v="-"/>
    <s v="FCM-OPE-SAO-PVI-MARS"/>
    <s v="-"/>
    <x v="209"/>
    <n v="0"/>
    <n v="0"/>
    <n v="0"/>
    <n v="0"/>
    <n v="0"/>
    <n v="0"/>
    <s v="Reserva importada do Sistema TMS. OS: 10020"/>
    <s v="Fornecedor não preenchido! (ACC01)"/>
    <s v="ARGO(TMS)"/>
    <s v="Falta de Fornecedor"/>
    <s v="Campo Fornecedor"/>
    <s v="Dados do Fornecedor"/>
    <s v="Qualidade dos dados"/>
    <s v="KONTIK BUSINESS TRAVEL"/>
  </r>
  <r>
    <n v="23371884"/>
    <n v="24097199"/>
    <s v="ACC01"/>
    <x v="236"/>
    <d v="2025-11-22T16:01:15"/>
    <s v="0 a 02 dias"/>
    <s v="0 a 02 dias"/>
    <s v="5UAU61"/>
    <s v="TMS"/>
    <s v="EGNALDO FREITAS"/>
    <s v="Tms"/>
    <s v="Tms"/>
    <x v="233"/>
    <n v="10051"/>
    <s v="Cuiaba / CGB"/>
    <s v="ON LINE"/>
    <s v="Invoice"/>
    <s v="Faturado"/>
    <s v="Carro"/>
    <s v="N"/>
    <s v="Grupo Mars"/>
    <s v="Mars Brasil - Mogi Mirim"/>
    <s v="-"/>
    <s v="-"/>
    <s v="-"/>
    <s v="FCM-OPE-SAO-PVI-MARS"/>
    <s v="-"/>
    <x v="76"/>
    <n v="0"/>
    <n v="0"/>
    <n v="0"/>
    <n v="0"/>
    <n v="0"/>
    <n v="0"/>
    <s v="Reserva importada do Sistema TMS. OS: 10051"/>
    <s v="Fornecedor não preenchido! (ACC01)"/>
    <s v="ARGO(TMS)"/>
    <s v="Falta de Fornecedor"/>
    <s v="Campo Fornecedor"/>
    <s v="Dados do Fornecedor"/>
    <s v="Qualidade dos dados"/>
    <s v="KONTIK BUSINESS TRAVEL"/>
  </r>
  <r>
    <n v="23151667"/>
    <n v="23896184"/>
    <s v="ACC01"/>
    <x v="237"/>
    <d v="2025-10-20T18:15:31"/>
    <s v="31 dias ou +"/>
    <s v="31 dias ou +"/>
    <s v="RES049669-1009"/>
    <s v="GOVER"/>
    <s v="Joao Claudio Rocha Dalton"/>
    <s v="Gover"/>
    <s v="Gover"/>
    <x v="234"/>
    <n v="4615688"/>
    <s v="-"/>
    <s v="ON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210"/>
    <n v="0"/>
    <n v="0"/>
    <n v="0"/>
    <n v="0"/>
    <n v="0"/>
    <n v="0"/>
    <s v="Reserva importada do sistema Gover. Id: 4615688"/>
    <s v="Fornecedor não preenchido! (ACC01)"/>
    <s v="GOVER"/>
    <s v="Falta de Fornecedor"/>
    <s v="Campo Fornecedor"/>
    <s v="Dados do Fornecedor"/>
    <s v="Sistêmico"/>
    <s v="GRUPO KONTIK"/>
  </r>
  <r>
    <n v="23349934"/>
    <n v="24077331"/>
    <s v="ACC01"/>
    <x v="238"/>
    <d v="2025-11-24T06:18:52"/>
    <s v="0 a 02 dias"/>
    <s v="06 a 08 dias"/>
    <s v="FQKONJC"/>
    <s v="SABRE"/>
    <s v="CESPEDES/ANDRES PATRICIO MR"/>
    <s v="WS"/>
    <s v="WS"/>
    <x v="235"/>
    <s v="FQKONJ"/>
    <s v="MVD"/>
    <s v="ON LINE"/>
    <s v="Invoice"/>
    <s v="Faturado"/>
    <s v="Carro"/>
    <s v="N"/>
    <s v="Grupo Axa"/>
    <s v="Axa Cs - Inativo"/>
    <s v="Cliente FEE no POS"/>
    <s v="Avis - Uru - Ex - Montevideo - Ex"/>
    <s v="-"/>
    <s v="FCM-OPE-SAO-PVI-BTC-CONCUR-AXA"/>
    <s v="-"/>
    <x v="211"/>
    <n v="38.25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3342533"/>
    <n v="24070281"/>
    <s v="ACC01"/>
    <x v="239"/>
    <d v="2025-11-19T06:10:44"/>
    <s v="03 a 05 dias"/>
    <s v="06 a 08 dias"/>
    <s v="AKRHCRT"/>
    <s v="SABRE"/>
    <s v="CESPEDES/ANDRES PATRICIO MR"/>
    <s v="WS"/>
    <s v="WS"/>
    <x v="236"/>
    <s v="AKRHCR"/>
    <s v="-"/>
    <s v="ON LINE"/>
    <s v="Cartão de crédito"/>
    <s v="Cartão de crédito"/>
    <s v="Hotel"/>
    <s v="N"/>
    <s v="Grupo Axa"/>
    <s v="Axa Cs - Inativo"/>
    <s v="Cliente FEE no POS"/>
    <s v="Regency Park Hotel Spa"/>
    <s v="-"/>
    <s v="FCM-OPE-SAO-PVI-BTC-CONCUR-AXA"/>
    <s v="-"/>
    <x v="212"/>
    <n v="0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3355308"/>
    <n v="24082279"/>
    <s v="ACC01"/>
    <x v="240"/>
    <d v="2025-11-20T03:30:50"/>
    <s v="03 a 05 dias"/>
    <s v="03 a 05 dias"/>
    <s v="5TBK1O"/>
    <s v="TMS"/>
    <s v="THAIS CAVALCANTE"/>
    <s v="Tamara Michels Behn"/>
    <s v="Tamara Michels Behn"/>
    <x v="237"/>
    <n v="88389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213"/>
    <n v="0"/>
    <n v="0"/>
    <n v="0"/>
    <n v="0"/>
    <n v="82.5"/>
    <n v="0"/>
    <s v="Reserva importada do Sistema TMS. OS: 88389"/>
    <s v="Fornecedor não preenchido! (ACC01)"/>
    <s v="ARGO(TMS)"/>
    <s v="Falta de Fornecedor"/>
    <s v="Campo Fornecedor"/>
    <s v="Dados do Fornecedor"/>
    <s v="Qualidade dos dados"/>
    <s v="KONTIK BUSINESS TRAVEL"/>
  </r>
  <r>
    <n v="23367157"/>
    <n v="24093183"/>
    <s v="ACC01"/>
    <x v="241"/>
    <d v="2025-11-21T18:09:12"/>
    <s v="03 a 05 dias"/>
    <s v="03 a 05 dias"/>
    <s v="5ULNNM"/>
    <s v="TMS"/>
    <s v="DANIEL DE FREITAS"/>
    <s v="Tamara Michels Behn"/>
    <s v="Tamara Michels Behn"/>
    <x v="238"/>
    <n v="89523"/>
    <s v="-"/>
    <s v="OFF LINE"/>
    <s v="Invoice"/>
    <s v="Faturado"/>
    <s v="Hotel"/>
    <s v="N"/>
    <s v="Grupo Ultra"/>
    <s v="Bahiana Distribuidora de Gas"/>
    <s v="-"/>
    <s v="-"/>
    <s v="-"/>
    <s v="KON-OPE-SAO-PVI-BTC-ARGO"/>
    <s v="-"/>
    <x v="214"/>
    <n v="0"/>
    <n v="0"/>
    <n v="0"/>
    <n v="0"/>
    <n v="0"/>
    <n v="0"/>
    <s v="Reserva importada do Sistema TMS. OS: 89523"/>
    <s v="Fornecedor não preenchido! (ACC01)"/>
    <s v="ARGO(TMS)"/>
    <s v="Falta de Fornecedor"/>
    <s v="Campo Fornecedor"/>
    <s v="Dados do Fornecedor"/>
    <s v="Qualidade dos dados"/>
    <s v="KONTIK BUSINESS TRAVEL"/>
  </r>
  <r>
    <n v="23364694"/>
    <n v="24090735"/>
    <s v="ACC01"/>
    <x v="242"/>
    <d v="2025-11-22T03:30:45"/>
    <s v="0 a 02 dias"/>
    <s v="03 a 05 dias"/>
    <s v="5UZLZP"/>
    <s v="TMS"/>
    <s v="ROGERIO DA SILVA"/>
    <s v="BEATRYZ DA SILVA COSTA"/>
    <s v="BEATRYZ DA SILVA COSTA"/>
    <x v="239"/>
    <n v="8962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15"/>
    <n v="0"/>
    <n v="0"/>
    <n v="0"/>
    <n v="0"/>
    <n v="0"/>
    <n v="0"/>
    <s v="Reserva importada do Sistema TMS. OS: 89622"/>
    <s v="Fornecedor não preenchido! (ACC01)"/>
    <s v="ARGO(TMS)"/>
    <s v="Falta de Fornecedor"/>
    <s v="Campo Fornecedor"/>
    <s v="Dados do Fornecedor"/>
    <s v="Qualidade dos dados"/>
    <s v="KONTIK BUSINESS TRAVEL"/>
  </r>
  <r>
    <n v="23212878"/>
    <n v="23948717"/>
    <s v="ACC01"/>
    <x v="243"/>
    <d v="2025-11-03T10:57:57"/>
    <s v="16 a 23 dias"/>
    <s v="24 a 31 dias"/>
    <s v="5Q86Y4"/>
    <s v="TMS"/>
    <s v="EVERTON NEVES"/>
    <s v="Jessica Soares Teixeira"/>
    <s v="Jessica Soares Teixeira"/>
    <x v="240"/>
    <n v="86401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216"/>
    <n v="0"/>
    <n v="0"/>
    <n v="0"/>
    <n v="0"/>
    <n v="0"/>
    <n v="0"/>
    <s v="Reserva importada do Sistema TMS. OS: 86401"/>
    <s v="Fornecedor não preenchido! (ACC01)"/>
    <s v="ARGO(TMS)"/>
    <s v="Falta de Fornecedor"/>
    <s v="Campo Fornecedor"/>
    <s v="Dados do Fornecedor"/>
    <s v="Qualidade dos dados"/>
    <s v="KONTIK BUSINESS TRAVEL"/>
  </r>
  <r>
    <n v="23343457"/>
    <n v="24071221"/>
    <s v="ACC01"/>
    <x v="244"/>
    <d v="2025-11-17T22:11:07"/>
    <s v="06 a 08 dias"/>
    <s v="06 a 08 dias"/>
    <s v="5TW1KH"/>
    <s v="TMS"/>
    <s v="THIAGO NOVAES"/>
    <s v="Tms"/>
    <s v="Tms"/>
    <x v="241"/>
    <n v="89280"/>
    <s v="São Paulo / SAO"/>
    <s v="ON LINE"/>
    <s v="Invoice"/>
    <s v="Faturado"/>
    <s v="Carro"/>
    <s v="N"/>
    <s v="Grupo Ultra"/>
    <s v="Ultragaz-matriz"/>
    <s v="-"/>
    <s v="Localiza - Br - Sp - Guarulhos - Aeroporto"/>
    <s v="-"/>
    <s v="KON-OPE-SAO-PVI-BTC-ARGO"/>
    <s v="-"/>
    <x v="217"/>
    <n v="0"/>
    <n v="0"/>
    <n v="0"/>
    <n v="0"/>
    <n v="0"/>
    <n v="0"/>
    <s v="Reserva importada do Sistema TMS. OS: 89280"/>
    <s v="Fornecedor não preenchido! (ACC01)"/>
    <s v="ARGO(TMS)"/>
    <s v="Falta de Fornecedor"/>
    <s v="Campo Fornecedor"/>
    <s v="Dados do Fornecedor"/>
    <s v="Qualidade dos dados"/>
    <s v="KONTIK BUSINESS TRAVEL"/>
  </r>
  <r>
    <n v="23357938"/>
    <n v="24084947"/>
    <s v="ACC01"/>
    <x v="245"/>
    <d v="2025-11-19T23:10:34"/>
    <s v="03 a 05 dias"/>
    <s v="03 a 05 dias"/>
    <s v="5TH9UL"/>
    <s v="TMS"/>
    <s v="RENAN OTAVIANO PINTO DE MAGALHAES"/>
    <s v="Tms"/>
    <s v="Tms"/>
    <x v="242"/>
    <n v="89635"/>
    <s v="Catanduva / SJP"/>
    <s v="ON LINE"/>
    <s v="Invoice"/>
    <s v="Faturado"/>
    <s v="Carro"/>
    <s v="N"/>
    <s v="Grupo Ultra"/>
    <s v="Ultragaz-matriz"/>
    <s v="-"/>
    <s v="Localiza - Br - Sp - Catanduva - Centro"/>
    <s v="-"/>
    <s v="KON-OPE-SAO-PVI-BTC-ARGO"/>
    <s v="-"/>
    <x v="218"/>
    <n v="0"/>
    <n v="0"/>
    <n v="0"/>
    <n v="0"/>
    <n v="0"/>
    <n v="0"/>
    <s v="Reserva importada do Sistema TMS. OS: 89635"/>
    <s v="Fornecedor não preenchido! (ACC01)"/>
    <s v="ARGO(TMS)"/>
    <s v="Falta de Fornecedor"/>
    <s v="Campo Fornecedor"/>
    <s v="Dados do Fornecedor"/>
    <s v="Qualidade dos dados"/>
    <s v="KONTIK BUSINESS TRAVEL"/>
  </r>
  <r>
    <n v="23367137"/>
    <n v="24093163"/>
    <s v="ACC01"/>
    <x v="246"/>
    <d v="2025-11-21T16:21:21"/>
    <s v="03 a 05 dias"/>
    <s v="03 a 05 dias"/>
    <s v="DKMBJB"/>
    <s v="TMS"/>
    <s v="ELTON LUIS RIBEIRO DE FREITAS"/>
    <s v="Tms"/>
    <s v="Tms"/>
    <x v="243"/>
    <n v="89732"/>
    <s v="-"/>
    <s v="ON LINE"/>
    <s v="Cartão de crédito"/>
    <s v="Cartão de crédito"/>
    <s v="Aéreo"/>
    <s v="N"/>
    <s v="Grupo Ultra"/>
    <s v="Neogas do Brasil Gas Natural Comprimido S.a."/>
    <s v="-"/>
    <s v="Gol Linhas Aereas"/>
    <n v="2149951608"/>
    <s v="KON-OPE-SAO-PVI-BTC-ARGO"/>
    <s v="-"/>
    <x v="219"/>
    <n v="59.46"/>
    <n v="0"/>
    <n v="0"/>
    <n v="0"/>
    <n v="0"/>
    <n v="0"/>
    <s v="Reserva importada do Sistema TMS. OS: 897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67138"/>
    <n v="24093164"/>
    <s v="ACC01"/>
    <x v="247"/>
    <d v="2025-11-21T16:21:21"/>
    <s v="03 a 05 dias"/>
    <s v="03 a 05 dias"/>
    <s v="TH2EYY"/>
    <s v="TMS"/>
    <s v="ELTON LUIS RIBEIRO DE FREITAS"/>
    <s v="Tms"/>
    <s v="Tms"/>
    <x v="243"/>
    <n v="89732"/>
    <s v="-"/>
    <s v="ON LINE"/>
    <s v="Cartão de crédito"/>
    <s v="Cartão de crédito"/>
    <s v="Aéreo"/>
    <s v="N"/>
    <s v="Grupo Ultra"/>
    <s v="Neogas do Brasil Gas Natural Comprimido S.a."/>
    <s v="-"/>
    <s v="Azul Linhas Aereas"/>
    <n v="3024093163"/>
    <s v="KON-OPE-SAO-PVI-BTC-ARGO"/>
    <s v="-"/>
    <x v="220"/>
    <n v="33.64"/>
    <n v="0"/>
    <n v="0"/>
    <n v="0"/>
    <n v="0"/>
    <n v="0"/>
    <s v="Reserva importada do Sistema TMS. OS: 897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64688"/>
    <n v="24090729"/>
    <s v="ACC01"/>
    <x v="248"/>
    <d v="2025-11-21T09:48:39"/>
    <s v="03 a 05 dias"/>
    <s v="03 a 05 dias"/>
    <s v="5U58QM"/>
    <s v="TMS"/>
    <s v="ELTON LUIS RIBEIRO DE FREITAS"/>
    <s v="Tms"/>
    <s v="Tms"/>
    <x v="244"/>
    <n v="89739"/>
    <s v="-"/>
    <s v="ON LINE"/>
    <s v="Cartão de crédito"/>
    <s v="Cartão de crédito"/>
    <s v="Hotel"/>
    <s v="N"/>
    <s v="Grupo Ultra"/>
    <s v="Neogas do Brasil Gas Natural Comprimido S.a."/>
    <s v="-"/>
    <s v="Domani Hotel"/>
    <s v="-"/>
    <s v="KON-OPE-SAO-PVI-BTC-ARGO"/>
    <s v="-"/>
    <x v="221"/>
    <n v="0"/>
    <n v="0"/>
    <n v="0"/>
    <n v="0"/>
    <n v="0"/>
    <n v="0"/>
    <s v="Reserva importada do Sistema TMS. OS: 89739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124924"/>
    <n v="23872031"/>
    <s v="ACC01"/>
    <x v="249"/>
    <d v="2025-11-11T07:50:17"/>
    <s v="09 a 15 dias"/>
    <s v="31 dias ou +"/>
    <s v="OGBTIL"/>
    <s v="GOVER"/>
    <s v="PATRICIA MENDONCA PICCININ"/>
    <s v="Gover"/>
    <s v="Gover"/>
    <x v="245"/>
    <n v="4614551"/>
    <s v="-"/>
    <s v="ON LINE"/>
    <s v="Invoice"/>
    <s v="Cartão convênio"/>
    <s v="Aéreo"/>
    <s v="N"/>
    <s v="Grupo Icon"/>
    <s v="Rps"/>
    <s v="Cliente FEE no POS"/>
    <s v="Latam Airlines Brasil"/>
    <n v="2255229333"/>
    <s v="FCM-OPE-SAO-PVI-BTC-PRA/RPS"/>
    <s v="-"/>
    <x v="222"/>
    <n v="107.34"/>
    <n v="0"/>
    <n v="0"/>
    <n v="0"/>
    <n v="0"/>
    <n v="0"/>
    <s v="Reserva importada do sistema Gover. Id: 4614551"/>
    <s v="Erro excluindo PNR: Não é possivel excluir a accounting de código: 25220096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3306099"/>
    <n v="24036749"/>
    <s v="ACC01"/>
    <x v="250"/>
    <d v="2025-11-11T20:45:21"/>
    <s v="09 a 15 dias"/>
    <s v="09 a 15 dias"/>
    <n v="20806282"/>
    <s v="GOVER"/>
    <s v="ELLIZIANE PAULA DE OLIVEIRA"/>
    <s v="Gover"/>
    <s v="Gover"/>
    <x v="246"/>
    <n v="4627035"/>
    <s v="-"/>
    <s v="ON LINE"/>
    <s v="Pagamento direto"/>
    <s v="Pagamento direto"/>
    <s v="Hotel"/>
    <s v="N"/>
    <s v="Grupo Icon"/>
    <s v="Rps"/>
    <s v="Cliente FEE no POS"/>
    <s v="Golden Tulip Porto Vitoria"/>
    <s v="-"/>
    <s v="FCM-OPE-SAO-PVI-BTC-PRA/RPS"/>
    <s v="-"/>
    <x v="223"/>
    <n v="77"/>
    <n v="0"/>
    <n v="0"/>
    <n v="0"/>
    <n v="0"/>
    <n v="0"/>
    <s v="Reserva importada do sistema Gover. Id: 4627035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11446"/>
    <n v="24041733"/>
    <s v="ACC01"/>
    <x v="251"/>
    <d v="2025-11-12T17:10:23"/>
    <s v="09 a 15 dias"/>
    <s v="09 a 15 dias"/>
    <n v="20818541"/>
    <s v="GOVER"/>
    <s v="VANESSA AGUSTINHO CARDILLO"/>
    <s v="Gover"/>
    <s v="Gover"/>
    <x v="247"/>
    <n v="4627416"/>
    <s v="-"/>
    <s v="ON LINE"/>
    <s v="Pagamento direto"/>
    <s v="Pagamento direto"/>
    <s v="Hotel"/>
    <s v="N"/>
    <s v="Grupo Icon"/>
    <s v="Rps"/>
    <s v="Cliente FEE no POS"/>
    <s v="Gaben Hotel"/>
    <s v="-"/>
    <s v="FCM-OPE-SAO-PVI-BTC-PRA/RPS"/>
    <s v="-"/>
    <x v="224"/>
    <n v="0"/>
    <n v="0"/>
    <n v="0"/>
    <n v="0"/>
    <n v="0"/>
    <n v="0"/>
    <s v="Reserva importada do sistema Gover. Id: 4627416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39213"/>
    <n v="24066988"/>
    <s v="ACC01"/>
    <x v="252"/>
    <d v="2025-11-17T12:45:19"/>
    <s v="06 a 08 dias"/>
    <s v="06 a 08 dias"/>
    <n v="20866307"/>
    <s v="GOVER"/>
    <s v="VITÓRIA ROCHA FOIGT"/>
    <s v="Gover"/>
    <s v="Gover"/>
    <x v="248"/>
    <n v="4628917"/>
    <s v="-"/>
    <s v="ON LINE"/>
    <s v="Pagamento direto"/>
    <s v="Pagamento direto"/>
    <s v="Hotel"/>
    <s v="N"/>
    <s v="Grupo Icon"/>
    <s v="Rps"/>
    <s v="Cliente FEE no POS"/>
    <s v="Intercity Premium Caxias do Sul"/>
    <s v="-"/>
    <s v="FCM-OPE-SAO-PVI-BTC-PRA/RPS"/>
    <s v="-"/>
    <x v="225"/>
    <n v="10.56"/>
    <n v="0"/>
    <n v="0"/>
    <n v="0"/>
    <n v="0"/>
    <n v="0"/>
    <s v="Reserva importada do sistema Gover. Id: 4628917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25095"/>
    <n v="24054571"/>
    <s v="ACC01"/>
    <x v="68"/>
    <d v="2025-11-14T14:31:15"/>
    <s v="09 a 15 dias"/>
    <s v="09 a 15 dias"/>
    <n v="20848609"/>
    <s v="GOVER"/>
    <s v="ANDREA MAYUMI MITSUHASHI NAKAHIRA"/>
    <s v="Gover"/>
    <s v="Gover"/>
    <x v="249"/>
    <n v="4628367"/>
    <s v="-"/>
    <s v="ON LINE"/>
    <s v="Pagamento direto"/>
    <s v="Pagamento direto"/>
    <s v="Hotel"/>
    <s v="N"/>
    <s v="Grupo Icon"/>
    <s v="Rps"/>
    <s v="Cliente FEE no POS"/>
    <s v="Hilton Garden Inn Sao Jose do Rio Preto"/>
    <s v="-"/>
    <s v="FCM-OPE-SAO-PVI-BTC-PRA/RPS"/>
    <s v="-"/>
    <x v="226"/>
    <n v="24.48"/>
    <n v="0"/>
    <n v="0"/>
    <n v="0"/>
    <n v="0"/>
    <n v="0"/>
    <s v="Reserva importada do sistema Gover. Id: 4628367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278185"/>
    <n v="24010339"/>
    <s v="ACC01"/>
    <x v="253"/>
    <d v="2025-11-07T12:30:53"/>
    <s v="16 a 23 dias"/>
    <s v="16 a 23 dias"/>
    <n v="20752451"/>
    <s v="GOVER"/>
    <s v="Natalia Turella"/>
    <s v="Gover"/>
    <s v="Gover"/>
    <x v="250"/>
    <n v="4625235"/>
    <s v="-"/>
    <s v="ON LINE"/>
    <s v="Pagamento direto"/>
    <s v="Pagamento direto"/>
    <s v="Hotel"/>
    <s v="N"/>
    <s v="Grupo Icon"/>
    <s v="Pra"/>
    <s v="Cliente FEE no POS"/>
    <s v="Hotel Barretos"/>
    <s v="-"/>
    <s v="FCM-OPE-SAO-PVI-BTC-PRA/RPS"/>
    <s v="-"/>
    <x v="227"/>
    <n v="9.960000000000001"/>
    <n v="0"/>
    <n v="0"/>
    <n v="0"/>
    <n v="0"/>
    <n v="0"/>
    <s v="Reserva importada do sistema Gover. Id: 4625235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279494"/>
    <n v="24011640"/>
    <s v="ACC01"/>
    <x v="254"/>
    <d v="2025-11-07T17:06:12"/>
    <s v="16 a 23 dias"/>
    <s v="16 a 23 dias"/>
    <n v="20759859"/>
    <s v="GOVER"/>
    <s v="VITÓRIA ROCHA FOIGT"/>
    <s v="Gover"/>
    <s v="Gover"/>
    <x v="251"/>
    <n v="4625448"/>
    <s v="-"/>
    <s v="ON LINE"/>
    <s v="Pagamento direto"/>
    <s v="Pagamento direto"/>
    <s v="Hotel"/>
    <s v="N"/>
    <s v="Grupo Icon"/>
    <s v="Rps"/>
    <s v="Cliente FEE no POS"/>
    <s v="Swan Tower Caxias do Sul"/>
    <s v="-"/>
    <s v="FCM-OPE-SAO-PVI-BTC-PRA/RPS"/>
    <s v="-"/>
    <x v="228"/>
    <n v="0"/>
    <n v="0"/>
    <n v="0"/>
    <n v="0"/>
    <n v="0"/>
    <n v="0"/>
    <s v="Reserva importada do sistema Gover. Id: 462544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271865"/>
    <n v="24004409"/>
    <s v="ACC01"/>
    <x v="255"/>
    <d v="2025-11-06T16:05:17"/>
    <s v="16 a 23 dias"/>
    <s v="16 a 23 dias"/>
    <n v="20739772"/>
    <s v="GOVER"/>
    <s v="GABRIELA TOFETI"/>
    <s v="Gover"/>
    <s v="Gover"/>
    <x v="252"/>
    <n v="4624814"/>
    <s v="-"/>
    <s v="ON LINE"/>
    <s v="Pagamento direto"/>
    <s v="Pagamento direto"/>
    <s v="Hotel"/>
    <s v="N"/>
    <s v="Grupo Icon"/>
    <s v="Rps"/>
    <s v="Cliente FEE no POS"/>
    <s v="Padom Business Hotel"/>
    <s v="-"/>
    <s v="FCM-OPE-SAO-PVI-BTC-PRA/RPS"/>
    <s v="-"/>
    <x v="229"/>
    <n v="39.96"/>
    <n v="0"/>
    <n v="0"/>
    <n v="0"/>
    <n v="0"/>
    <n v="0"/>
    <s v="Reserva importada do sistema Gover. Id: 462481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270060"/>
    <n v="24002330"/>
    <s v="ACC01"/>
    <x v="256"/>
    <d v="2025-11-06T11:35:11"/>
    <s v="16 a 23 dias"/>
    <s v="16 a 23 dias"/>
    <n v="20733690"/>
    <s v="GOVER"/>
    <s v="AGNES HIDEKO MINAMI"/>
    <s v="Gover"/>
    <s v="Gover"/>
    <x v="253"/>
    <n v="4624581"/>
    <s v="-"/>
    <s v="ON LINE"/>
    <s v="Pagamento direto"/>
    <s v="Pagamento direto"/>
    <s v="Hotel"/>
    <s v="N"/>
    <s v="Grupo Icon"/>
    <s v="Rps"/>
    <s v="Cliente FEE no POS"/>
    <s v="Gaben Hotel"/>
    <s v="-"/>
    <s v="FCM-OPE-SAO-PVI-BTC-PRA/RPS"/>
    <s v="-"/>
    <x v="230"/>
    <n v="0"/>
    <n v="0"/>
    <n v="0"/>
    <n v="0"/>
    <n v="0"/>
    <n v="0"/>
    <s v="Reserva importada do sistema Gover. Id: 4624581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27544"/>
    <n v="24057131"/>
    <s v="ACC01"/>
    <x v="257"/>
    <d v="2025-11-14T19:45:19"/>
    <s v="09 a 15 dias"/>
    <s v="09 a 15 dias"/>
    <s v="h20857798"/>
    <s v="GOVER"/>
    <s v="FELIPE FERNANDES DE ABREU"/>
    <s v="Emilia Alejandra Pacheco Maraboli"/>
    <s v="Emilia Alejandra Pacheco Maraboli"/>
    <x v="120"/>
    <n v="4627455"/>
    <s v="-"/>
    <s v="OFF LINE"/>
    <s v="Pagamento direto"/>
    <s v="Pagamento direto"/>
    <s v="Hotel"/>
    <s v="N"/>
    <s v="Grupo Icon"/>
    <s v="Rps"/>
    <s v="Cliente FEE no POS"/>
    <s v="Victory Business Hotel"/>
    <s v="-"/>
    <s v="FCM-OPE-SAO-PVI-BTC-PRA/RPS"/>
    <s v="-"/>
    <x v="231"/>
    <n v="0"/>
    <n v="0"/>
    <n v="0"/>
    <n v="0"/>
    <n v="0"/>
    <n v="0"/>
    <s v="Reserva importada do sistema Gover. Id: 4627455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346027"/>
    <n v="24073334"/>
    <s v="ACC01"/>
    <x v="258"/>
    <d v="2025-11-21T10:48:32"/>
    <s v="03 a 05 dias"/>
    <s v="06 a 08 dias"/>
    <s v="WLZOGJ"/>
    <s v="GOVER"/>
    <s v="MARIANA COSTA BRAGA SCHMIDT"/>
    <s v="Emilia Alejandra Pacheco Maraboli"/>
    <s v="Emilia Alejandra Pacheco Maraboli"/>
    <x v="254"/>
    <n v="4629279"/>
    <s v="-"/>
    <s v="OFF LINE"/>
    <s v="Cartão de crédito"/>
    <s v="Cartão AMEX"/>
    <s v="Aéreo"/>
    <s v="N"/>
    <s v="Grupo Icon"/>
    <s v="Rps"/>
    <s v="Cliente FEE no POS"/>
    <s v="Lufthansa"/>
    <n v="5580598033"/>
    <s v="FCM-OPE-SAO-PVI-BTC-PRA/RPS"/>
    <s v="-"/>
    <x v="232"/>
    <n v="1024.8"/>
    <n v="0"/>
    <n v="0"/>
    <n v="0"/>
    <n v="0"/>
    <n v="120"/>
    <s v="Reserva importada do sistema Gover. Id: 4629279"/>
    <s v="9784181/6274852&quot; possui uma transação de cartão efetivada"/>
    <s v="GOVER"/>
    <s v="Conciliação de Cartão"/>
    <s v="Financeiro Conciliado"/>
    <s v="Edição não Permitida"/>
    <s v="Processo Operacional"/>
    <s v="KONTIK BUSINESS TRAVEL"/>
  </r>
  <r>
    <n v="23342567"/>
    <n v="24070309"/>
    <s v="ACC01"/>
    <x v="259"/>
    <d v="2025-11-21T10:52:34"/>
    <s v="03 a 05 dias"/>
    <s v="06 a 08 dias"/>
    <s v="FVHHQZ"/>
    <s v="GOVER"/>
    <s v="ROBERTA LEONE MASIERO"/>
    <s v="Emilia Alejandra Pacheco Maraboli"/>
    <s v="Emilia Alejandra Pacheco Maraboli"/>
    <x v="255"/>
    <n v="4628854"/>
    <s v="-"/>
    <s v="OFF LINE"/>
    <s v="Cartão de crédito"/>
    <s v="Cartão AMEX"/>
    <s v="Aéreo"/>
    <s v="N"/>
    <s v="Grupo Icon"/>
    <s v="Rps"/>
    <s v="Cliente FEE no POS"/>
    <s v="Alitalia"/>
    <n v="5580598030"/>
    <s v="FCM-OPE-SAO-PVI-BTC-PRA/RPS"/>
    <s v="-"/>
    <x v="233"/>
    <n v="426.23"/>
    <n v="0"/>
    <n v="0"/>
    <n v="0"/>
    <n v="0"/>
    <n v="120"/>
    <s v="Reserva importada do sistema Gover. Id: 4628854"/>
    <s v="9772229/6270920&quot; possui uma transação de cartão efetivada"/>
    <s v="GOVER"/>
    <s v="Conciliação de Cartão"/>
    <s v="Financeiro Conciliado"/>
    <s v="Edição não Permitida"/>
    <s v="Processo Operacional"/>
    <s v="KONTIK BUSINESS TRAVEL"/>
  </r>
  <r>
    <n v="23349523"/>
    <n v="24076958"/>
    <s v="ACC01"/>
    <x v="260"/>
    <d v="2025-11-21T10:52:36"/>
    <s v="03 a 05 dias"/>
    <s v="06 a 08 dias"/>
    <s v="WIVMWI"/>
    <s v="GOVER"/>
    <s v="GLAUCE NUNES DA SILVA"/>
    <s v="Emilia Alejandra Pacheco Maraboli"/>
    <s v="Emilia Alejandra Pacheco Maraboli"/>
    <x v="256"/>
    <n v="4628632"/>
    <s v="-"/>
    <s v="OFF LINE"/>
    <s v="Cartão de crédito"/>
    <s v="Cartão AMEX"/>
    <s v="Aéreo"/>
    <s v="N"/>
    <s v="Grupo Icon"/>
    <s v="Rps"/>
    <s v="Cliente FEE no POS"/>
    <s v="Klm"/>
    <n v="5580598047"/>
    <s v="FCM-OPE-SAO-PVI-BTC-PRA/RPS"/>
    <s v="-"/>
    <x v="234"/>
    <n v="1451.75"/>
    <n v="0"/>
    <n v="0"/>
    <n v="0"/>
    <n v="0"/>
    <n v="120"/>
    <s v="Reserva importada do sistema Gover. Id: 4628632"/>
    <s v="9784183/6274853&quot; possui uma transação de cartão efetivada"/>
    <s v="GOVER"/>
    <s v="Conciliação de Cartão"/>
    <s v="Financeiro Conciliado"/>
    <s v="Edição não Permitida"/>
    <s v="Processo Operacional"/>
    <s v="KONTIK BUSINESS TRAVEL"/>
  </r>
  <r>
    <n v="23325179"/>
    <n v="24054649"/>
    <s v="ACC01"/>
    <x v="261"/>
    <d v="2025-11-14T14:20:36"/>
    <s v="09 a 15 dias"/>
    <s v="09 a 15 dias"/>
    <s v="EIIRXI"/>
    <s v="GOVER"/>
    <s v="ROBERTA HOFFMANN  MACHADO"/>
    <s v="Gover"/>
    <s v="Gover"/>
    <x v="257"/>
    <n v="4627488"/>
    <s v="-"/>
    <s v="OFF LINE"/>
    <s v="Invoice"/>
    <s v="Faturado"/>
    <s v="Hotel"/>
    <s v="N"/>
    <s v="Grupo Jti"/>
    <s v="Jti Processadora"/>
    <s v="-"/>
    <s v="-"/>
    <s v="-"/>
    <s v="FCM-OPE-SAO-PVI-JTI"/>
    <s v="-"/>
    <x v="235"/>
    <n v="40.2"/>
    <n v="0"/>
    <n v="0"/>
    <n v="0"/>
    <n v="0"/>
    <n v="0"/>
    <s v="Reserva importada do sistema Gover. Id: 4627488"/>
    <s v="Fornecedor não preenchido! (ACC01)"/>
    <s v="GOVER"/>
    <s v="Falta de Fornecedor"/>
    <s v="Campo Fornecedor"/>
    <s v="Dados do Fornecedor"/>
    <s v="Sistêmico"/>
    <s v="GRUPO KONTIK"/>
  </r>
  <r>
    <n v="23137381"/>
    <n v="23884043"/>
    <s v="ACC01"/>
    <x v="262"/>
    <d v="2025-11-11T07:51:05"/>
    <s v="09 a 15 dias"/>
    <s v="31 dias ou +"/>
    <s v="CKNKQJ"/>
    <s v="GOVER"/>
    <s v="GABRIELA RATEIRO SILVA"/>
    <s v="Gover"/>
    <s v="Gover"/>
    <x v="258"/>
    <n v="4615410"/>
    <s v="-"/>
    <s v="ON LINE"/>
    <s v="Invoice"/>
    <s v="Cartão convênio"/>
    <s v="Aéreo"/>
    <s v="N"/>
    <s v="Grupo Jti"/>
    <s v="Jti Distribuidora - Sao Paulo - Vila Nova Conceicao"/>
    <s v="-"/>
    <s v="Latam Airlines Brasil"/>
    <n v="2255444926"/>
    <s v="FCM-OPE-SAO-PVI-JTI"/>
    <s v="-"/>
    <x v="236"/>
    <n v="107.34"/>
    <n v="0"/>
    <n v="0"/>
    <n v="0"/>
    <n v="0"/>
    <n v="0"/>
    <s v="Reserva importada do sistema Gover. Id: 4615410"/>
    <s v="Erro excluindo PNR: Não é possivel excluir a accounting de código: 25226621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3129710"/>
    <n v="23876685"/>
    <s v="ACC01"/>
    <x v="263"/>
    <d v="2025-11-11T07:50:12"/>
    <s v="09 a 15 dias"/>
    <s v="31 dias ou +"/>
    <s v="AZNZNL"/>
    <s v="GOVER"/>
    <s v="FERNANDA MULLER"/>
    <s v="Gover"/>
    <s v="Gover"/>
    <x v="259"/>
    <n v="4614441"/>
    <s v="-"/>
    <s v="ON LINE"/>
    <s v="Invoice"/>
    <s v="Cartão convênio"/>
    <s v="Aéreo"/>
    <s v="N"/>
    <s v="Grupo Jti"/>
    <s v="Jti Processadora"/>
    <s v="-"/>
    <s v="Latam Airlines Brasil"/>
    <n v="2255203366"/>
    <s v="FCM-OPE-SAO-PVI-JTI"/>
    <s v="-"/>
    <x v="237"/>
    <n v="106.18"/>
    <n v="0"/>
    <n v="0"/>
    <n v="0"/>
    <n v="0"/>
    <n v="0"/>
    <s v="Reserva importada do sistema Gover. Id: 4614441"/>
    <s v="Erro excluindo PNR: Não é possivel excluir a accounting de código: 25219663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3211031"/>
    <n v="23946943"/>
    <s v="ACC01"/>
    <x v="264"/>
    <d v="2025-10-29T22:33:21"/>
    <s v="24 a 31 dias"/>
    <s v="24 a 31 dias"/>
    <n v="20602202"/>
    <s v="GOVER"/>
    <s v="Helbert da Silva Oliveira"/>
    <s v="Gover"/>
    <s v="Gover"/>
    <x v="260"/>
    <n v="4619936"/>
    <s v="-"/>
    <s v="OFF LINE"/>
    <s v="Invoice"/>
    <s v="Faturado"/>
    <s v="Hotel"/>
    <s v="N"/>
    <s v="Grupo Samsung"/>
    <s v="Samsung Eletronica da Amazonia"/>
    <s v="-"/>
    <s v="-"/>
    <s v="-"/>
    <s v="KON-OPE-SAO-PVI-SAMSUNG"/>
    <s v="-"/>
    <x v="238"/>
    <n v="206.5"/>
    <n v="0"/>
    <n v="0"/>
    <n v="0"/>
    <n v="0"/>
    <n v="0"/>
    <s v="Reserva importada do sistema Gover. Id: 4619936"/>
    <s v="Fornecedor não preenchido! (ACC01)"/>
    <s v="GOVER"/>
    <s v="Falta de Fornecedor"/>
    <s v="Campo Fornecedor"/>
    <s v="Dados do Fornecedor"/>
    <s v="Sistêmico"/>
    <s v="GRUPO KONTIK"/>
  </r>
  <r>
    <n v="23245221"/>
    <n v="23978181"/>
    <s v="ACC01"/>
    <x v="265"/>
    <d v="2025-11-17T11:30:54"/>
    <s v="06 a 08 dias"/>
    <s v="16 a 23 dias"/>
    <s v="MHSFXSC"/>
    <s v="SABRE"/>
    <s v="OLIVEIRA HOSKEN/BRUNA FERNANDES DE MRS"/>
    <s v="CT"/>
    <s v="CT"/>
    <x v="261"/>
    <s v="MHSFXS"/>
    <s v="BPS"/>
    <s v="ON LINE"/>
    <s v="Invoice"/>
    <s v="Faturado"/>
    <s v="Carro"/>
    <s v="N"/>
    <s v="Grupo Basf"/>
    <s v="Ca Pesquisa e Comercio de Sementes"/>
    <s v="-"/>
    <s v="-"/>
    <s v="-"/>
    <s v="FCM-OPE-SAO-PVI-BASF"/>
    <s v="-"/>
    <x v="239"/>
    <n v="297.5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7374"/>
    <n v="24093388"/>
    <s v="ACC01"/>
    <x v="266"/>
    <d v="2025-11-21T17:07:45"/>
    <s v="03 a 05 dias"/>
    <s v="03 a 05 dias"/>
    <s v="GWPVGWT"/>
    <s v="SABRE"/>
    <s v="CAMARA UCHOA/CATARINA MARIA MISS"/>
    <s v="CT"/>
    <s v="CT"/>
    <x v="262"/>
    <s v="185744372-53332"/>
    <s v="-"/>
    <s v="ON LINE"/>
    <s v="Pagamento direto"/>
    <s v="Pagamento direto"/>
    <s v="Hotel"/>
    <s v="N"/>
    <s v="Grupo Basf"/>
    <s v="Basf Catalisadores"/>
    <s v="-"/>
    <s v="The Bidwell Marriott Portland"/>
    <s v="-"/>
    <s v="FCM-OPE-SAO-PVI-BASF"/>
    <s v="-"/>
    <x v="24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3367374"/>
    <n v="24093389"/>
    <s v="ACC02"/>
    <x v="266"/>
    <d v="2025-11-21T17:07:45"/>
    <s v="03 a 05 dias"/>
    <s v="03 a 05 dias"/>
    <s v="GWPVGWT"/>
    <s v="SABRE"/>
    <s v="CAMARA UCHOA/CATARINA MARIA MISS"/>
    <s v="CT"/>
    <s v="CT"/>
    <x v="262"/>
    <s v="185744372-53332"/>
    <s v="-"/>
    <s v="ON LINE"/>
    <s v="Pagamento direto"/>
    <s v="Pagamento direto"/>
    <s v="Hotel"/>
    <s v="N"/>
    <s v="Grupo Basf"/>
    <s v="Basf Catalisadores"/>
    <s v="-"/>
    <s v="-"/>
    <s v="-"/>
    <s v="FCM-OPE-SAO-PVI-BASF"/>
    <s v="-"/>
    <x v="24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3347207"/>
    <n v="24074571"/>
    <s v="ACC01"/>
    <x v="267"/>
    <d v="2025-11-18T13:25:26"/>
    <s v="06 a 08 dias"/>
    <s v="06 a 08 dias"/>
    <s v="NJBGCN"/>
    <s v="SABRE"/>
    <s v="ZANON/RENATA BOCCI"/>
    <s v="CT"/>
    <s v="CT"/>
    <x v="263"/>
    <s v="M14IFGKRP"/>
    <s v="-"/>
    <s v="ON LINE"/>
    <s v="Cartão de crédito"/>
    <s v="Cartão AMEX"/>
    <s v="Aéreo"/>
    <s v="N"/>
    <s v="Grupo Basf"/>
    <s v="Basf Sa"/>
    <s v="-"/>
    <s v="Azul Linhas Aereas"/>
    <n v="7700081055"/>
    <s v="FCM-OPE-SAO-PVI-BASF"/>
    <s v="-"/>
    <x v="242"/>
    <n v="31.9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345860"/>
    <n v="24073174"/>
    <s v="ACC01"/>
    <x v="268"/>
    <d v="2025-11-18T09:42:29"/>
    <s v="06 a 08 dias"/>
    <s v="06 a 08 dias"/>
    <s v="QDZDEQT"/>
    <s v="SABRE"/>
    <s v="DE GERONI JUNIOR/ADEMAR MR"/>
    <s v="Marcelo de Freitas"/>
    <s v="Marcelo de Freitas"/>
    <x v="264"/>
    <s v="BA171125152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43"/>
    <n v="21.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7222"/>
    <n v="24074585"/>
    <s v="ACC01"/>
    <x v="269"/>
    <d v="2025-11-18T13:25:11"/>
    <s v="06 a 08 dias"/>
    <s v="06 a 08 dias"/>
    <s v="DFXBRLT"/>
    <s v="SABRE"/>
    <s v="KIRCHNER/CASSIO LUIZ MR"/>
    <s v="Marcelo de Freitas"/>
    <s v="Marcelo de Freitas"/>
    <x v="265"/>
    <s v="BA181125122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44"/>
    <n v="120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71977"/>
    <n v="24004537"/>
    <s v="ACC01"/>
    <x v="270"/>
    <d v="2025-11-17T11:30:38"/>
    <s v="06 a 08 dias"/>
    <s v="16 a 23 dias"/>
    <s v="LSLDDI"/>
    <s v="SABRE"/>
    <s v="BEU/CAIO HENRIQUE"/>
    <s v="Marcia Regina Mira"/>
    <s v="Marcia Regina Mira"/>
    <x v="266"/>
    <s v="LSLDDI"/>
    <s v="-"/>
    <s v="ON LINE"/>
    <s v="Cartão de crédito"/>
    <s v="Cartão AMEX"/>
    <s v="Aéreo"/>
    <s v="N"/>
    <s v="Grupo Basf"/>
    <s v="Basf Sa"/>
    <s v="-"/>
    <s v="Azul Linhas Aereas"/>
    <n v="7700080367"/>
    <s v="FCM-OPE-SAO-PVI-BASF"/>
    <s v="-"/>
    <x v="245"/>
    <n v="242.0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"/>
    <s v="SABRE"/>
    <s v="Mais de um campo não preenchido"/>
    <s v="Falta de informação Gerencial"/>
    <s v="Dados do Fornecedor"/>
    <s v="Qualidade dos dados"/>
    <s v="KONTIK BUSINESS TRAVEL"/>
  </r>
  <r>
    <n v="23364933"/>
    <n v="24090974"/>
    <s v="ACC01"/>
    <x v="271"/>
    <d v="2025-11-21T19:05:10"/>
    <s v="03 a 05 dias"/>
    <s v="03 a 05 dias"/>
    <s v="QIBBFZ"/>
    <s v="SABRE"/>
    <s v="KIRSCHKE DE BARROS/BRUNO SIR"/>
    <s v="Marcia Regina Mira"/>
    <s v="Marcia Regina Mira"/>
    <x v="267"/>
    <s v="BA1911252130"/>
    <s v="-"/>
    <s v="OFF LINE"/>
    <s v="Invoice"/>
    <s v="Faturado"/>
    <s v="Aéreo"/>
    <s v="N"/>
    <s v="Grupo Basf"/>
    <s v="Suvinil"/>
    <s v="-"/>
    <s v="Gol Linhas Aereas"/>
    <n v="2149863302"/>
    <s v="FCM-OPE-SAO-PVI-BASF"/>
    <s v="-"/>
    <x v="246"/>
    <n v="34.56"/>
    <n v="0"/>
    <n v="0"/>
    <n v="0"/>
    <n v="0"/>
    <n v="0"/>
    <s v="Reserva importada por HubTravel"/>
    <s v="Could not convert variant of type (Null) into type (OleStr)"/>
    <s v="SABRE"/>
    <s v="Não identificado"/>
    <s v="Análise Benner"/>
    <s v="Sistema"/>
    <s v="Qualidade dos dados"/>
    <s v="KONTIK BUSINESS TRAVEL"/>
  </r>
  <r>
    <n v="23340442"/>
    <n v="24068208"/>
    <s v="ACC01"/>
    <x v="272"/>
    <d v="2025-11-18T12:13:11"/>
    <s v="06 a 08 dias"/>
    <s v="06 a 08 dias"/>
    <s v="ASTJHKT"/>
    <s v="SABRE"/>
    <s v="BARBERY ARGUELHO/FERNANDO"/>
    <s v="Fabiola Lima de Oliveira"/>
    <s v="Fabiola Lima de Oliveira"/>
    <x v="268"/>
    <s v="ASTJHK"/>
    <s v="-"/>
    <s v="OFF LINE"/>
    <s v="Invoice"/>
    <s v="Faturado"/>
    <s v="Hotel"/>
    <s v="N"/>
    <s v="Grupo Basf"/>
    <s v="Suvinil"/>
    <s v="-"/>
    <s v="Ibis Sao Bernardo do Campo"/>
    <s v="-"/>
    <s v="FCM-OPE-SAO-PVI-BASF"/>
    <s v="-"/>
    <x v="247"/>
    <n v="0"/>
    <n v="0"/>
    <n v="0"/>
    <n v="0"/>
    <n v="0"/>
    <n v="0"/>
    <s v="Reserva importada por HubTravel"/>
    <s v="Não foi possível encontrar um contrato válido para o fornecedor 665189 (Código fornecedor) "/>
    <s v="SABRE"/>
    <s v="Contrato de fornecedor"/>
    <s v="Análise Cadastro"/>
    <s v="Dados do Fornecedor"/>
    <s v="Qualidade dos dados"/>
    <s v="KONTIK BUSINESS TRAVEL"/>
  </r>
  <r>
    <n v="23327038"/>
    <n v="24056650"/>
    <s v="ACC01"/>
    <x v="273"/>
    <d v="2025-11-17T11:30:52"/>
    <s v="06 a 08 dias"/>
    <s v="09 a 15 dias"/>
    <s v="FAIDRP"/>
    <s v="SABRE"/>
    <s v="BELO CANTARUTI JUNIOR/ANDERSON AMARAL"/>
    <s v="Fabiola Lima de Oliveira"/>
    <s v="Fabiola Lima de Oliveira"/>
    <x v="269"/>
    <s v="EGHFNP"/>
    <s v="-"/>
    <s v="OFF LINE"/>
    <s v="Invoice"/>
    <s v="Faturado"/>
    <s v="Aéreo"/>
    <s v="N"/>
    <s v="Grupo Basf"/>
    <s v="Suvinil"/>
    <s v="-"/>
    <s v="Gol Linhas Aereas"/>
    <n v="2149506538"/>
    <s v="FCM-OPE-SAO-PVI-BASF"/>
    <s v="-"/>
    <x v="248"/>
    <n v="58.89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3365538"/>
    <n v="24091579"/>
    <s v="ACC01"/>
    <x v="274"/>
    <d v="2025-11-21T17:02:17"/>
    <s v="03 a 05 dias"/>
    <s v="03 a 05 dias"/>
    <s v="IJPJWWT"/>
    <s v="SABRE"/>
    <s v="MARIANO DA SILVA/RICARDO MR"/>
    <s v="Fabiola Lima de Oliveira"/>
    <s v="Fabiola Lima de Oliveira"/>
    <x v="270"/>
    <s v="BA2111251057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249"/>
    <n v="58.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3682"/>
    <n v="24080704"/>
    <s v="ACC01"/>
    <x v="275"/>
    <d v="2025-11-19T12:01:11"/>
    <s v="03 a 05 dias"/>
    <s v="03 a 05 dias"/>
    <s v="CJGFHRT"/>
    <s v="SABRE"/>
    <s v="MAIA/BRUNO LAZZARINI MR"/>
    <s v="Felipe Anderson da Silva"/>
    <s v="Felipe Anderson da Silva"/>
    <x v="271"/>
    <s v="CJGFHR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3683"/>
    <n v="24080705"/>
    <s v="ACC01"/>
    <x v="276"/>
    <d v="2025-11-19T12:01:11"/>
    <s v="03 a 05 dias"/>
    <s v="03 a 05 dias"/>
    <s v="YOCSXQT"/>
    <s v="SABRE"/>
    <s v="DA SILVA BERNARDES/WILIAN MR"/>
    <s v="Felipe Anderson da Silva"/>
    <s v="Felipe Anderson da Silva"/>
    <x v="272"/>
    <s v="YOCSXQ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2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8993"/>
    <n v="24076411"/>
    <s v="ACC01"/>
    <x v="277"/>
    <d v="2025-11-18T17:06:25"/>
    <s v="06 a 08 dias"/>
    <s v="06 a 08 dias"/>
    <s v="CEZIRWT"/>
    <s v="SABRE"/>
    <s v="RIBEIRO FERREIRA/THAYENE CHRISTINE RIBEIRO MISS"/>
    <s v="Felipe Anderson da Silva"/>
    <s v="Felipe Anderson da Silva"/>
    <x v="273"/>
    <s v="CEZIRW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2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6470"/>
    <n v="24083467"/>
    <s v="ACC01"/>
    <x v="278"/>
    <d v="2025-11-19T18:54:26"/>
    <s v="03 a 05 dias"/>
    <s v="03 a 05 dias"/>
    <s v="ILYDOPT"/>
    <s v="SABRE"/>
    <s v="PRETE/THIAGO FERNANDES MR"/>
    <s v="Felipe Anderson da Silva"/>
    <s v="Felipe Anderson da Silva"/>
    <x v="274"/>
    <s v="ILYDOP"/>
    <s v="-"/>
    <s v="OFF LINE"/>
    <s v="Invoice"/>
    <s v="Faturado"/>
    <s v="Hotel"/>
    <s v="N"/>
    <s v="Grupo Basf"/>
    <s v="Suvinil"/>
    <s v="-"/>
    <s v="-"/>
    <s v="-"/>
    <s v="FCM-OPE-SAO-PVI-BASF"/>
    <s v="-"/>
    <x v="2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1606"/>
    <n v="24069361"/>
    <s v="ACC01"/>
    <x v="279"/>
    <d v="2025-11-17T17:15:53"/>
    <s v="06 a 08 dias"/>
    <s v="06 a 08 dias"/>
    <s v="QACOAJT"/>
    <s v="SABRE"/>
    <s v="SANTOS/FABIO RENATO MR"/>
    <s v="Felipe Anderson da Silva"/>
    <s v="Felipe Anderson da Silva"/>
    <x v="275"/>
    <s v="QACOAJ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2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1612"/>
    <n v="24069369"/>
    <s v="ACC01"/>
    <x v="280"/>
    <d v="2025-11-17T17:15:55"/>
    <s v="06 a 08 dias"/>
    <s v="06 a 08 dias"/>
    <s v="SWBAZCT"/>
    <s v="SABRE"/>
    <s v="DIAS /WILLIAN DIAS MR"/>
    <s v="Felipe Anderson da Silva"/>
    <s v="Felipe Anderson da Silva"/>
    <x v="276"/>
    <s v="SWBAZC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2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1612"/>
    <n v="24069370"/>
    <s v="ACC02"/>
    <x v="280"/>
    <d v="2025-11-17T17:15:55"/>
    <s v="06 a 08 dias"/>
    <s v="06 a 08 dias"/>
    <s v="SWBAZCT"/>
    <s v="SABRE"/>
    <s v="DIAS /WILLIAN DIAS MR"/>
    <s v="Felipe Anderson da Silva"/>
    <s v="Felipe Anderson da Silva"/>
    <x v="276"/>
    <s v="SWBAZC"/>
    <s v="-"/>
    <s v="OFF LINE"/>
    <s v="Pagamento direto"/>
    <s v="Pagamento direto"/>
    <s v="Hotel"/>
    <s v="N"/>
    <s v="Grupo Basf"/>
    <s v="Suvinil"/>
    <s v="-"/>
    <s v="Riviera Pantanal Hotel"/>
    <s v="-"/>
    <s v="FCM-OPE-SAO-PVI-BASF"/>
    <s v="-"/>
    <x v="2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2846"/>
    <n v="24079846"/>
    <s v="ACC01"/>
    <x v="281"/>
    <d v="2025-11-19T09:00:53"/>
    <s v="03 a 05 dias"/>
    <s v="03 a 05 dias"/>
    <s v="SIUQJH"/>
    <s v="SABRE"/>
    <s v="YOTSUMOTO/TADASHI"/>
    <s v="Itamar de Souza"/>
    <s v="Felipe Anderson da Silva"/>
    <x v="277"/>
    <s v="SIUQJH"/>
    <s v="-"/>
    <s v="ON LINE"/>
    <s v="Invoice"/>
    <s v="Faturado"/>
    <s v="Aéreo"/>
    <s v="N"/>
    <s v="Grupo Basf"/>
    <s v="Basf Sa"/>
    <s v="-"/>
    <s v="Latam Airlines Brasil"/>
    <n v="5580636966"/>
    <s v="FCM-OPE-SAO-PVI-BASF"/>
    <s v="-"/>
    <x v="257"/>
    <n v="93.48999999999999"/>
    <n v="0"/>
    <n v="0"/>
    <n v="93.48999999999999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GRUPO KONTIK"/>
  </r>
  <r>
    <n v="23311078"/>
    <n v="24041389"/>
    <s v="ACC01"/>
    <x v="282"/>
    <d v="2025-11-17T11:30:39"/>
    <s v="06 a 08 dias"/>
    <s v="09 a 15 dias"/>
    <s v="QDQBRU"/>
    <s v="SABRE"/>
    <s v="COLLA/GIANCARLO"/>
    <s v="WY"/>
    <s v="WY"/>
    <x v="278"/>
    <s v="ASUSXT"/>
    <s v="-"/>
    <s v="OFF LINE"/>
    <s v="Cartão de crédito"/>
    <s v="Cartão AMEX"/>
    <s v="Aéreo"/>
    <s v="N"/>
    <s v="Grupo Basf"/>
    <s v="Suvinil"/>
    <s v="-"/>
    <s v="Gol Linhas Aereas"/>
    <n v="2149248830"/>
    <s v="FCM-OPE-SAO-PVI-BASF"/>
    <s v="-"/>
    <x v="258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265284"/>
    <n v="23997749"/>
    <s v="ACC01"/>
    <x v="283"/>
    <d v="2025-11-17T11:30:37"/>
    <s v="06 a 08 dias"/>
    <s v="16 a 23 dias"/>
    <s v="OBKYLS"/>
    <s v="SABRE"/>
    <s v="COSTA/ERICA CRISTINA MEIRELES"/>
    <s v="WY"/>
    <s v="WY"/>
    <x v="279"/>
    <s v="OBKYLS"/>
    <s v="-"/>
    <s v="OFF LINE"/>
    <s v="Cartão de crédito"/>
    <s v="Cartão AMEX"/>
    <s v="Aéreo"/>
    <s v="N"/>
    <s v="Grupo Basf"/>
    <s v="Suvinil"/>
    <s v="-"/>
    <s v="Gol Linhas Aereas"/>
    <n v="7700080338"/>
    <s v="FCM-OPE-SAO-PVI-BASF"/>
    <s v="-"/>
    <x v="0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274075"/>
    <n v="24006772"/>
    <s v="ACC01"/>
    <x v="284"/>
    <d v="2025-11-17T11:30:38"/>
    <s v="06 a 08 dias"/>
    <s v="16 a 23 dias"/>
    <s v="OEOESC"/>
    <s v="SABRE"/>
    <s v="BAGATINI/ROBERTO  DE OLIVEIRA"/>
    <s v="WY"/>
    <s v="WY"/>
    <x v="280"/>
    <s v="OEOESC"/>
    <s v="-"/>
    <s v="OFF LINE"/>
    <s v="Cartão de crédito"/>
    <s v="Cartão AMEX"/>
    <s v="Aéreo"/>
    <s v="N"/>
    <s v="Grupo Basf"/>
    <s v="Suvinil"/>
    <s v="-"/>
    <s v="Gol Linhas Aereas"/>
    <n v="2148926134"/>
    <s v="FCM-OPE-SAO-PVI-BASF"/>
    <s v="-"/>
    <x v="259"/>
    <n v="94.7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315437"/>
    <n v="24045189"/>
    <s v="ACC01"/>
    <x v="285"/>
    <d v="2025-11-17T11:30:40"/>
    <s v="06 a 08 dias"/>
    <s v="09 a 15 dias"/>
    <s v="OOSQEI"/>
    <s v="SABRE"/>
    <s v="BRITO/DANIEL"/>
    <s v="WY"/>
    <s v="WY"/>
    <x v="281"/>
    <s v="BA1311250732"/>
    <s v="-"/>
    <s v="OFF LINE"/>
    <s v="Cartão de crédito"/>
    <s v="Cartão AMEX"/>
    <s v="Aéreo"/>
    <s v="N"/>
    <s v="Grupo Basf"/>
    <s v="Suvinil"/>
    <s v="-"/>
    <s v="Gol Linhas Aereas"/>
    <n v="2149345135"/>
    <s v="FCM-OPE-SAO-PVI-BASF"/>
    <s v="-"/>
    <x v="260"/>
    <n v="85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210215"/>
    <n v="23946196"/>
    <s v="ACC01"/>
    <x v="286"/>
    <d v="2025-10-28T15:41:10"/>
    <s v="24 a 31 dias"/>
    <s v="24 a 31 dias"/>
    <s v="5QJKIC"/>
    <s v="TMS"/>
    <s v="MARIA DE FATIMA CIRNE"/>
    <s v="Adriana Dias de Grano"/>
    <s v="Adriana Dias de Grano"/>
    <x v="282"/>
    <n v="14980"/>
    <s v="-"/>
    <s v="OFF LINE"/>
    <s v="Cartão de crédito"/>
    <s v="Faturado"/>
    <s v="Hotel"/>
    <s v="N"/>
    <s v="Grupo Odontoprev"/>
    <s v="Odontoprev Servicos Ltda"/>
    <s v="-"/>
    <s v="-"/>
    <s v="-"/>
    <s v="KON-OPE-SAO-PVI-BTC-ARGO-ODONTOPREV"/>
    <s v="-"/>
    <x v="261"/>
    <n v="0"/>
    <n v="0"/>
    <n v="0"/>
    <n v="0"/>
    <n v="0"/>
    <n v="0"/>
    <s v="Reserva importada do Sistema TMS. OS: 14980"/>
    <s v="Fornecedor não preenchido! (ACC01)"/>
    <s v="ARGO(TMS)"/>
    <s v="Falta de Fornecedor"/>
    <s v="Campo Fornecedor"/>
    <s v="Dados do Fornecedor"/>
    <s v="Qualidade dos dados"/>
    <s v="KONTIK BUSINESS TRAVEL"/>
  </r>
  <r>
    <n v="23351901"/>
    <n v="24079186"/>
    <s v="ACC01"/>
    <x v="287"/>
    <d v="2025-11-19T03:13:05"/>
    <s v="03 a 05 dias"/>
    <s v="03 a 05 dias"/>
    <s v="5T4GDI"/>
    <s v="TMS"/>
    <s v="JORGE MAYCON DOS SANTOS OLIVEIRA"/>
    <s v="Claudia Lucia Stella"/>
    <s v="Claudia Lucia Stella"/>
    <x v="283"/>
    <n v="15304"/>
    <s v="-"/>
    <s v="OFF LINE"/>
    <s v="Cartão de crédito"/>
    <s v="Faturado"/>
    <s v="Hotel"/>
    <s v="N"/>
    <s v="Grupo Odontoprev"/>
    <s v="Clidec - Clinica Dentaria Especializada Cura D Ars Ltda"/>
    <s v="-"/>
    <s v="Hotel Ibiza"/>
    <s v="-"/>
    <s v="KON-OPE-SAO-PVI-BTC-ARGO-ODONTOPREV"/>
    <s v="-"/>
    <x v="262"/>
    <n v="0"/>
    <n v="0"/>
    <n v="0"/>
    <n v="0"/>
    <n v="0"/>
    <n v="0"/>
    <s v="Reserva importada do Sistema TMS. OS: 15304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10178"/>
    <n v="23946166"/>
    <s v="ACC01"/>
    <x v="288"/>
    <d v="2025-10-28T15:31:14"/>
    <s v="24 a 31 dias"/>
    <s v="24 a 31 dias"/>
    <s v="5QKHK3"/>
    <s v="TMS"/>
    <s v="JORGE MAYCON DOS SANTOS OLIVEIRA"/>
    <s v="Claudia Lucia Stella"/>
    <s v="Claudia Lucia Stella"/>
    <x v="284"/>
    <n v="15181"/>
    <s v="Campos dos Goytacazes / RJ, Brasil (CAW)"/>
    <s v="OFF LINE"/>
    <s v="Invoice"/>
    <s v="Faturado"/>
    <s v="Carro"/>
    <s v="N"/>
    <s v="Grupo Odontoprev"/>
    <s v="Clidec - Clinica Dentaria Especializada Cura D Ars Ltda"/>
    <s v="-"/>
    <s v="Localiza - Br - Rj - Campos dos Goytacazes - Bonsucesso"/>
    <s v="-"/>
    <s v="KON-OPE-SAO-PVI-BTC-ARGO-ODONTOPREV"/>
    <s v="-"/>
    <x v="263"/>
    <n v="0"/>
    <n v="0"/>
    <n v="0"/>
    <n v="0"/>
    <n v="0"/>
    <n v="0"/>
    <s v="Reserva importada do Sistema TMS. OS: 1518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05564"/>
    <n v="24036234"/>
    <s v="ACC01"/>
    <x v="289"/>
    <d v="2025-11-13T16:01:26"/>
    <s v="09 a 15 dias"/>
    <s v="09 a 15 dias"/>
    <s v="5TRECB"/>
    <s v="TMS"/>
    <s v="JORGE MAYCON DOS SANTOS OLIVEIRA"/>
    <s v="Tms"/>
    <s v="Tms"/>
    <x v="285"/>
    <n v="15271"/>
    <s v="-"/>
    <s v="ON LINE"/>
    <s v="Cartão de crédito"/>
    <s v="Faturado"/>
    <s v="Hotel"/>
    <s v="N"/>
    <s v="Grupo Odontoprev"/>
    <s v="Clidec - Clinica Dentaria Especializada Cura D Ars Ltda"/>
    <s v="-"/>
    <s v="Resende Inn Hotel"/>
    <s v="-"/>
    <s v="KON-OPE-SAO-PVI-BTC-ARGO-ODONTOPREV"/>
    <s v="-"/>
    <x v="264"/>
    <n v="0"/>
    <n v="0"/>
    <n v="0"/>
    <n v="0"/>
    <n v="0"/>
    <n v="0"/>
    <s v="Reserva importada do Sistema TMS. OS: 1527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12681"/>
    <n v="23948516"/>
    <s v="ACC01"/>
    <x v="290"/>
    <d v="2025-10-28T21:42:05"/>
    <s v="24 a 31 dias"/>
    <s v="24 a 31 dias"/>
    <s v="5QX45F"/>
    <s v="TMS"/>
    <s v="ISABEL CHICONELLI G CASQUEIRO"/>
    <s v="Tms"/>
    <s v="Tms"/>
    <x v="286"/>
    <n v="15198"/>
    <s v="-"/>
    <s v="ON LINE"/>
    <s v="Cartão de crédito"/>
    <s v="Faturado"/>
    <s v="Hotel"/>
    <s v="N"/>
    <s v="Grupo Odontoprev"/>
    <s v="Odontoprev S a"/>
    <s v="-"/>
    <s v="-"/>
    <s v="-"/>
    <s v="KON-OPE-SAO-PVI-BTC-ARGO-ODONTOPREV"/>
    <s v="-"/>
    <x v="265"/>
    <n v="0"/>
    <n v="0"/>
    <n v="0"/>
    <n v="0"/>
    <n v="0"/>
    <n v="0"/>
    <s v="Reserva importada do Sistema TMS. OS: 15198"/>
    <s v="Fornecedor não preenchido! (ACC01)"/>
    <s v="ARGO(TMS)"/>
    <s v="Falta de Fornecedor"/>
    <s v="Campo Fornecedor"/>
    <s v="Dados do Fornecedor"/>
    <s v="Sistêmico"/>
    <s v="GRUPO KONTIK"/>
  </r>
  <r>
    <n v="23367574"/>
    <n v="24093573"/>
    <s v="ACC01"/>
    <x v="291"/>
    <d v="2025-11-21T17:37:10"/>
    <s v="03 a 05 dias"/>
    <s v="03 a 05 dias"/>
    <s v="AXSPOTT"/>
    <s v="SABRE"/>
    <s v="OLIVEIRA/FABIO MR"/>
    <s v="Adriana Vieira de Freitas dos Santos"/>
    <s v="Adriana Vieira de Freitas dos Santos"/>
    <x v="287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66"/>
    <n v="70.1500000000000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4409"/>
    <n v="24090466"/>
    <s v="ACC01"/>
    <x v="292"/>
    <d v="2025-11-21T09:02:03"/>
    <s v="03 a 05 dias"/>
    <s v="03 a 05 dias"/>
    <s v="LEQLVUT"/>
    <s v="SABRE"/>
    <s v="GIANINA/OLIVIER JEAN PATRICK"/>
    <s v="Humberto da Fontoura"/>
    <s v="Humberto da Fontoura"/>
    <x v="288"/>
    <s v="LEQLVU"/>
    <s v="-"/>
    <s v="ON LINE"/>
    <s v="Invoice"/>
    <s v="Faturado"/>
    <s v="Hotel"/>
    <s v="N"/>
    <s v="Grupo Adidas"/>
    <s v="Adidas do Brasil Ltda"/>
    <s v="-"/>
    <s v="Prodigy Santos Dumont"/>
    <s v="-"/>
    <s v="FCM-OPE-SAO-PVI-BTC-CONCUR"/>
    <s v="-"/>
    <x v="267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3342296"/>
    <n v="24070054"/>
    <s v="ACC01"/>
    <x v="293"/>
    <d v="2025-11-18T12:13:44"/>
    <s v="06 a 08 dias"/>
    <s v="06 a 08 dias"/>
    <s v="QLBHCPT"/>
    <s v="SABRE"/>
    <s v="CHEVIS SVARTMAN/ANDRE"/>
    <s v="Humberto da Fontoura"/>
    <s v="Humberto da Fontoura"/>
    <x v="289"/>
    <s v="QLBHCP"/>
    <s v="-"/>
    <s v="OFF LINE"/>
    <s v="Invoice"/>
    <s v="Faturado"/>
    <s v="Hotel"/>
    <s v="N"/>
    <s v="Grupo Adidas"/>
    <s v="Adidas do Brasil Ltda"/>
    <s v="-"/>
    <s v="Prodigy Santos Dumont"/>
    <s v="-"/>
    <s v="FCM-OPE-SAO-PVI-BTC-CONCUR"/>
    <s v="-"/>
    <x v="267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3364405"/>
    <n v="24090462"/>
    <s v="ACC01"/>
    <x v="294"/>
    <d v="2025-11-21T09:01:55"/>
    <s v="03 a 05 dias"/>
    <s v="03 a 05 dias"/>
    <s v="MOJEDKT"/>
    <s v="SABRE"/>
    <s v="UNGARETTI/MARCOS VINICIUS QUEIROZ"/>
    <s v="WS"/>
    <s v="WS"/>
    <x v="290"/>
    <s v="MOJEDK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268"/>
    <n v="9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56712"/>
    <n v="24083710"/>
    <s v="ACC01"/>
    <x v="295"/>
    <d v="2025-11-19T19:48:26"/>
    <s v="03 a 05 dias"/>
    <s v="03 a 05 dias"/>
    <s v="YVYACP"/>
    <s v="SABRE"/>
    <s v="LOPES LETA/MILENA"/>
    <s v="Eliane da Silva Souza Paula"/>
    <s v="Eliane da Silva Souza Paula"/>
    <x v="291"/>
    <s v="YVYACP"/>
    <s v="-"/>
    <s v="ON LINE"/>
    <s v="Cartão de crédito"/>
    <s v="Cartão AMEX"/>
    <s v="Aéreo"/>
    <s v="N"/>
    <s v="Grupo Adidas"/>
    <s v="Adidas do Brasil Ltda"/>
    <s v="-"/>
    <s v="Gol Linhas Aereas"/>
    <n v="7700081192"/>
    <s v="FCM-OPE-SAO-PVI-BTC-CONCUR"/>
    <s v="-"/>
    <x v="269"/>
    <n v="120.57"/>
    <n v="0"/>
    <n v="0"/>
    <n v="0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3348965"/>
    <n v="24076378"/>
    <s v="ACC01"/>
    <x v="296"/>
    <d v="2025-11-18T16:57:12"/>
    <s v="06 a 08 dias"/>
    <s v="06 a 08 dias"/>
    <s v="JWDOTTT"/>
    <s v="SABRE"/>
    <s v="SDEI/RICARDO"/>
    <s v="Eliane da Silva Souza Paula"/>
    <s v="Eliane da Silva Souza Paula"/>
    <x v="292"/>
    <s v="JWDOTT"/>
    <s v="-"/>
    <s v="ON LINE"/>
    <s v="Cartão de crédito"/>
    <s v="Cartão de crédito"/>
    <s v="Hotel"/>
    <s v="N"/>
    <s v="Grupo Adidas"/>
    <s v="Adidas do Brasil Ltda"/>
    <s v="-"/>
    <s v="Karl August - a Neighborhood Hotel"/>
    <s v="-"/>
    <s v="FCM-OPE-SAO-PVI-BTC-CONCUR"/>
    <s v="-"/>
    <x v="270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3348676"/>
    <n v="24076067"/>
    <s v="ACC01"/>
    <x v="297"/>
    <d v="2025-11-18T15:54:24"/>
    <s v="06 a 08 dias"/>
    <s v="06 a 08 dias"/>
    <s v="EURGVCT"/>
    <s v="SABRE"/>
    <s v="FREY/GEISA"/>
    <s v="Eliane da Silva Souza Paula"/>
    <s v="Eliane da Silva Souza Paula"/>
    <x v="293"/>
    <s v="EURGVC"/>
    <s v="-"/>
    <s v="OFF LINE"/>
    <s v="Invoice"/>
    <s v="Faturado"/>
    <s v="Hotel"/>
    <s v="N"/>
    <s v="Grupo Adidas"/>
    <s v="Adidas do Brasil Ltda"/>
    <s v="-"/>
    <s v="-"/>
    <s v="-"/>
    <s v="FCM-OPE-SAO-PVI-BTC-CONCUR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5938"/>
    <n v="24073245"/>
    <s v="ACC01"/>
    <x v="298"/>
    <d v="2025-11-18T10:04:14"/>
    <s v="06 a 08 dias"/>
    <s v="06 a 08 dias"/>
    <s v="WMHDRH"/>
    <s v="SABRE"/>
    <s v="UNGARETTI/MARCOS VINICIUS QUEIROZ"/>
    <s v="Eliane da Silva Souza Paula"/>
    <s v="Eliane da Silva Souza Paula"/>
    <x v="294"/>
    <n v="685203"/>
    <s v="-"/>
    <s v="ON LINE"/>
    <s v="Cartão de crédito"/>
    <s v="Cartão AMEX"/>
    <s v="Aéreo"/>
    <s v="N"/>
    <s v="Grupo Adidas"/>
    <s v="Adidas do Brasil Ltda"/>
    <s v="-"/>
    <s v="Gol Linhas Aereas"/>
    <n v="2149685203"/>
    <s v="FCM-OPE-SAO-PVI-BTC-CONCUR"/>
    <s v="-"/>
    <x v="272"/>
    <n v="59.46"/>
    <n v="0"/>
    <n v="0"/>
    <n v="0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3368246"/>
    <n v="24094227"/>
    <s v="ACC01"/>
    <x v="299"/>
    <d v="2025-11-21T20:42:20"/>
    <s v="03 a 05 dias"/>
    <s v="03 a 05 dias"/>
    <s v="GQAWJQ"/>
    <s v="SABRE"/>
    <s v="PASSOS FRANCIOLLI/PEDRO HENRI"/>
    <s v="Flavia Constanzi do Nascimento"/>
    <s v="WS"/>
    <x v="112"/>
    <s v="GQAWJQ"/>
    <s v="-"/>
    <s v="ON LINE"/>
    <s v="Cartão de crédito"/>
    <s v="Cartão AMEX"/>
    <s v="Aéreo"/>
    <s v="N"/>
    <s v="Grupo Adidas"/>
    <s v="Adidas do Brasil Ltda"/>
    <s v="-"/>
    <s v="Latam Airlines Brasil"/>
    <n v="5580640161"/>
    <s v="FCM-OPE-SAO-PVI-BTC-CONCUR"/>
    <s v="-"/>
    <x v="273"/>
    <n v="59.54"/>
    <n v="1133"/>
    <n v="0"/>
    <n v="59.54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GRUPO KONTIK"/>
  </r>
  <r>
    <n v="23342302"/>
    <n v="24070058"/>
    <s v="ACC01"/>
    <x v="300"/>
    <d v="2025-11-18T14:18:38"/>
    <s v="06 a 08 dias"/>
    <s v="06 a 08 dias"/>
    <s v="EPZHULT"/>
    <s v="SABRE"/>
    <s v="SDEI/RICARDO"/>
    <s v="WS"/>
    <s v="WS"/>
    <x v="295"/>
    <s v="EPZHUL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27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49093"/>
    <n v="24076500"/>
    <s v="ACC01"/>
    <x v="301"/>
    <d v="2025-11-18T17:33:38"/>
    <s v="06 a 08 dias"/>
    <s v="06 a 08 dias"/>
    <s v="JRISZD"/>
    <s v="SABRE"/>
    <s v="GRIPPA/RHEBEKA"/>
    <s v="WS"/>
    <s v="WS"/>
    <x v="296"/>
    <s v="HZXTTQ"/>
    <s v="-"/>
    <s v="ON LINE"/>
    <s v="Cartão de crédito"/>
    <s v="Cartão AMEX"/>
    <s v="Aéreo"/>
    <s v="N"/>
    <s v="Grupo Adidas"/>
    <s v="Adidas do Brasil Ltda"/>
    <s v="-"/>
    <s v="Gol Linhas Aereas"/>
    <n v="2149693024"/>
    <s v="FCM-OPE-SAO-PVI-BTC-CONCUR"/>
    <s v="-"/>
    <x v="275"/>
    <n v="120.57"/>
    <n v="0"/>
    <n v="0"/>
    <n v="0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3230354"/>
    <n v="23965026"/>
    <s v="ACC01"/>
    <x v="302"/>
    <d v="2025-11-17T11:30:52"/>
    <s v="06 a 08 dias"/>
    <s v="24 a 31 dias"/>
    <s v="LRYOKZT"/>
    <s v="SABRE"/>
    <s v="NUNES DE OLIVEIRA/EMERSON NUNES MR"/>
    <s v="WS"/>
    <s v="WS"/>
    <x v="297"/>
    <s v="LRYOKZ"/>
    <s v="-"/>
    <s v="ON LINE"/>
    <s v="Cartão de crédito"/>
    <s v="Cartão de crédito"/>
    <s v="Hotel"/>
    <s v="N"/>
    <s v="Grupo Adidas"/>
    <s v="Adidas do Brasil Ltda"/>
    <s v="-"/>
    <s v="Comfort Suites Alphaville"/>
    <s v="-"/>
    <s v="FCM-OPE-SAO-PVI-BTC-CONCUR"/>
    <s v="-"/>
    <x v="276"/>
    <n v="39.72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3308557"/>
    <n v="24038832"/>
    <s v="ACC01"/>
    <x v="303"/>
    <d v="2025-11-12T08:35:10"/>
    <s v="09 a 15 dias"/>
    <s v="09 a 15 dias"/>
    <n v="4625816"/>
    <s v="GOVER"/>
    <s v="FÁBIO SOARES BARBOSA"/>
    <s v="Loizy Lima de Oliveira"/>
    <s v="Loizy Lima de Oliveira"/>
    <x v="298"/>
    <n v="4625816"/>
    <s v="-"/>
    <s v="OFF LINE"/>
    <s v="Cartão de crédito"/>
    <s v="Cartão de crédito"/>
    <s v="Hotel"/>
    <s v="N"/>
    <s v="Grupo Patria"/>
    <s v="Elis Energia"/>
    <s v="-"/>
    <s v="-"/>
    <s v="-"/>
    <s v="KON-OPE-RIO-PVI-PATRIA"/>
    <s v="-"/>
    <x v="277"/>
    <n v="0"/>
    <n v="0"/>
    <n v="0"/>
    <n v="0"/>
    <n v="0"/>
    <n v="0"/>
    <s v="Reserva importada do sistema Gover. Id: 4625816"/>
    <s v="Fornecedor não preenchido! (ACC01)"/>
    <s v="GOVER"/>
    <s v="Falta de Fornecedor"/>
    <s v="Campo Fornecedor"/>
    <s v="Dados do Fornecedor"/>
    <s v="Sistêmico"/>
    <s v="GRUPO KONTIK"/>
  </r>
  <r>
    <n v="23340243"/>
    <n v="24068017"/>
    <s v="ACC01"/>
    <x v="304"/>
    <d v="2025-11-24T01:50:16"/>
    <s v="0 a 02 dias"/>
    <s v="06 a 08 dias"/>
    <s v="5THMK5"/>
    <s v="TMS"/>
    <s v="ALESANDRO SILVA"/>
    <s v="Tms"/>
    <s v="Tms"/>
    <x v="299"/>
    <n v="28210"/>
    <s v="-"/>
    <s v="OFF LINE"/>
    <s v="Invoice"/>
    <s v="Faturado"/>
    <s v="Serviço"/>
    <s v="N"/>
    <s v="Grupo Enaex"/>
    <s v="Enaex"/>
    <s v="-"/>
    <s v="-"/>
    <s v="-"/>
    <s v="KON-OPE-RIO-PVI-ENAEX"/>
    <s v="-"/>
    <x v="278"/>
    <n v="40.08"/>
    <n v="0"/>
    <n v="0"/>
    <n v="0"/>
    <n v="0"/>
    <n v="0"/>
    <s v="Reserva importada do Sistema TMS. OS: 28210"/>
    <s v="Fornecedor não preenchido! (ACC01)"/>
    <s v="ARGO(TMS)"/>
    <s v="Falta de Fornecedor"/>
    <s v="Campo Fornecedor"/>
    <s v="Dados do Fornecedor"/>
    <s v="Qualidade dos dados"/>
    <s v="KONTIK BUSINESS TRAVEL"/>
  </r>
  <r>
    <n v="23340259"/>
    <n v="24068031"/>
    <s v="ACC01"/>
    <x v="305"/>
    <d v="2025-11-24T01:50:16"/>
    <s v="0 a 02 dias"/>
    <s v="06 a 08 dias"/>
    <s v="5T7Q8T"/>
    <s v="TMS"/>
    <s v="VALDECI MARQUES"/>
    <s v="Tms"/>
    <s v="Tms"/>
    <x v="300"/>
    <n v="28187"/>
    <s v="-"/>
    <s v="OFF LINE"/>
    <s v="Invoice"/>
    <s v="Faturado"/>
    <s v="Serviço"/>
    <s v="N"/>
    <s v="Grupo Enaex"/>
    <s v="Enaex"/>
    <s v="-"/>
    <s v="-"/>
    <s v="-"/>
    <s v="KON-OPE-RIO-PVI-ENAEX"/>
    <s v="-"/>
    <x v="279"/>
    <n v="32.5"/>
    <n v="0"/>
    <n v="0"/>
    <n v="0"/>
    <n v="0"/>
    <n v="0"/>
    <s v="Reserva importada do Sistema TMS. OS: 28187"/>
    <s v="Fornecedor não preenchido! (ACC01)"/>
    <s v="ARGO(TMS)"/>
    <s v="Falta de Fornecedor"/>
    <s v="Campo Fornecedor"/>
    <s v="Dados do Fornecedor"/>
    <s v="Qualidade dos dados"/>
    <s v="KONTIK BUSINESS TRAVEL"/>
  </r>
  <r>
    <n v="23340261"/>
    <n v="24068033"/>
    <s v="ACC01"/>
    <x v="306"/>
    <d v="2025-11-24T01:50:17"/>
    <s v="0 a 02 dias"/>
    <s v="06 a 08 dias"/>
    <s v="5TO185"/>
    <s v="TMS"/>
    <s v="GILVAN SANTOS"/>
    <s v="Tms"/>
    <s v="Tms"/>
    <x v="300"/>
    <n v="28186"/>
    <s v="-"/>
    <s v="OFF LINE"/>
    <s v="Invoice"/>
    <s v="Faturado"/>
    <s v="Serviço"/>
    <s v="N"/>
    <s v="Grupo Enaex"/>
    <s v="Enaex"/>
    <s v="-"/>
    <s v="-"/>
    <s v="-"/>
    <s v="KON-OPE-RIO-PVI-ENAEX"/>
    <s v="-"/>
    <x v="279"/>
    <n v="32.5"/>
    <n v="0"/>
    <n v="0"/>
    <n v="0"/>
    <n v="0"/>
    <n v="0"/>
    <s v="Reserva importada do Sistema TMS. OS: 28186"/>
    <s v="Fornecedor não preenchido! (ACC01)"/>
    <s v="ARGO(TMS)"/>
    <s v="Falta de Fornecedor"/>
    <s v="Campo Fornecedor"/>
    <s v="Dados do Fornecedor"/>
    <s v="Qualidade dos dados"/>
    <s v="KONTIK BUSINESS TRAVEL"/>
  </r>
  <r>
    <n v="23340263"/>
    <n v="24068035"/>
    <s v="ACC01"/>
    <x v="307"/>
    <d v="2025-11-24T01:50:17"/>
    <s v="0 a 02 dias"/>
    <s v="06 a 08 dias"/>
    <s v="5T1W85"/>
    <s v="TMS"/>
    <s v="DANIEL SILVA"/>
    <s v="Tms"/>
    <s v="Tms"/>
    <x v="265"/>
    <n v="28185"/>
    <s v="-"/>
    <s v="OFF LINE"/>
    <s v="Invoice"/>
    <s v="Faturado"/>
    <s v="Serviço"/>
    <s v="N"/>
    <s v="Grupo Enaex"/>
    <s v="Enaex"/>
    <s v="-"/>
    <s v="-"/>
    <s v="-"/>
    <s v="KON-OPE-RIO-PVI-ENAEX"/>
    <s v="-"/>
    <x v="279"/>
    <n v="32.5"/>
    <n v="0"/>
    <n v="0"/>
    <n v="0"/>
    <n v="0"/>
    <n v="0"/>
    <s v="Reserva importada do Sistema TMS. OS: 28185"/>
    <s v="Fornecedor não preenchido! (ACC01)"/>
    <s v="ARGO(TMS)"/>
    <s v="Falta de Fornecedor"/>
    <s v="Campo Fornecedor"/>
    <s v="Dados do Fornecedor"/>
    <s v="Qualidade dos dados"/>
    <s v="KONTIK BUSINESS TRAVEL"/>
  </r>
  <r>
    <n v="23347936"/>
    <n v="24075315"/>
    <s v="ACC01"/>
    <x v="308"/>
    <d v="2025-11-24T01:50:18"/>
    <s v="0 a 02 dias"/>
    <s v="06 a 08 dias"/>
    <s v="5TTHTU"/>
    <s v="TMS"/>
    <s v="GUSTAVO AZEVEDO MIRANDA"/>
    <s v="Tms"/>
    <s v="Tms"/>
    <x v="301"/>
    <n v="28245"/>
    <s v="-"/>
    <s v="OFF LINE"/>
    <s v="Invoice"/>
    <s v="Faturado"/>
    <s v="Serviço"/>
    <s v="N"/>
    <s v="Grupo Enaex"/>
    <s v="Enaex"/>
    <s v="-"/>
    <s v="-"/>
    <s v="-"/>
    <s v="KON-OPE-RIO-PVI-ENAEX"/>
    <s v="-"/>
    <x v="280"/>
    <n v="27.2"/>
    <n v="0"/>
    <n v="0"/>
    <n v="0"/>
    <n v="0"/>
    <n v="0"/>
    <s v="Reserva importada do Sistema TMS. OS: 28245"/>
    <s v="Fornecedor não preenchido! (ACC01)"/>
    <s v="ARGO(TMS)"/>
    <s v="Falta de Fornecedor"/>
    <s v="Campo Fornecedor"/>
    <s v="Dados do Fornecedor"/>
    <s v="Qualidade dos dados"/>
    <s v="KONTIK BUSINESS TRAVEL"/>
  </r>
  <r>
    <n v="23366678"/>
    <n v="24092711"/>
    <s v="ACC01"/>
    <x v="309"/>
    <d v="2025-11-24T01:55:13"/>
    <s v="0 a 02 dias"/>
    <s v="03 a 05 dias"/>
    <s v="5UKSUB"/>
    <s v="TMS"/>
    <s v="WELSON SILVA"/>
    <s v="Tms"/>
    <s v="Tms"/>
    <x v="149"/>
    <n v="28289"/>
    <s v="-"/>
    <s v="OFF LINE"/>
    <s v="Invoice"/>
    <s v="Faturado"/>
    <s v="Serviço"/>
    <s v="N"/>
    <s v="Grupo Enaex"/>
    <s v="Enaex"/>
    <s v="-"/>
    <s v="-"/>
    <s v="-"/>
    <s v="KON-OPE-RIO-PVI-ENAEX"/>
    <s v="-"/>
    <x v="281"/>
    <n v="81.14"/>
    <n v="0"/>
    <n v="0"/>
    <n v="0"/>
    <n v="0"/>
    <n v="0"/>
    <s v="Reserva importada do Sistema TMS. OS: 28289"/>
    <s v="Fornecedor não preenchido! (ACC01)"/>
    <s v="ARGO(TMS)"/>
    <s v="Falta de Fornecedor"/>
    <s v="Campo Fornecedor"/>
    <s v="Dados do Fornecedor"/>
    <s v="Qualidade dos dados"/>
    <s v="KONTIK BUSINESS TRAVEL"/>
  </r>
  <r>
    <n v="23350500"/>
    <n v="24077890"/>
    <s v="ACC01"/>
    <x v="310"/>
    <d v="2025-11-18T21:31:03"/>
    <s v="06 a 08 dias"/>
    <s v="06 a 08 dias"/>
    <s v="5T27Q8"/>
    <s v="TMS"/>
    <s v="EDUARDO ROZA"/>
    <s v="Tms"/>
    <s v="Tms"/>
    <x v="302"/>
    <n v="28254"/>
    <s v="Pinhais / CWB"/>
    <s v="ON LINE"/>
    <s v="Invoice"/>
    <s v="Faturado"/>
    <s v="Carro"/>
    <s v="N"/>
    <s v="Grupo Enaex"/>
    <s v="Enaex"/>
    <s v="-"/>
    <s v="Localiza - Br - Pr - Pinhais - Centro"/>
    <s v="-"/>
    <s v="KON-OPE-RIO-PVI-ENAEX"/>
    <s v="-"/>
    <x v="282"/>
    <n v="0"/>
    <n v="0"/>
    <n v="0"/>
    <n v="0"/>
    <n v="0"/>
    <n v="0"/>
    <s v="Reserva importada do Sistema TMS. OS: 28254"/>
    <s v="Fornecedor não preenchido! (ACC01)"/>
    <s v="ARGO(TMS)"/>
    <s v="Falta de Fornecedor"/>
    <s v="Campo Fornecedor"/>
    <s v="Dados do Fornecedor"/>
    <s v="Qualidade dos dados"/>
    <s v="KONTIK BUSINESS TRAVEL"/>
  </r>
  <r>
    <n v="23368795"/>
    <n v="24094754"/>
    <s v="ACC01"/>
    <x v="311"/>
    <d v="2025-11-21T22:44:10"/>
    <s v="03 a 05 dias"/>
    <s v="03 a 05 dias"/>
    <s v="5UFTEA"/>
    <s v="TMS"/>
    <s v="PAULO MARTINS"/>
    <s v="Tms"/>
    <s v="Tms"/>
    <x v="303"/>
    <n v="28314"/>
    <s v="Salvador / SSA"/>
    <s v="ON LINE"/>
    <s v="Invoice"/>
    <s v="Faturado"/>
    <s v="Carro"/>
    <s v="N"/>
    <s v="Grupo Enaex"/>
    <s v="Enaex"/>
    <s v="-"/>
    <s v="-"/>
    <s v="-"/>
    <s v="KON-OPE-RIO-PVI-ENAEX"/>
    <s v="-"/>
    <x v="283"/>
    <n v="0"/>
    <n v="0"/>
    <n v="0"/>
    <n v="0"/>
    <n v="0"/>
    <n v="0"/>
    <s v="Reserva importada do Sistema TMS. OS: 28314"/>
    <s v="Fornecedor não preenchido! (ACC01)"/>
    <s v="ARGO(TMS)"/>
    <s v="Falta de Fornecedor"/>
    <s v="Campo Fornecedor"/>
    <s v="Dados do Fornecedor"/>
    <s v="Qualidade dos dados"/>
    <s v="KONTIK BUSINESS TRAVEL"/>
  </r>
  <r>
    <n v="23366677"/>
    <n v="24092710"/>
    <s v="ACC01"/>
    <x v="312"/>
    <d v="2025-11-21T16:41:55"/>
    <s v="03 a 05 dias"/>
    <s v="03 a 05 dias"/>
    <s v="5UU2JB"/>
    <s v="TMS"/>
    <s v="IANKA SIMÕES"/>
    <s v="Marcia Fernandes de Sousa"/>
    <s v="Marcia Fernandes de Sousa"/>
    <x v="304"/>
    <n v="28291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84"/>
    <n v="0"/>
    <n v="0"/>
    <n v="0"/>
    <n v="0"/>
    <n v="0"/>
    <n v="0"/>
    <s v="Reserva importada do Sistema TMS. OS: 28291"/>
    <s v="Fornecedor não preenchido! (ACC01)"/>
    <s v="ARGO(TMS)"/>
    <s v="Falta de Fornecedor"/>
    <s v="Campo Fornecedor"/>
    <s v="Dados do Fornecedor"/>
    <s v="Qualidade dos dados"/>
    <s v="KONTIK BUSINESS TRAVEL"/>
  </r>
  <r>
    <n v="23368805"/>
    <n v="24094764"/>
    <s v="ACC01"/>
    <x v="313"/>
    <d v="2025-11-21T22:46:20"/>
    <s v="03 a 05 dias"/>
    <s v="03 a 05 dias"/>
    <s v="5UWYCZ"/>
    <s v="TMS"/>
    <s v="JEOBANNE COELHO"/>
    <s v="Marcia Fernandes de Sousa"/>
    <s v="Marcia Fernandes de Sousa"/>
    <x v="305"/>
    <n v="27974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85"/>
    <n v="0"/>
    <n v="0"/>
    <n v="0"/>
    <n v="0"/>
    <n v="0"/>
    <n v="0"/>
    <s v="Reserva importada do Sistema TMS. OS: 27974"/>
    <s v="Fornecedor não preenchido! (ACC01)"/>
    <s v="ARGO(TMS)"/>
    <s v="Falta de Fornecedor"/>
    <s v="Campo Fornecedor"/>
    <s v="Dados do Fornecedor"/>
    <s v="Qualidade dos dados"/>
    <s v="KONTIK BUSINESS TRAVEL"/>
  </r>
  <r>
    <n v="23366681"/>
    <n v="24092714"/>
    <s v="ACC01"/>
    <x v="314"/>
    <d v="2025-11-21T16:42:22"/>
    <s v="03 a 05 dias"/>
    <s v="03 a 05 dias"/>
    <s v="5UZ3UB"/>
    <s v="TMS"/>
    <s v="GUILHERME VANZO"/>
    <s v="Marcia Fernandes de Sousa"/>
    <s v="Marcia Fernandes de Sousa"/>
    <x v="80"/>
    <n v="28261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86"/>
    <n v="0"/>
    <n v="0"/>
    <n v="0"/>
    <n v="0"/>
    <n v="0"/>
    <n v="0"/>
    <s v="Reserva importada do Sistema TMS. OS: 28261"/>
    <s v="Fornecedor não preenchido! (ACC01)"/>
    <s v="ARGO(TMS)"/>
    <s v="Falta de Fornecedor"/>
    <s v="Campo Fornecedor"/>
    <s v="Dados do Fornecedor"/>
    <s v="Qualidade dos dados"/>
    <s v="KONTIK BUSINESS TRAVEL"/>
  </r>
  <r>
    <n v="23329217"/>
    <n v="24058651"/>
    <s v="ACC01"/>
    <x v="315"/>
    <d v="2025-11-15T01:35:25"/>
    <s v="09 a 15 dias"/>
    <s v="09 a 15 dias"/>
    <s v="5T12BG"/>
    <s v="TMS"/>
    <s v="LUCAS SOUZA"/>
    <s v="Alexandre Isidio da Silva"/>
    <s v="Alexandre Isidio da Silva"/>
    <x v="306"/>
    <n v="28101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87"/>
    <n v="0"/>
    <n v="0"/>
    <n v="0"/>
    <n v="0"/>
    <n v="49.5"/>
    <n v="0"/>
    <s v="Reserva importada do Sistema TMS. OS: 28101"/>
    <s v="Fornecedor não preenchido! (ACC01)"/>
    <s v="ARGO(TMS)"/>
    <s v="Falta de Fornecedor"/>
    <s v="Campo Fornecedor"/>
    <s v="Dados do Fornecedor"/>
    <s v="Qualidade dos dados"/>
    <s v="KONTIK BUSINESS TRAVEL"/>
  </r>
  <r>
    <n v="23074121"/>
    <n v="23826271"/>
    <s v="ACC01"/>
    <x v="316"/>
    <d v="2025-10-08T20:55:33"/>
    <s v="31 dias ou +"/>
    <s v="31 dias ou +"/>
    <s v="5O5X2M"/>
    <s v="TMS"/>
    <s v="MARCOS LEITE"/>
    <s v="Deise Fernanda Franca de Souza"/>
    <s v="Deise Fernanda Franca de Souza"/>
    <x v="307"/>
    <n v="5992"/>
    <s v="-"/>
    <s v="OFF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288"/>
    <n v="0"/>
    <n v="0"/>
    <n v="0"/>
    <n v="0"/>
    <n v="0"/>
    <n v="0"/>
    <s v="Reserva importada do Sistema TMS. OS: 5992"/>
    <s v="Fornecedor não preenchido! (ACC01)"/>
    <s v="ARGO(TMS)"/>
    <s v="Falta de Fornecedor"/>
    <s v="Campo Fornecedor"/>
    <s v="Dados do Fornecedor"/>
    <s v="Qualidade dos dados"/>
    <s v="KONTIK BUSINESS TRAVEL"/>
  </r>
  <r>
    <n v="23355495"/>
    <n v="24082468"/>
    <s v="ACC01"/>
    <x v="317"/>
    <d v="2025-11-19T16:07:54"/>
    <s v="03 a 05 dias"/>
    <s v="03 a 05 dias"/>
    <s v="5T7V2N"/>
    <s v="LEMONTECH"/>
    <s v="ROCHA CERIOLLI/IZABELE"/>
    <s v="Isabela de Melo da Silva"/>
    <s v="Isabela de Melo da Silva"/>
    <x v="308"/>
    <n v="18061063"/>
    <s v="AGÊNCIA AEROPORTO - SANTAREM"/>
    <s v="OFF LINE"/>
    <s v="Invoice"/>
    <s v="Faturado"/>
    <s v="Carro"/>
    <s v="N"/>
    <s v="Grupo Biolab"/>
    <s v="Biolab Centro Administrativo - Escritorio"/>
    <s v="-"/>
    <s v="Localiza - Br - Pa - Santarem - Aldeia"/>
    <s v="-"/>
    <s v="KON-OPE-SAO-PVI-BIOLAB"/>
    <s v="-"/>
    <x v="289"/>
    <n v="0"/>
    <n v="0"/>
    <n v="0"/>
    <n v="0"/>
    <n v="0"/>
    <n v="0"/>
    <s v="Reserva importada do Sistema Lemontech. Solicitação: 18061063"/>
    <s v="Fornecedor não preenchido! (ACC01)"/>
    <s v="LEMONTECH"/>
    <s v="Falta de Fornecedor"/>
    <s v="Campo Fornecedor"/>
    <s v="Dados do Fornecedor"/>
    <s v="Qualidade dos dados"/>
    <s v="KONTIK BUSINESS TRAVEL"/>
  </r>
  <r>
    <n v="23355488"/>
    <n v="24082461"/>
    <s v="ACC01"/>
    <x v="318"/>
    <d v="2025-11-19T16:07:28"/>
    <s v="03 a 05 dias"/>
    <s v="03 a 05 dias"/>
    <s v="5T2FSL"/>
    <s v="LEMONTECH"/>
    <s v="FERNANDES DA SILVA/JULIANA"/>
    <s v="Ana Clara Saturnino Lima"/>
    <s v="Ana Clara Saturnino Lima"/>
    <x v="210"/>
    <n v="18060255"/>
    <s v="-"/>
    <s v="ON LINE"/>
    <s v="Invoice"/>
    <s v="Faturado"/>
    <s v="Hotel"/>
    <s v="N"/>
    <s v="Grupo Biolab"/>
    <s v="Biolab Centro Administrativo - Escritorio"/>
    <s v="-"/>
    <s v="-"/>
    <s v="-"/>
    <s v="KON-OPE-SAO-PVI-BIOLAB"/>
    <s v="-"/>
    <x v="290"/>
    <n v="0"/>
    <n v="0"/>
    <n v="0"/>
    <n v="0"/>
    <n v="0"/>
    <n v="0"/>
    <s v="Reserva importada do Sistema Lemontech. Solicitação: 18060255"/>
    <s v="Fornecedor não preenchido! (ACC01)"/>
    <s v="LEMONTECH"/>
    <s v="Falta de Fornecedor"/>
    <s v="Campo Fornecedor"/>
    <s v="Dados do Fornecedor"/>
    <s v="Qualidade dos dados"/>
    <s v="KONTIK BUSINESS TRAVEL"/>
  </r>
  <r>
    <n v="23364446"/>
    <n v="24090498"/>
    <s v="ACC01"/>
    <x v="319"/>
    <d v="2025-11-21T09:02:17"/>
    <s v="03 a 05 dias"/>
    <s v="03 a 05 dias"/>
    <s v="5UF0Z0"/>
    <s v="LEMONTECH"/>
    <s v="BERNARDO/RODRIGO"/>
    <s v="Maria Clara Landeira Mezavila"/>
    <s v="Maria Clara Landeira Mezavila"/>
    <x v="309"/>
    <n v="17480034"/>
    <s v="AL ARAGUAIA, 652, ALPHAVILLE "/>
    <s v="ON LINE"/>
    <s v="Invoice"/>
    <s v="Faturado"/>
    <s v="Carro"/>
    <s v="N"/>
    <s v="Grupo Biolab"/>
    <s v="Biolab Centro Administrativo - Escritorio"/>
    <s v="-"/>
    <s v="Localiza - Br - Sp - Barueri - Alphaville Industrial"/>
    <s v="-"/>
    <s v="KON-OPE-SAO-PVI-BIOLAB"/>
    <s v="-"/>
    <x v="291"/>
    <n v="54.73"/>
    <n v="158.7"/>
    <n v="0"/>
    <n v="0"/>
    <n v="0"/>
    <n v="0"/>
    <s v="Reserva importada do Sistema Lemontech. Solicitação: 17480034"/>
    <s v="Fornecedor não preenchido! (ACC01)"/>
    <s v="LEMONTECH"/>
    <s v="Falta de Fornecedor"/>
    <s v="Campo Fornecedor"/>
    <s v="Dados do Fornecedor"/>
    <s v="Qualidade dos dados"/>
    <s v="KONTIK BUSINESS TRAVEL"/>
  </r>
  <r>
    <n v="23355489"/>
    <n v="24082462"/>
    <s v="ACC01"/>
    <x v="318"/>
    <d v="2025-11-19T16:07:29"/>
    <s v="03 a 05 dias"/>
    <s v="03 a 05 dias"/>
    <s v="5TC4WL"/>
    <s v="LEMONTECH"/>
    <s v="MELIATO BARTELEGA/RICHELEY"/>
    <s v="Maria Clara Landeira Mezavila"/>
    <s v="Maria Clara Landeira Mezavila"/>
    <x v="210"/>
    <n v="18060359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2"/>
    <n v="0"/>
    <n v="0"/>
    <n v="0"/>
    <n v="0"/>
    <n v="16.13"/>
    <n v="0"/>
    <s v="Reserva importada do Sistema Lemontech. Solicitação: 18060359"/>
    <s v="Fornecedor não preenchido! (ACC01)"/>
    <s v="LEMONTECH"/>
    <s v="Falta de Fornecedor"/>
    <s v="Campo Fornecedor"/>
    <s v="Dados do Fornecedor"/>
    <s v="Qualidade dos dados"/>
    <s v="KONTIK BUSINESS TRAVEL"/>
  </r>
  <r>
    <n v="23355852"/>
    <n v="24082823"/>
    <s v="ACC01"/>
    <x v="320"/>
    <d v="2025-11-19T17:06:44"/>
    <s v="03 a 05 dias"/>
    <s v="03 a 05 dias"/>
    <s v="5TJ6XL"/>
    <s v="LEMONTECH"/>
    <s v="SILVA SANTANA/WALLAS"/>
    <s v="Maria Clara Landeira Mezavila"/>
    <s v="Maria Clara Landeira Mezavila"/>
    <x v="210"/>
    <n v="18039491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3"/>
    <n v="0"/>
    <n v="0"/>
    <n v="0"/>
    <n v="0"/>
    <n v="0"/>
    <n v="0"/>
    <s v="Reserva importada do Sistema Lemontech. Solicitação: 18039491"/>
    <s v="Fornecedor não preenchido! (ACC01)"/>
    <s v="LEMONTECH"/>
    <s v="Falta de Fornecedor"/>
    <s v="Campo Fornecedor"/>
    <s v="Dados do Fornecedor"/>
    <s v="Qualidade dos dados"/>
    <s v="KONTIK BUSINESS TRAVEL"/>
  </r>
  <r>
    <n v="23325005"/>
    <n v="24054480"/>
    <s v="ACC01"/>
    <x v="321"/>
    <d v="2025-11-14T14:06:24"/>
    <s v="09 a 15 dias"/>
    <s v="09 a 15 dias"/>
    <s v="5TD32V"/>
    <s v="LEMONTECH"/>
    <s v="FERNANDES DA SILVA/JULIANA"/>
    <s v="Fernando Augusto Santiago da Silva"/>
    <s v="Fernando Augusto Santiago da Silva"/>
    <x v="310"/>
    <n v="18021983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294"/>
    <n v="0"/>
    <n v="0"/>
    <n v="0"/>
    <n v="0"/>
    <n v="0"/>
    <n v="0"/>
    <s v="Reserva importada do Sistema Lemontech. Solicitação: 18021983"/>
    <s v="Fornecedor não preenchido! (ACC01)"/>
    <s v="LEMONTECH"/>
    <s v="Falta de Fornecedor"/>
    <s v="Campo Fornecedor"/>
    <s v="Dados do Fornecedor"/>
    <s v="Qualidade dos dados"/>
    <s v="KONTIK BUSINESS TRAVEL"/>
  </r>
  <r>
    <n v="23355868"/>
    <n v="24082840"/>
    <s v="ACC01"/>
    <x v="322"/>
    <d v="2025-11-19T17:08:36"/>
    <s v="03 a 05 dias"/>
    <s v="03 a 05 dias"/>
    <s v="5TNJXN"/>
    <s v="LEMONTECH"/>
    <s v="FERNANDES DA SILVA/JULIANA"/>
    <s v="Fernando Augusto Santiago da Silva"/>
    <s v="Fernando Augusto Santiago da Silva"/>
    <x v="311"/>
    <n v="180648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95"/>
    <n v="0"/>
    <n v="0"/>
    <n v="0"/>
    <n v="0"/>
    <n v="0"/>
    <n v="0"/>
    <s v="Reserva importada do Sistema Lemontech. Solicitação: 18064803"/>
    <s v="Fornecedor não preenchido! (ACC01)"/>
    <s v="LEMONTECH"/>
    <s v="Falta de Fornecedor"/>
    <s v="Campo Fornecedor"/>
    <s v="Dados do Fornecedor"/>
    <s v="Qualidade dos dados"/>
    <s v="KONTIK BUSINESS TRAVEL"/>
  </r>
  <r>
    <n v="23354500"/>
    <n v="24081466"/>
    <s v="ACC01"/>
    <x v="323"/>
    <d v="2025-11-19T14:46:01"/>
    <s v="03 a 05 dias"/>
    <s v="03 a 05 dias"/>
    <n v="5197274"/>
    <s v="GOVER"/>
    <s v="Marcus Vinicius Santana de Novaes"/>
    <s v="Rafaela Leitao Oliveira"/>
    <s v="Rafaela Leitao Oliveira"/>
    <x v="210"/>
    <n v="4629948"/>
    <s v="-"/>
    <s v="OFF LINE"/>
    <s v="Invoice"/>
    <s v="Faturado"/>
    <s v="Hotel"/>
    <s v="N"/>
    <s v="Grupo Tec Toy"/>
    <s v="Tec Toy"/>
    <s v="-"/>
    <s v="Brasil 21 Convention Affiliated By Melia - Inativo"/>
    <s v="-"/>
    <s v="HOT LINE - RIO DE JANEIRO"/>
    <s v="-"/>
    <x v="296"/>
    <n v="0"/>
    <n v="0"/>
    <n v="0"/>
    <n v="0"/>
    <n v="0"/>
    <n v="0"/>
    <s v="Reserva importada do sistema Gover. Id: 4629948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3354500"/>
    <n v="24081467"/>
    <s v="ACC02"/>
    <x v="323"/>
    <d v="2025-11-19T14:46:01"/>
    <s v="03 a 05 dias"/>
    <s v="03 a 05 dias"/>
    <n v="5197274"/>
    <s v="GOVER"/>
    <s v="Telma Cristina  Zago Momesso"/>
    <s v="Rafaela Leitao Oliveira"/>
    <s v="Rafaela Leitao Oliveira"/>
    <x v="210"/>
    <n v="4629948"/>
    <s v="-"/>
    <s v="OFF LINE"/>
    <s v="Invoice"/>
    <s v="Faturado"/>
    <s v="Hotel"/>
    <s v="N"/>
    <s v="Grupo Tec Toy"/>
    <s v="Tec Toy"/>
    <s v="-"/>
    <s v="Brasil 21 Convention Affiliated By Melia - Inativo"/>
    <s v="-"/>
    <s v="HOT LINE - RIO DE JANEIRO"/>
    <s v="-"/>
    <x v="296"/>
    <n v="0"/>
    <n v="0"/>
    <n v="0"/>
    <n v="0"/>
    <n v="0"/>
    <n v="0"/>
    <s v="Reserva importada do sistema Gover. Id: 4629948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3356135"/>
    <n v="24083125"/>
    <s v="ACC01"/>
    <x v="324"/>
    <d v="2025-11-21T10:36:36"/>
    <s v="03 a 05 dias"/>
    <s v="03 a 05 dias"/>
    <s v="IVXVLCT"/>
    <s v="SABRE"/>
    <s v="VALADAO/MARCUS NANTES VALADAO MR"/>
    <s v="Raquel Ribeiro Pinto Villarreal"/>
    <s v="Raquel Ribeiro Pinto Villarreal"/>
    <x v="312"/>
    <s v="IVXVLC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297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3302459"/>
    <n v="24033096"/>
    <s v="ACC01"/>
    <x v="325"/>
    <d v="2025-11-11T13:27:52"/>
    <s v="09 a 15 dias"/>
    <s v="09 a 15 dias"/>
    <s v="5RLG39"/>
    <s v="TMS"/>
    <s v="LEANDRO BEZERRA SALES"/>
    <s v="Nataly Franca Regal de Castro"/>
    <s v="Nataly Franca Regal de Castro"/>
    <x v="313"/>
    <n v="8848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98"/>
    <n v="0"/>
    <n v="0"/>
    <n v="0"/>
    <n v="0"/>
    <n v="0"/>
    <n v="0"/>
    <s v="Reserva importada do Sistema TMS. OS: 88488"/>
    <s v="Fornecedor não preenchido! (ACC01)"/>
    <s v="ARGO(TMS)"/>
    <s v="Falta de Fornecedor"/>
    <s v="Campo Fornecedor"/>
    <s v="Dados do Fornecedor"/>
    <s v="Qualidade dos dados"/>
    <s v="KONTIK BUSINESS TRAVEL"/>
  </r>
  <r>
    <n v="23273241"/>
    <n v="24005863"/>
    <s v="ACC01"/>
    <x v="326"/>
    <d v="2025-11-06T18:26:33"/>
    <s v="16 a 23 dias"/>
    <s v="16 a 23 dias"/>
    <s v="5RO10T"/>
    <s v="TMS"/>
    <s v="CARLOS HENRIQUE AZEVEDO"/>
    <s v="Nataly Franca Regal de Castro"/>
    <s v="Nataly Franca Regal de Castro"/>
    <x v="314"/>
    <n v="88019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99"/>
    <n v="0"/>
    <n v="0"/>
    <n v="0"/>
    <n v="0"/>
    <n v="0"/>
    <n v="0"/>
    <s v="Reserva importada do Sistema TMS. OS: 88019"/>
    <s v="Fornecedor não preenchido! (ACC01)"/>
    <s v="ARGO(TMS)"/>
    <s v="Falta de Fornecedor"/>
    <s v="Campo Fornecedor"/>
    <s v="Dados do Fornecedor"/>
    <s v="Qualidade dos dados"/>
    <s v="KONTIK BUSINESS TRAVEL"/>
  </r>
  <r>
    <n v="23310206"/>
    <n v="24040514"/>
    <s v="ACC01"/>
    <x v="327"/>
    <d v="2025-11-12T13:03:36"/>
    <s v="09 a 15 dias"/>
    <s v="09 a 15 dias"/>
    <s v="5TU0ZZ"/>
    <s v="TMS"/>
    <s v="ANDRADE/FLAVIO"/>
    <s v="JOSE ALEXANDRE SOARES CALDAS"/>
    <s v="JOSE ALEXANDRE SOARES CALDAS"/>
    <x v="315"/>
    <n v="88667"/>
    <s v="-"/>
    <s v="OFF LINE"/>
    <s v="Invoice"/>
    <s v="Faturado"/>
    <s v="Aéreo"/>
    <s v="N"/>
    <s v="Grupo Ocean Pact"/>
    <s v="Oceanpact Servicos Maritimos"/>
    <s v="-"/>
    <s v="Latam Airlines Brasil"/>
    <n v="2259206953"/>
    <s v="KON-OPE-RIO-POS-OCEANPACT"/>
    <s v="-"/>
    <x v="0"/>
    <n v="90.95"/>
    <n v="0"/>
    <n v="0"/>
    <n v="0"/>
    <n v="0"/>
    <n v="0"/>
    <s v="Reserva importada do Sistema TMS. OS: 88667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51884"/>
    <n v="24079169"/>
    <s v="ACC01"/>
    <x v="328"/>
    <d v="2025-11-19T03:08:03"/>
    <s v="03 a 05 dias"/>
    <s v="03 a 05 dias"/>
    <s v="5TKEC8"/>
    <s v="TMS"/>
    <s v="LUIZ SOARES PINTO"/>
    <s v="JOSE ALEXANDRE SOARES CALDAS"/>
    <s v="JOSE ALEXANDRE SOARES CALDAS"/>
    <x v="316"/>
    <n v="89331"/>
    <s v="-"/>
    <s v="OFF LINE"/>
    <s v="Invoice"/>
    <s v="Faturado"/>
    <s v="Serviço"/>
    <s v="N"/>
    <s v="Grupo Ocean Pact"/>
    <s v="Oceanpact Navegacao"/>
    <s v="-"/>
    <s v="-"/>
    <s v="-"/>
    <s v="KON-OPE-RIO-POS-OCEANPACT"/>
    <s v="-"/>
    <x v="300"/>
    <n v="0"/>
    <n v="0"/>
    <n v="0"/>
    <n v="0"/>
    <n v="0"/>
    <n v="0"/>
    <s v="Reserva importada do Sistema TMS. OS: 89331"/>
    <s v="Fornecedor não preenchido! (ACC01)"/>
    <s v="ARGO(TMS)"/>
    <s v="Falta de Fornecedor"/>
    <s v="Campo Fornecedor"/>
    <s v="Dados do Fornecedor"/>
    <s v="Qualidade dos dados"/>
    <s v="KONTIK BUSINESS TRAVEL"/>
  </r>
  <r>
    <n v="23368902"/>
    <n v="24094864"/>
    <s v="ACC01"/>
    <x v="329"/>
    <d v="2025-11-21T23:04:01"/>
    <s v="03 a 05 dias"/>
    <s v="03 a 05 dias"/>
    <s v="5UVEVQ"/>
    <s v="TMS"/>
    <s v="PAULA GENEROSO"/>
    <s v="MICHELI FERENZINI TORRES"/>
    <s v="MICHELI FERENZINI TORRES"/>
    <x v="317"/>
    <n v="89898"/>
    <s v="-"/>
    <s v="OFF LINE"/>
    <s v="Cartão de crédito"/>
    <s v="Cartão de crédito"/>
    <s v="Hotel"/>
    <s v="N"/>
    <s v="Grupo Ocean Pact"/>
    <s v="Oceanpact Servicos Maritimos"/>
    <s v="-"/>
    <s v="-"/>
    <s v="-"/>
    <s v="KON-OPE-RIO-POS-OCEANPACT"/>
    <s v="-"/>
    <x v="301"/>
    <n v="0"/>
    <n v="0"/>
    <n v="0"/>
    <n v="0"/>
    <n v="33"/>
    <n v="0"/>
    <s v="Reserva importada do Sistema TMS. OS: 89898"/>
    <s v="Fornecedor não preenchido! (ACC01)"/>
    <s v="ARGO(TMS)"/>
    <s v="Falta de Fornecedor"/>
    <s v="Campo Fornecedor"/>
    <s v="Dados do Fornecedor"/>
    <s v="Qualidade dos dados"/>
    <s v="KONTIK BUSINESS TRAVEL"/>
  </r>
  <r>
    <n v="23348137"/>
    <n v="24075531"/>
    <s v="ACC01"/>
    <x v="330"/>
    <d v="2025-11-24T01:50:18"/>
    <s v="0 a 02 dias"/>
    <s v="06 a 08 dias"/>
    <s v="5T1YH7"/>
    <s v="TMS"/>
    <s v="JOSE REGINALDO PINTO"/>
    <s v="Tms"/>
    <s v="Tms"/>
    <x v="318"/>
    <n v="8942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2"/>
    <n v="21.04"/>
    <n v="0"/>
    <n v="0"/>
    <n v="0"/>
    <n v="0"/>
    <n v="0"/>
    <s v="Reserva importada do Sistema TMS. OS: 89425"/>
    <s v="Fornecedor não preenchido! (ACC01)"/>
    <s v="ARGO(TMS)"/>
    <s v="Falta de Fornecedor"/>
    <s v="Campo Fornecedor"/>
    <s v="Dados do Fornecedor"/>
    <s v="Qualidade dos dados"/>
    <s v="KONTIK BUSINESS TRAVEL"/>
  </r>
  <r>
    <n v="23348139"/>
    <n v="24075533"/>
    <s v="ACC01"/>
    <x v="331"/>
    <d v="2025-11-24T01:50:18"/>
    <s v="0 a 02 dias"/>
    <s v="06 a 08 dias"/>
    <s v="5TCH6U"/>
    <s v="TMS"/>
    <s v="JARBAS DE SOUSA"/>
    <s v="Tms"/>
    <s v="Tms"/>
    <x v="319"/>
    <n v="8942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3"/>
    <n v="14.36"/>
    <n v="0"/>
    <n v="0"/>
    <n v="0"/>
    <n v="0"/>
    <n v="0"/>
    <s v="Reserva importada do Sistema TMS. OS: 89421"/>
    <s v="Fornecedor não preenchido! (ACC01)"/>
    <s v="ARGO(TMS)"/>
    <s v="Falta de Fornecedor"/>
    <s v="Campo Fornecedor"/>
    <s v="Dados do Fornecedor"/>
    <s v="Qualidade dos dados"/>
    <s v="KONTIK BUSINESS TRAVEL"/>
  </r>
  <r>
    <n v="23348140"/>
    <n v="24075534"/>
    <s v="ACC01"/>
    <x v="332"/>
    <d v="2025-11-24T01:50:18"/>
    <s v="0 a 02 dias"/>
    <s v="06 a 08 dias"/>
    <s v="5TVHHU"/>
    <s v="TMS"/>
    <s v="THIAGO CAMPOS"/>
    <s v="Tms"/>
    <s v="Tms"/>
    <x v="320"/>
    <n v="89420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04"/>
    <n v="29.28"/>
    <n v="0"/>
    <n v="0"/>
    <n v="0"/>
    <n v="0"/>
    <n v="0"/>
    <s v="Reserva importada do Sistema TMS. OS: 89420"/>
    <s v="Fornecedor não preenchido! (ACC01)"/>
    <s v="ARGO(TMS)"/>
    <s v="Falta de Fornecedor"/>
    <s v="Campo Fornecedor"/>
    <s v="Dados do Fornecedor"/>
    <s v="Qualidade dos dados"/>
    <s v="KONTIK BUSINESS TRAVEL"/>
  </r>
  <r>
    <n v="23348143"/>
    <n v="24075537"/>
    <s v="ACC01"/>
    <x v="333"/>
    <d v="2025-11-24T01:50:18"/>
    <s v="0 a 02 dias"/>
    <s v="06 a 08 dias"/>
    <s v="5T5HY7"/>
    <s v="TMS"/>
    <s v="THIAGO CAMPOS"/>
    <s v="Tms"/>
    <s v="Tms"/>
    <x v="321"/>
    <n v="89397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05"/>
    <n v="15.61"/>
    <n v="0"/>
    <n v="0"/>
    <n v="0"/>
    <n v="0"/>
    <n v="0"/>
    <s v="Reserva importada do Sistema TMS. OS: 89397"/>
    <s v="Fornecedor não preenchido! (ACC01)"/>
    <s v="ARGO(TMS)"/>
    <s v="Falta de Fornecedor"/>
    <s v="Campo Fornecedor"/>
    <s v="Dados do Fornecedor"/>
    <s v="Qualidade dos dados"/>
    <s v="KONTIK BUSINESS TRAVEL"/>
  </r>
  <r>
    <n v="23371892"/>
    <n v="24097207"/>
    <s v="ACC01"/>
    <x v="334"/>
    <d v="2025-11-24T02:01:04"/>
    <s v="0 a 02 dias"/>
    <s v="0 a 02 dias"/>
    <s v="5U77YA"/>
    <s v="TMS"/>
    <s v="NICOLAU KALOTT JUNIOR"/>
    <s v="Tms"/>
    <s v="Tms"/>
    <x v="322"/>
    <n v="8991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6"/>
    <n v="84.73"/>
    <n v="0"/>
    <n v="0"/>
    <n v="0"/>
    <n v="0"/>
    <n v="0"/>
    <s v="Reserva importada do Sistema TMS. OS: 89912"/>
    <s v="Fornecedor não preenchido! (ACC01)"/>
    <s v="ARGO(TMS)"/>
    <s v="Falta de Fornecedor"/>
    <s v="Campo Fornecedor"/>
    <s v="Dados do Fornecedor"/>
    <s v="Qualidade dos dados"/>
    <s v="KONTIK BUSINESS TRAVEL"/>
  </r>
  <r>
    <n v="23368928"/>
    <n v="24094888"/>
    <s v="ACC01"/>
    <x v="335"/>
    <d v="2025-11-24T02:01:02"/>
    <s v="0 a 02 dias"/>
    <s v="03 a 05 dias"/>
    <s v="5UHFFZ"/>
    <s v="TMS"/>
    <s v="ANSELMO DE JESUS"/>
    <s v="Tms"/>
    <s v="Tms"/>
    <x v="323"/>
    <n v="8987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7"/>
    <n v="12.59"/>
    <n v="0"/>
    <n v="0"/>
    <n v="0"/>
    <n v="0"/>
    <n v="0"/>
    <s v="Reserva importada do Sistema TMS. OS: 89878"/>
    <s v="Fornecedor não preenchido! (ACC01)"/>
    <s v="ARGO(TMS)"/>
    <s v="Falta de Fornecedor"/>
    <s v="Campo Fornecedor"/>
    <s v="Dados do Fornecedor"/>
    <s v="Qualidade dos dados"/>
    <s v="KONTIK BUSINESS TRAVEL"/>
  </r>
  <r>
    <n v="23368982"/>
    <n v="24094938"/>
    <s v="ACC01"/>
    <x v="336"/>
    <d v="2025-11-24T02:01:03"/>
    <s v="0 a 02 dias"/>
    <s v="03 a 05 dias"/>
    <s v="5UP8VZ"/>
    <s v="TMS"/>
    <s v="DRIELLIE DE MELO"/>
    <s v="Tms"/>
    <s v="Tms"/>
    <x v="324"/>
    <n v="89743"/>
    <s v="-"/>
    <s v="OFF LINE"/>
    <s v="Invoice"/>
    <s v="Faturado"/>
    <s v="Serviço"/>
    <s v="N"/>
    <s v="Grupo Ocean Pact"/>
    <s v="Aiuka"/>
    <s v="-"/>
    <s v="-"/>
    <s v="-"/>
    <s v="KON-OPE-RIO-POS-OCEANPACT"/>
    <s v="-"/>
    <x v="308"/>
    <n v="6.98"/>
    <n v="0"/>
    <n v="0"/>
    <n v="0"/>
    <n v="0"/>
    <n v="0"/>
    <s v="Reserva importada do Sistema TMS. OS: 89743"/>
    <s v="Fornecedor não preenchido! (ACC01)"/>
    <s v="ARGO(TMS)"/>
    <s v="Falta de Fornecedor"/>
    <s v="Campo Fornecedor"/>
    <s v="Dados do Fornecedor"/>
    <s v="Qualidade dos dados"/>
    <s v="KONTIK BUSINESS TRAVEL"/>
  </r>
  <r>
    <n v="23350692"/>
    <n v="24078082"/>
    <s v="ACC01"/>
    <x v="337"/>
    <d v="2025-11-24T01:50:19"/>
    <s v="0 a 02 dias"/>
    <s v="06 a 08 dias"/>
    <s v="5TZH28"/>
    <s v="TMS"/>
    <s v="LUIZ AMILCAR BANDEIRA"/>
    <s v="Tms"/>
    <s v="Tms"/>
    <x v="325"/>
    <n v="89513"/>
    <s v="-"/>
    <s v="OFF LINE"/>
    <s v="Invoice"/>
    <s v="Faturado"/>
    <s v="Serviço"/>
    <s v="N"/>
    <s v="Grupo Ocean Pact"/>
    <s v="Oceanpact Geociencias"/>
    <s v="-"/>
    <s v="-"/>
    <s v="-"/>
    <s v="KON-OPE-RIO-POS-OCEANPACT"/>
    <s v="-"/>
    <x v="309"/>
    <n v="6.77"/>
    <n v="0"/>
    <n v="0"/>
    <n v="0"/>
    <n v="0"/>
    <n v="0"/>
    <s v="Reserva importada do Sistema TMS. OS: 89513"/>
    <s v="Fornecedor não preenchido! (ACC01)"/>
    <s v="ARGO(TMS)"/>
    <s v="Falta de Fornecedor"/>
    <s v="Campo Fornecedor"/>
    <s v="Dados do Fornecedor"/>
    <s v="Qualidade dos dados"/>
    <s v="KONTIK BUSINESS TRAVEL"/>
  </r>
  <r>
    <n v="23350695"/>
    <n v="24078085"/>
    <s v="ACC01"/>
    <x v="338"/>
    <d v="2025-11-21T10:52:57"/>
    <s v="03 a 05 dias"/>
    <s v="06 a 08 dias"/>
    <s v="5TW6SK"/>
    <s v="TMS"/>
    <s v="BRUNO SOLEDADE BRAZ"/>
    <s v="Tms"/>
    <s v="Tms"/>
    <x v="326"/>
    <n v="89500"/>
    <s v="Salvador / SSA"/>
    <s v="ON LINE"/>
    <s v="Múltiplos"/>
    <s v="Múltiplos"/>
    <s v="Carro"/>
    <s v="N"/>
    <s v="Grupo Ocean Pact"/>
    <s v="Oceanpact Servicos Maritimos"/>
    <s v="-"/>
    <s v="Localiza - Br - Ba - Eunapolis - Centro"/>
    <s v="-"/>
    <s v="KON-OPE-RIO-POS-OCEANPACT"/>
    <s v="-"/>
    <x v="310"/>
    <n v="0"/>
    <n v="0"/>
    <n v="0"/>
    <n v="0"/>
    <n v="0"/>
    <n v="0"/>
    <s v="Reserva importada do Sistema TMS. OS: 89500"/>
    <s v="A soma das tarifas dos registros múltiplos é menor que a tarifa da accounting"/>
    <s v="ARGO(TMS)"/>
    <s v="Não identificado"/>
    <s v="Análise Benner"/>
    <s v="Sistema"/>
    <s v="Qualidade dos dados"/>
    <s v="KONTIK BUSINESS TRAVEL"/>
  </r>
  <r>
    <n v="23357745"/>
    <n v="24084749"/>
    <s v="ACC01"/>
    <x v="339"/>
    <d v="2025-11-24T01:55:11"/>
    <s v="0 a 02 dias"/>
    <s v="03 a 05 dias"/>
    <s v="5TEJ6L"/>
    <s v="TMS"/>
    <s v="LEANDRO BEZERRA SALES"/>
    <s v="Tms"/>
    <s v="Tms"/>
    <x v="327"/>
    <n v="8968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1"/>
    <n v="24.32"/>
    <n v="0"/>
    <n v="0"/>
    <n v="0"/>
    <n v="0"/>
    <n v="0"/>
    <s v="Reserva importada do Sistema TMS. OS: 89686"/>
    <s v="Fornecedor não preenchido! (ACC01)"/>
    <s v="ARGO(TMS)"/>
    <s v="Falta de Fornecedor"/>
    <s v="Campo Fornecedor"/>
    <s v="Dados do Fornecedor"/>
    <s v="Qualidade dos dados"/>
    <s v="KONTIK BUSINESS TRAVEL"/>
  </r>
  <r>
    <n v="23355090"/>
    <n v="24082071"/>
    <s v="ACC01"/>
    <x v="340"/>
    <d v="2025-11-24T01:55:08"/>
    <s v="0 a 02 dias"/>
    <s v="03 a 05 dias"/>
    <s v="5T640N"/>
    <s v="TMS"/>
    <s v="RAULISSON JOVENTINO VICENTE"/>
    <s v="Tms"/>
    <s v="Tms"/>
    <x v="328"/>
    <n v="89545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12"/>
    <n v="19.51"/>
    <n v="0"/>
    <n v="0"/>
    <n v="0"/>
    <n v="0"/>
    <n v="0"/>
    <s v="Reserva importada do Sistema TMS. OS: 89545"/>
    <s v="Fornecedor não preenchido! (ACC01)"/>
    <s v="ARGO(TMS)"/>
    <s v="Falta de Fornecedor"/>
    <s v="Campo Fornecedor"/>
    <s v="Dados do Fornecedor"/>
    <s v="Qualidade dos dados"/>
    <s v="KONTIK BUSINESS TRAVEL"/>
  </r>
  <r>
    <n v="23355091"/>
    <n v="24082072"/>
    <s v="ACC01"/>
    <x v="341"/>
    <d v="2025-11-24T01:55:08"/>
    <s v="0 a 02 dias"/>
    <s v="03 a 05 dias"/>
    <s v="5TUVP9"/>
    <s v="TMS"/>
    <s v="LUCAS BRANDAO NEVES"/>
    <s v="Tms"/>
    <s v="Tms"/>
    <x v="328"/>
    <n v="89543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07"/>
    <n v="12.59"/>
    <n v="0"/>
    <n v="0"/>
    <n v="0"/>
    <n v="0"/>
    <n v="0"/>
    <s v="Reserva importada do Sistema TMS. OS: 89543"/>
    <s v="Fornecedor não preenchido! (ACC01)"/>
    <s v="ARGO(TMS)"/>
    <s v="Falta de Fornecedor"/>
    <s v="Campo Fornecedor"/>
    <s v="Dados do Fornecedor"/>
    <s v="Qualidade dos dados"/>
    <s v="KONTIK BUSINESS TRAVEL"/>
  </r>
  <r>
    <n v="23355092"/>
    <n v="24082073"/>
    <s v="ACC01"/>
    <x v="342"/>
    <d v="2025-11-24T01:55:09"/>
    <s v="0 a 02 dias"/>
    <s v="03 a 05 dias"/>
    <s v="5T8FB9"/>
    <s v="TMS"/>
    <s v="DOUVIS DE OLIVEIRA"/>
    <s v="Tms"/>
    <s v="Tms"/>
    <x v="328"/>
    <n v="89542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13"/>
    <n v="10.88"/>
    <n v="0"/>
    <n v="0"/>
    <n v="0"/>
    <n v="0"/>
    <n v="0"/>
    <s v="Reserva importada do Sistema TMS. OS: 89542"/>
    <s v="Fornecedor não preenchido! (ACC01)"/>
    <s v="ARGO(TMS)"/>
    <s v="Falta de Fornecedor"/>
    <s v="Campo Fornecedor"/>
    <s v="Dados do Fornecedor"/>
    <s v="Qualidade dos dados"/>
    <s v="KONTIK BUSINESS TRAVEL"/>
  </r>
  <r>
    <n v="23355100"/>
    <n v="24082082"/>
    <s v="ACC01"/>
    <x v="343"/>
    <d v="2025-11-24T01:55:09"/>
    <s v="0 a 02 dias"/>
    <s v="03 a 05 dias"/>
    <s v="5TDTMN"/>
    <s v="TMS"/>
    <s v="LEONARDO PEREIRA"/>
    <s v="Tms"/>
    <s v="Tms"/>
    <x v="329"/>
    <n v="89536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14"/>
    <n v="20.24"/>
    <n v="0"/>
    <n v="0"/>
    <n v="0"/>
    <n v="0"/>
    <n v="0"/>
    <s v="Reserva importada do Sistema TMS. OS: 89536"/>
    <s v="Fornecedor não preenchido! (ACC01)"/>
    <s v="ARGO(TMS)"/>
    <s v="Falta de Fornecedor"/>
    <s v="Campo Fornecedor"/>
    <s v="Dados do Fornecedor"/>
    <s v="Qualidade dos dados"/>
    <s v="KONTIK BUSINESS TRAVEL"/>
  </r>
  <r>
    <n v="23355129"/>
    <n v="24082109"/>
    <s v="ACC01"/>
    <x v="344"/>
    <d v="2025-11-24T01:55:09"/>
    <s v="0 a 02 dias"/>
    <s v="03 a 05 dias"/>
    <s v="5TFUPO"/>
    <s v="TMS"/>
    <s v="DOUGLAS DOS SANTOS"/>
    <s v="Tms"/>
    <s v="Tms"/>
    <x v="330"/>
    <n v="8949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5"/>
    <n v="16.11"/>
    <n v="0"/>
    <n v="0"/>
    <n v="0"/>
    <n v="0"/>
    <n v="0"/>
    <s v="Reserva importada do Sistema TMS. OS: 89491"/>
    <s v="Fornecedor não preenchido! (ACC01)"/>
    <s v="ARGO(TMS)"/>
    <s v="Falta de Fornecedor"/>
    <s v="Campo Fornecedor"/>
    <s v="Dados do Fornecedor"/>
    <s v="Qualidade dos dados"/>
    <s v="KONTIK BUSINESS TRAVEL"/>
  </r>
  <r>
    <n v="23343210"/>
    <n v="24070959"/>
    <s v="ACC01"/>
    <x v="345"/>
    <d v="2025-11-24T01:50:17"/>
    <s v="0 a 02 dias"/>
    <s v="06 a 08 dias"/>
    <s v="5TY7Y6"/>
    <s v="TMS"/>
    <s v="ANTONY COSTA"/>
    <s v="Tms"/>
    <s v="Tms"/>
    <x v="331"/>
    <n v="8929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6"/>
    <n v="18.43"/>
    <n v="0"/>
    <n v="0"/>
    <n v="0"/>
    <n v="0"/>
    <n v="0"/>
    <s v="Reserva importada do Sistema TMS. OS: 89290"/>
    <s v="Fornecedor não preenchido! (ACC01)"/>
    <s v="ARGO(TMS)"/>
    <s v="Falta de Fornecedor"/>
    <s v="Campo Fornecedor"/>
    <s v="Dados do Fornecedor"/>
    <s v="Qualidade dos dados"/>
    <s v="KONTIK BUSINESS TRAVEL"/>
  </r>
  <r>
    <n v="23343252"/>
    <n v="24071002"/>
    <s v="ACC01"/>
    <x v="346"/>
    <d v="2025-11-24T01:50:17"/>
    <s v="0 a 02 dias"/>
    <s v="06 a 08 dias"/>
    <s v="5TXOY6"/>
    <s v="TMS"/>
    <s v="MARCILIA GOMES"/>
    <s v="Tms"/>
    <s v="Tms"/>
    <x v="332"/>
    <n v="89242"/>
    <s v="-"/>
    <s v="OFF LINE"/>
    <s v="Invoice"/>
    <s v="Faturado"/>
    <s v="Serviço"/>
    <s v="N"/>
    <s v="Grupo Ocean Pact"/>
    <s v="Oceanpact Logistica"/>
    <s v="-"/>
    <s v="-"/>
    <s v="-"/>
    <s v="KON-OPE-RIO-POS-OCEANPACT"/>
    <s v="-"/>
    <x v="317"/>
    <n v="17.77"/>
    <n v="0"/>
    <n v="0"/>
    <n v="0"/>
    <n v="0"/>
    <n v="0"/>
    <s v="Reserva importada do Sistema TMS. OS: 89242"/>
    <s v="Fornecedor não preenchido! (ACC01)"/>
    <s v="ARGO(TMS)"/>
    <s v="Falta de Fornecedor"/>
    <s v="Campo Fornecedor"/>
    <s v="Dados do Fornecedor"/>
    <s v="Qualidade dos dados"/>
    <s v="KONTIK BUSINESS TRAVEL"/>
  </r>
  <r>
    <n v="23348155"/>
    <n v="24075549"/>
    <s v="ACC01"/>
    <x v="347"/>
    <d v="2025-11-24T01:50:18"/>
    <s v="0 a 02 dias"/>
    <s v="06 a 08 dias"/>
    <s v="5TMJHU"/>
    <s v="TMS"/>
    <s v="JARBAS DE SOUSA"/>
    <s v="Tms"/>
    <s v="Tms"/>
    <x v="333"/>
    <n v="8938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8"/>
    <n v="16.63"/>
    <n v="0"/>
    <n v="0"/>
    <n v="0"/>
    <n v="0"/>
    <n v="0"/>
    <s v="Reserva importada do Sistema TMS. OS: 89382"/>
    <s v="Fornecedor não preenchido! (ACC01)"/>
    <s v="ARGO(TMS)"/>
    <s v="Falta de Fornecedor"/>
    <s v="Campo Fornecedor"/>
    <s v="Dados do Fornecedor"/>
    <s v="Qualidade dos dados"/>
    <s v="KONTIK BUSINESS TRAVEL"/>
  </r>
  <r>
    <n v="23348184"/>
    <n v="24075578"/>
    <s v="ACC01"/>
    <x v="348"/>
    <d v="2025-11-24T01:50:19"/>
    <s v="0 a 02 dias"/>
    <s v="06 a 08 dias"/>
    <s v="5T7KY7"/>
    <s v="TMS"/>
    <s v="ALEX MOTTA BORGES"/>
    <s v="Tms"/>
    <s v="Tms"/>
    <x v="334"/>
    <n v="8934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9"/>
    <n v="20.64"/>
    <n v="0"/>
    <n v="0"/>
    <n v="0"/>
    <n v="0"/>
    <n v="0"/>
    <s v="Reserva importada do Sistema TMS. OS: 89345"/>
    <s v="Fornecedor não preenchido! (ACC01)"/>
    <s v="ARGO(TMS)"/>
    <s v="Falta de Fornecedor"/>
    <s v="Campo Fornecedor"/>
    <s v="Dados do Fornecedor"/>
    <s v="Qualidade dos dados"/>
    <s v="KONTIK BUSINESS TRAVEL"/>
  </r>
  <r>
    <n v="23348185"/>
    <n v="24075579"/>
    <s v="ACC01"/>
    <x v="349"/>
    <d v="2025-11-24T01:50:19"/>
    <s v="0 a 02 dias"/>
    <s v="06 a 08 dias"/>
    <s v="5T8KYJ"/>
    <s v="TMS"/>
    <s v="ANTONIO PEREIRA PESSANHA"/>
    <s v="Tms"/>
    <s v="Tms"/>
    <x v="335"/>
    <n v="8934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0"/>
    <n v="7.12"/>
    <n v="0"/>
    <n v="0"/>
    <n v="0"/>
    <n v="0"/>
    <n v="0"/>
    <s v="Reserva importada do Sistema TMS. OS: 89344"/>
    <s v="Fornecedor não preenchido! (ACC01)"/>
    <s v="ARGO(TMS)"/>
    <s v="Falta de Fornecedor"/>
    <s v="Campo Fornecedor"/>
    <s v="Dados do Fornecedor"/>
    <s v="Qualidade dos dados"/>
    <s v="KONTIK BUSINESS TRAVEL"/>
  </r>
  <r>
    <n v="23348186"/>
    <n v="24075580"/>
    <s v="ACC01"/>
    <x v="350"/>
    <d v="2025-11-24T01:50:19"/>
    <s v="0 a 02 dias"/>
    <s v="06 a 08 dias"/>
    <s v="5TLKYJ"/>
    <s v="TMS"/>
    <s v="MARCO TEIXEIRA JUNIOR"/>
    <s v="Tms"/>
    <s v="Tms"/>
    <x v="335"/>
    <n v="8934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1"/>
    <n v="12.68"/>
    <n v="0"/>
    <n v="0"/>
    <n v="0"/>
    <n v="0"/>
    <n v="0"/>
    <s v="Reserva importada do Sistema TMS. OS: 89343"/>
    <s v="Fornecedor não preenchido! (ACC01)"/>
    <s v="ARGO(TMS)"/>
    <s v="Falta de Fornecedor"/>
    <s v="Campo Fornecedor"/>
    <s v="Dados do Fornecedor"/>
    <s v="Qualidade dos dados"/>
    <s v="KONTIK BUSINESS TRAVEL"/>
  </r>
  <r>
    <n v="23355069"/>
    <n v="24082050"/>
    <s v="ACC01"/>
    <x v="351"/>
    <d v="2025-11-24T01:55:05"/>
    <s v="0 a 02 dias"/>
    <s v="03 a 05 dias"/>
    <s v="5TWE0O"/>
    <s v="TMS"/>
    <s v="ISRAEL DE JESUS SANTOS"/>
    <s v="Tms"/>
    <s v="Tms"/>
    <x v="225"/>
    <n v="89568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22"/>
    <n v="12.98"/>
    <n v="0"/>
    <n v="0"/>
    <n v="0"/>
    <n v="0"/>
    <n v="0"/>
    <s v="Reserva importada do Sistema TMS. OS: 89568"/>
    <s v="Fornecedor não preenchido! (ACC01)"/>
    <s v="ARGO(TMS)"/>
    <s v="Falta de Fornecedor"/>
    <s v="Campo Fornecedor"/>
    <s v="Dados do Fornecedor"/>
    <s v="Qualidade dos dados"/>
    <s v="KONTIK BUSINESS TRAVEL"/>
  </r>
  <r>
    <n v="23355076"/>
    <n v="24082056"/>
    <s v="ACC01"/>
    <x v="352"/>
    <d v="2025-11-24T01:55:06"/>
    <s v="0 a 02 dias"/>
    <s v="03 a 05 dias"/>
    <s v="5TTDPN"/>
    <s v="TMS"/>
    <s v="LEONARDO GORCHINSKY MARQUES"/>
    <s v="Tms"/>
    <s v="Tms"/>
    <x v="225"/>
    <n v="89562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23"/>
    <n v="22.05"/>
    <n v="0"/>
    <n v="0"/>
    <n v="0"/>
    <n v="0"/>
    <n v="0"/>
    <s v="Reserva importada do Sistema TMS. OS: 89562"/>
    <s v="Fornecedor não preenchido! (ACC01)"/>
    <s v="ARGO(TMS)"/>
    <s v="Falta de Fornecedor"/>
    <s v="Campo Fornecedor"/>
    <s v="Dados do Fornecedor"/>
    <s v="Qualidade dos dados"/>
    <s v="KONTIK BUSINESS TRAVEL"/>
  </r>
  <r>
    <n v="23355082"/>
    <n v="24082063"/>
    <s v="ACC01"/>
    <x v="353"/>
    <d v="2025-11-24T01:55:07"/>
    <s v="0 a 02 dias"/>
    <s v="03 a 05 dias"/>
    <s v="5TBRPO"/>
    <s v="TMS"/>
    <s v="ERICK THURLER"/>
    <s v="Tms"/>
    <s v="Tms"/>
    <x v="336"/>
    <n v="89553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24"/>
    <n v="11.54"/>
    <n v="0"/>
    <n v="0"/>
    <n v="0"/>
    <n v="0"/>
    <n v="0"/>
    <s v="Reserva importada do Sistema TMS. OS: 89553"/>
    <s v="Fornecedor não preenchido! (ACC01)"/>
    <s v="ARGO(TMS)"/>
    <s v="Falta de Fornecedor"/>
    <s v="Campo Fornecedor"/>
    <s v="Dados do Fornecedor"/>
    <s v="Qualidade dos dados"/>
    <s v="KONTIK BUSINESS TRAVEL"/>
  </r>
  <r>
    <n v="23355084"/>
    <n v="24082065"/>
    <s v="ACC01"/>
    <x v="354"/>
    <d v="2025-11-24T01:55:07"/>
    <s v="0 a 02 dias"/>
    <s v="03 a 05 dias"/>
    <s v="5TQVP9"/>
    <s v="TMS"/>
    <s v="FAGNER AREIAS"/>
    <s v="Tms"/>
    <s v="Tms"/>
    <x v="336"/>
    <n v="89551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21"/>
    <n v="12.68"/>
    <n v="0"/>
    <n v="0"/>
    <n v="0"/>
    <n v="0"/>
    <n v="0"/>
    <s v="Reserva importada do Sistema TMS. OS: 89551"/>
    <s v="Fornecedor não preenchido! (ACC01)"/>
    <s v="ARGO(TMS)"/>
    <s v="Falta de Fornecedor"/>
    <s v="Campo Fornecedor"/>
    <s v="Dados do Fornecedor"/>
    <s v="Qualidade dos dados"/>
    <s v="KONTIK BUSINESS TRAVEL"/>
  </r>
  <r>
    <n v="23355085"/>
    <n v="24082066"/>
    <s v="ACC01"/>
    <x v="355"/>
    <d v="2025-11-24T01:55:07"/>
    <s v="0 a 02 dias"/>
    <s v="03 a 05 dias"/>
    <s v="5TSVMO"/>
    <s v="TMS"/>
    <s v="JOSUE FERREIRA"/>
    <s v="Tms"/>
    <s v="Tms"/>
    <x v="337"/>
    <n v="8954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5"/>
    <n v="8.6"/>
    <n v="0"/>
    <n v="0"/>
    <n v="0"/>
    <n v="0"/>
    <n v="0"/>
    <s v="Reserva importada do Sistema TMS. OS: 89549"/>
    <s v="Fornecedor não preenchido! (ACC01)"/>
    <s v="ARGO(TMS)"/>
    <s v="Falta de Fornecedor"/>
    <s v="Campo Fornecedor"/>
    <s v="Dados do Fornecedor"/>
    <s v="Qualidade dos dados"/>
    <s v="KONTIK BUSINESS TRAVEL"/>
  </r>
  <r>
    <n v="23355089"/>
    <n v="24082070"/>
    <s v="ACC01"/>
    <x v="356"/>
    <d v="2025-11-24T01:55:08"/>
    <s v="0 a 02 dias"/>
    <s v="03 a 05 dias"/>
    <s v="5T5VPL"/>
    <s v="TMS"/>
    <s v="JEONE FIGUEIREDO VIANA"/>
    <s v="Tms"/>
    <s v="Tms"/>
    <x v="338"/>
    <n v="8954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5"/>
    <n v="8.6"/>
    <n v="0"/>
    <n v="0"/>
    <n v="0"/>
    <n v="0"/>
    <n v="0"/>
    <s v="Reserva importada do Sistema TMS. OS: 89546"/>
    <s v="Fornecedor não preenchido! (ACC01)"/>
    <s v="ARGO(TMS)"/>
    <s v="Falta de Fornecedor"/>
    <s v="Campo Fornecedor"/>
    <s v="Dados do Fornecedor"/>
    <s v="Qualidade dos dados"/>
    <s v="KONTIK BUSINESS TRAVEL"/>
  </r>
  <r>
    <n v="23366813"/>
    <n v="24092841"/>
    <s v="ACC01"/>
    <x v="357"/>
    <d v="2025-11-24T02:00:57"/>
    <s v="0 a 02 dias"/>
    <s v="03 a 05 dias"/>
    <s v="5UN87M"/>
    <s v="TMS"/>
    <s v="ADELSON SOUZA RAMOS"/>
    <s v="Tms"/>
    <s v="Tms"/>
    <x v="339"/>
    <n v="8985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6"/>
    <n v="12.21"/>
    <n v="0"/>
    <n v="0"/>
    <n v="0"/>
    <n v="0"/>
    <n v="0"/>
    <s v="Reserva importada do Sistema TMS. OS: 89852"/>
    <s v="Fornecedor não preenchido! (ACC01)"/>
    <s v="ARGO(TMS)"/>
    <s v="Falta de Fornecedor"/>
    <s v="Campo Fornecedor"/>
    <s v="Dados do Fornecedor"/>
    <s v="Qualidade dos dados"/>
    <s v="KONTIK BUSINESS TRAVEL"/>
  </r>
  <r>
    <n v="23366814"/>
    <n v="24092842"/>
    <s v="ACC01"/>
    <x v="358"/>
    <d v="2025-11-24T02:00:58"/>
    <s v="0 a 02 dias"/>
    <s v="03 a 05 dias"/>
    <s v="5UB97M"/>
    <s v="TMS"/>
    <s v="ADELSON SOUZA RAMOS"/>
    <s v="Tms"/>
    <s v="Tms"/>
    <x v="339"/>
    <n v="8985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27"/>
    <n v="16.93"/>
    <n v="0"/>
    <n v="0"/>
    <n v="0"/>
    <n v="0"/>
    <n v="0"/>
    <s v="Reserva importada do Sistema TMS. OS: 89852"/>
    <s v="Fornecedor não preenchido! (ACC01)"/>
    <s v="ARGO(TMS)"/>
    <s v="Falta de Fornecedor"/>
    <s v="Campo Fornecedor"/>
    <s v="Dados do Fornecedor"/>
    <s v="Qualidade dos dados"/>
    <s v="KONTIK BUSINESS TRAVEL"/>
  </r>
  <r>
    <n v="23366818"/>
    <n v="24092846"/>
    <s v="ACC01"/>
    <x v="359"/>
    <d v="2025-11-21T16:59:34"/>
    <s v="03 a 05 dias"/>
    <s v="03 a 05 dias"/>
    <s v="5UCLU0"/>
    <s v="TMS"/>
    <s v="PEDRO HABIBE PEREIRA"/>
    <s v="Tms"/>
    <s v="Tms"/>
    <x v="340"/>
    <n v="89844"/>
    <s v="Porto Alegre / POA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28"/>
    <n v="0"/>
    <n v="0"/>
    <n v="0"/>
    <n v="0"/>
    <n v="0"/>
    <n v="0"/>
    <s v="Reserva importada do Sistema TMS. OS: 89844"/>
    <s v="Fornecedor não preenchido! (ACC01)"/>
    <s v="ARGO(TMS)"/>
    <s v="Falta de Fornecedor"/>
    <s v="Campo Fornecedor"/>
    <s v="Dados do Fornecedor"/>
    <s v="Qualidade dos dados"/>
    <s v="KONTIK BUSINESS TRAVEL"/>
  </r>
  <r>
    <n v="23366820"/>
    <n v="24092848"/>
    <s v="ACC01"/>
    <x v="360"/>
    <d v="2025-11-21T16:59:34"/>
    <s v="03 a 05 dias"/>
    <s v="03 a 05 dias"/>
    <s v="5UFLJP"/>
    <s v="TMS"/>
    <s v="BRUNO SOLEDADE BRAZ"/>
    <s v="Tms"/>
    <s v="Tms"/>
    <x v="341"/>
    <n v="89839"/>
    <s v="Maceio / MCZ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29"/>
    <n v="0"/>
    <n v="0"/>
    <n v="0"/>
    <n v="0"/>
    <n v="0"/>
    <n v="0"/>
    <s v="Reserva importada do Sistema TMS. OS: 89839"/>
    <s v="Fornecedor não preenchido! (ACC01)"/>
    <s v="ARGO(TMS)"/>
    <s v="Falta de Fornecedor"/>
    <s v="Campo Fornecedor"/>
    <s v="Dados do Fornecedor"/>
    <s v="Qualidade dos dados"/>
    <s v="KONTIK BUSINESS TRAVEL"/>
  </r>
  <r>
    <n v="23366888"/>
    <n v="24092918"/>
    <s v="ACC01"/>
    <x v="361"/>
    <d v="2025-11-24T02:00:58"/>
    <s v="0 a 02 dias"/>
    <s v="03 a 05 dias"/>
    <s v="5UX38B"/>
    <s v="TMS"/>
    <s v="EVANIO DE ARAUJO"/>
    <s v="Tms"/>
    <s v="Tms"/>
    <x v="342"/>
    <n v="89774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0"/>
    <n v="19.21"/>
    <n v="0"/>
    <n v="0"/>
    <n v="0"/>
    <n v="0"/>
    <n v="0"/>
    <s v="Reserva importada do Sistema TMS. OS: 89774"/>
    <s v="Fornecedor não preenchido! (ACC01)"/>
    <s v="ARGO(TMS)"/>
    <s v="Falta de Fornecedor"/>
    <s v="Campo Fornecedor"/>
    <s v="Dados do Fornecedor"/>
    <s v="Qualidade dos dados"/>
    <s v="KONTIK BUSINESS TRAVEL"/>
  </r>
  <r>
    <n v="23366908"/>
    <n v="24092934"/>
    <s v="ACC01"/>
    <x v="362"/>
    <d v="2025-11-24T02:00:59"/>
    <s v="0 a 02 dias"/>
    <s v="03 a 05 dias"/>
    <s v="5UFV80"/>
    <s v="TMS"/>
    <s v="ERICK THURLER"/>
    <s v="Tms"/>
    <s v="Tms"/>
    <x v="343"/>
    <n v="89761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1"/>
    <n v="6.87"/>
    <n v="0"/>
    <n v="0"/>
    <n v="0"/>
    <n v="0"/>
    <n v="0"/>
    <s v="Reserva importada do Sistema TMS. OS: 89761"/>
    <s v="Fornecedor não preenchido! (ACC01)"/>
    <s v="ARGO(TMS)"/>
    <s v="Falta de Fornecedor"/>
    <s v="Campo Fornecedor"/>
    <s v="Dados do Fornecedor"/>
    <s v="Qualidade dos dados"/>
    <s v="KONTIK BUSINESS TRAVEL"/>
  </r>
  <r>
    <n v="23366910"/>
    <n v="24092936"/>
    <s v="ACC01"/>
    <x v="363"/>
    <d v="2025-11-24T02:01:00"/>
    <s v="0 a 02 dias"/>
    <s v="03 a 05 dias"/>
    <s v="5UTFI0"/>
    <s v="TMS"/>
    <s v="ERICK THURLER"/>
    <s v="Tms"/>
    <s v="Tms"/>
    <x v="343"/>
    <n v="89761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2"/>
    <n v="3.54"/>
    <n v="0"/>
    <n v="0"/>
    <n v="0"/>
    <n v="0"/>
    <n v="0"/>
    <s v="Reserva importada do Sistema TMS. OS: 89761"/>
    <s v="Fornecedor não preenchido! (ACC01)"/>
    <s v="ARGO(TMS)"/>
    <s v="Falta de Fornecedor"/>
    <s v="Campo Fornecedor"/>
    <s v="Dados do Fornecedor"/>
    <s v="Qualidade dos dados"/>
    <s v="KONTIK BUSINESS TRAVEL"/>
  </r>
  <r>
    <n v="23366928"/>
    <n v="24092951"/>
    <s v="ACC01"/>
    <x v="364"/>
    <d v="2025-11-24T02:01:01"/>
    <s v="0 a 02 dias"/>
    <s v="03 a 05 dias"/>
    <s v="5UA5KB"/>
    <s v="TMS"/>
    <s v="DEIVISON SILVA"/>
    <s v="Tms"/>
    <s v="Tms"/>
    <x v="344"/>
    <n v="8975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33"/>
    <n v="18.89"/>
    <n v="0"/>
    <n v="0"/>
    <n v="0"/>
    <n v="0"/>
    <n v="0"/>
    <s v="Reserva importada do Sistema TMS. OS: 89752"/>
    <s v="Fornecedor não preenchido! (ACC01)"/>
    <s v="ARGO(TMS)"/>
    <s v="Falta de Fornecedor"/>
    <s v="Campo Fornecedor"/>
    <s v="Dados do Fornecedor"/>
    <s v="Qualidade dos dados"/>
    <s v="KONTIK BUSINESS TRAVEL"/>
  </r>
  <r>
    <n v="23366931"/>
    <n v="24092954"/>
    <s v="ACC01"/>
    <x v="365"/>
    <d v="2025-11-24T02:01:01"/>
    <s v="0 a 02 dias"/>
    <s v="03 a 05 dias"/>
    <s v="5UFG8P"/>
    <s v="TMS"/>
    <s v="DEIVISON SILVA"/>
    <s v="Tms"/>
    <s v="Tms"/>
    <x v="344"/>
    <n v="8974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12"/>
    <n v="19.51"/>
    <n v="0"/>
    <n v="0"/>
    <n v="0"/>
    <n v="0"/>
    <n v="0"/>
    <s v="Reserva importada do Sistema TMS. OS: 89747"/>
    <s v="Fornecedor não preenchido! (ACC01)"/>
    <s v="ARGO(TMS)"/>
    <s v="Falta de Fornecedor"/>
    <s v="Campo Fornecedor"/>
    <s v="Dados do Fornecedor"/>
    <s v="Qualidade dos dados"/>
    <s v="KONTIK BUSINESS TRAVEL"/>
  </r>
  <r>
    <n v="23355132"/>
    <n v="24082112"/>
    <s v="ACC01"/>
    <x v="366"/>
    <d v="2025-11-24T01:55:10"/>
    <s v="0 a 02 dias"/>
    <s v="03 a 05 dias"/>
    <s v="5T6UMN"/>
    <s v="TMS"/>
    <s v="LEONIDAS RODENBUSCH"/>
    <s v="Tms"/>
    <s v="Tms"/>
    <x v="345"/>
    <n v="89482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4"/>
    <n v="20.55"/>
    <n v="0"/>
    <n v="0"/>
    <n v="0"/>
    <n v="0"/>
    <n v="0"/>
    <s v="Reserva importada do Sistema TMS. OS: 89482"/>
    <s v="Fornecedor não preenchido! (ACC01)"/>
    <s v="ARGO(TMS)"/>
    <s v="Falta de Fornecedor"/>
    <s v="Campo Fornecedor"/>
    <s v="Dados do Fornecedor"/>
    <s v="Qualidade dos dados"/>
    <s v="KONTIK BUSINESS TRAVEL"/>
  </r>
  <r>
    <n v="23355137"/>
    <n v="24082117"/>
    <s v="ACC01"/>
    <x v="367"/>
    <d v="2025-11-24T01:55:10"/>
    <s v="0 a 02 dias"/>
    <s v="03 a 05 dias"/>
    <s v="5TL7BL"/>
    <s v="TMS"/>
    <s v="RAILSON MORES"/>
    <s v="Tms"/>
    <s v="Tms"/>
    <x v="346"/>
    <n v="89462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5"/>
    <n v="15.92"/>
    <n v="0"/>
    <n v="0"/>
    <n v="0"/>
    <n v="0"/>
    <n v="0"/>
    <s v="Reserva importada do Sistema TMS. OS: 89462"/>
    <s v="Fornecedor não preenchido! (ACC01)"/>
    <s v="ARGO(TMS)"/>
    <s v="Falta de Fornecedor"/>
    <s v="Campo Fornecedor"/>
    <s v="Dados do Fornecedor"/>
    <s v="Qualidade dos dados"/>
    <s v="KONTIK BUSINESS TRAVEL"/>
  </r>
  <r>
    <n v="23355138"/>
    <n v="24082118"/>
    <s v="ACC01"/>
    <x v="368"/>
    <d v="2025-11-24T01:55:10"/>
    <s v="0 a 02 dias"/>
    <s v="03 a 05 dias"/>
    <s v="5TM8ML"/>
    <s v="TMS"/>
    <s v="RAILSON MORES"/>
    <s v="Tms"/>
    <s v="Tms"/>
    <x v="346"/>
    <n v="89462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36"/>
    <n v="16.31"/>
    <n v="0"/>
    <n v="0"/>
    <n v="0"/>
    <n v="0"/>
    <n v="0"/>
    <s v="Reserva importada do Sistema TMS. OS: 89462"/>
    <s v="Fornecedor não preenchido! (ACC01)"/>
    <s v="ARGO(TMS)"/>
    <s v="Falta de Fornecedor"/>
    <s v="Campo Fornecedor"/>
    <s v="Dados do Fornecedor"/>
    <s v="Qualidade dos dados"/>
    <s v="KONTIK BUSINESS TRAVEL"/>
  </r>
  <r>
    <n v="23355142"/>
    <n v="24082121"/>
    <s v="ACC01"/>
    <x v="369"/>
    <d v="2025-11-24T01:55:11"/>
    <s v="0 a 02 dias"/>
    <s v="03 a 05 dias"/>
    <s v="5TQ8PL"/>
    <s v="TMS"/>
    <s v="BERNATO DAS GRAÇAS DE BRITO JUNIOR"/>
    <s v="Tms"/>
    <s v="Tms"/>
    <x v="347"/>
    <n v="89453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322"/>
    <n v="12.98"/>
    <n v="0"/>
    <n v="0"/>
    <n v="0"/>
    <n v="0"/>
    <n v="0"/>
    <s v="Reserva importada do Sistema TMS. OS: 89453"/>
    <s v="Fornecedor não preenchido! (ACC01)"/>
    <s v="ARGO(TMS)"/>
    <s v="Falta de Fornecedor"/>
    <s v="Campo Fornecedor"/>
    <s v="Dados do Fornecedor"/>
    <s v="Qualidade dos dados"/>
    <s v="KONTIK BUSINESS TRAVEL"/>
  </r>
  <r>
    <n v="23357749"/>
    <n v="24084753"/>
    <s v="ACC01"/>
    <x v="370"/>
    <d v="2025-11-24T01:55:12"/>
    <s v="0 a 02 dias"/>
    <s v="03 a 05 dias"/>
    <s v="5TJUY9"/>
    <s v="TMS"/>
    <s v="PAULO BETENCOURT SANTOS"/>
    <s v="Tms"/>
    <s v="Tms"/>
    <x v="348"/>
    <n v="89672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37"/>
    <n v="15.19"/>
    <n v="0"/>
    <n v="0"/>
    <n v="0"/>
    <n v="0"/>
    <n v="0"/>
    <s v="Reserva importada do Sistema TMS. OS: 89672"/>
    <s v="Fornecedor não preenchido! (ACC01)"/>
    <s v="ARGO(TMS)"/>
    <s v="Falta de Fornecedor"/>
    <s v="Campo Fornecedor"/>
    <s v="Dados do Fornecedor"/>
    <s v="Qualidade dos dados"/>
    <s v="KONTIK BUSINESS TRAVEL"/>
  </r>
  <r>
    <n v="23357748"/>
    <n v="24084752"/>
    <s v="ACC01"/>
    <x v="371"/>
    <d v="2025-11-24T01:55:11"/>
    <s v="0 a 02 dias"/>
    <s v="03 a 05 dias"/>
    <s v="5THJ69"/>
    <s v="TMS"/>
    <s v="EDILBERTO RIBEIRO DUARTE"/>
    <s v="Tms"/>
    <s v="Tms"/>
    <x v="348"/>
    <n v="89673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02"/>
    <n v="21.04"/>
    <n v="0"/>
    <n v="0"/>
    <n v="0"/>
    <n v="0"/>
    <n v="0"/>
    <s v="Reserva importada do Sistema TMS. OS: 89673"/>
    <s v="Fornecedor não preenchido! (ACC01)"/>
    <s v="ARGO(TMS)"/>
    <s v="Falta de Fornecedor"/>
    <s v="Campo Fornecedor"/>
    <s v="Dados do Fornecedor"/>
    <s v="Qualidade dos dados"/>
    <s v="KONTIK BUSINESS TRAVEL"/>
  </r>
  <r>
    <n v="23317951"/>
    <n v="24047592"/>
    <s v="ACC01"/>
    <x v="372"/>
    <d v="2025-11-14T03:02:37"/>
    <s v="09 a 15 dias"/>
    <s v="09 a 15 dias"/>
    <s v="HPEMKBT"/>
    <s v="SABRE"/>
    <s v="DE ANDRADE BALTIERI/BEATRIZ MISS"/>
    <s v="WS"/>
    <s v="WS"/>
    <x v="349"/>
    <s v="HPEMKB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338"/>
    <n v="3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23630"/>
    <n v="24053032"/>
    <s v="ACC01"/>
    <x v="373"/>
    <d v="2025-11-14T11:19:54"/>
    <s v="09 a 15 dias"/>
    <s v="09 a 15 dias"/>
    <s v="NBCMQDC"/>
    <s v="SABRE"/>
    <s v="GALVAO/LUCAS MR"/>
    <s v="WS"/>
    <s v="WS"/>
    <x v="350"/>
    <s v="NBCMQD"/>
    <s v="MIA"/>
    <s v="ON LINE"/>
    <s v="Invoice"/>
    <s v="Faturado"/>
    <s v="Carro"/>
    <s v="N"/>
    <s v="Grupo Sep"/>
    <s v="Sep Global Informacoes do Brasil Ltda"/>
    <s v="Cliente FEE no POS"/>
    <s v="-"/>
    <s v="-"/>
    <s v="FCM-OPE-SAO-PVI-BTC"/>
    <s v="-"/>
    <x v="339"/>
    <n v="11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15832"/>
    <n v="24045535"/>
    <s v="ACC01"/>
    <x v="374"/>
    <d v="2025-11-14T03:02:37"/>
    <s v="09 a 15 dias"/>
    <s v="09 a 15 dias"/>
    <s v="EWTLOVT"/>
    <s v="SABRE"/>
    <s v="BORDON SARAC BARRETO/PATRICIA MRS"/>
    <s v="WS"/>
    <s v="WS"/>
    <x v="351"/>
    <s v="EWTLOV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34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165548"/>
    <n v="23909377"/>
    <s v="ACC01"/>
    <x v="375"/>
    <d v="2025-10-24T03:04:27"/>
    <s v="31 dias ou +"/>
    <s v="31 dias ou +"/>
    <s v="GJPMDLT"/>
    <s v="SABRE"/>
    <s v="DE ANDRADE BALTIERI/BEATRIZ MISS"/>
    <s v="WS"/>
    <s v="WS"/>
    <x v="352"/>
    <s v="GJPMDL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3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165549"/>
    <n v="23909378"/>
    <s v="ACC01"/>
    <x v="376"/>
    <d v="2025-10-24T03:04:28"/>
    <s v="31 dias ou +"/>
    <s v="31 dias ou +"/>
    <s v="QUMDEFT"/>
    <s v="SABRE"/>
    <s v="DE ANDRADE BALTIERI/BEATRIZ MISS"/>
    <s v="WS"/>
    <s v="WS"/>
    <x v="353"/>
    <s v="QUMDEF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3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47986"/>
    <n v="24075375"/>
    <s v="ACC01"/>
    <x v="377"/>
    <d v="2025-11-18T15:01:40"/>
    <s v="06 a 08 dias"/>
    <s v="06 a 08 dias"/>
    <s v="5TBM6J"/>
    <s v="TMS"/>
    <s v="KOSAKA/SATOSHI"/>
    <s v="Cintya Cocco Figueiredo"/>
    <s v="Cintya Cocco Figueiredo"/>
    <x v="354"/>
    <n v="6241"/>
    <s v="-"/>
    <s v="OFF LINE"/>
    <s v="Invoice"/>
    <s v="Faturado"/>
    <s v="Aéreo"/>
    <s v="N"/>
    <s v="Grupo Hpe"/>
    <s v="Hpe Automotores - Catalao"/>
    <s v="-"/>
    <s v="Gol Linhas Aereas"/>
    <n v="1928690314"/>
    <s v="KON-OPE-SAO-PVI-BTC-ARGO"/>
    <s v="-"/>
    <x v="0"/>
    <n v="165"/>
    <n v="0"/>
    <n v="0"/>
    <n v="0"/>
    <n v="0"/>
    <n v="0"/>
    <s v="Reserva importada do Sistema TMS. OS: 624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47987"/>
    <n v="24075376"/>
    <s v="ACC01"/>
    <x v="378"/>
    <d v="2025-11-18T15:01:42"/>
    <s v="06 a 08 dias"/>
    <s v="06 a 08 dias"/>
    <s v="5TZPH7"/>
    <s v="TMS"/>
    <s v="KOSAKA/SATOSHI"/>
    <s v="Cintya Cocco Figueiredo"/>
    <s v="Cintya Cocco Figueiredo"/>
    <x v="354"/>
    <n v="6241"/>
    <s v="-"/>
    <s v="OFF LINE"/>
    <s v="Invoice"/>
    <s v="Faturado"/>
    <s v="Aéreo"/>
    <s v="N"/>
    <s v="Grupo Hpe"/>
    <s v="Hpe Automotores - Catalao"/>
    <s v="-"/>
    <s v="Gol Linhas Aereas"/>
    <n v="1928690315"/>
    <s v="KON-OPE-SAO-PVI-BTC-ARGO"/>
    <s v="-"/>
    <x v="0"/>
    <n v="165"/>
    <n v="0"/>
    <n v="0"/>
    <n v="0"/>
    <n v="0"/>
    <n v="0"/>
    <s v="Reserva importada do Sistema TMS. OS: 624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61370"/>
    <n v="24087942"/>
    <s v="ACC01"/>
    <x v="379"/>
    <d v="2025-11-21T09:05:38"/>
    <s v="03 a 05 dias"/>
    <s v="03 a 05 dias"/>
    <s v="5UYPMB"/>
    <s v="TMS"/>
    <s v="LEANDRO DOUGLAS ALVE SILVA E VASCONCELLOS"/>
    <s v="Tms"/>
    <s v="Tms"/>
    <x v="355"/>
    <n v="6259"/>
    <s v="São Paulo / SAO"/>
    <s v="ON LINE"/>
    <s v="Invoice"/>
    <s v="Faturado"/>
    <s v="Carro"/>
    <s v="S"/>
    <s v="Grupo Hpe"/>
    <s v="Hpe Automotores - Sao Paulo"/>
    <s v="-"/>
    <s v="Localiza - Br - Sp - Guarulhos - Aeroporto"/>
    <s v="-"/>
    <s v="KON-OPE-SAO-PVI-BTC-ARGO"/>
    <s v="-"/>
    <x v="343"/>
    <n v="0"/>
    <n v="0"/>
    <n v="0"/>
    <n v="0"/>
    <n v="0"/>
    <n v="0"/>
    <s v="Reserva importada do Sistema TMS. OS: 6259"/>
    <s v="Fornecedor não preenchido! (ACC01)"/>
    <s v="ARGO(TMS)"/>
    <s v="Falta de Fornecedor"/>
    <s v="Campo Fornecedor"/>
    <s v="Dados do Fornecedor"/>
    <s v="Qualidade dos dados"/>
    <s v="KONTIK BUSINESS TRAVEL"/>
  </r>
  <r>
    <n v="23361373"/>
    <n v="24087945"/>
    <s v="ACC01"/>
    <x v="380"/>
    <d v="2025-11-21T09:05:39"/>
    <s v="03 a 05 dias"/>
    <s v="03 a 05 dias"/>
    <s v="5U7PB0"/>
    <s v="TMS"/>
    <s v="FABRICIUS CAMPIELLO"/>
    <s v="Tms"/>
    <s v="Tms"/>
    <x v="355"/>
    <n v="6258"/>
    <s v="São Paulo / SAO"/>
    <s v="ON LINE"/>
    <s v="Invoice"/>
    <s v="Faturado"/>
    <s v="Carro"/>
    <s v="S"/>
    <s v="Grupo Hpe"/>
    <s v="Hpe Automotores - Sao Paulo"/>
    <s v="-"/>
    <s v="Localiza - Br - Sp - Guarulhos - Aeroporto"/>
    <s v="-"/>
    <s v="KON-OPE-SAO-PVI-BTC-ARGO"/>
    <s v="-"/>
    <x v="343"/>
    <n v="0"/>
    <n v="0"/>
    <n v="0"/>
    <n v="0"/>
    <n v="0"/>
    <n v="0"/>
    <s v="Reserva importada do Sistema TMS. OS: 6258"/>
    <s v="Fornecedor não preenchido! (ACC01)"/>
    <s v="ARGO(TMS)"/>
    <s v="Falta de Fornecedor"/>
    <s v="Campo Fornecedor"/>
    <s v="Dados do Fornecedor"/>
    <s v="Qualidade dos dados"/>
    <s v="KONTIK BUSINESS TRAVEL"/>
  </r>
  <r>
    <n v="23352978"/>
    <n v="24079965"/>
    <s v="ACC01"/>
    <x v="381"/>
    <d v="2025-11-19T09:07:07"/>
    <s v="03 a 05 dias"/>
    <s v="03 a 05 dias"/>
    <n v="20889419"/>
    <s v="GOVER"/>
    <s v="CIBELLE REGINA GOMES ORTIZ"/>
    <s v="Gover"/>
    <s v="Gover"/>
    <x v="356"/>
    <n v="4629617"/>
    <s v="-"/>
    <s v="ON LINE"/>
    <s v="Cartão de crédito"/>
    <s v="Cartão de crédito"/>
    <s v="Hotel"/>
    <s v="N"/>
    <s v="Grupo Arcadis"/>
    <s v="Arcadis"/>
    <s v="-"/>
    <s v="Ibis Vitoria Praia do Canto"/>
    <s v="-"/>
    <s v="-"/>
    <s v="-"/>
    <x v="344"/>
    <n v="23.15"/>
    <n v="0"/>
    <n v="0"/>
    <n v="0"/>
    <n v="0"/>
    <n v="0"/>
    <s v="Reserva importada do sistema Gover. Id: 4629617"/>
    <s v="Canal de venda não preenchido! (ACC01)"/>
    <s v="GOVER"/>
    <s v="Canal de venda"/>
    <s v="Falta de informação Gerencial"/>
    <s v="Dados do Fornecedor"/>
    <s v="Qualidade dos dados"/>
    <s v="KONTIK BUSINESS TRAVEL"/>
  </r>
  <r>
    <n v="23352778"/>
    <n v="24079786"/>
    <s v="ACC01"/>
    <x v="382"/>
    <d v="2025-11-19T13:05:31"/>
    <s v="03 a 05 dias"/>
    <s v="03 a 05 dias"/>
    <n v="20887560"/>
    <s v="GOVER"/>
    <s v="Ana DE SOUSA"/>
    <s v="Gover"/>
    <s v="Gover"/>
    <x v="357"/>
    <n v="4628729"/>
    <s v="-"/>
    <s v="OFF LINE"/>
    <s v="Invoice"/>
    <s v="Faturado"/>
    <s v="Hotel"/>
    <s v="N"/>
    <s v="Grupo Arcadis"/>
    <s v="Arcadis"/>
    <s v="-"/>
    <s v="Holiday Inn Belo Horizonte Savassi"/>
    <s v="-"/>
    <s v="-"/>
    <s v="-"/>
    <x v="345"/>
    <n v="94.25"/>
    <n v="0"/>
    <n v="0"/>
    <n v="0"/>
    <n v="0"/>
    <n v="0"/>
    <s v="Reserva importada do sistema Gover. Id: 4628729"/>
    <s v="Canal de venda não preenchido! (ACC01)"/>
    <s v="GOVER"/>
    <s v="Canal de venda"/>
    <s v="Falta de informação Gerencial"/>
    <s v="Dados do Fornecedor"/>
    <s v="Qualidade dos dados"/>
    <s v="KONTIK BUSINESS TRAVEL"/>
  </r>
  <r>
    <n v="23354042"/>
    <n v="24081038"/>
    <s v="ACC01"/>
    <x v="383"/>
    <d v="2025-11-19T13:05:46"/>
    <s v="03 a 05 dias"/>
    <s v="03 a 05 dias"/>
    <s v="AV8DWX5W26A"/>
    <s v="GOVER"/>
    <s v="Stephanie FERREIRA LOBATO NOBRE"/>
    <s v="Ana Carolina da Silva"/>
    <s v="Ana Carolina da Silva"/>
    <x v="358"/>
    <n v="4627872"/>
    <s v="Localiza - Br - Sp - Sao Paulo - Vila Andrade-Shop Endereço: Avenida Giovanni Gronchi, 5930"/>
    <s v="OFF LINE"/>
    <s v="Invoice"/>
    <s v="Faturado"/>
    <s v="Carro"/>
    <s v="N"/>
    <s v="Grupo Arcadis"/>
    <s v="Arcadis"/>
    <s v="-"/>
    <s v="Localiza - Br - Sp - Sao Paulo - Vila Andrade-shopping Morumbi Town"/>
    <s v="-"/>
    <s v="FCM-OPE-SAO-PVI-ARCADIS"/>
    <s v="-"/>
    <x v="346"/>
    <n v="0"/>
    <n v="0"/>
    <n v="0"/>
    <n v="0"/>
    <n v="0"/>
    <n v="0"/>
    <s v="Reserva importada do sistema Gover. Id: 4627872"/>
    <s v="Fornecedor não preenchido! (ACC01)"/>
    <s v="GOVER"/>
    <s v="Falta de Fornecedor"/>
    <s v="Campo Fornecedor"/>
    <s v="Dados do Fornecedor"/>
    <s v="Qualidade dos dados"/>
    <s v="KONTIK BUSINESS TRAVEL"/>
  </r>
  <r>
    <n v="23338953"/>
    <n v="24066731"/>
    <s v="ACC01"/>
    <x v="384"/>
    <d v="2025-11-17T11:16:13"/>
    <s v="06 a 08 dias"/>
    <s v="06 a 08 dias"/>
    <s v="BB27029776-29153915"/>
    <s v="GOVER"/>
    <s v="Andreza ARRUDA VIOTTO S APOSTOLICO"/>
    <s v="Ana Carolina da Silva"/>
    <s v="Ana Carolina da Silva"/>
    <x v="359"/>
    <n v="4590241"/>
    <s v="-"/>
    <s v="OFF LINE"/>
    <s v="Invoice"/>
    <s v="Faturado"/>
    <s v="Hotel"/>
    <s v="N"/>
    <s v="Grupo Arcadis"/>
    <s v="Arcadis"/>
    <s v="-"/>
    <s v="-"/>
    <s v="-"/>
    <s v="FCM-OPE-SAO-PVI-ARCADIS"/>
    <s v="-"/>
    <x v="347"/>
    <n v="0"/>
    <n v="0"/>
    <n v="0"/>
    <n v="0"/>
    <n v="0"/>
    <n v="0"/>
    <s v="Reserva importada do sistema Gover. Id: 4590241"/>
    <s v="Fornecedor não preenchido! (ACC01)"/>
    <s v="GOVER"/>
    <s v="Falta de Fornecedor"/>
    <s v="Campo Fornecedor"/>
    <s v="Dados do Fornecedor"/>
    <s v="Sistêmico"/>
    <s v="GRUPO KONTIK"/>
  </r>
  <r>
    <n v="23266636"/>
    <n v="23999155"/>
    <s v="ACC01"/>
    <x v="385"/>
    <d v="2025-11-06T13:15:59"/>
    <s v="16 a 23 dias"/>
    <s v="16 a 23 dias"/>
    <s v="5REOJC"/>
    <s v="TMS"/>
    <s v="TIAGO MONTEIRO"/>
    <s v="Ariane de Sousa Farias"/>
    <s v="Ariane de Sousa Farias"/>
    <x v="360"/>
    <n v="94375"/>
    <s v="-"/>
    <s v="OFF LINE"/>
    <s v="Pagamento direto"/>
    <s v="Pagamento direto"/>
    <s v="Hotel"/>
    <s v="N"/>
    <s v="Grupo Ache"/>
    <s v="Ache Laboratorios Farmaceuticos Sa"/>
    <s v="-"/>
    <s v="FORMOSA HOTEL LTDA"/>
    <s v="-"/>
    <s v="KON-OPE-SAO-PVI-ACHE"/>
    <s v="-"/>
    <x v="175"/>
    <n v="0"/>
    <n v="0"/>
    <n v="0"/>
    <n v="0"/>
    <n v="0"/>
    <n v="0"/>
    <s v="Reserva importada do Sistema TMS. OS: 94375"/>
    <s v="Não foi possível encontrar um contrato válido para o fornecedor 728825 (Código fornecedor) "/>
    <s v="ARGO(TMS)"/>
    <s v="Contrato de fornecedor"/>
    <s v="Análise Cadastro"/>
    <s v="Dados do Fornecedor"/>
    <s v="Qualidade dos dados"/>
    <s v="KONTIK BUSINESS TRAVEL"/>
  </r>
  <r>
    <n v="23324417"/>
    <n v="24053900"/>
    <s v="ACC01"/>
    <x v="386"/>
    <d v="2025-11-17T06:05:31"/>
    <s v="06 a 08 dias"/>
    <s v="09 a 15 dias"/>
    <s v="5TI5LC"/>
    <s v="TMS"/>
    <s v="LAIS CRUZ"/>
    <s v="BEATRYZ DA SILVA COSTA"/>
    <s v="BEATRYZ DA SILVA COSTA"/>
    <x v="361"/>
    <n v="96293"/>
    <s v="-"/>
    <s v="OFF LINE"/>
    <s v="Pagamento direto"/>
    <s v="Pagamento direto"/>
    <s v="Hotel"/>
    <s v="N"/>
    <s v="Grupo Ache"/>
    <s v="Ache Laboratorios Farmaceuticos Sa"/>
    <s v="-"/>
    <s v="FORMOSA HOTEL LTDA"/>
    <s v="-"/>
    <s v="KON-OPE-SAO-PVI-ACHE"/>
    <s v="-"/>
    <x v="175"/>
    <n v="0"/>
    <n v="0"/>
    <n v="0"/>
    <n v="0"/>
    <n v="0"/>
    <n v="0"/>
    <s v="Reserva importada do Sistema TMS. OS: 96293"/>
    <s v="Não foi possível encontrar um contrato válido para o fornecedor 728825 (Código fornecedor) "/>
    <s v="ARGO(TMS)"/>
    <s v="Contrato de fornecedor"/>
    <s v="Análise Cadastro"/>
    <s v="Dados do Fornecedor"/>
    <s v="Qualidade dos dados"/>
    <s v="KONTIK BUSINESS TRAVEL"/>
  </r>
  <r>
    <n v="23314260"/>
    <n v="24044397"/>
    <s v="ACC01"/>
    <x v="387"/>
    <d v="2025-11-13T00:51:05"/>
    <s v="09 a 15 dias"/>
    <s v="09 a 15 dias"/>
    <s v="5T1NBX"/>
    <s v="TMS"/>
    <s v="SOUZA/ELDER"/>
    <s v="Juliana dos Santos Pinto"/>
    <s v="Juliana dos Santos Pinto"/>
    <x v="362"/>
    <n v="95803"/>
    <s v="-"/>
    <s v="OFF LINE"/>
    <s v="Cartão de crédito"/>
    <s v="Cartão de crédito"/>
    <s v="Aéreo"/>
    <s v="N"/>
    <s v="Grupo Ache"/>
    <s v="Ache Laboratorios Farmaceuticos Sa"/>
    <s v="-"/>
    <s v="Azul Linhas Aereas"/>
    <n v="3024044397"/>
    <s v="KON-OPE-SAO-PVI-ACHE"/>
    <s v="-"/>
    <x v="0"/>
    <n v="200"/>
    <n v="0"/>
    <n v="0"/>
    <n v="0"/>
    <n v="0"/>
    <n v="0"/>
    <s v="Reserva importada do Sistema TMS. OS: 95803"/>
    <s v="Empenho/departamento não preenchido! (ACC01)"/>
    <s v="ARGO(TMS)"/>
    <s v="Empenho/departamento"/>
    <s v="Falta de informação Gerencial"/>
    <s v="Dados do Fornecedor"/>
    <s v="Qualidade dos dados"/>
    <s v="GRUPO KONTIK"/>
  </r>
  <r>
    <n v="23188284"/>
    <n v="23926221"/>
    <s v="ACC01"/>
    <x v="388"/>
    <d v="2025-10-24T18:36:12"/>
    <s v="31 dias ou +"/>
    <s v="31 dias ou +"/>
    <s v="5Q0ETP"/>
    <s v="TMS"/>
    <s v="SILVA/CINTIA PAULA"/>
    <s v="Jessica Soares Teixeira"/>
    <s v="Jessica Soares Teixeira"/>
    <x v="363"/>
    <n v="93360"/>
    <s v="-"/>
    <s v="OFF LINE"/>
    <s v="Cartão de crédito"/>
    <s v="Cartão de crédito"/>
    <s v="Aéreo"/>
    <s v="N"/>
    <s v="Grupo Ache"/>
    <s v="Ache Laboratorios Farmaceuticos Sa"/>
    <s v="-"/>
    <s v="Latam Airlines Brasil"/>
    <n v="4459890719"/>
    <s v="KON-OPE-SAO-PVI-ACHE"/>
    <s v="-"/>
    <x v="0"/>
    <n v="175"/>
    <n v="0"/>
    <n v="0"/>
    <n v="0"/>
    <n v="0"/>
    <n v="0"/>
    <s v="Reserva importada do Sistema TMS. OS: 9336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68489"/>
    <n v="24094451"/>
    <s v="ACC01"/>
    <x v="389"/>
    <d v="2025-11-21T21:45:56"/>
    <s v="03 a 05 dias"/>
    <s v="03 a 05 dias"/>
    <s v="5U8UAA"/>
    <s v="TMS"/>
    <s v="PATRICIA ANJOS"/>
    <s v="Tms"/>
    <s v="Tms"/>
    <x v="364"/>
    <n v="96910"/>
    <s v="-"/>
    <s v="ON LINE"/>
    <s v="Invoice"/>
    <s v="Faturado"/>
    <s v="Hotel"/>
    <s v="N"/>
    <s v="Grupo Ache"/>
    <s v="Ache Laboratorios Farmaceuticos Sa"/>
    <s v="-"/>
    <s v="-"/>
    <s v="-"/>
    <s v="KON-OPE-SAO-PVI-ACHE"/>
    <s v="-"/>
    <x v="348"/>
    <n v="0"/>
    <n v="0"/>
    <n v="0"/>
    <n v="0"/>
    <n v="0"/>
    <n v="0"/>
    <s v="Reserva importada do Sistema TMS. OS: 96910"/>
    <s v="Fornecedor não preenchido! (ACC01)"/>
    <s v="ARGO(TMS)"/>
    <s v="Falta de Fornecedor"/>
    <s v="Campo Fornecedor"/>
    <s v="Dados do Fornecedor"/>
    <s v="Sistêmico"/>
    <s v="GRUPO KONTIK"/>
  </r>
  <r>
    <n v="23327106"/>
    <n v="24056716"/>
    <s v="ACC01"/>
    <x v="390"/>
    <d v="2025-11-14T19:26:37"/>
    <s v="09 a 15 dias"/>
    <s v="09 a 15 dias"/>
    <s v="5TKIFR"/>
    <s v="TMS"/>
    <s v="MORAES/BARBARA"/>
    <s v="Ellen da Conceicao"/>
    <s v="Ellen da Conceicao"/>
    <x v="365"/>
    <n v="96444"/>
    <s v="-"/>
    <s v="OFF LINE"/>
    <s v="Cartão de crédito"/>
    <s v="Cartão de crédito"/>
    <s v="Aéreo"/>
    <s v="N"/>
    <s v="Grupo Ache"/>
    <s v="Ache Laboratorios Farmaceuticos Sa"/>
    <s v="-"/>
    <s v="Gol Linhas Aereas"/>
    <n v="4435061904"/>
    <s v="KON-OPE-SAO-PVI-ACHE"/>
    <s v="-"/>
    <x v="0"/>
    <n v="130.2"/>
    <n v="0"/>
    <n v="0"/>
    <n v="0"/>
    <n v="0"/>
    <n v="0"/>
    <s v="Reserva importada do Sistema TMS. OS: 96444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27108"/>
    <n v="24056718"/>
    <s v="ACC01"/>
    <x v="391"/>
    <d v="2025-11-14T19:26:38"/>
    <s v="09 a 15 dias"/>
    <s v="09 a 15 dias"/>
    <s v="5TLIR4"/>
    <s v="TMS"/>
    <s v="MORAES/BARBARA"/>
    <s v="Ellen da Conceicao"/>
    <s v="Ellen da Conceicao"/>
    <x v="365"/>
    <n v="96444"/>
    <s v="-"/>
    <s v="OFF LINE"/>
    <s v="Cartão de crédito"/>
    <s v="Cartão de crédito"/>
    <s v="Aéreo"/>
    <s v="N"/>
    <s v="Grupo Ache"/>
    <s v="Ache Laboratorios Farmaceuticos Sa"/>
    <s v="-"/>
    <s v="Gol Linhas Aereas"/>
    <n v="3024056716"/>
    <s v="KON-OPE-SAO-PVI-ACHE"/>
    <s v="-"/>
    <x v="0"/>
    <n v="0"/>
    <n v="0"/>
    <n v="0"/>
    <n v="0"/>
    <n v="0"/>
    <n v="0"/>
    <s v="Reserva importada do Sistema TMS. OS: 96444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63635"/>
    <n v="23996095"/>
    <s v="ACC01"/>
    <x v="392"/>
    <d v="2025-11-05T16:28:00"/>
    <s v="16 a 23 dias"/>
    <s v="16 a 23 dias"/>
    <s v="5R4LPE"/>
    <s v="TMS"/>
    <s v="FERNANDES DE PAIVA/MARCELO"/>
    <s v="Ellen da Conceicao"/>
    <s v="Ellen da Conceicao"/>
    <x v="366"/>
    <n v="95099"/>
    <s v="-"/>
    <s v="OFF LINE"/>
    <s v="Invoice"/>
    <s v="Faturado"/>
    <s v="Aéreo"/>
    <s v="N"/>
    <s v="Grupo Ache"/>
    <s v="Ache Laboratorios Farmaceuticos Sa"/>
    <s v="-"/>
    <s v="Gol Linhas Aereas"/>
    <n v="4434747543"/>
    <s v="KON-OPE-SAO-PVI-ACHE"/>
    <s v="-"/>
    <x v="0"/>
    <n v="42.5"/>
    <n v="0"/>
    <n v="0"/>
    <n v="0"/>
    <n v="0"/>
    <n v="0"/>
    <s v="Reserva importada do Sistema TMS. OS: 95099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50100"/>
    <n v="23983129"/>
    <s v="ACC01"/>
    <x v="393"/>
    <d v="2025-11-03T21:55:50"/>
    <s v="16 a 23 dias"/>
    <s v="16 a 23 dias"/>
    <s v="5RGCV0"/>
    <s v="TMS"/>
    <s v="MARINO/JOSE"/>
    <s v="Ellen da Conceicao"/>
    <s v="Ellen da Conceicao"/>
    <x v="367"/>
    <n v="94707"/>
    <s v="-"/>
    <s v="OFF LINE"/>
    <s v="Cartão de crédito"/>
    <s v="Cartão de crédito"/>
    <s v="Aéreo"/>
    <s v="N"/>
    <s v="Grupo Ache"/>
    <s v="Ache Laboratorios Farmaceuticos Sa"/>
    <s v="-"/>
    <s v="Gol Linhas Aereas"/>
    <n v="4434685591"/>
    <s v="KON-OPE-SAO-PVI-ACHE"/>
    <s v="-"/>
    <x v="0"/>
    <n v="42.5"/>
    <n v="0"/>
    <n v="0"/>
    <n v="0"/>
    <n v="0"/>
    <n v="0"/>
    <s v="Reserva importada do Sistema TMS. OS: 94707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188352"/>
    <n v="23926291"/>
    <s v="ACC01"/>
    <x v="394"/>
    <d v="2025-10-24T18:37:07"/>
    <s v="31 dias ou +"/>
    <s v="31 dias ou +"/>
    <s v="5Q4KTP"/>
    <s v="TMS"/>
    <s v="FERNANDES DE PAIVA/MARCELO"/>
    <s v="Ellen da Conceicao"/>
    <s v="Ellen da Conceicao"/>
    <x v="368"/>
    <n v="92926"/>
    <s v="-"/>
    <s v="OFF LINE"/>
    <s v="Cartão de crédito"/>
    <s v="Cartão de crédito"/>
    <s v="Aéreo"/>
    <s v="N"/>
    <s v="Grupo Ache"/>
    <s v="Ache Laboratorios Farmaceuticos Sa"/>
    <s v="-"/>
    <s v="Azul Linhas Aereas"/>
    <n v="3023926291"/>
    <s v="KON-OPE-SAO-PVI-ACHE"/>
    <s v="-"/>
    <x v="0"/>
    <n v="0"/>
    <n v="0"/>
    <n v="0"/>
    <n v="0"/>
    <n v="0"/>
    <n v="0"/>
    <s v="Reserva importada do Sistema TMS. OS: 92926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66568"/>
    <n v="23999087"/>
    <s v="ACC01"/>
    <x v="395"/>
    <d v="2025-11-05T22:31:27"/>
    <s v="16 a 23 dias"/>
    <s v="16 a 23 dias"/>
    <s v="5R3R73"/>
    <s v="TMS"/>
    <s v="BOTINHAO/ANDREIA"/>
    <s v="Ellen da Conceicao"/>
    <s v="Ellen da Conceicao"/>
    <x v="369"/>
    <n v="95178"/>
    <s v="-"/>
    <s v="OFF LINE"/>
    <s v="Cartão de crédito"/>
    <s v="Cartão de crédito"/>
    <s v="Aéreo"/>
    <s v="N"/>
    <s v="Grupo Ache"/>
    <s v="Ache Laboratorios Farmaceuticos Sa"/>
    <s v="-"/>
    <s v="Azul Linhas Aereas"/>
    <n v="3023999085"/>
    <s v="KON-OPE-SAO-PVI-ACHE"/>
    <s v="-"/>
    <x v="0"/>
    <n v="90"/>
    <n v="0"/>
    <n v="0"/>
    <n v="0"/>
    <n v="0"/>
    <n v="0"/>
    <s v="Reserva importada do Sistema TMS. OS: 9517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350191"/>
    <n v="24077585"/>
    <s v="ACC01"/>
    <x v="396"/>
    <d v="2025-11-18T20:46:32"/>
    <s v="06 a 08 dias"/>
    <s v="06 a 08 dias"/>
    <s v="5T8W0I"/>
    <s v="TMS"/>
    <s v="PORCINO/ANA"/>
    <s v="Ellen da Conceicao"/>
    <s v="Ellen da Conceicao"/>
    <x v="370"/>
    <n v="96730"/>
    <s v="-"/>
    <s v="OFF LINE"/>
    <s v="Cartão de crédito"/>
    <s v="Cartão de crédito"/>
    <s v="Aéreo"/>
    <s v="N"/>
    <s v="Grupo Ache"/>
    <s v="Ache Laboratorios Farmaceuticos Sa"/>
    <s v="-"/>
    <s v="Gol Linhas Aereas"/>
    <n v="4435188165"/>
    <s v="KON-OPE-SAO-PVI-ACHE"/>
    <s v="-"/>
    <x v="0"/>
    <n v="75.2"/>
    <n v="0"/>
    <n v="0"/>
    <n v="0"/>
    <n v="0"/>
    <n v="0"/>
    <s v="Reserva importada do Sistema TMS. OS: 9673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3294649"/>
    <n v="24025537"/>
    <s v="ACC01"/>
    <x v="397"/>
    <d v="2025-11-10T13:21:04"/>
    <s v="09 a 15 dias"/>
    <s v="09 a 15 dias"/>
    <s v="5R36UU"/>
    <s v="TMS"/>
    <s v="RUTTSON AMORIM EUGENIO"/>
    <s v="Marcelo Ignacio de Lima"/>
    <s v="Marcelo Ignacio de Lima"/>
    <x v="371"/>
    <n v="27732"/>
    <s v="Vitoria / ES, Brasil (VIX)"/>
    <s v="OFF LINE"/>
    <s v="Invoice"/>
    <s v="Faturado"/>
    <s v="Carro"/>
    <s v="N"/>
    <s v="Grupo Taesa"/>
    <s v="Tangara"/>
    <s v="-"/>
    <s v="Movida - Br - Es - Vitoria - Aeroporto"/>
    <s v="-"/>
    <s v="KON-OPE-RIO-POS-TAESA"/>
    <s v="-"/>
    <x v="349"/>
    <n v="0"/>
    <n v="0"/>
    <n v="0"/>
    <n v="0"/>
    <n v="0"/>
    <n v="0"/>
    <s v="Reserva importada do Sistema TMS. OS: 27732"/>
    <s v="Fornecedor não preenchido! (ACC01)"/>
    <s v="ARGO(TMS)"/>
    <s v="Falta de Fornecedor"/>
    <s v="Campo Fornecedor"/>
    <s v="Dados do Fornecedor"/>
    <s v="Qualidade dos dados"/>
    <s v="KONTIK BUSINESS TRAVEL"/>
  </r>
  <r>
    <n v="23224274"/>
    <n v="23959212"/>
    <s v="ACC01"/>
    <x v="398"/>
    <d v="2025-10-30T16:50:10"/>
    <s v="24 a 31 dias"/>
    <s v="24 a 31 dias"/>
    <s v="5QTH7H"/>
    <s v="TMS"/>
    <s v="DANIEL DE SOUZA"/>
    <s v="Marcelo Ignacio de Lima"/>
    <s v="Marcelo Ignacio de Lima"/>
    <x v="372"/>
    <n v="26872"/>
    <s v="Maraba / PA, Brasil (MAB)"/>
    <s v="OFF LINE"/>
    <s v="Invoice"/>
    <s v="Faturado"/>
    <s v="Carro"/>
    <s v="N"/>
    <s v="Grupo Taesa"/>
    <s v="Tangara"/>
    <s v="-"/>
    <s v="Movida - Br - Pa - Maraba - Amapa"/>
    <s v="-"/>
    <s v="KON-OPE-RIO-POS-TAESA"/>
    <s v="-"/>
    <x v="350"/>
    <n v="0"/>
    <n v="0"/>
    <n v="0"/>
    <n v="0"/>
    <n v="0"/>
    <n v="0"/>
    <s v="Reserva importada do Sistema TMS. OS: 26872"/>
    <s v="Fornecedor não preenchido! (ACC01)"/>
    <s v="ARGO(TMS)"/>
    <s v="Falta de Fornecedor"/>
    <s v="Campo Fornecedor"/>
    <s v="Dados do Fornecedor"/>
    <s v="Qualidade dos dados"/>
    <s v="KONTIK BUSINESS TRAVEL"/>
  </r>
  <r>
    <n v="23340547"/>
    <n v="24068305"/>
    <s v="ACC01"/>
    <x v="399"/>
    <d v="2025-11-17T15:57:06"/>
    <s v="06 a 08 dias"/>
    <s v="06 a 08 dias"/>
    <s v="5TGHO5"/>
    <s v="TMS"/>
    <s v="DOUGLAS DA COSTA"/>
    <s v="Marcelo Ignacio de Lima"/>
    <s v="Marcelo Ignacio de Lima"/>
    <x v="373"/>
    <n v="28094"/>
    <s v="São Luís / MA, Brasil (SLZ)"/>
    <s v="OFF LINE"/>
    <s v="Invoice"/>
    <s v="Faturado"/>
    <s v="Carro"/>
    <s v="N"/>
    <s v="Grupo Taesa"/>
    <s v="Tangara"/>
    <s v="-"/>
    <s v="Movida - Br - Ma - Sao Luis - Tirirical"/>
    <s v="-"/>
    <s v="KON-OPE-RIO-POS-TAESA"/>
    <s v="-"/>
    <x v="351"/>
    <n v="0"/>
    <n v="0"/>
    <n v="0"/>
    <n v="0"/>
    <n v="0"/>
    <n v="0"/>
    <s v="Reserva importada do Sistema TMS. OS: 28094"/>
    <s v="Fornecedor não preenchido! (ACC01)"/>
    <s v="ARGO(TMS)"/>
    <s v="Falta de Fornecedor"/>
    <s v="Campo Fornecedor"/>
    <s v="Dados do Fornecedor"/>
    <s v="Qualidade dos dados"/>
    <s v="KONTIK BUSINESS TRAVEL"/>
  </r>
  <r>
    <n v="23340554"/>
    <n v="24068311"/>
    <s v="ACC01"/>
    <x v="400"/>
    <d v="2025-11-17T15:57:38"/>
    <s v="06 a 08 dias"/>
    <s v="06 a 08 dias"/>
    <s v="5TKHOG"/>
    <s v="TMS"/>
    <s v="DANILO FERREIRA"/>
    <s v="Marcelo Ignacio de Lima"/>
    <s v="Marcelo Ignacio de Lima"/>
    <x v="374"/>
    <n v="28080"/>
    <s v="Barreiras / BA, Brasil (BRA)"/>
    <s v="OFF LINE"/>
    <s v="Invoice"/>
    <s v="Faturado"/>
    <s v="Carro"/>
    <s v="N"/>
    <s v="Grupo Taesa"/>
    <s v="Sao Pedro"/>
    <s v="-"/>
    <s v="Movida - Br - Ba - Barreiras - Novo Horizonte"/>
    <s v="-"/>
    <s v="KON-OPE-RIO-POS-TAESA"/>
    <s v="-"/>
    <x v="352"/>
    <n v="0"/>
    <n v="0"/>
    <n v="0"/>
    <n v="0"/>
    <n v="0"/>
    <n v="0"/>
    <s v="Reserva importada do Sistema TMS. OS: 28080"/>
    <s v="Fornecedor não preenchido! (ACC01)"/>
    <s v="ARGO(TMS)"/>
    <s v="Falta de Fornecedor"/>
    <s v="Campo Fornecedor"/>
    <s v="Dados do Fornecedor"/>
    <s v="Qualidade dos dados"/>
    <s v="KONTIK BUSINESS TRAVEL"/>
  </r>
  <r>
    <n v="23302506"/>
    <n v="24033144"/>
    <s v="ACC01"/>
    <x v="401"/>
    <d v="2025-11-11T12:42:38"/>
    <s v="09 a 15 dias"/>
    <s v="09 a 15 dias"/>
    <s v="5RALEO"/>
    <s v="TMS"/>
    <s v="ARTEIRO DE OLIVEIRA/EDUARDO"/>
    <s v="Alexandre Isidio da Silva"/>
    <s v="Alexandre Isidio da Silva"/>
    <x v="375"/>
    <n v="26522"/>
    <s v="-"/>
    <s v="OFF LINE"/>
    <s v="Invoice"/>
    <s v="Faturado"/>
    <s v="Aéreo"/>
    <s v="N"/>
    <s v="Grupo Taesa"/>
    <s v="Jurua Transmissora de Energia Eletrica S/a"/>
    <s v="-"/>
    <s v="Air France"/>
    <n v="1936170477"/>
    <s v="KON-OPE-RIO-POS-TAESA"/>
    <s v="-"/>
    <x v="0"/>
    <n v="1231.92"/>
    <n v="0"/>
    <n v="0"/>
    <n v="0"/>
    <n v="0"/>
    <n v="0"/>
    <s v="Reserva importada do Sistema TMS. OS: 26522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02505"/>
    <n v="24033143"/>
    <s v="ACC01"/>
    <x v="402"/>
    <d v="2025-11-11T12:42:38"/>
    <s v="09 a 15 dias"/>
    <s v="09 a 15 dias"/>
    <s v="5RBOE9"/>
    <s v="TMS"/>
    <s v="RODRIGUES/ALEXANDRE"/>
    <s v="Alexandre Isidio da Silva"/>
    <s v="Alexandre Isidio da Silva"/>
    <x v="376"/>
    <n v="26523"/>
    <s v="-"/>
    <s v="OFF LINE"/>
    <s v="Invoice"/>
    <s v="Faturado"/>
    <s v="Aéreo"/>
    <s v="N"/>
    <s v="Grupo Taesa"/>
    <s v="Jurua Transmissora de Energia Eletrica S/a"/>
    <s v="-"/>
    <s v="Air France"/>
    <n v="1928697594"/>
    <s v="KON-OPE-RIO-POS-TAESA"/>
    <s v="-"/>
    <x v="0"/>
    <n v="1.23"/>
    <n v="0"/>
    <n v="0"/>
    <n v="0"/>
    <n v="0"/>
    <n v="0"/>
    <s v="Reserva importada do Sistema TMS. OS: 2652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57618"/>
    <n v="24084627"/>
    <s v="ACC01"/>
    <x v="403"/>
    <d v="2025-11-19T22:12:24"/>
    <s v="03 a 05 dias"/>
    <s v="03 a 05 dias"/>
    <s v="5TL0HL"/>
    <s v="TMS"/>
    <s v="LUCAS RIBEIRO"/>
    <s v="Tms"/>
    <s v="Tms"/>
    <x v="377"/>
    <n v="6403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3"/>
    <n v="0"/>
    <n v="0"/>
    <n v="0"/>
    <n v="0"/>
    <n v="28.55"/>
    <n v="0"/>
    <s v="Reserva importada do Sistema TMS. OS: 6403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57623"/>
    <n v="24084632"/>
    <s v="ACC01"/>
    <x v="404"/>
    <d v="2025-11-19T22:13:13"/>
    <s v="03 a 05 dias"/>
    <s v="03 a 05 dias"/>
    <s v="5TV1YO"/>
    <s v="TMS"/>
    <s v="PEDRO WAGNER"/>
    <s v="Tms"/>
    <s v="Tms"/>
    <x v="378"/>
    <n v="6398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3"/>
    <n v="0"/>
    <n v="0"/>
    <n v="0"/>
    <n v="0"/>
    <n v="28.55"/>
    <n v="0"/>
    <s v="Reserva importada do Sistema TMS. OS: 6398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57631"/>
    <n v="24084640"/>
    <s v="ACC01"/>
    <x v="405"/>
    <d v="2025-11-19T22:13:49"/>
    <s v="03 a 05 dias"/>
    <s v="03 a 05 dias"/>
    <s v="5TKQ6N"/>
    <s v="TMS"/>
    <s v="KYARA KOMOCHENA"/>
    <s v="Tms"/>
    <s v="Tms"/>
    <x v="379"/>
    <n v="6389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4"/>
    <n v="0"/>
    <n v="0"/>
    <n v="0"/>
    <n v="0"/>
    <n v="26.55"/>
    <n v="0"/>
    <s v="Reserva importada do Sistema TMS. OS: 6389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57637"/>
    <n v="24084645"/>
    <s v="ACC01"/>
    <x v="406"/>
    <d v="2025-11-19T22:18:31"/>
    <s v="03 a 05 dias"/>
    <s v="03 a 05 dias"/>
    <s v="5TMWYO"/>
    <s v="TMS"/>
    <s v="LOUI DAVI"/>
    <s v="Tms"/>
    <s v="Tms"/>
    <x v="380"/>
    <n v="6383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4"/>
    <n v="0"/>
    <n v="0"/>
    <n v="0"/>
    <n v="0"/>
    <n v="26.55"/>
    <n v="0"/>
    <s v="Reserva importada do Sistema TMS. OS: 6383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57639"/>
    <n v="24084647"/>
    <s v="ACC01"/>
    <x v="407"/>
    <d v="2025-11-19T22:18:34"/>
    <s v="03 a 05 dias"/>
    <s v="03 a 05 dias"/>
    <s v="5TAW69"/>
    <s v="TMS"/>
    <s v="ANA ZAMBELLI"/>
    <s v="Tms"/>
    <s v="Tms"/>
    <x v="380"/>
    <n v="6382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4"/>
    <n v="0"/>
    <n v="0"/>
    <n v="0"/>
    <n v="0"/>
    <n v="26.55"/>
    <n v="0"/>
    <s v="Reserva importada do Sistema TMS. OS: 6382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57647"/>
    <n v="24084652"/>
    <s v="ACC01"/>
    <x v="408"/>
    <d v="2025-11-19T22:20:22"/>
    <s v="03 a 05 dias"/>
    <s v="03 a 05 dias"/>
    <s v="5TVSY9"/>
    <s v="TMS"/>
    <s v="GIOVANNA SILVA"/>
    <s v="Tms"/>
    <s v="Tms"/>
    <x v="380"/>
    <n v="6377"/>
    <s v="-"/>
    <s v="ON LINE"/>
    <s v="Múltiplos"/>
    <s v="Múltiplos"/>
    <s v="Hotel"/>
    <s v="N"/>
    <s v="Grupo Mattos Filho"/>
    <s v="Mattos Filho"/>
    <s v="-"/>
    <s v="Mercure Sao Paulo Paulista"/>
    <s v="-"/>
    <s v="KON-OPE-SAO-PVI-MATTOS FILHO"/>
    <s v="-"/>
    <x v="354"/>
    <n v="0"/>
    <n v="0"/>
    <n v="0"/>
    <n v="0"/>
    <n v="26.55"/>
    <n v="0"/>
    <s v="Reserva importada do Sistema TMS. OS: 6377"/>
    <s v="A soma das taxas extras dos registros múltiplos ultrapassa a taxas extras  da accounting"/>
    <s v="ARGO(TMS)"/>
    <s v="Não identificado"/>
    <s v="Análise Benner"/>
    <s v="Sistema"/>
    <s v="Qualidade dos dados"/>
    <s v="KONTIK BUSINESS TRAVEL"/>
  </r>
  <r>
    <n v="23364634"/>
    <n v="24090678"/>
    <s v="ACC01"/>
    <x v="409"/>
    <d v="2025-11-21T09:42:30"/>
    <s v="03 a 05 dias"/>
    <s v="03 a 05 dias"/>
    <s v="5UXYAB"/>
    <s v="TMS"/>
    <s v="FRANCISCO PEREIRA"/>
    <s v="Tms"/>
    <s v="Tms"/>
    <x v="381"/>
    <n v="4532"/>
    <s v="Barueri / SAO"/>
    <s v="ON LINE"/>
    <s v="Invoice"/>
    <s v="Faturado"/>
    <s v="Carro"/>
    <s v="N"/>
    <s v="Grupo Epson"/>
    <s v="Epson"/>
    <s v="-"/>
    <s v="Localiza - Br - Sp - Barueri - Alphaville Industrial"/>
    <s v="-"/>
    <s v="KON-OPE-SAO-PVI-BTC-ARGO"/>
    <s v="-"/>
    <x v="355"/>
    <n v="0"/>
    <n v="0"/>
    <n v="0"/>
    <n v="0"/>
    <n v="0"/>
    <n v="0"/>
    <s v="Reserva importada do Sistema TMS. OS: 4532"/>
    <s v="Fornecedor não preenchido! (ACC01)"/>
    <s v="ARGO(TMS)"/>
    <s v="Falta de Fornecedor"/>
    <s v="Campo Fornecedor"/>
    <s v="Dados do Fornecedor"/>
    <s v="Qualidade dos dados"/>
    <s v="KONTIK BUSINESS TRAVEL"/>
  </r>
  <r>
    <n v="23366683"/>
    <n v="24092716"/>
    <s v="ACC01"/>
    <x v="410"/>
    <d v="2025-11-21T16:42:36"/>
    <s v="03 a 05 dias"/>
    <s v="03 a 05 dias"/>
    <s v="5UEDUM"/>
    <s v="TMS"/>
    <s v="FABIO SILVA"/>
    <s v="Tms"/>
    <s v="Tms"/>
    <x v="382"/>
    <n v="4537"/>
    <s v="São Paulo / SAO"/>
    <s v="ON LINE"/>
    <s v="Invoice"/>
    <s v="Faturado"/>
    <s v="Carro"/>
    <s v="N"/>
    <s v="Grupo Epson"/>
    <s v="Epson"/>
    <s v="-"/>
    <s v="-"/>
    <s v="-"/>
    <s v="KON-OPE-SAO-PVI-BTC-ARGO"/>
    <s v="-"/>
    <x v="356"/>
    <n v="0"/>
    <n v="0"/>
    <n v="0"/>
    <n v="0"/>
    <n v="0"/>
    <n v="0"/>
    <s v="Reserva importada do Sistema TMS. OS: 4537"/>
    <s v="Fornecedor não preenchido! (ACC01)"/>
    <s v="ARGO(TMS)"/>
    <s v="Falta de Fornecedor"/>
    <s v="Campo Fornecedor"/>
    <s v="Dados do Fornecedor"/>
    <s v="Qualidade dos dados"/>
    <s v="KONTIK BUSINESS TRAVEL"/>
  </r>
  <r>
    <n v="23340278"/>
    <n v="24068050"/>
    <s v="ACC01"/>
    <x v="411"/>
    <d v="2025-11-17T15:12:05"/>
    <s v="06 a 08 dias"/>
    <s v="06 a 08 dias"/>
    <s v="5TZEIT"/>
    <s v="TMS"/>
    <s v="ROBERTO SILVA"/>
    <s v="Tms"/>
    <s v="Tms"/>
    <x v="383"/>
    <n v="4506"/>
    <s v="São Paulo / SAO"/>
    <s v="ON LINE"/>
    <s v="Invoice"/>
    <s v="Faturado"/>
    <s v="Carro"/>
    <s v="N"/>
    <s v="Grupo Epson"/>
    <s v="Epson"/>
    <s v="-"/>
    <s v="Localiza - Br - Sp - Guarulhos - Aeroporto"/>
    <s v="-"/>
    <s v="KON-OPE-SAO-PVI-BTC-ARGO"/>
    <s v="-"/>
    <x v="357"/>
    <n v="0"/>
    <n v="0"/>
    <n v="0"/>
    <n v="0"/>
    <n v="0"/>
    <n v="0"/>
    <s v="Reserva importada do Sistema TMS. OS: 4506"/>
    <s v="Fornecedor não preenchido! (ACC01)"/>
    <s v="ARGO(TMS)"/>
    <s v="Falta de Fornecedor"/>
    <s v="Campo Fornecedor"/>
    <s v="Dados do Fornecedor"/>
    <s v="Qualidade dos dados"/>
    <s v="KONTIK BUSINESS TRAVEL"/>
  </r>
  <r>
    <n v="23354019"/>
    <n v="24081022"/>
    <s v="ACC01"/>
    <x v="412"/>
    <d v="2025-11-19T13:06:32"/>
    <s v="03 a 05 dias"/>
    <s v="03 a 05 dias"/>
    <s v="UDLGVFT"/>
    <s v="SABRE"/>
    <s v="SILVA/MAURICIO"/>
    <s v="CORA TORLAI CIRINO"/>
    <s v="CORA TORLAI CIRINO"/>
    <x v="384"/>
    <s v="UDLGVF"/>
    <s v="-"/>
    <s v="OFF LINE"/>
    <s v="Cartão de crédito"/>
    <s v="Cartão de crédito"/>
    <s v="Hotel"/>
    <s v="N"/>
    <s v="Grupo Baker Mckenzie"/>
    <s v="Baker Mckenzie - Sao Paulo"/>
    <s v="-"/>
    <s v="-"/>
    <s v="-"/>
    <s v="FCM-OPE-SAO-PVI-BTC"/>
    <s v="-"/>
    <x v="358"/>
    <n v="370.5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4021"/>
    <n v="24081023"/>
    <s v="ACC01"/>
    <x v="413"/>
    <d v="2025-11-19T13:06:32"/>
    <s v="03 a 05 dias"/>
    <s v="03 a 05 dias"/>
    <s v="FFAYCWT"/>
    <s v="SABRE"/>
    <s v="HERSZKOWICZ/EDUARDO JOSE"/>
    <s v="CORA TORLAI CIRINO"/>
    <s v="CORA TORLAI CIRINO"/>
    <x v="385"/>
    <s v="FFAYCW"/>
    <s v="-"/>
    <s v="OFF LINE"/>
    <s v="Cartão de crédito"/>
    <s v="Cartão de crédito"/>
    <s v="Hotel"/>
    <s v="N"/>
    <s v="Grupo Baker Mckenzie"/>
    <s v="Baker Mckenzie - Sao Paulo"/>
    <s v="-"/>
    <s v="-"/>
    <s v="-"/>
    <s v="FCM-OPE-SAO-PVI-BTC"/>
    <s v="-"/>
    <x v="358"/>
    <n v="370.5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31590"/>
    <n v="24060552"/>
    <s v="ACC01"/>
    <x v="414"/>
    <d v="2025-11-15T16:16:18"/>
    <s v="09 a 15 dias"/>
    <s v="09 a 15 dias"/>
    <s v="IFUFYA"/>
    <s v="GOVER"/>
    <s v="Jacqueline Nascimento Silva"/>
    <s v="Felipe Aparecido da Silva Neves"/>
    <s v="Felipe Aparecido da Silva Neves"/>
    <x v="386"/>
    <n v="4628644"/>
    <s v="-"/>
    <s v="OFF LINE"/>
    <s v="Cartão de crédito"/>
    <s v="Cartão AMEX"/>
    <s v="Aéreo"/>
    <s v="N"/>
    <s v="Grupo Livanova"/>
    <s v="Livanova Brasil"/>
    <s v="-"/>
    <s v="Gol Linhas Aereas"/>
    <n v="2149559764"/>
    <s v="-"/>
    <s v="-"/>
    <x v="359"/>
    <n v="60.62"/>
    <n v="0"/>
    <n v="0"/>
    <n v="0"/>
    <n v="0"/>
    <n v="0"/>
    <s v="Reserva importada do sistema Gover. Id: 4628644"/>
    <s v="Canal de venda não preenchido! (ACC01)"/>
    <s v="GOVER"/>
    <s v="Canal de venda"/>
    <s v="Falta de informação Gerencial"/>
    <s v="Dados do Fornecedor"/>
    <s v="Qualidade dos dados"/>
    <s v="KONTIK BUSINESS TRAVEL"/>
  </r>
  <r>
    <n v="23270323"/>
    <n v="24002665"/>
    <s v="ACC01"/>
    <x v="415"/>
    <d v="2025-11-17T11:36:27"/>
    <s v="06 a 08 dias"/>
    <s v="16 a 23 dias"/>
    <s v="MCLTFLT"/>
    <s v="SABRE"/>
    <s v="SALES/MONIQUE FERNANDES MRS"/>
    <s v="Andreia de Alencar Alves"/>
    <s v="Andreia de Alencar Alves"/>
    <x v="387"/>
    <s v="MCLTFL"/>
    <s v="-"/>
    <s v="OFF LINE"/>
    <s v="?"/>
    <s v="?"/>
    <s v="Hotel"/>
    <s v="N"/>
    <s v="Grupo Livanova"/>
    <s v="Livanova Brasil"/>
    <s v="-"/>
    <s v="Ibis Styles Belem do Para"/>
    <s v="-"/>
    <s v="FCM-OPE-SAO-PVI-BTC"/>
    <s v="-"/>
    <x v="36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3232273"/>
    <n v="23966895"/>
    <s v="ACC01"/>
    <x v="416"/>
    <d v="2025-11-01T16:00:57"/>
    <s v="16 a 23 dias"/>
    <s v="24 a 31 dias"/>
    <s v="NSPNOPT"/>
    <s v="SABRE"/>
    <s v="VITOR/SHEILA RODRIGUES  MRS"/>
    <s v="Joao Paulo Villar Sales de Araujo"/>
    <s v="Joao Paulo Villar Sales de Araujo"/>
    <x v="388"/>
    <s v="NSPNOP"/>
    <s v="-"/>
    <s v="ON LINE"/>
    <s v="?"/>
    <s v="?"/>
    <s v="Hotel"/>
    <s v="N"/>
    <s v="Grupo Livanova"/>
    <s v="Livanova Brasil"/>
    <s v="-"/>
    <s v="-"/>
    <s v="-"/>
    <s v="FCM-OPE-SAO-PVI-BTC"/>
    <s v="-"/>
    <x v="3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71909"/>
    <n v="24097224"/>
    <s v="ACC01"/>
    <x v="417"/>
    <d v="2025-11-22T16:05:58"/>
    <s v="0 a 02 dias"/>
    <s v="0 a 02 dias"/>
    <s v="5U2N61"/>
    <s v="TMS"/>
    <s v="LUCIANO ROCHA"/>
    <s v="Tms"/>
    <s v="Tms"/>
    <x v="389"/>
    <n v="32924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362"/>
    <n v="0"/>
    <n v="0"/>
    <n v="0"/>
    <n v="0"/>
    <n v="0"/>
    <n v="0"/>
    <s v="Reserva importada do Sistema TMS. OS: 32924"/>
    <s v="Fornecedor não preenchido! (ACC01)"/>
    <s v="ARGO(TMS)"/>
    <s v="Falta de Fornecedor"/>
    <s v="Campo Fornecedor"/>
    <s v="Dados do Fornecedor"/>
    <s v="Qualidade dos dados"/>
    <s v="KONTIK BUSINESS TRAVEL"/>
  </r>
  <r>
    <n v="23369137"/>
    <n v="24095087"/>
    <s v="ACC01"/>
    <x v="418"/>
    <d v="2025-11-21T23:51:46"/>
    <s v="03 a 05 dias"/>
    <s v="03 a 05 dias"/>
    <s v="5U0IGA"/>
    <s v="TMS"/>
    <s v="CAMILA ALVES"/>
    <s v="Tms"/>
    <s v="Tms"/>
    <x v="390"/>
    <n v="32943"/>
    <s v="Rio de Janeiro / RI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63"/>
    <n v="0"/>
    <n v="0"/>
    <n v="0"/>
    <n v="0"/>
    <n v="0"/>
    <n v="0"/>
    <s v="Reserva importada do Sistema TMS. OS: 32943"/>
    <s v="Fornecedor não preenchido! (ACC01)"/>
    <s v="ARGO(TMS)"/>
    <s v="Falta de Fornecedor"/>
    <s v="Campo Fornecedor"/>
    <s v="Dados do Fornecedor"/>
    <s v="Qualidade dos dados"/>
    <s v="KONTIK BUSINESS TRAVEL"/>
  </r>
  <r>
    <n v="23367221"/>
    <n v="24093239"/>
    <s v="ACC01"/>
    <x v="419"/>
    <d v="2025-11-21T18:14:27"/>
    <s v="03 a 05 dias"/>
    <s v="03 a 05 dias"/>
    <s v="5UVXP1"/>
    <s v="TMS"/>
    <s v="DIEGO SOUZA"/>
    <s v="Tms"/>
    <s v="Tms"/>
    <x v="391"/>
    <n v="32896"/>
    <s v="Rio de Janeiro / RI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64"/>
    <n v="0"/>
    <n v="0"/>
    <n v="0"/>
    <n v="0"/>
    <n v="0"/>
    <n v="0"/>
    <s v="Reserva importada do Sistema TMS. OS: 32896"/>
    <s v="Fornecedor não preenchido! (ACC01)"/>
    <s v="ARGO(TMS)"/>
    <s v="Falta de Fornecedor"/>
    <s v="Campo Fornecedor"/>
    <s v="Dados do Fornecedor"/>
    <s v="Qualidade dos dados"/>
    <s v="KONTIK BUSINESS TRAVEL"/>
  </r>
  <r>
    <n v="23367222"/>
    <n v="24093240"/>
    <s v="ACC01"/>
    <x v="420"/>
    <d v="2025-11-21T18:15:35"/>
    <s v="03 a 05 dias"/>
    <s v="03 a 05 dias"/>
    <s v="5UTSPA"/>
    <s v="TMS"/>
    <s v="POLYANA VILELA"/>
    <s v="Tms"/>
    <s v="Tms"/>
    <x v="391"/>
    <n v="32894"/>
    <s v="Rio de Janeiro / RI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65"/>
    <n v="0"/>
    <n v="0"/>
    <n v="0"/>
    <n v="0"/>
    <n v="0"/>
    <n v="0"/>
    <s v="Reserva importada do Sistema TMS. OS: 32894"/>
    <s v="Fornecedor não preenchido! (ACC01)"/>
    <s v="ARGO(TMS)"/>
    <s v="Falta de Fornecedor"/>
    <s v="Campo Fornecedor"/>
    <s v="Dados do Fornecedor"/>
    <s v="Qualidade dos dados"/>
    <s v="KONTIK BUSINESS TRAVEL"/>
  </r>
  <r>
    <n v="23343595"/>
    <n v="24071361"/>
    <s v="ACC01"/>
    <x v="421"/>
    <d v="2025-11-17T22:44:07"/>
    <s v="06 a 08 dias"/>
    <s v="06 a 08 dias"/>
    <s v="5TBP9Y"/>
    <s v="TMS"/>
    <s v="WELINGTON DOLENNEI"/>
    <s v="Tms"/>
    <s v="Tms"/>
    <x v="392"/>
    <n v="32762"/>
    <s v="Porto Uniao / XAP"/>
    <s v="ON LINE"/>
    <s v="Invoice"/>
    <s v="Faturado"/>
    <s v="Carro"/>
    <s v="N"/>
    <s v="Grupo Uol"/>
    <s v="Compass Everymind"/>
    <s v="-"/>
    <s v="Localiza - Br - Sc - Porto Uniao - Centro"/>
    <s v="-"/>
    <s v="KON-OPE-RIO-PVI-UOL"/>
    <s v="-"/>
    <x v="366"/>
    <n v="0"/>
    <n v="0"/>
    <n v="0"/>
    <n v="0"/>
    <n v="0"/>
    <n v="0"/>
    <s v="Reserva importada do Sistema TMS. OS: 32762"/>
    <s v="Fornecedor não preenchido! (ACC01)"/>
    <s v="ARGO(TMS)"/>
    <s v="Falta de Fornecedor"/>
    <s v="Campo Fornecedor"/>
    <s v="Dados do Fornecedor"/>
    <s v="Qualidade dos dados"/>
    <s v="KONTIK BUSINESS TRAVEL"/>
  </r>
  <r>
    <n v="23343604"/>
    <n v="24071370"/>
    <s v="ACC01"/>
    <x v="422"/>
    <d v="2025-11-17T22:44:36"/>
    <s v="06 a 08 dias"/>
    <s v="06 a 08 dias"/>
    <s v="5TEB9H"/>
    <s v="TMS"/>
    <s v="THIAGO SILVA"/>
    <s v="Tms"/>
    <s v="Tms"/>
    <x v="393"/>
    <n v="32750"/>
    <s v="Barueri / SAO"/>
    <s v="ON LINE"/>
    <s v="Invoice"/>
    <s v="Faturado"/>
    <s v="Carro"/>
    <s v="N"/>
    <s v="Grupo Uol"/>
    <s v="Pagseguro Internet Instituicao de Pagamento S.a."/>
    <s v="-"/>
    <s v="Localiza - Br - Sp - Barueri - Alphaville Industrial"/>
    <s v="-"/>
    <s v="KON-OPE-RIO-PVI-UOL"/>
    <s v="-"/>
    <x v="367"/>
    <n v="0"/>
    <n v="0"/>
    <n v="0"/>
    <n v="0"/>
    <n v="0"/>
    <n v="0"/>
    <s v="Reserva importada do Sistema TMS. OS: 32750"/>
    <s v="Fornecedor não preenchido! (ACC01)"/>
    <s v="ARGO(TMS)"/>
    <s v="Falta de Fornecedor"/>
    <s v="Campo Fornecedor"/>
    <s v="Dados do Fornecedor"/>
    <s v="Qualidade dos dados"/>
    <s v="KONTIK BUSINESS TRAVEL"/>
  </r>
  <r>
    <n v="23348465"/>
    <n v="24075862"/>
    <s v="ACC01"/>
    <x v="423"/>
    <d v="2025-11-18T17:01:20"/>
    <s v="06 a 08 dias"/>
    <s v="06 a 08 dias"/>
    <s v="5T948J"/>
    <s v="TMS"/>
    <s v="WELLINGTON VIZONI"/>
    <s v="Tms"/>
    <s v="Tms"/>
    <x v="394"/>
    <n v="32793"/>
    <s v="Florianópolis / FLN"/>
    <s v="ON LINE"/>
    <s v="Invoice"/>
    <s v="Faturado"/>
    <s v="Carro"/>
    <s v="N"/>
    <s v="Grupo Uol"/>
    <s v="Pagseguro Internet Instituicao de Pagamento S.a."/>
    <s v="-"/>
    <s v="Movida - Br - Sc - Florianopolis - Carianos - Box Patio"/>
    <s v="-"/>
    <s v="KON-OPE-RIO-PVI-UOL"/>
    <s v="-"/>
    <x v="368"/>
    <n v="0"/>
    <n v="0"/>
    <n v="0"/>
    <n v="0"/>
    <n v="0"/>
    <n v="0"/>
    <s v="Reserva importada do Sistema TMS. OS: 32793"/>
    <s v="Fornecedor não preenchido! (ACC01)"/>
    <s v="ARGO(TMS)"/>
    <s v="Falta de Fornecedor"/>
    <s v="Campo Fornecedor"/>
    <s v="Dados do Fornecedor"/>
    <s v="Qualidade dos dados"/>
    <s v="KONTIK BUSINESS TRAVEL"/>
  </r>
  <r>
    <n v="23355351"/>
    <n v="24082320"/>
    <s v="ACC01"/>
    <x v="424"/>
    <d v="2025-11-19T16:38:10"/>
    <s v="03 a 05 dias"/>
    <s v="03 a 05 dias"/>
    <s v="5TF91L"/>
    <s v="TMS"/>
    <s v="THIAGO SILVA"/>
    <s v="Tms"/>
    <s v="Tms"/>
    <x v="395"/>
    <n v="32812"/>
    <s v="Itu / QTU"/>
    <s v="ON LINE"/>
    <s v="Invoice"/>
    <s v="Faturado"/>
    <s v="Carro"/>
    <s v="N"/>
    <s v="Grupo Uol"/>
    <s v="Pagseguro Internet Instituicao de Pagamento S.a."/>
    <s v="-"/>
    <s v="Localiza - Br - Sp - Itu - Vila Nova"/>
    <s v="-"/>
    <s v="KON-OPE-RIO-PVI-UOL"/>
    <s v="-"/>
    <x v="369"/>
    <n v="0"/>
    <n v="0"/>
    <n v="0"/>
    <n v="0"/>
    <n v="0"/>
    <n v="0"/>
    <s v="Reserva importada do Sistema TMS. OS: 32812"/>
    <s v="Fornecedor não preenchido! (ACC01)"/>
    <s v="ARGO(TMS)"/>
    <s v="Falta de Fornecedor"/>
    <s v="Campo Fornecedor"/>
    <s v="Dados do Fornecedor"/>
    <s v="Qualidade dos dados"/>
    <s v="KONTIK BUSINESS TRAVEL"/>
  </r>
  <r>
    <n v="23340709"/>
    <n v="24068463"/>
    <s v="ACC01"/>
    <x v="425"/>
    <d v="2025-11-17T16:34:33"/>
    <s v="06 a 08 dias"/>
    <s v="06 a 08 dias"/>
    <s v="5T57BY"/>
    <s v="TMS"/>
    <s v="MAGNO SANTOS"/>
    <s v="Tms"/>
    <s v="Tms"/>
    <x v="396"/>
    <n v="32718"/>
    <s v="Florianópolis / FLN"/>
    <s v="ON LINE"/>
    <s v="Invoice"/>
    <s v="Faturado"/>
    <s v="Carro"/>
    <s v="N"/>
    <s v="Grupo Uol"/>
    <s v="Pagseguro Internet Instituicao de Pagamento S.a."/>
    <s v="-"/>
    <s v="Movida - Br - Sc - Florianopolis - Carianos - Box Patio"/>
    <s v="-"/>
    <s v="KON-OPE-RIO-PVI-UOL"/>
    <s v="-"/>
    <x v="370"/>
    <n v="0"/>
    <n v="0"/>
    <n v="0"/>
    <n v="0"/>
    <n v="0"/>
    <n v="0"/>
    <s v="Reserva importada do Sistema TMS. OS: 32718"/>
    <s v="Fornecedor não preenchido! (ACC01)"/>
    <s v="ARGO(TMS)"/>
    <s v="Falta de Fornecedor"/>
    <s v="Campo Fornecedor"/>
    <s v="Dados do Fornecedor"/>
    <s v="Qualidade dos dados"/>
    <s v="KONTIK BUSINESS TRAVEL"/>
  </r>
  <r>
    <n v="23241881"/>
    <n v="23975296"/>
    <s v="ACC01"/>
    <x v="426"/>
    <d v="2025-11-02T16:57:04"/>
    <s v="16 a 23 dias"/>
    <s v="16 a 23 dias"/>
    <n v="20669134"/>
    <s v="GOVER"/>
    <s v="GABRIEL RODRIGO ARAUJO MONTEIRO"/>
    <s v="Gover"/>
    <s v="Gover"/>
    <x v="397"/>
    <n v="4622144"/>
    <s v="-"/>
    <s v="ON LINE"/>
    <s v="Cartão de crédito"/>
    <s v="Cartão de crédito"/>
    <s v="Hotel"/>
    <s v="N"/>
    <s v="Grupo Marisa"/>
    <s v="Lojas Marisa"/>
    <s v="-"/>
    <s v="-"/>
    <s v="-"/>
    <s v="KON-OPE-RIO-PVI-BTC RJ"/>
    <s v="-"/>
    <x v="371"/>
    <n v="0"/>
    <n v="0"/>
    <n v="0"/>
    <n v="0"/>
    <n v="0"/>
    <n v="0"/>
    <s v="Reserva importada do sistema Gover. Id: 4622144"/>
    <s v="Fornecedor não preenchido! (ACC01)"/>
    <s v="GOVER"/>
    <s v="Falta de Fornecedor"/>
    <s v="Campo Fornecedor"/>
    <s v="Dados do Fornecedor"/>
    <s v="Sistêmico"/>
    <s v="GRUPO KONTIK"/>
  </r>
  <r>
    <n v="23326030"/>
    <n v="24055576"/>
    <s v="ACC01"/>
    <x v="427"/>
    <d v="2025-11-14T16:48:35"/>
    <s v="09 a 15 dias"/>
    <s v="09 a 15 dias"/>
    <n v="6523"/>
    <s v="GOVER"/>
    <s v="ROSELANE MARIA DE SOUZA LIMA"/>
    <s v="ALEXANDRE DA CONCEIÇÃO ALVES"/>
    <s v="ALEXANDRE DA CONCEIÇÃO ALVES"/>
    <x v="398"/>
    <n v="4628330"/>
    <s v="-"/>
    <s v="OFF LINE"/>
    <s v="Cartão de crédito"/>
    <s v="Cartão de crédito"/>
    <s v="Hotel"/>
    <s v="N"/>
    <s v="Grupo Marisa"/>
    <s v="Lojas Marisa"/>
    <s v="-"/>
    <s v="-"/>
    <s v="-"/>
    <s v="KON-OPE-RIO-PVI-BTC RJ"/>
    <s v="-"/>
    <x v="372"/>
    <n v="0"/>
    <n v="0"/>
    <n v="0"/>
    <n v="0"/>
    <n v="0"/>
    <n v="0"/>
    <s v="Reserva importada do sistema Gover. Id: 4628330"/>
    <s v="Fornecedor não preenchido! (ACC01)"/>
    <s v="GOVER"/>
    <s v="Falta de Fornecedor"/>
    <s v="Campo Fornecedor"/>
    <s v="Dados do Fornecedor"/>
    <s v="Sistêmico"/>
    <s v="GRUPO KONTIK"/>
  </r>
  <r>
    <n v="23157684"/>
    <n v="23901740"/>
    <s v="ACC01"/>
    <x v="428"/>
    <d v="2025-10-21T15:36:26"/>
    <s v="31 dias ou +"/>
    <s v="31 dias ou +"/>
    <n v="22234"/>
    <s v="GOVER"/>
    <s v="DEBORA VIANA DA SILVA"/>
    <s v="Marcos de Oliveira Miklos"/>
    <s v="Marcos de Oliveira Miklos"/>
    <x v="399"/>
    <n v="4613090"/>
    <s v="-"/>
    <s v="OFF LINE"/>
    <s v="Cartão de crédito"/>
    <s v="Cartão de crédito"/>
    <s v="Hotel"/>
    <s v="N"/>
    <s v="Grupo Marisa"/>
    <s v="Lojas Marisa"/>
    <s v="-"/>
    <s v="-"/>
    <s v="-"/>
    <s v="KON-OPE-RIO-PVI-BTC RJ"/>
    <s v="-"/>
    <x v="373"/>
    <n v="0"/>
    <n v="0"/>
    <n v="0"/>
    <n v="0"/>
    <n v="0"/>
    <n v="0"/>
    <s v="Reserva importada do sistema Gover. Id: 4613090"/>
    <s v="Fornecedor não preenchido! (ACC01)"/>
    <s v="GOVER"/>
    <s v="Falta de Fornecedor"/>
    <s v="Campo Fornecedor"/>
    <s v="Dados do Fornecedor"/>
    <s v="Sistêmico"/>
    <s v="GRUPO KONTIK"/>
  </r>
  <r>
    <n v="23156916"/>
    <n v="23901088"/>
    <s v="ACC01"/>
    <x v="429"/>
    <d v="2025-10-21T15:10:00"/>
    <s v="31 dias ou +"/>
    <s v="31 dias ou +"/>
    <n v="20504034"/>
    <s v="GOVER"/>
    <s v="ANDRE LUIZ CERQUEIRA COSTA"/>
    <s v="RAIANY DA PAZ VIDAL CORREIA DA SILVA"/>
    <s v="RAIANY DA PAZ VIDAL CORREIA DA SILVA"/>
    <x v="400"/>
    <n v="4610503"/>
    <s v="-"/>
    <s v="OFF LINE"/>
    <s v="Cartão de crédito"/>
    <s v="Cartão de crédito"/>
    <s v="Hotel"/>
    <s v="N"/>
    <s v="Grupo Marisa"/>
    <s v="Lojas Marisa"/>
    <s v="-"/>
    <s v="-"/>
    <s v="-"/>
    <s v="KON-OPE-RIO-PVI-BTC RJ"/>
    <s v="-"/>
    <x v="374"/>
    <n v="365.15"/>
    <n v="0"/>
    <n v="0"/>
    <n v="0"/>
    <n v="0"/>
    <n v="0"/>
    <s v="Reserva importada do sistema Gover. Id: 4610503"/>
    <s v="Fornecedor não preenchido! (ACC01)"/>
    <s v="GOVER"/>
    <s v="Falta de Fornecedor"/>
    <s v="Campo Fornecedor"/>
    <s v="Dados do Fornecedor"/>
    <s v="Sistêmico"/>
    <s v="GRUPO KONTIK"/>
  </r>
  <r>
    <n v="23303823"/>
    <n v="24034476"/>
    <s v="ACC01"/>
    <x v="430"/>
    <d v="2025-11-12T03:43:00"/>
    <s v="09 a 15 dias"/>
    <s v="09 a 15 dias"/>
    <s v="h4625674"/>
    <s v="GOVER"/>
    <s v="Messias Donizete Garcia"/>
    <s v="Cristiane Santos Pio Memoria"/>
    <s v="Cristiane Santos Pio Memoria"/>
    <x v="401"/>
    <n v="4625674"/>
    <s v="-"/>
    <s v="OFF LINE"/>
    <s v="Cartão de crédito"/>
    <s v="Cartão de crédito"/>
    <s v="Hotel"/>
    <s v="N"/>
    <s v="Grupo British American Tobacco"/>
    <s v="Souza Cruz"/>
    <s v="-"/>
    <s v="Hotel Cosini"/>
    <s v="-"/>
    <s v="FCM-OPE-SAO-PVI-BAT"/>
    <s v="-"/>
    <x v="375"/>
    <n v="0"/>
    <n v="0"/>
    <n v="0"/>
    <n v="0"/>
    <n v="0"/>
    <n v="0"/>
    <s v="Reserva importada do sistema Gover. Id: 4625674"/>
    <s v="Fornecedor não preenchido! (ACC02)"/>
    <s v="GOVER"/>
    <s v="Falta de Fornecedor"/>
    <s v="Campo Fornecedor"/>
    <s v="Dados do Fornecedor"/>
    <s v="Sistêmico"/>
    <s v="GRUPO KONTIK"/>
  </r>
  <r>
    <n v="23303823"/>
    <n v="24034477"/>
    <s v="ACC02"/>
    <x v="430"/>
    <d v="2025-11-12T03:43:00"/>
    <s v="09 a 15 dias"/>
    <s v="09 a 15 dias"/>
    <s v="h4625674"/>
    <s v="GOVER"/>
    <s v="Dionathan Elves De Paula"/>
    <s v="Cristiane Santos Pio Memoria"/>
    <s v="Cristiane Santos Pio Memoria"/>
    <x v="401"/>
    <n v="4625674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376"/>
    <n v="0"/>
    <n v="0"/>
    <n v="0"/>
    <n v="0"/>
    <n v="0"/>
    <n v="0"/>
    <s v="Reserva importada do sistema Gover. Id: 4625674"/>
    <s v="Fornecedor não preenchido! (ACC02)"/>
    <s v="GOVER"/>
    <s v="Falta de Fornecedor"/>
    <s v="Campo Fornecedor"/>
    <s v="Dados do Fornecedor"/>
    <s v="Sistêmico"/>
    <s v="GRUPO KONTIK"/>
  </r>
  <r>
    <n v="23340519"/>
    <n v="24068276"/>
    <s v="ACC01"/>
    <x v="431"/>
    <d v="2025-11-18T03:41:14"/>
    <s v="06 a 08 dias"/>
    <s v="06 a 08 dias"/>
    <s v="h4628328"/>
    <s v="GOVER"/>
    <s v="Bruno Chaves Cajueiro"/>
    <s v="Cristiane Santos Pio Memoria"/>
    <s v="Cristiane Santos Pio Memoria"/>
    <x v="402"/>
    <n v="462832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377"/>
    <n v="0"/>
    <n v="0"/>
    <n v="0"/>
    <n v="0"/>
    <n v="0"/>
    <n v="0"/>
    <s v="Reserva importada do sistema Gover. Id: 4628328"/>
    <s v="Fornecedor não preenchido! (ACC01)"/>
    <s v="GOVER"/>
    <s v="Falta de Fornecedor"/>
    <s v="Campo Fornecedor"/>
    <s v="Dados do Fornecedor"/>
    <s v="Sistêmico"/>
    <s v="GRUPO KONTIK"/>
  </r>
  <r>
    <n v="23341340"/>
    <n v="24069088"/>
    <s v="ACC01"/>
    <x v="432"/>
    <d v="2025-11-18T03:45:21"/>
    <s v="06 a 08 dias"/>
    <s v="06 a 08 dias"/>
    <s v="h4627760"/>
    <s v="GOVER"/>
    <s v="Rodrigo Teixeira De Oliveira"/>
    <s v="Cristiane Santos Pio Memoria"/>
    <s v="Cristiane Santos Pio Memoria"/>
    <x v="402"/>
    <n v="4627760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377"/>
    <n v="0"/>
    <n v="0"/>
    <n v="0"/>
    <n v="0"/>
    <n v="0"/>
    <n v="0"/>
    <s v="Reserva importada do sistema Gover. Id: 4627760"/>
    <s v="Fornecedor não preenchido! (ACC01)"/>
    <s v="GOVER"/>
    <s v="Falta de Fornecedor"/>
    <s v="Campo Fornecedor"/>
    <s v="Dados do Fornecedor"/>
    <s v="Sistêmico"/>
    <s v="GRUPO KONTIK"/>
  </r>
  <r>
    <n v="23356295"/>
    <n v="24083281"/>
    <s v="ACC01"/>
    <x v="433"/>
    <d v="2025-11-20T03:56:31"/>
    <s v="03 a 05 dias"/>
    <s v="03 a 05 dias"/>
    <s v="H4630380-1"/>
    <s v="GOVER"/>
    <s v="N/I"/>
    <s v="Ingrid Vianna Vargas de Oliveira"/>
    <s v="Ingrid Vianna Vargas de Oliveira"/>
    <x v="403"/>
    <n v="4630380"/>
    <s v="-"/>
    <s v="OFF LINE"/>
    <s v="Cartão de crédito"/>
    <s v="Cartão de crédito"/>
    <s v="Hotel"/>
    <s v="N"/>
    <s v="Grupo British American Tobacco"/>
    <s v="Souza Cruz"/>
    <s v="-"/>
    <s v="Kanoa Tropical Hotel"/>
    <s v="-"/>
    <s v="FCM-OPE-SAO-PVI-BAT"/>
    <s v="-"/>
    <x v="378"/>
    <n v="0"/>
    <n v="0"/>
    <n v="0"/>
    <n v="0"/>
    <n v="0"/>
    <n v="0"/>
    <s v="Reserva importada do sistema Gover. Id: 4630380"/>
    <s v="Centro de custo não preenchido! (ACC01)"/>
    <s v="GOVER"/>
    <s v="Centro de custo"/>
    <s v="Falta de informação Gerencial"/>
    <s v="Dados do Fornecedor"/>
    <s v="Qualidade dos dados"/>
    <s v="KONTIK BUSINESS TRAVEL"/>
  </r>
  <r>
    <n v="23355824"/>
    <n v="24082789"/>
    <s v="ACC01"/>
    <x v="434"/>
    <d v="2025-11-20T03:52:46"/>
    <s v="03 a 05 dias"/>
    <s v="03 a 05 dias"/>
    <s v="EDKFWS"/>
    <s v="GOVER"/>
    <s v="Gabriella de Albuquerque Mello Alves"/>
    <s v="Gover"/>
    <s v="Gover"/>
    <x v="404"/>
    <n v="4629377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379"/>
    <n v="117.6"/>
    <n v="0"/>
    <n v="0"/>
    <n v="0"/>
    <n v="0"/>
    <n v="0"/>
    <s v="Reserva importada do sistema Gover. Id: 4629377"/>
    <s v="Fornecedor não preenchido! (ACC01)"/>
    <s v="GOVER"/>
    <s v="Falta de Fornecedor"/>
    <s v="Campo Fornecedor"/>
    <s v="Dados do Fornecedor"/>
    <s v="Sistêmico"/>
    <s v="GRUPO KONTIK"/>
  </r>
  <r>
    <n v="23368233"/>
    <n v="24094212"/>
    <s v="ACC01"/>
    <x v="435"/>
    <d v="2025-11-22T03:24:52"/>
    <s v="0 a 02 dias"/>
    <s v="03 a 05 dias"/>
    <s v="WZBGTM"/>
    <s v="GOVER"/>
    <s v="Rafael Candido Pinto"/>
    <s v="Gover"/>
    <s v="Gover"/>
    <x v="405"/>
    <n v="4630796"/>
    <s v="-"/>
    <s v="ON LINE"/>
    <s v="Pagamento direto"/>
    <s v="Pagamento direto"/>
    <s v="Hotel"/>
    <s v="N"/>
    <s v="Grupo British American Tobacco"/>
    <s v="Souza Cruz"/>
    <s v="-"/>
    <s v="-"/>
    <s v="-"/>
    <s v="FCM-OPE-SAO-PVI-BAT"/>
    <s v="-"/>
    <x v="380"/>
    <n v="87.69"/>
    <n v="0"/>
    <n v="0"/>
    <n v="0"/>
    <n v="0"/>
    <n v="0"/>
    <s v="Reserva importada do sistema Gover. Id: 4630796"/>
    <s v="Fornecedor não preenchido! (ACC01)"/>
    <s v="GOVER"/>
    <s v="Falta de Fornecedor"/>
    <s v="Campo Fornecedor"/>
    <s v="Dados do Fornecedor"/>
    <s v="Sistêmico"/>
    <s v="GRUPO KONTIK"/>
  </r>
  <r>
    <n v="23339835"/>
    <n v="24067629"/>
    <s v="ACC01"/>
    <x v="436"/>
    <d v="2025-11-17T14:07:57"/>
    <s v="06 a 08 dias"/>
    <s v="06 a 08 dias"/>
    <s v="5T12HT"/>
    <s v="LEMONTECH"/>
    <s v="GEWEHR/FRANCIELE"/>
    <s v="Hiran Ricardo da Silva Ramos"/>
    <s v="Hiran Ricardo da Silva Ramos"/>
    <x v="406"/>
    <n v="18046676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1"/>
    <n v="0"/>
    <n v="0"/>
    <n v="0"/>
    <n v="0"/>
    <n v="0"/>
    <n v="0"/>
    <s v="Reserva importada do Sistema Lemontech. Solicitação: 18046676"/>
    <s v="Fornecedor não preenchido! (ACC01)"/>
    <s v="LEMONTECH"/>
    <s v="Falta de Fornecedor"/>
    <s v="Campo Fornecedor"/>
    <s v="Dados do Fornecedor"/>
    <s v="Qualidade dos dados"/>
    <s v="KONTIK BUSINESS TRAVEL"/>
  </r>
  <r>
    <n v="23339836"/>
    <n v="24067630"/>
    <s v="ACC01"/>
    <x v="437"/>
    <d v="2025-11-17T14:07:58"/>
    <s v="06 a 08 dias"/>
    <s v="06 a 08 dias"/>
    <s v="5TXSYT"/>
    <s v="LEMONTECH"/>
    <s v="ROITHMANN/GABRIELA"/>
    <s v="Hiran Ricardo da Silva Ramos"/>
    <s v="Hiran Ricardo da Silva Ramos"/>
    <x v="407"/>
    <n v="18046717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2"/>
    <n v="0"/>
    <n v="0"/>
    <n v="0"/>
    <n v="0"/>
    <n v="0"/>
    <n v="0"/>
    <s v="Reserva importada do Sistema Lemontech. Solicitação: 18046717"/>
    <s v="Fornecedor não preenchido! (ACC01)"/>
    <s v="LEMONTECH"/>
    <s v="Falta de Fornecedor"/>
    <s v="Campo Fornecedor"/>
    <s v="Dados do Fornecedor"/>
    <s v="Qualidade dos dados"/>
    <s v="KONTIK BUSINESS TRAVEL"/>
  </r>
  <r>
    <n v="23339839"/>
    <n v="24067633"/>
    <s v="ACC01"/>
    <x v="438"/>
    <d v="2025-11-17T14:07:58"/>
    <s v="06 a 08 dias"/>
    <s v="06 a 08 dias"/>
    <s v="5TEWH5"/>
    <s v="LEMONTECH"/>
    <s v="DOS SANTOS/JACQUELINE"/>
    <s v="Hiran Ricardo da Silva Ramos"/>
    <s v="Hiran Ricardo da Silva Ramos"/>
    <x v="408"/>
    <n v="18047086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1"/>
    <n v="0"/>
    <n v="0"/>
    <n v="0"/>
    <n v="0"/>
    <n v="0"/>
    <n v="0"/>
    <s v="Reserva importada do Sistema Lemontech. Solicitação: 18047086"/>
    <s v="Fornecedor não preenchido! (ACC01)"/>
    <s v="LEMONTECH"/>
    <s v="Falta de Fornecedor"/>
    <s v="Campo Fornecedor"/>
    <s v="Dados do Fornecedor"/>
    <s v="Qualidade dos dados"/>
    <s v="KONTIK BUSINESS TRAVEL"/>
  </r>
  <r>
    <n v="23323902"/>
    <n v="24053366"/>
    <s v="ACC01"/>
    <x v="439"/>
    <d v="2025-11-14T12:06:28"/>
    <s v="09 a 15 dias"/>
    <s v="09 a 15 dias"/>
    <s v="5TRTKD"/>
    <s v="LEMONTECH"/>
    <s v="OHKI KAWAKAMI/GIOVANA"/>
    <s v="Hiran Ricardo da Silva Ramos"/>
    <s v="Hiran Ricardo da Silva Ramos"/>
    <x v="409"/>
    <n v="18002121"/>
    <s v="-"/>
    <s v="OFF LINE"/>
    <s v="Cartão de crédito"/>
    <s v="Cartão de crédito"/>
    <s v="Serviço"/>
    <s v="N"/>
    <s v="Grupo Renner"/>
    <s v="Lojas Renner"/>
    <s v="-"/>
    <s v="-"/>
    <s v="-"/>
    <s v="KON-OPE-RIO-PVI-RENNER"/>
    <s v="-"/>
    <x v="383"/>
    <n v="0"/>
    <n v="0"/>
    <n v="0"/>
    <n v="0"/>
    <n v="0"/>
    <n v="0"/>
    <s v="Reserva importada do Sistema Lemontech. Solicitação: 18002121"/>
    <s v="Fornecedor não preenchido! (ACC01)"/>
    <s v="LEMONTECH"/>
    <s v="Falta de Fornecedor"/>
    <s v="Campo Fornecedor"/>
    <s v="Dados do Fornecedor"/>
    <s v="Qualidade dos dados"/>
    <s v="KONTIK BUSINESS TRAVEL"/>
  </r>
  <r>
    <n v="23365159"/>
    <n v="24091185"/>
    <s v="ACC01"/>
    <x v="440"/>
    <d v="2025-11-21T11:07:01"/>
    <s v="03 a 05 dias"/>
    <s v="03 a 05 dias"/>
    <s v="5U43CM"/>
    <s v="LEMONTECH"/>
    <s v="DE ABREU/ELIZABETH"/>
    <s v="Vitoria Silva Lopes"/>
    <s v="Vitoria Silva Lopes"/>
    <x v="410"/>
    <n v="18064189"/>
    <s v="-"/>
    <s v="OFF LINE"/>
    <s v="Cartão de crédito"/>
    <s v="Cartão de crédito"/>
    <s v="Serviço"/>
    <s v="N"/>
    <s v="Grupo Renner"/>
    <s v="Lojas Renner"/>
    <s v="-"/>
    <s v="-"/>
    <s v="-"/>
    <s v="KON-OPE-RIO-PVI-RENNER"/>
    <s v="-"/>
    <x v="384"/>
    <n v="0"/>
    <n v="0"/>
    <n v="0"/>
    <n v="0"/>
    <n v="0"/>
    <n v="0"/>
    <s v="Reserva importada do Sistema Lemontech. Solicitação: 18064189"/>
    <s v="Fornecedor não preenchido! (ACC01)"/>
    <s v="LEMONTECH"/>
    <s v="Falta de Fornecedor"/>
    <s v="Campo Fornecedor"/>
    <s v="Dados do Fornecedor"/>
    <s v="Qualidade dos dados"/>
    <s v="KONTIK BUSINESS TRAVEL"/>
  </r>
  <r>
    <n v="23367700"/>
    <n v="24093694"/>
    <s v="ACC01"/>
    <x v="441"/>
    <d v="2025-11-23T07:30:55"/>
    <s v="0 a 02 dias"/>
    <s v="03 a 05 dias"/>
    <s v="5ULPZA"/>
    <s v="LEMONTECH"/>
    <s v="FABIO KAZUO NAKAMURA"/>
    <s v="Vitoria Silva Lopes"/>
    <s v="Vitoria Silva Lopes"/>
    <x v="411"/>
    <n v="18062477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5"/>
    <n v="69.09"/>
    <n v="9.949999999999999"/>
    <n v="0"/>
    <n v="0"/>
    <n v="0"/>
    <n v="0"/>
    <s v="Reserva importada do Sistema Lemontech. Solicitação: 18062477"/>
    <s v="Fornecedor não preenchido! (ACC01)"/>
    <s v="LEMONTECH"/>
    <s v="Falta de Fornecedor"/>
    <s v="Campo Fornecedor"/>
    <s v="Dados do Fornecedor"/>
    <s v="Qualidade dos dados"/>
    <s v="KONTIK BUSINESS TRAVEL"/>
  </r>
  <r>
    <n v="23368362"/>
    <n v="24094341"/>
    <s v="ACC01"/>
    <x v="442"/>
    <d v="2025-11-21T21:06:11"/>
    <s v="03 a 05 dias"/>
    <s v="03 a 05 dias"/>
    <s v="5UN6AA"/>
    <s v="LEMONTECH"/>
    <s v="SILVA BALBI/BRUNA"/>
    <s v="Vitoria Silva Lopes"/>
    <s v="Vitoria Silva Lopes"/>
    <x v="412"/>
    <n v="18078973"/>
    <s v="-"/>
    <s v="ON LINE"/>
    <s v="Invoice"/>
    <s v="Faturado"/>
    <s v="Hotel"/>
    <s v="N"/>
    <s v="Grupo Renner"/>
    <s v="Lojas Renner"/>
    <s v="-"/>
    <s v="-"/>
    <s v="-"/>
    <s v="KON-OPE-RIO-PVI-RENNER"/>
    <s v="-"/>
    <x v="386"/>
    <n v="0"/>
    <n v="0"/>
    <n v="0"/>
    <n v="0"/>
    <n v="0"/>
    <n v="0"/>
    <s v="Reserva importada do Sistema Lemontech. Solicitação: 18078973"/>
    <s v="Fornecedor não preenchido! (ACC01)"/>
    <s v="LEMONTECH"/>
    <s v="Falta de Fornecedor"/>
    <s v="Campo Fornecedor"/>
    <s v="Dados do Fornecedor"/>
    <s v="Qualidade dos dados"/>
    <s v="KONTIK BUSINESS TRAVEL"/>
  </r>
  <r>
    <n v="23355857"/>
    <n v="24082830"/>
    <s v="ACC01"/>
    <x v="443"/>
    <d v="2025-11-19T17:07:22"/>
    <s v="03 a 05 dias"/>
    <s v="03 a 05 dias"/>
    <s v="5TZJ2L"/>
    <s v="LEMONTECH"/>
    <s v="BARRETO VIANA/PAULA"/>
    <s v="Vitoria Silva Lopes"/>
    <s v="Vitoria Silva Lopes"/>
    <x v="210"/>
    <n v="18045340"/>
    <s v="-"/>
    <s v="ON LINE"/>
    <s v="Invoice"/>
    <s v="Faturado"/>
    <s v="Hotel"/>
    <s v="N"/>
    <s v="Grupo Renner"/>
    <s v="Lojas Renner"/>
    <s v="-"/>
    <s v="-"/>
    <s v="-"/>
    <s v="KON-OPE-RIO-PVI-RENNER"/>
    <s v="-"/>
    <x v="387"/>
    <n v="0"/>
    <n v="0"/>
    <n v="0"/>
    <n v="0"/>
    <n v="0"/>
    <n v="0"/>
    <s v="Reserva importada do Sistema Lemontech. Solicitação: 18045340"/>
    <s v="Fornecedor não preenchido! (ACC01)"/>
    <s v="LEMONTECH"/>
    <s v="Falta de Fornecedor"/>
    <s v="Campo Fornecedor"/>
    <s v="Dados do Fornecedor"/>
    <s v="Qualidade dos dados"/>
    <s v="KONTIK BUSINESS TRAVEL"/>
  </r>
  <r>
    <n v="23355491"/>
    <n v="24082464"/>
    <s v="ACC01"/>
    <x v="444"/>
    <d v="2025-11-23T07:30:52"/>
    <s v="0 a 02 dias"/>
    <s v="03 a 05 dias"/>
    <s v="5TGFWL"/>
    <s v="LEMONTECH"/>
    <s v="TATIANE PAULA ROSA FERREIRA"/>
    <s v="Jocelaine Silveira Debom"/>
    <s v="Jocelaine Silveira Debom"/>
    <x v="413"/>
    <n v="18060834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8"/>
    <n v="21.96"/>
    <n v="9.949999999999999"/>
    <n v="0"/>
    <n v="0"/>
    <n v="0"/>
    <n v="0"/>
    <s v="Reserva importada do Sistema Lemontech. Solicitação: 18060834"/>
    <s v="Fornecedor não preenchido! (ACC01)"/>
    <s v="LEMONTECH"/>
    <s v="Falta de Fornecedor"/>
    <s v="Campo Fornecedor"/>
    <s v="Dados do Fornecedor"/>
    <s v="Qualidade dos dados"/>
    <s v="KONTIK BUSINESS TRAVEL"/>
  </r>
  <r>
    <n v="23355859"/>
    <n v="24082832"/>
    <s v="ACC01"/>
    <x v="445"/>
    <d v="2025-11-23T07:30:52"/>
    <s v="0 a 02 dias"/>
    <s v="03 a 05 dias"/>
    <s v="5TE729"/>
    <s v="LEMONTECH"/>
    <s v="SUZI ELAINE STUCCHI"/>
    <s v="Jocelaine Silveira Debom"/>
    <s v="Jocelaine Silveira Debom"/>
    <x v="413"/>
    <n v="18049899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8"/>
    <n v="21.96"/>
    <n v="9.949999999999999"/>
    <n v="0"/>
    <n v="0"/>
    <n v="0"/>
    <n v="0"/>
    <s v="Reserva importada do Sistema Lemontech. Solicitação: 18049899"/>
    <s v="Fornecedor não preenchido! (ACC01)"/>
    <s v="LEMONTECH"/>
    <s v="Falta de Fornecedor"/>
    <s v="Campo Fornecedor"/>
    <s v="Dados do Fornecedor"/>
    <s v="Qualidade dos dados"/>
    <s v="KONTIK BUSINESS TRAVEL"/>
  </r>
  <r>
    <n v="23367380"/>
    <n v="24093395"/>
    <s v="ACC01"/>
    <x v="446"/>
    <d v="2025-11-23T07:30:53"/>
    <s v="0 a 02 dias"/>
    <s v="03 a 05 dias"/>
    <s v="5UEGMA"/>
    <s v="LEMONTECH"/>
    <s v="DAYANA FABIULA FETTER"/>
    <s v="Tami Maron"/>
    <s v="Tami Maron"/>
    <x v="411"/>
    <n v="18071141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89"/>
    <n v="6.42"/>
    <n v="9.949999999999999"/>
    <n v="0"/>
    <n v="0"/>
    <n v="0"/>
    <n v="0"/>
    <s v="Reserva importada do Sistema Lemontech. Solicitação: 18071141"/>
    <s v="Fornecedor não preenchido! (ACC01)"/>
    <s v="LEMONTECH"/>
    <s v="Falta de Fornecedor"/>
    <s v="Campo Fornecedor"/>
    <s v="Dados do Fornecedor"/>
    <s v="Qualidade dos dados"/>
    <s v="KONTIK BUSINESS TRAVEL"/>
  </r>
  <r>
    <n v="23367381"/>
    <n v="24093396"/>
    <s v="ACC01"/>
    <x v="446"/>
    <d v="2025-11-23T07:30:54"/>
    <s v="0 a 02 dias"/>
    <s v="03 a 05 dias"/>
    <s v="5UF5BZ"/>
    <s v="LEMONTECH"/>
    <s v="DAYANA FABIULA FETTER"/>
    <s v="Tami Maron"/>
    <s v="Tami Maron"/>
    <x v="414"/>
    <n v="18071141"/>
    <s v="-"/>
    <s v="OFF LINE"/>
    <s v="Invoice"/>
    <s v="Faturado"/>
    <s v="Serviço"/>
    <s v="N"/>
    <s v="Grupo Renner"/>
    <s v="Lojas Renner"/>
    <s v="-"/>
    <s v="-"/>
    <s v="-"/>
    <s v="KON-OPE-RIO-PVI-RENNER"/>
    <s v="-"/>
    <x v="390"/>
    <n v="6"/>
    <n v="9.949999999999999"/>
    <n v="0"/>
    <n v="0"/>
    <n v="0"/>
    <n v="0"/>
    <s v="Reserva importada do Sistema Lemontech. Solicitação: 18071141"/>
    <s v="Fornecedor não preenchido! (ACC01)"/>
    <s v="LEMONTECH"/>
    <s v="Falta de Fornecedor"/>
    <s v="Campo Fornecedor"/>
    <s v="Dados do Fornecedor"/>
    <s v="Qualidade dos dados"/>
    <s v="KONTIK BUSINESS TRAVEL"/>
  </r>
  <r>
    <n v="23252793"/>
    <n v="23985454"/>
    <s v="ACC01"/>
    <x v="447"/>
    <d v="2025-11-04T09:12:26"/>
    <s v="16 a 23 dias"/>
    <s v="16 a 23 dias"/>
    <s v="AQSMBXT"/>
    <s v="SABRE"/>
    <s v="ANDERY/RAPHAEL STERZA MR"/>
    <s v="CT"/>
    <s v="CT"/>
    <x v="415"/>
    <s v="AQSMBX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391"/>
    <n v="3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22531"/>
    <n v="24051923"/>
    <s v="ACC01"/>
    <x v="448"/>
    <d v="2025-11-14T07:12:33"/>
    <s v="09 a 15 dias"/>
    <s v="09 a 15 dias"/>
    <n v="20841508"/>
    <s v="WOOBA"/>
    <s v="FIALHO RIBEIRO/MARIO LUIS"/>
    <s v="Raul Alves Vieira"/>
    <s v="Raul Alves Vieira"/>
    <x v="416"/>
    <s v="-"/>
    <s v="-"/>
    <s v="OFF LINE"/>
    <s v="Invoice"/>
    <s v="Faturado"/>
    <s v="Hotel"/>
    <s v="N"/>
    <s v="Grupo Constellation"/>
    <s v="Constellation"/>
    <s v="-"/>
    <s v="-"/>
    <s v="-"/>
    <s v="KON-OPE-RIO-PVI-CONSTELLATION"/>
    <s v="-"/>
    <x v="392"/>
    <n v="0"/>
    <n v="0"/>
    <n v="0"/>
    <n v="0"/>
    <n v="9.710000000000001"/>
    <n v="0"/>
    <s v="Reserva importada do Sistema WOOBA. Id: 4270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32"/>
    <n v="24051924"/>
    <s v="ACC01"/>
    <x v="449"/>
    <d v="2025-11-14T07:12:33"/>
    <s v="09 a 15 dias"/>
    <s v="09 a 15 dias"/>
    <n v="20841506"/>
    <s v="WOOBA"/>
    <s v="DE CARVALHO ARAUJO/CARLILE"/>
    <s v="Raul Alves Vieira"/>
    <s v="Raul Alves Vieira"/>
    <x v="416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2"/>
    <n v="0"/>
    <n v="0"/>
    <n v="0"/>
    <n v="0"/>
    <n v="9.710000000000001"/>
    <n v="0"/>
    <s v="Reserva importada do Sistema WOOBA. Id: 4271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33"/>
    <n v="24051925"/>
    <s v="ACC01"/>
    <x v="449"/>
    <d v="2025-11-14T07:12:34"/>
    <s v="09 a 15 dias"/>
    <s v="09 a 15 dias"/>
    <n v="20841505"/>
    <s v="WOOBA"/>
    <s v="SANTOS DOS ANJOS/CAIO RODRIGO"/>
    <s v="Raul Alves Vieira"/>
    <s v="Raul Alves Vieira"/>
    <x v="417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2"/>
    <n v="0"/>
    <n v="0"/>
    <n v="0"/>
    <n v="0"/>
    <n v="9.710000000000001"/>
    <n v="0"/>
    <s v="Reserva importada do Sistema WOOBA. Id: 4272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34"/>
    <n v="24051926"/>
    <s v="ACC01"/>
    <x v="450"/>
    <d v="2025-11-14T07:12:34"/>
    <s v="09 a 15 dias"/>
    <s v="09 a 15 dias"/>
    <n v="20841510"/>
    <s v="WOOBA"/>
    <s v="PINHEIRO ANACLETO/MARCIO"/>
    <s v="Raul Alves Vieira"/>
    <s v="Raul Alves Vieira"/>
    <x v="418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2"/>
    <n v="0"/>
    <n v="0"/>
    <n v="0"/>
    <n v="0"/>
    <n v="9.710000000000001"/>
    <n v="0"/>
    <s v="Reserva importada do Sistema WOOBA. Id: 4273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35"/>
    <n v="24051927"/>
    <s v="ACC01"/>
    <x v="450"/>
    <d v="2025-11-14T07:12:34"/>
    <s v="09 a 15 dias"/>
    <s v="09 a 15 dias"/>
    <n v="20841511"/>
    <s v="WOOBA"/>
    <s v="GONCALVES DA COSTA/JOAO PAULO"/>
    <s v="Raul Alves Vieira"/>
    <s v="Raul Alves Vieira"/>
    <x v="419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3"/>
    <n v="0"/>
    <n v="0"/>
    <n v="0"/>
    <n v="0"/>
    <n v="12.34"/>
    <n v="0"/>
    <s v="Reserva importada do Sistema WOOBA. Id: 4274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63"/>
    <n v="24051946"/>
    <s v="ACC01"/>
    <x v="451"/>
    <d v="2025-11-14T07:30:58"/>
    <s v="09 a 15 dias"/>
    <s v="09 a 15 dias"/>
    <n v="20841514"/>
    <s v="WOOBA"/>
    <s v="SOUSA PASSALINI/PEDRO GUILHERME"/>
    <s v="Raul Alves Vieira"/>
    <s v="Raul Alves Vieira"/>
    <x v="420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3"/>
    <n v="0"/>
    <n v="0"/>
    <n v="0"/>
    <n v="0"/>
    <n v="12.34"/>
    <n v="0"/>
    <s v="Reserva importada do Sistema WOOBA. Id: 4275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64"/>
    <n v="24051947"/>
    <s v="ACC01"/>
    <x v="451"/>
    <d v="2025-11-14T07:30:58"/>
    <s v="09 a 15 dias"/>
    <s v="09 a 15 dias"/>
    <n v="20841491"/>
    <s v="WOOBA"/>
    <s v="SANTIAGO DE SOUZA/MARCOS LIVIO"/>
    <s v="Raul Alves Vieira"/>
    <s v="Raul Alves Vieira"/>
    <x v="421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4"/>
    <n v="0"/>
    <n v="0"/>
    <n v="0"/>
    <n v="0"/>
    <n v="15.3"/>
    <n v="0"/>
    <s v="Reserva importada do Sistema WOOBA. Id: 4265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322565"/>
    <n v="24051948"/>
    <s v="ACC01"/>
    <x v="452"/>
    <d v="2025-11-14T07:30:58"/>
    <s v="09 a 15 dias"/>
    <s v="09 a 15 dias"/>
    <n v="20841485"/>
    <s v="WOOBA"/>
    <s v="LEMOS DE LACERDA BATISTA/WELLERSON"/>
    <s v="Raul Alves Vieira"/>
    <s v="Raul Alves Vieira"/>
    <x v="422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395"/>
    <n v="0"/>
    <n v="0"/>
    <n v="0"/>
    <n v="0"/>
    <n v="17.4"/>
    <n v="0"/>
    <s v="Reserva importada do Sistema WOOBA. Id: 4264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3229721"/>
    <n v="23964390"/>
    <s v="ACC01"/>
    <x v="453"/>
    <d v="2025-10-31T09:43:46"/>
    <s v="24 a 31 dias"/>
    <s v="24 a 31 dias"/>
    <n v="20650804"/>
    <s v="GOVER"/>
    <s v="Adrian  da Silva Offmann"/>
    <s v="Marcos de Oliveira Miklos"/>
    <s v="Marcos de Oliveira Miklos"/>
    <x v="423"/>
    <n v="4621385"/>
    <s v="-"/>
    <s v="OFF LINE"/>
    <s v="Invoice"/>
    <s v="Faturado"/>
    <s v="Hotel"/>
    <s v="N"/>
    <s v="Grupo Isdin"/>
    <s v="Isdin Sp"/>
    <s v="-"/>
    <s v="-"/>
    <s v="-"/>
    <s v="KON-OPE-RIO-PVI-BTC RJ"/>
    <s v="-"/>
    <x v="396"/>
    <n v="109.71"/>
    <n v="0"/>
    <n v="0"/>
    <n v="0"/>
    <n v="0"/>
    <n v="0"/>
    <s v="Reserva importada do sistema Gover. Id: 4621385"/>
    <s v="Fornecedor não preenchido! (ACC01)"/>
    <s v="GOVER"/>
    <s v="Falta de Fornecedor"/>
    <s v="Campo Fornecedor"/>
    <s v="Dados do Fornecedor"/>
    <s v="Sistêmico"/>
    <s v="GRUPO KONTIK"/>
  </r>
  <r>
    <n v="23123331"/>
    <n v="23870552"/>
    <s v="ACC01"/>
    <x v="454"/>
    <d v="2025-10-16T08:25:10"/>
    <s v="31 dias ou +"/>
    <s v="31 dias ou +"/>
    <n v="4605836"/>
    <s v="GOVER"/>
    <s v="KARINA YASMIM DA COSTA SILVA"/>
    <s v="Wilson Jose Araujo de Gusmao Junior"/>
    <s v="Wilson Jose Araujo de Gusmao Junior"/>
    <x v="424"/>
    <n v="4605836"/>
    <s v="-"/>
    <s v="OFF LINE"/>
    <s v="Cartão de crédito"/>
    <s v="Cartão de crédito"/>
    <s v="Hotel"/>
    <s v="N"/>
    <s v="Grupo Isdin"/>
    <s v="Isdin Sp"/>
    <s v="-"/>
    <s v="-"/>
    <s v="-"/>
    <s v="KON-OPE-RIO-PVI-BTC RJ"/>
    <s v="-"/>
    <x v="397"/>
    <n v="0"/>
    <n v="0"/>
    <n v="0"/>
    <n v="0"/>
    <n v="0"/>
    <n v="0"/>
    <s v="Reserva importada do sistema Gover. Id: 4605836"/>
    <s v="Fornecedor não preenchido! (ACC01)"/>
    <s v="GOVER"/>
    <s v="Falta de Fornecedor"/>
    <s v="Campo Fornecedor"/>
    <s v="Dados do Fornecedor"/>
    <s v="Sistêmico"/>
    <s v="GRUPO KONTIK"/>
  </r>
  <r>
    <n v="23130892"/>
    <n v="23877428"/>
    <s v="ACC01"/>
    <x v="455"/>
    <d v="2025-10-17T08:45:15"/>
    <s v="31 dias ou +"/>
    <s v="31 dias ou +"/>
    <n v="4605860"/>
    <s v="GOVER"/>
    <s v="MARIO LUCIO VERAS VAZ FILHO"/>
    <s v="Wilson Jose Araujo de Gusmao Junior"/>
    <s v="Wilson Jose Araujo de Gusmao Junior"/>
    <x v="425"/>
    <n v="4605860"/>
    <s v="-"/>
    <s v="OFF LINE"/>
    <s v="Cartão de crédito"/>
    <s v="Cartão de crédito"/>
    <s v="Hotel"/>
    <s v="N"/>
    <s v="Grupo Isdin"/>
    <s v="Isdin Sp"/>
    <s v="-"/>
    <s v="-"/>
    <s v="-"/>
    <s v="KON-OPE-RIO-PVI-BTC RJ"/>
    <s v="-"/>
    <x v="398"/>
    <n v="0"/>
    <n v="0"/>
    <n v="0"/>
    <n v="0"/>
    <n v="0"/>
    <n v="0"/>
    <s v="Reserva importada do sistema Gover. Id: 4605860"/>
    <s v="Fornecedor não preenchido! (ACC01)"/>
    <s v="GOVER"/>
    <s v="Falta de Fornecedor"/>
    <s v="Campo Fornecedor"/>
    <s v="Dados do Fornecedor"/>
    <s v="Sistêmico"/>
    <s v="GRUPO KONTIK"/>
  </r>
  <r>
    <n v="23222925"/>
    <n v="23957892"/>
    <s v="ACC01"/>
    <x v="456"/>
    <d v="2025-10-30T12:00:59"/>
    <s v="24 a 31 dias"/>
    <s v="24 a 31 dias"/>
    <n v="4619813"/>
    <s v="GOVER"/>
    <s v="CAMILA INGRID DA SILVA ELIAS"/>
    <s v="Loizy Lima de Oliveira"/>
    <s v="Loizy Lima de Oliveira"/>
    <x v="426"/>
    <n v="4619813"/>
    <s v="-"/>
    <s v="OFF LINE"/>
    <s v="Cartão de crédito"/>
    <s v="Cartão de crédito"/>
    <s v="Hotel"/>
    <s v="N"/>
    <s v="Grupo Isdin"/>
    <s v="Isdin Sp"/>
    <s v="-"/>
    <s v="-"/>
    <s v="-"/>
    <s v="KON-OPE-RIO-PVI-BTC RJ"/>
    <s v="-"/>
    <x v="159"/>
    <n v="0"/>
    <n v="0"/>
    <n v="0"/>
    <n v="0"/>
    <n v="0"/>
    <n v="0"/>
    <s v="Reserva importada do sistema Gover. Id: 4619813"/>
    <s v="Fornecedor não preenchido! (ACC01)"/>
    <s v="GOVER"/>
    <s v="Falta de Fornecedor"/>
    <s v="Campo Fornecedor"/>
    <s v="Dados do Fornecedor"/>
    <s v="Sistêmico"/>
    <s v="GRUPO KONTIK"/>
  </r>
  <r>
    <n v="23266970"/>
    <n v="23999496"/>
    <s v="ACC01"/>
    <x v="457"/>
    <d v="2025-11-05T23:18:25"/>
    <s v="16 a 23 dias"/>
    <s v="16 a 23 dias"/>
    <s v="5RINKE"/>
    <s v="TMS"/>
    <s v="WELLINGTON CÂMARA JUNIOR"/>
    <s v="Mariane Goncalves dos Santos"/>
    <s v="Mariane Goncalves dos Santos"/>
    <x v="427"/>
    <n v="4685"/>
    <s v="-"/>
    <s v="OFF LINE"/>
    <s v="Invoice"/>
    <s v="Faturado"/>
    <s v="Serviço"/>
    <s v="N"/>
    <s v="Grupo Airbus/helibras"/>
    <s v="Helibras"/>
    <s v="-"/>
    <s v="-"/>
    <s v="-"/>
    <s v="KON-OPE-SAO-PVI-BTC-ARGO"/>
    <s v="-"/>
    <x v="399"/>
    <n v="0"/>
    <n v="0"/>
    <n v="0"/>
    <n v="0"/>
    <n v="0"/>
    <n v="0"/>
    <s v="Reserva importada do Sistema TMS. OS: 4685"/>
    <s v="Fornecedor não preenchido! (ACC01)"/>
    <s v="ARGO(TMS)"/>
    <s v="Falta de Fornecedor"/>
    <s v="Campo Fornecedor"/>
    <s v="Dados do Fornecedor"/>
    <s v="Qualidade dos dados"/>
    <s v="KONTIK BUSINESS TRAVEL"/>
  </r>
  <r>
    <n v="23366747"/>
    <n v="24092773"/>
    <s v="ACC01"/>
    <x v="458"/>
    <d v="2025-11-21T16:05:14"/>
    <s v="03 a 05 dias"/>
    <s v="03 a 05 dias"/>
    <s v="LXEBKM"/>
    <s v="TMS"/>
    <s v="TARCISIO SOARES"/>
    <s v="Mariane Goncalves dos Santos"/>
    <s v="Mariane Goncalves dos Santos"/>
    <x v="428"/>
    <n v="4901"/>
    <s v="-"/>
    <s v="ON LINE"/>
    <s v="Cartão de crédito"/>
    <s v="Cartão de crédito"/>
    <s v="Aéreo"/>
    <s v="N"/>
    <s v="Grupo Airbus/helibras"/>
    <s v="Airbus"/>
    <s v="-"/>
    <s v="Latam Airlines Brasil"/>
    <n v="5580506144"/>
    <s v="KON-OPE-SAO-PVI-BTC-ARGO"/>
    <s v="-"/>
    <x v="400"/>
    <n v="454.97"/>
    <n v="0"/>
    <n v="0"/>
    <n v="0"/>
    <n v="0"/>
    <n v="0"/>
    <s v="Reserva importada do Sistema TMS. OS: 490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367997"/>
    <n v="24093988"/>
    <s v="ACC01"/>
    <x v="459"/>
    <d v="2025-11-21T19:21:27"/>
    <s v="03 a 05 dias"/>
    <s v="03 a 05 dias"/>
    <s v="WVXAFOT"/>
    <s v="SABRE"/>
    <s v="CARVALHO/DANIEL"/>
    <s v="NATALIA BARRAL DE OLIVEIRA"/>
    <s v="NATALIA BARRAL DE OLIVEIRA"/>
    <x v="429"/>
    <s v="LL9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7671"/>
    <n v="24093664"/>
    <s v="ACC01"/>
    <x v="460"/>
    <d v="2025-11-21T18:01:16"/>
    <s v="03 a 05 dias"/>
    <s v="03 a 05 dias"/>
    <s v="DBXRCGT"/>
    <s v="SABRE"/>
    <s v="FREITAS NETO/JOSE"/>
    <s v="Ana Clara Brime"/>
    <s v="Ana Clara Brime"/>
    <x v="430"/>
    <s v="LL9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6139"/>
    <n v="24083129"/>
    <s v="ACC01"/>
    <x v="461"/>
    <d v="2025-11-19T17:51:12"/>
    <s v="03 a 05 dias"/>
    <s v="03 a 05 dias"/>
    <s v="GGUNDCT"/>
    <s v="SABRE"/>
    <s v="SANTOS/JORDANIA"/>
    <s v="Ana Clara Brime"/>
    <s v="Ana Clara Brime"/>
    <x v="431"/>
    <s v="LL3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6140"/>
    <n v="24083130"/>
    <s v="ACC01"/>
    <x v="462"/>
    <d v="2025-11-21T17:07:07"/>
    <s v="03 a 05 dias"/>
    <s v="03 a 05 dias"/>
    <s v="EDFKDCT"/>
    <s v="SABRE"/>
    <s v="FREITAS NETO/JOSE"/>
    <s v="Ana Clara Brime"/>
    <s v="Ana Clara Brime"/>
    <x v="312"/>
    <s v="LL4D"/>
    <s v="-"/>
    <s v="OFF LINE"/>
    <s v="Cartão de crédito"/>
    <s v="Cartão de crédito"/>
    <s v="Hotel"/>
    <s v="S"/>
    <s v="Grupo Casas Bahia"/>
    <s v="Grupo Casas Bahia S.a."/>
    <s v="-"/>
    <s v="-"/>
    <s v="-"/>
    <s v="KON-OPE-RIO-PVI-CASAS BAHIA"/>
    <s v="-"/>
    <x v="3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2118"/>
    <n v="24069865"/>
    <s v="ACC01"/>
    <x v="463"/>
    <d v="2025-11-17T18:19:04"/>
    <s v="06 a 08 dias"/>
    <s v="06 a 08 dias"/>
    <s v="SETZEVT"/>
    <s v="SABRE"/>
    <s v="LOPES/PAULO"/>
    <s v="WU"/>
    <s v="WU"/>
    <x v="432"/>
    <s v="SETZEV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0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39400"/>
    <n v="24067192"/>
    <s v="ACC01"/>
    <x v="464"/>
    <d v="2025-11-17T12:36:19"/>
    <s v="06 a 08 dias"/>
    <s v="06 a 08 dias"/>
    <s v="AKTWLOT"/>
    <s v="SABRE"/>
    <s v="BUENO/REGIS"/>
    <s v="WU"/>
    <s v="WU"/>
    <x v="433"/>
    <s v="AKTWLO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01255"/>
    <n v="24031838"/>
    <s v="ACC01"/>
    <x v="465"/>
    <d v="2025-11-17T11:30:39"/>
    <s v="06 a 08 dias"/>
    <s v="09 a 15 dias"/>
    <s v="ELRTSU"/>
    <s v="SABRE"/>
    <s v="ASSIS/JOANNA"/>
    <s v="WU"/>
    <s v="WU"/>
    <x v="434"/>
    <s v="ELRTSU"/>
    <s v="-"/>
    <s v="ON LINE"/>
    <s v="Cartão de crédito"/>
    <s v="Cartão AMEX"/>
    <s v="Aéreo"/>
    <s v="N"/>
    <s v="Grupo Casas Bahia"/>
    <s v="Grupo Casas Bahia S.a."/>
    <s v="-"/>
    <s v="Azul Linhas Aereas"/>
    <n v="7700080608"/>
    <s v="KON-OPE-RIO-PVI-CASAS BAHIA"/>
    <s v="-"/>
    <x v="406"/>
    <n v="120.57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253162"/>
    <n v="23985793"/>
    <s v="ACC01"/>
    <x v="466"/>
    <d v="2025-11-04T11:31:08"/>
    <s v="16 a 23 dias"/>
    <s v="16 a 23 dias"/>
    <s v="GNMQOIT"/>
    <s v="SABRE"/>
    <s v="COSTA/RICARDO"/>
    <s v="WU"/>
    <s v="WU"/>
    <x v="435"/>
    <s v="GNMQOI"/>
    <s v="-"/>
    <s v="ON LINE"/>
    <s v="Cartão de crédito"/>
    <s v="Cartão de crédito"/>
    <s v="Hotel"/>
    <s v="S"/>
    <s v="Grupo Casas Bahia"/>
    <s v="Grupo Casas Bahia S.a."/>
    <s v="-"/>
    <s v="-"/>
    <s v="-"/>
    <s v="KON-OPE-RIO-PVI-CASAS BAHIA"/>
    <s v="-"/>
    <x v="2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53474"/>
    <n v="23986119"/>
    <s v="ACC01"/>
    <x v="467"/>
    <d v="2025-11-04T10:48:24"/>
    <s v="16 a 23 dias"/>
    <s v="16 a 23 dias"/>
    <s v="KVKKMZT"/>
    <s v="SABRE"/>
    <s v="SANTOS/JOAO"/>
    <s v="WU"/>
    <s v="WU"/>
    <x v="436"/>
    <s v="KVKKMZ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45450"/>
    <n v="23978426"/>
    <s v="ACC01"/>
    <x v="468"/>
    <d v="2025-11-03T11:07:26"/>
    <s v="16 a 23 dias"/>
    <s v="16 a 23 dias"/>
    <s v="OPWOGMT"/>
    <s v="SABRE"/>
    <s v="COSTA/RICARDO"/>
    <s v="WU"/>
    <s v="WU"/>
    <x v="437"/>
    <s v="OPWOGM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45903"/>
    <n v="23978873"/>
    <s v="ACC01"/>
    <x v="469"/>
    <d v="2025-11-03T12:24:31"/>
    <s v="16 a 23 dias"/>
    <s v="16 a 23 dias"/>
    <s v="JCRWCTT"/>
    <s v="SABRE"/>
    <s v="SILVA/ANDERSON"/>
    <s v="WU"/>
    <s v="WU"/>
    <x v="438"/>
    <s v="JCRWCT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49372"/>
    <n v="23982407"/>
    <s v="ACC01"/>
    <x v="470"/>
    <d v="2025-11-03T19:24:18"/>
    <s v="16 a 23 dias"/>
    <s v="16 a 23 dias"/>
    <s v="KFCQRKT"/>
    <s v="SABRE"/>
    <s v="MATHIAS/LUANA"/>
    <s v="WU"/>
    <s v="WU"/>
    <x v="439"/>
    <s v="KFCQRK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65381"/>
    <n v="23997850"/>
    <s v="ACC01"/>
    <x v="471"/>
    <d v="2025-11-05T18:49:55"/>
    <s v="16 a 23 dias"/>
    <s v="16 a 23 dias"/>
    <s v="NCVXSKT"/>
    <s v="SABRE"/>
    <s v="FERREIRA JUNIOR/EVANDRO"/>
    <s v="WU"/>
    <s v="WU"/>
    <x v="440"/>
    <s v="NCVXSK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65382"/>
    <n v="23997852"/>
    <s v="ACC01"/>
    <x v="472"/>
    <d v="2025-11-05T18:49:55"/>
    <s v="16 a 23 dias"/>
    <s v="16 a 23 dias"/>
    <s v="JUVMIPT"/>
    <s v="SABRE"/>
    <s v="VIEIRA/IZABELE"/>
    <s v="WU"/>
    <s v="WU"/>
    <x v="441"/>
    <s v="JUVMIP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45074"/>
    <n v="23978041"/>
    <s v="ACC01"/>
    <x v="473"/>
    <d v="2025-11-03T10:07:40"/>
    <s v="16 a 23 dias"/>
    <s v="16 a 23 dias"/>
    <s v="OQBUSCT"/>
    <s v="SABRE"/>
    <s v="CUNHA/VANESSA"/>
    <s v="WU"/>
    <s v="WU"/>
    <x v="442"/>
    <s v="OQBUSC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03239"/>
    <n v="24033864"/>
    <s v="ACC01"/>
    <x v="474"/>
    <d v="2025-11-11T14:54:36"/>
    <s v="09 a 15 dias"/>
    <s v="09 a 15 dias"/>
    <s v="DNLINGT"/>
    <s v="SABRE"/>
    <s v="BRITO/AMANDA"/>
    <s v="WU"/>
    <s v="WU"/>
    <x v="443"/>
    <s v="DNLING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01001"/>
    <n v="24031617"/>
    <s v="ACC01"/>
    <x v="475"/>
    <d v="2025-11-11T09:36:43"/>
    <s v="09 a 15 dias"/>
    <s v="09 a 15 dias"/>
    <s v="AVGOUHT"/>
    <s v="SABRE"/>
    <s v="SANTOS/VALQUIRIA"/>
    <s v="WU"/>
    <s v="WU"/>
    <x v="444"/>
    <s v="AVGOUH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95479"/>
    <n v="24026324"/>
    <s v="ACC01"/>
    <x v="476"/>
    <d v="2025-11-10T14:54:07"/>
    <s v="09 a 15 dias"/>
    <s v="09 a 15 dias"/>
    <s v="QKIYYTT"/>
    <s v="SABRE"/>
    <s v="FERREIRA JUNIOR/EVANDRO"/>
    <s v="WU"/>
    <s v="WU"/>
    <x v="445"/>
    <s v="QKIYYT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297001"/>
    <n v="24027836"/>
    <s v="ACC01"/>
    <x v="477"/>
    <d v="2025-11-10T18:19:08"/>
    <s v="09 a 15 dias"/>
    <s v="09 a 15 dias"/>
    <s v="CRCALNT"/>
    <s v="SABRE"/>
    <s v="SILVA/RAFAEL"/>
    <s v="WU"/>
    <s v="WU"/>
    <x v="446"/>
    <s v="CRCALN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55909"/>
    <n v="24082876"/>
    <s v="ACC01"/>
    <x v="478"/>
    <d v="2025-11-19T17:06:37"/>
    <s v="03 a 05 dias"/>
    <s v="03 a 05 dias"/>
    <s v="UKKGOOT"/>
    <s v="SABRE"/>
    <s v="AQUINO/MARIA"/>
    <s v="WU"/>
    <s v="WU"/>
    <x v="447"/>
    <s v="UKKGOO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8888"/>
    <n v="24076294"/>
    <s v="ACC01"/>
    <x v="479"/>
    <d v="2025-11-18T16:36:45"/>
    <s v="06 a 08 dias"/>
    <s v="06 a 08 dias"/>
    <s v="LQTAVBT"/>
    <s v="SABRE"/>
    <s v="BARROS/NILSA"/>
    <s v="WU"/>
    <s v="WU"/>
    <x v="448"/>
    <s v="LQTAVB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8889"/>
    <n v="24076295"/>
    <s v="ACC01"/>
    <x v="480"/>
    <d v="2025-11-18T16:36:45"/>
    <s v="06 a 08 dias"/>
    <s v="06 a 08 dias"/>
    <s v="YBLYNMT"/>
    <s v="SABRE"/>
    <s v="SANTOS/JOAO"/>
    <s v="WU"/>
    <s v="WU"/>
    <x v="449"/>
    <s v="YBLYNM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7500"/>
    <n v="24093503"/>
    <s v="ACC01"/>
    <x v="481"/>
    <d v="2025-11-21T17:20:14"/>
    <s v="03 a 05 dias"/>
    <s v="03 a 05 dias"/>
    <s v="NUBSJCT"/>
    <s v="SABRE"/>
    <s v="SANTOS/GISELE"/>
    <s v="WU"/>
    <s v="WU"/>
    <x v="450"/>
    <s v="NUBSJC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7502"/>
    <n v="24093505"/>
    <s v="ACC01"/>
    <x v="482"/>
    <d v="2025-11-21T17:20:15"/>
    <s v="03 a 05 dias"/>
    <s v="03 a 05 dias"/>
    <s v="IGDTCLT"/>
    <s v="SABRE"/>
    <s v="CUNHA/RAFAEL"/>
    <s v="WU"/>
    <s v="WU"/>
    <x v="451"/>
    <s v="IGDTCL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6007"/>
    <n v="24092010"/>
    <s v="ACC01"/>
    <x v="483"/>
    <d v="2025-11-21T14:19:22"/>
    <s v="03 a 05 dias"/>
    <s v="03 a 05 dias"/>
    <s v="MBLIBCT"/>
    <s v="SABRE"/>
    <s v="COSTA/RAFAEL"/>
    <s v="WU"/>
    <s v="WU"/>
    <x v="452"/>
    <s v="MBLIBC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5439"/>
    <n v="24091483"/>
    <s v="ACC01"/>
    <x v="484"/>
    <d v="2025-11-21T11:54:40"/>
    <s v="03 a 05 dias"/>
    <s v="03 a 05 dias"/>
    <s v="YCPIUPT"/>
    <s v="SABRE"/>
    <s v="NEVES/HENRIQUE"/>
    <s v="WU"/>
    <s v="WU"/>
    <x v="453"/>
    <s v="YCPIUP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5440"/>
    <n v="24091484"/>
    <s v="ACC01"/>
    <x v="485"/>
    <d v="2025-11-21T11:54:40"/>
    <s v="03 a 05 dias"/>
    <s v="03 a 05 dias"/>
    <s v="YBWRXWT"/>
    <s v="SABRE"/>
    <s v="SANTOS/GILBERTO"/>
    <s v="WU"/>
    <s v="WU"/>
    <x v="454"/>
    <s v="YBWRXW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5441"/>
    <n v="24091485"/>
    <s v="ACC01"/>
    <x v="486"/>
    <d v="2025-11-21T11:54:41"/>
    <s v="03 a 05 dias"/>
    <s v="03 a 05 dias"/>
    <s v="MARUSDT"/>
    <s v="SABRE"/>
    <s v="NEVES/HENRIQUE"/>
    <s v="WU"/>
    <s v="WU"/>
    <x v="455"/>
    <s v="MARUSD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4910"/>
    <n v="24090938"/>
    <s v="ACC01"/>
    <x v="487"/>
    <d v="2025-11-21T10:22:01"/>
    <s v="03 a 05 dias"/>
    <s v="03 a 05 dias"/>
    <s v="KEQNWQT"/>
    <s v="SABRE"/>
    <s v="FRANKLIN/RENATO"/>
    <s v="Marcelo da Silva"/>
    <s v="Marcelo da Silva"/>
    <x v="456"/>
    <s v="KEQNWQ"/>
    <s v="-"/>
    <s v="ON LINE"/>
    <s v="?"/>
    <s v="?"/>
    <s v="Hotel"/>
    <s v="N"/>
    <s v="Grupo Casas Bahia"/>
    <s v="Grupo Casas Bahia S.a."/>
    <s v="-"/>
    <s v="-"/>
    <s v="-"/>
    <s v="KON-OPE-RIO-PVI-CASAS BAHIA"/>
    <s v="-"/>
    <x v="4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64911"/>
    <n v="24090939"/>
    <s v="ACC01"/>
    <x v="488"/>
    <d v="2025-11-21T10:22:06"/>
    <s v="03 a 05 dias"/>
    <s v="03 a 05 dias"/>
    <s v="QQDZVVT"/>
    <s v="SABRE"/>
    <s v="FRANKLIN/RENATO"/>
    <s v="Marcelo da Silva"/>
    <s v="Marcelo da Silva"/>
    <x v="457"/>
    <s v="QQDZVV"/>
    <s v="-"/>
    <s v="ON LINE"/>
    <s v="?"/>
    <s v="?"/>
    <s v="Hotel"/>
    <s v="N"/>
    <s v="Grupo Casas Bahia"/>
    <s v="Grupo Casas Bahia S.a."/>
    <s v="-"/>
    <s v="Slaviero Essential Campina Grande"/>
    <s v="-"/>
    <s v="KON-OPE-RIO-PVI-CASAS BAHIA"/>
    <s v="-"/>
    <x v="422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3364912"/>
    <n v="24090940"/>
    <s v="ACC01"/>
    <x v="489"/>
    <d v="2025-11-21T10:22:09"/>
    <s v="03 a 05 dias"/>
    <s v="03 a 05 dias"/>
    <s v="LNFWKAT"/>
    <s v="SABRE"/>
    <s v="FRANKLIN/RENATO"/>
    <s v="Marcelo da Silva"/>
    <s v="Marcelo da Silva"/>
    <x v="458"/>
    <s v="LNFWKA"/>
    <s v="-"/>
    <s v="ON LINE"/>
    <s v="?"/>
    <s v="?"/>
    <s v="Hotel"/>
    <s v="N"/>
    <s v="Grupo Casas Bahia"/>
    <s v="Grupo Casas Bahia S.a."/>
    <s v="-"/>
    <s v="San Diego Suites Governador Valadares"/>
    <s v="-"/>
    <s v="KON-OPE-RIO-PVI-CASAS BAHIA"/>
    <s v="-"/>
    <x v="423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3364913"/>
    <n v="24090941"/>
    <s v="ACC01"/>
    <x v="490"/>
    <d v="2025-11-21T10:22:12"/>
    <s v="03 a 05 dias"/>
    <s v="03 a 05 dias"/>
    <s v="UDTVPMT"/>
    <s v="SABRE"/>
    <s v="GAUTHIER/FREDERIC"/>
    <s v="Marcelo da Silva"/>
    <s v="Marcelo da Silva"/>
    <x v="459"/>
    <s v="UDTVPM"/>
    <s v="-"/>
    <s v="ON LINE"/>
    <s v="Invoice"/>
    <s v="Faturado"/>
    <s v="Hotel"/>
    <s v="N"/>
    <s v="Grupo Casas Bahia"/>
    <s v="Grupo Casas Bahia S.a."/>
    <s v="-"/>
    <s v="San Diego Suites Ipatinga"/>
    <s v="-"/>
    <s v="KON-OPE-RIO-PVI-CASAS BAHIA"/>
    <s v="-"/>
    <x v="42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3"/>
    <n v="24090942"/>
    <s v="ACC02"/>
    <x v="490"/>
    <d v="2025-11-21T10:22:12"/>
    <s v="03 a 05 dias"/>
    <s v="03 a 05 dias"/>
    <s v="UDTVPMT"/>
    <s v="SABRE"/>
    <s v="GAUTHIER/FREDERIC"/>
    <s v="Marcelo da Silva"/>
    <s v="Marcelo da Silva"/>
    <x v="459"/>
    <s v="UDTVPM"/>
    <s v="-"/>
    <s v="ON LINE"/>
    <s v="Invoice"/>
    <s v="Faturado"/>
    <s v="Hotel"/>
    <s v="N"/>
    <s v="Grupo Casas Bahia"/>
    <s v="Grupo Casas Bahia S.a."/>
    <s v="-"/>
    <s v="Slaviero Essential Campina Grande"/>
    <s v="-"/>
    <s v="KON-OPE-RIO-PVI-CASAS BAHIA"/>
    <s v="-"/>
    <x v="42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3"/>
    <n v="24090943"/>
    <s v="ACC03"/>
    <x v="490"/>
    <d v="2025-11-21T10:22:12"/>
    <s v="03 a 05 dias"/>
    <s v="03 a 05 dias"/>
    <s v="UDTVPMT"/>
    <s v="SABRE"/>
    <s v="GAUTHIER/FREDERIC"/>
    <s v="Marcelo da Silva"/>
    <s v="Marcelo da Silva"/>
    <x v="459"/>
    <s v="UDTVPM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5"/>
    <n v="24090945"/>
    <s v="ACC01"/>
    <x v="491"/>
    <d v="2025-11-21T10:22:15"/>
    <s v="03 a 05 dias"/>
    <s v="03 a 05 dias"/>
    <s v="DOYXZVT"/>
    <s v="SABRE"/>
    <s v="SPACCA/FLAVIO"/>
    <s v="Marcelo da Silva"/>
    <s v="Marcelo da Silva"/>
    <x v="460"/>
    <s v="DOYXZV"/>
    <s v="-"/>
    <s v="ON LINE"/>
    <s v="Invoice"/>
    <s v="Faturado"/>
    <s v="Hotel"/>
    <s v="N"/>
    <s v="Grupo Casas Bahia"/>
    <s v="Grupo Casas Bahia S.a."/>
    <s v="-"/>
    <s v="San Diego Suites Ipatinga"/>
    <s v="-"/>
    <s v="KON-OPE-RIO-PVI-CASAS BAHIA"/>
    <s v="-"/>
    <x v="42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5"/>
    <n v="24090946"/>
    <s v="ACC02"/>
    <x v="491"/>
    <d v="2025-11-21T10:22:15"/>
    <s v="03 a 05 dias"/>
    <s v="03 a 05 dias"/>
    <s v="DOYXZVT"/>
    <s v="SABRE"/>
    <s v="SPACCA/FLAVIO"/>
    <s v="Marcelo da Silva"/>
    <s v="Marcelo da Silva"/>
    <x v="460"/>
    <s v="DOYXZV"/>
    <s v="-"/>
    <s v="ON LINE"/>
    <s v="Invoice"/>
    <s v="Faturado"/>
    <s v="Hotel"/>
    <s v="N"/>
    <s v="Grupo Casas Bahia"/>
    <s v="Grupo Casas Bahia S.a."/>
    <s v="-"/>
    <s v="Slaviero Essential Campina Grande"/>
    <s v="-"/>
    <s v="KON-OPE-RIO-PVI-CASAS BAHIA"/>
    <s v="-"/>
    <x v="42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5"/>
    <n v="24090947"/>
    <s v="ACC03"/>
    <x v="491"/>
    <d v="2025-11-21T10:22:15"/>
    <s v="03 a 05 dias"/>
    <s v="03 a 05 dias"/>
    <s v="DOYXZVT"/>
    <s v="SABRE"/>
    <s v="SPACCA/FLAVIO"/>
    <s v="Marcelo da Silva"/>
    <s v="Marcelo da Silva"/>
    <x v="460"/>
    <s v="DOYXZV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7"/>
    <n v="24090949"/>
    <s v="ACC01"/>
    <x v="492"/>
    <d v="2025-11-21T10:22:34"/>
    <s v="03 a 05 dias"/>
    <s v="03 a 05 dias"/>
    <s v="UEACDBT"/>
    <s v="SABRE"/>
    <s v="CUNHA/VANESSA"/>
    <s v="Marcelo da Silva"/>
    <s v="Marcelo da Silva"/>
    <x v="461"/>
    <s v="UEACDB"/>
    <s v="-"/>
    <s v="ON LINE"/>
    <s v="Invoice"/>
    <s v="Faturado"/>
    <s v="Hotel"/>
    <s v="N"/>
    <s v="Grupo Casas Bahia"/>
    <s v="Grupo Casas Bahia S.a."/>
    <s v="-"/>
    <s v="San Diego Suites Ipatinga"/>
    <s v="-"/>
    <s v="KON-OPE-RIO-PVI-CASAS BAHIA"/>
    <s v="-"/>
    <x v="42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7"/>
    <n v="24090950"/>
    <s v="ACC02"/>
    <x v="492"/>
    <d v="2025-11-21T10:22:34"/>
    <s v="03 a 05 dias"/>
    <s v="03 a 05 dias"/>
    <s v="UEACDBT"/>
    <s v="SABRE"/>
    <s v="CUNHA/VANESSA"/>
    <s v="Marcelo da Silva"/>
    <s v="Marcelo da Silva"/>
    <x v="461"/>
    <s v="UEACDB"/>
    <s v="-"/>
    <s v="ON LINE"/>
    <s v="Invoice"/>
    <s v="Faturado"/>
    <s v="Hotel"/>
    <s v="N"/>
    <s v="Grupo Casas Bahia"/>
    <s v="Grupo Casas Bahia S.a."/>
    <s v="-"/>
    <s v="Slaviero Essential Campina Grande"/>
    <s v="-"/>
    <s v="KON-OPE-RIO-PVI-CASAS BAHIA"/>
    <s v="-"/>
    <x v="42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7"/>
    <n v="24090951"/>
    <s v="ACC03"/>
    <x v="492"/>
    <d v="2025-11-21T10:22:34"/>
    <s v="03 a 05 dias"/>
    <s v="03 a 05 dias"/>
    <s v="UEACDBT"/>
    <s v="SABRE"/>
    <s v="CUNHA/VANESSA"/>
    <s v="Marcelo da Silva"/>
    <s v="Marcelo da Silva"/>
    <x v="461"/>
    <s v="UEACDB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3364919"/>
    <n v="24090953"/>
    <s v="ACC01"/>
    <x v="493"/>
    <d v="2025-11-21T10:22:57"/>
    <s v="03 a 05 dias"/>
    <s v="03 a 05 dias"/>
    <s v="MZCLQJT"/>
    <s v="SABRE"/>
    <s v="SEGATTO/FERNANDO"/>
    <s v="Marcelo da Silva"/>
    <s v="Marcelo da Silva"/>
    <x v="462"/>
    <s v="MZCLQJ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343031"/>
    <n v="24070783"/>
    <s v="ACC01"/>
    <x v="494"/>
    <d v="2025-11-17T20:51:31"/>
    <s v="06 a 08 dias"/>
    <s v="06 a 08 dias"/>
    <s v="5TXB6Y"/>
    <s v="TMS"/>
    <s v="Kuerten/Gustavo Kuerten"/>
    <s v="Cintya Cocco Figueiredo"/>
    <s v="Cintya Cocco Figueiredo"/>
    <x v="463"/>
    <n v="1921"/>
    <s v="-"/>
    <s v="OFF LINE"/>
    <s v="Cartão de crédito"/>
    <s v="Cartão AMEX"/>
    <s v="Aéreo"/>
    <s v="N"/>
    <s v="Grupo Banco Genial Investimentos"/>
    <s v="Genial Institucional"/>
    <s v="-"/>
    <s v="Azul Linhas Aereas"/>
    <n v="3024070783"/>
    <s v="KON-OPE-SAO-PVI-BTC-ARGO"/>
    <s v="-"/>
    <x v="0"/>
    <n v="98"/>
    <n v="0"/>
    <n v="0"/>
    <n v="0"/>
    <n v="0"/>
    <n v="0"/>
    <s v="Reserva importada do Sistema TMS. OS: 192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56574"/>
    <n v="24083568"/>
    <s v="ACC01"/>
    <x v="495"/>
    <d v="2025-11-19T19:07:33"/>
    <s v="03 a 05 dias"/>
    <s v="03 a 05 dias"/>
    <s v="FFAJFIT"/>
    <s v="SABRE"/>
    <s v="SANTOS JUNIOR/JORGE LUCIO DOS"/>
    <s v="WS"/>
    <s v="WS"/>
    <x v="464"/>
    <s v="3PWW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427"/>
    <n v="68.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45957"/>
    <n v="24073260"/>
    <s v="ACC01"/>
    <x v="496"/>
    <d v="2025-11-18T10:01:38"/>
    <s v="06 a 08 dias"/>
    <s v="06 a 08 dias"/>
    <s v="OSTZEDT"/>
    <s v="SABRE"/>
    <s v="SANTOS JUNIOR/JORGE LUCIO DOS"/>
    <s v="WS"/>
    <s v="WS"/>
    <x v="465"/>
    <s v="3PWX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428"/>
    <n v="63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56131"/>
    <n v="24083120"/>
    <s v="ACC01"/>
    <x v="497"/>
    <d v="2025-11-21T18:36:40"/>
    <s v="03 a 05 dias"/>
    <s v="03 a 05 dias"/>
    <s v="GBBSAST"/>
    <s v="SABRE"/>
    <s v="OLIVEIRA/CINTIA LEITE DE"/>
    <s v="WS"/>
    <s v="WS"/>
    <x v="466"/>
    <s v="3PWN"/>
    <s v="-"/>
    <s v="ON LINE"/>
    <s v="Invoice"/>
    <s v="Faturado"/>
    <s v="Hotel"/>
    <s v="N"/>
    <s v="Grupo Atento"/>
    <s v="Atento Brasil S/a"/>
    <s v="-"/>
    <s v="-"/>
    <s v="-"/>
    <s v="FCM-OPE-POA-PVI-ATENTO"/>
    <s v="-"/>
    <x v="4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340517"/>
    <n v="24068275"/>
    <s v="ACC01"/>
    <x v="498"/>
    <d v="2025-11-17T15:53:08"/>
    <s v="06 a 08 dias"/>
    <s v="06 a 08 dias"/>
    <s v="5TFVO5"/>
    <s v="TMS"/>
    <s v="SORAYA BATISTA"/>
    <s v="Etiana Cidade Moraes"/>
    <s v="Etiana Cidade Moraes"/>
    <x v="467"/>
    <n v="3727"/>
    <s v="Feira de Santana / BA, Brasil (FEC)"/>
    <s v="OFF LINE"/>
    <s v="Cartão de crédito"/>
    <s v="Cartão de crédito"/>
    <s v="Carro"/>
    <s v="N"/>
    <s v="Grupo Pepsico"/>
    <s v="Pepsico Amacoco Bebidas do Brasil Ltda"/>
    <s v="-"/>
    <s v="Movida - Br - Ba - Feira de Santana - Capuchinhos"/>
    <s v="-"/>
    <s v="KON-OPE-POA-PVI-PEPSICO"/>
    <s v="-"/>
    <x v="430"/>
    <n v="0"/>
    <n v="0"/>
    <n v="0"/>
    <n v="0"/>
    <n v="0"/>
    <n v="0"/>
    <s v="Reserva importada do Sistema TMS. OS: 3727"/>
    <s v="Fornecedor não preenchido! (ACC01)"/>
    <s v="ARGO(TMS)"/>
    <s v="Falta de Fornecedor"/>
    <s v="Campo Fornecedor"/>
    <s v="Dados do Fornecedor"/>
    <s v="Qualidade dos dados"/>
    <s v="KONTIK BUSINESS TRAVEL"/>
  </r>
  <r>
    <n v="23340073"/>
    <n v="24067854"/>
    <s v="ACC01"/>
    <x v="499"/>
    <d v="2025-11-24T01:50:16"/>
    <s v="0 a 02 dias"/>
    <s v="06 a 08 dias"/>
    <s v="5TQVU5"/>
    <s v="TMS"/>
    <s v="MAIRA PORTELA"/>
    <s v="Tms"/>
    <s v="Tms"/>
    <x v="468"/>
    <n v="6178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31"/>
    <n v="36.8"/>
    <n v="0"/>
    <n v="0"/>
    <n v="0"/>
    <n v="0"/>
    <n v="0"/>
    <s v="Reserva importada do Sistema TMS. OS: 6178"/>
    <s v="Fornecedor não preenchido! (ACC01)"/>
    <s v="ARGO(TMS)"/>
    <s v="Falta de Fornecedor"/>
    <s v="Campo Fornecedor"/>
    <s v="Dados do Fornecedor"/>
    <s v="Qualidade dos dados"/>
    <s v="KONTIK BUSINESS TRAVEL"/>
  </r>
  <r>
    <n v="23340074"/>
    <n v="24067855"/>
    <s v="ACC01"/>
    <x v="500"/>
    <d v="2025-11-24T01:50:16"/>
    <s v="0 a 02 dias"/>
    <s v="06 a 08 dias"/>
    <s v="5TWFJT"/>
    <s v="TMS"/>
    <s v="MAIRA PORTELA"/>
    <s v="Tms"/>
    <s v="Tms"/>
    <x v="468"/>
    <n v="6178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32"/>
    <n v="37.22"/>
    <n v="0"/>
    <n v="0"/>
    <n v="0"/>
    <n v="0"/>
    <n v="0"/>
    <s v="Reserva importada do Sistema TMS. OS: 6178"/>
    <s v="Fornecedor não preenchido! (ACC01)"/>
    <s v="ARGO(TMS)"/>
    <s v="Falta de Fornecedor"/>
    <s v="Campo Fornecedor"/>
    <s v="Dados do Fornecedor"/>
    <s v="Qualidade dos dados"/>
    <s v="KONTIK BUSINESS TRAVEL"/>
  </r>
  <r>
    <n v="23340070"/>
    <n v="24067851"/>
    <s v="ACC01"/>
    <x v="501"/>
    <d v="2025-11-24T01:50:16"/>
    <s v="0 a 02 dias"/>
    <s v="06 a 08 dias"/>
    <s v="5TLDUG"/>
    <s v="TMS"/>
    <s v="MAIRA PORTELA"/>
    <s v="Tms"/>
    <s v="Tms"/>
    <x v="468"/>
    <n v="6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31"/>
    <n v="36.8"/>
    <n v="0"/>
    <n v="0"/>
    <n v="0"/>
    <n v="0"/>
    <n v="0"/>
    <s v="Reserva importada do Sistema TMS. OS: 6179"/>
    <s v="Fornecedor não preenchido! (ACC01)"/>
    <s v="ARGO(TMS)"/>
    <s v="Falta de Fornecedor"/>
    <s v="Campo Fornecedor"/>
    <s v="Dados do Fornecedor"/>
    <s v="Qualidade dos dados"/>
    <s v="KONTIK BUSINESS TRAVEL"/>
  </r>
  <r>
    <n v="23340071"/>
    <n v="24067852"/>
    <s v="ACC01"/>
    <x v="501"/>
    <d v="2025-11-24T01:50:16"/>
    <s v="0 a 02 dias"/>
    <s v="06 a 08 dias"/>
    <s v="5T0VJG"/>
    <s v="TMS"/>
    <s v="MAIRA PORTELA"/>
    <s v="Tms"/>
    <s v="Tms"/>
    <x v="468"/>
    <n v="6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32"/>
    <n v="37.22"/>
    <n v="0"/>
    <n v="0"/>
    <n v="0"/>
    <n v="0"/>
    <n v="0"/>
    <s v="Reserva importada do Sistema TMS. OS: 6179"/>
    <s v="Fornecedor não preenchido! (ACC01)"/>
    <s v="ARGO(TMS)"/>
    <s v="Falta de Fornecedor"/>
    <s v="Campo Fornecedor"/>
    <s v="Dados do Fornecedor"/>
    <s v="Qualidade dos dados"/>
    <s v="KONTIK BUSINESS TRAVEL"/>
  </r>
  <r>
    <n v="23272513"/>
    <n v="24005117"/>
    <s v="ACC01"/>
    <x v="502"/>
    <d v="2025-11-06T17:21:06"/>
    <s v="16 a 23 dias"/>
    <s v="16 a 23 dias"/>
    <s v="5RCRUF"/>
    <s v="TMS"/>
    <s v="SANDRA NEGRINI"/>
    <s v="Thais Peixoto de Melo"/>
    <s v="Thais Peixoto de Melo"/>
    <x v="469"/>
    <n v="5859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433"/>
    <n v="0"/>
    <n v="0"/>
    <n v="0"/>
    <n v="0"/>
    <n v="0"/>
    <n v="0"/>
    <s v="Reserva importada do Sistema TMS. OS: 5859"/>
    <s v="Fornecedor não preenchido! (ACC01)"/>
    <s v="ARGO(TMS)"/>
    <s v="Falta de Fornecedor"/>
    <s v="Campo Fornecedor"/>
    <s v="Dados do Fornecedor"/>
    <s v="Qualidade dos dados"/>
    <s v="KONTIK BUSINESS TRAVEL"/>
  </r>
  <r>
    <n v="23368554"/>
    <n v="24094514"/>
    <s v="ACC01"/>
    <x v="503"/>
    <d v="2025-11-21T22:01:55"/>
    <s v="03 a 05 dias"/>
    <s v="03 a 05 dias"/>
    <s v="5UIWXQ"/>
    <s v="TMS"/>
    <s v="MARCOS MUNIZ"/>
    <s v="Thais Peixoto de Melo"/>
    <s v="Thais Peixoto de Melo"/>
    <x v="470"/>
    <n v="6214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434"/>
    <n v="0"/>
    <n v="0"/>
    <n v="0"/>
    <n v="0"/>
    <n v="0"/>
    <n v="0"/>
    <s v="Reserva importada do Sistema TMS. OS: 6214"/>
    <s v="Fornecedor não preenchido! (ACC01)"/>
    <s v="ARGO(TMS)"/>
    <s v="Falta de Fornecedor"/>
    <s v="Campo Fornecedor"/>
    <s v="Dados do Fornecedor"/>
    <s v="Qualidade dos dados"/>
    <s v="KONTIK BUSINESS TRAVEL"/>
  </r>
  <r>
    <n v="23368555"/>
    <n v="24094515"/>
    <s v="ACC01"/>
    <x v="504"/>
    <d v="2025-11-21T22:01:56"/>
    <s v="03 a 05 dias"/>
    <s v="03 a 05 dias"/>
    <s v="5UBCWZ"/>
    <s v="TMS"/>
    <s v="MARCOS MUNIZ"/>
    <s v="Thais Peixoto de Melo"/>
    <s v="Thais Peixoto de Melo"/>
    <x v="471"/>
    <n v="6212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435"/>
    <n v="0"/>
    <n v="0"/>
    <n v="0"/>
    <n v="0"/>
    <n v="0"/>
    <n v="0"/>
    <s v="Reserva importada do Sistema TMS. OS: 6212"/>
    <s v="Fornecedor não preenchido! (ACC01)"/>
    <s v="ARGO(TMS)"/>
    <s v="Falta de Fornecedor"/>
    <s v="Campo Fornecedor"/>
    <s v="Dados do Fornecedor"/>
    <s v="Qualidade dos dados"/>
    <s v="KONTIK BUSINESS TRAVEL"/>
  </r>
  <r>
    <n v="23324473"/>
    <n v="24053962"/>
    <s v="ACC01"/>
    <x v="505"/>
    <d v="2025-11-14T13:57:47"/>
    <s v="09 a 15 dias"/>
    <s v="09 a 15 dias"/>
    <s v="5TK9ND"/>
    <s v="TMS"/>
    <s v="TOMAZ TAVARES"/>
    <s v="Tms"/>
    <s v="Tms"/>
    <x v="472"/>
    <n v="6154"/>
    <s v="Caruaru / CAU"/>
    <s v="ON LINE"/>
    <s v="Invoice"/>
    <s v="Faturado"/>
    <s v="Carro"/>
    <s v="N"/>
    <s v="Grupo Bernoulli Educacao"/>
    <s v="Bernoulli Sistema de Ensino - Belo Horizonte"/>
    <s v="-"/>
    <s v="Localiza - Br - Pe - Caruaru - Agamenom Magalhaes"/>
    <s v="-"/>
    <s v="KON-OPE-SAO-PVI-BERNOULLI"/>
    <s v="-"/>
    <x v="436"/>
    <n v="0"/>
    <n v="0"/>
    <n v="0"/>
    <n v="0"/>
    <n v="0"/>
    <n v="0"/>
    <s v="Reserva importada do Sistema TMS. OS: 6154"/>
    <s v="Fornecedor não preenchido! (ACC01)"/>
    <s v="ARGO(TMS)"/>
    <s v="Falta de Fornecedor"/>
    <s v="Campo Fornecedor"/>
    <s v="Dados do Fornecedor"/>
    <s v="Qualidade dos dados"/>
    <s v="KONTIK BUSINESS TRAVEL"/>
  </r>
  <r>
    <n v="23350314"/>
    <n v="24077702"/>
    <s v="ACC01"/>
    <x v="506"/>
    <d v="2025-11-18T21:15:55"/>
    <s v="06 a 08 dias"/>
    <s v="06 a 08 dias"/>
    <s v="5T7QQK"/>
    <s v="TMS"/>
    <s v="CRISTINA LIBARDI"/>
    <s v="Tms"/>
    <s v="Tms"/>
    <x v="473"/>
    <n v="6261"/>
    <s v="Vila Velha / VIX"/>
    <s v="ON LINE"/>
    <s v="Invoice"/>
    <s v="Faturado"/>
    <s v="Carro"/>
    <s v="N"/>
    <s v="Grupo Bernoulli Educacao"/>
    <s v="Bernoulli Sistema de Ensino - Belo Horizonte"/>
    <s v="-"/>
    <s v="Localiza - Br - Es - Vila Velha"/>
    <s v="-"/>
    <s v="KON-OPE-SAO-PVI-BERNOULLI"/>
    <s v="-"/>
    <x v="437"/>
    <n v="0"/>
    <n v="0"/>
    <n v="0"/>
    <n v="0"/>
    <n v="0"/>
    <n v="0"/>
    <s v="Reserva importada do Sistema TMS. OS: 6261"/>
    <s v="Fornecedor não preenchido! (ACC01)"/>
    <s v="ARGO(TMS)"/>
    <s v="Falta de Fornecedor"/>
    <s v="Campo Fornecedor"/>
    <s v="Dados do Fornecedor"/>
    <s v="Qualidade dos dados"/>
    <s v="KONTIK BUSINESS TRAVEL"/>
  </r>
  <r>
    <n v="23350320"/>
    <n v="24077707"/>
    <s v="ACC01"/>
    <x v="507"/>
    <d v="2025-11-18T21:16:07"/>
    <s v="06 a 08 dias"/>
    <s v="06 a 08 dias"/>
    <s v="5TLZQK"/>
    <s v="TMS"/>
    <s v="SANDRA NEGRINI"/>
    <s v="Tms"/>
    <s v="Tms"/>
    <x v="178"/>
    <n v="6254"/>
    <s v="Vinhedo / CPQ"/>
    <s v="ON LINE"/>
    <s v="Invoice"/>
    <s v="Faturado"/>
    <s v="Carro"/>
    <s v="N"/>
    <s v="Grupo Bernoulli Educacao"/>
    <s v="Bernoulli Sistema de Ensino - Belo Horizonte"/>
    <s v="-"/>
    <s v="Localiza - Br - Sp - Vinhedo - Casa Verde"/>
    <s v="-"/>
    <s v="KON-OPE-SAO-PVI-BERNOULLI"/>
    <s v="-"/>
    <x v="438"/>
    <n v="0"/>
    <n v="0"/>
    <n v="0"/>
    <n v="0"/>
    <n v="0"/>
    <n v="0"/>
    <s v="Reserva importada do Sistema TMS. OS: 6254"/>
    <s v="Fornecedor não preenchido! (ACC01)"/>
    <s v="ARGO(TMS)"/>
    <s v="Falta de Fornecedor"/>
    <s v="Campo Fornecedor"/>
    <s v="Dados do Fornecedor"/>
    <s v="Qualidade dos dados"/>
    <s v="KONTIK BUSINESS TRAVEL"/>
  </r>
  <r>
    <n v="23368544"/>
    <n v="24094504"/>
    <s v="ACC01"/>
    <x v="508"/>
    <d v="2025-11-21T21:56:59"/>
    <s v="03 a 05 dias"/>
    <s v="03 a 05 dias"/>
    <s v="5UM2WA"/>
    <s v="TMS"/>
    <s v="RAFAEL OLIVEIRA"/>
    <s v="Tms"/>
    <s v="Tms"/>
    <x v="474"/>
    <n v="6314"/>
    <s v="Aracaju / AJU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9"/>
    <n v="0"/>
    <n v="0"/>
    <n v="0"/>
    <n v="0"/>
    <n v="0"/>
    <n v="0"/>
    <s v="Reserva importada do Sistema TMS. OS: 6314"/>
    <s v="Fornecedor não preenchido! (ACC01)"/>
    <s v="ARGO(TMS)"/>
    <s v="Falta de Fornecedor"/>
    <s v="Campo Fornecedor"/>
    <s v="Dados do Fornecedor"/>
    <s v="Qualidade dos dados"/>
    <s v="KONTIK BUSINESS TRAVEL"/>
  </r>
  <r>
    <n v="23357701"/>
    <n v="24084702"/>
    <s v="ACC01"/>
    <x v="509"/>
    <d v="2025-11-19T22:25:51"/>
    <s v="03 a 05 dias"/>
    <s v="03 a 05 dias"/>
    <s v="5TR46L"/>
    <s v="TMS"/>
    <s v="RAFAEL MARQUES BRUNHOLI"/>
    <s v="Tms"/>
    <s v="Tms"/>
    <x v="475"/>
    <n v="49138"/>
    <s v="Jundiaí / QDV"/>
    <s v="ON LINE"/>
    <s v="Invoice"/>
    <s v="Faturado"/>
    <s v="Carro"/>
    <s v="N"/>
    <s v="Grupo Motiva"/>
    <s v="Motiva Filial"/>
    <s v="-"/>
    <s v="Movida - Br - Sp - Jundiai - Vila Mafalda"/>
    <s v="-"/>
    <s v="KON-OPE-SAO-PVI-CCR"/>
    <s v="-"/>
    <x v="440"/>
    <n v="0"/>
    <n v="0"/>
    <n v="0"/>
    <n v="0"/>
    <n v="0"/>
    <n v="0"/>
    <s v="Reserva importada do Sistema TMS. OS: 49138"/>
    <s v="Fornecedor não preenchido! (ACC01)"/>
    <s v="ARGO(TMS)"/>
    <s v="Falta de Fornecedor"/>
    <s v="Campo Fornecedor"/>
    <s v="Dados do Fornecedor"/>
    <s v="Qualidade dos dados"/>
    <s v="KONTIK BUSINESS TRAVEL"/>
  </r>
  <r>
    <n v="23354998"/>
    <n v="24081977"/>
    <s v="ACC01"/>
    <x v="510"/>
    <d v="2025-11-19T15:48:55"/>
    <s v="03 a 05 dias"/>
    <s v="03 a 05 dias"/>
    <s v="5TH0MN"/>
    <s v="TMS"/>
    <s v="EVERTON MARQUES CORREIA"/>
    <s v="Tms"/>
    <s v="Tms"/>
    <x v="476"/>
    <n v="49108"/>
    <s v="Jundiaí / QDV"/>
    <s v="ON LINE"/>
    <s v="Invoice"/>
    <s v="Faturado"/>
    <s v="Carro"/>
    <s v="N"/>
    <s v="Grupo Motiva"/>
    <s v="Riosp"/>
    <s v="-"/>
    <s v="Movida - Br - Sp - Jundiai - Vila Mafalda"/>
    <s v="-"/>
    <s v="KON-OPE-SAO-PVI-CCR"/>
    <s v="-"/>
    <x v="441"/>
    <n v="0"/>
    <n v="0"/>
    <n v="0"/>
    <n v="0"/>
    <n v="0"/>
    <n v="0"/>
    <s v="Reserva importada do Sistema TMS. OS: 49108"/>
    <s v="Fornecedor não preenchido! (ACC01)"/>
    <s v="ARGO(TMS)"/>
    <s v="Falta de Fornecedor"/>
    <s v="Campo Fornecedor"/>
    <s v="Dados do Fornecedor"/>
    <s v="Qualidade dos dados"/>
    <s v="KONTIK BUSINESS TRAVEL"/>
  </r>
  <r>
    <n v="23343113"/>
    <n v="24070866"/>
    <s v="ACC01"/>
    <x v="511"/>
    <d v="2025-11-17T21:21:29"/>
    <s v="06 a 08 dias"/>
    <s v="06 a 08 dias"/>
    <s v="5T6DHY"/>
    <s v="TMS"/>
    <s v="ELLEN CHIOCHETTI DA SILVA"/>
    <s v="Tms"/>
    <s v="Tms"/>
    <x v="477"/>
    <n v="48896"/>
    <s v="Jundiaí / QDV"/>
    <s v="ON LINE"/>
    <s v="Invoice"/>
    <s v="Faturado"/>
    <s v="Carro"/>
    <s v="N"/>
    <s v="Grupo Motiva"/>
    <s v="Motiva Filial"/>
    <s v="-"/>
    <s v="Movida - Br - Sp - Jundiai - Vila Mafalda"/>
    <s v="-"/>
    <s v="KON-OPE-SAO-PVI-CCR"/>
    <s v="-"/>
    <x v="442"/>
    <n v="0"/>
    <n v="0"/>
    <n v="0"/>
    <n v="0"/>
    <n v="0"/>
    <n v="0"/>
    <s v="Reserva importada do Sistema TMS. OS: 48896"/>
    <s v="Fornecedor não preenchido! (ACC01)"/>
    <s v="ARGO(TMS)"/>
    <s v="Falta de Fornecedor"/>
    <s v="Campo Fornecedor"/>
    <s v="Dados do Fornecedor"/>
    <s v="Qualidade dos dados"/>
    <s v="KONTIK BUSINESS TRAVEL"/>
  </r>
  <r>
    <n v="23327631"/>
    <n v="24057219"/>
    <s v="ACC01"/>
    <x v="512"/>
    <d v="2025-11-17T06:10:40"/>
    <s v="06 a 08 dias"/>
    <s v="09 a 15 dias"/>
    <s v="5TB1UR"/>
    <s v="TMS"/>
    <s v="TASSIA FRAGUAS"/>
    <s v="Tms"/>
    <s v="Tms"/>
    <x v="478"/>
    <n v="48750"/>
    <s v="-"/>
    <s v="ON LINE"/>
    <s v="Invoice"/>
    <s v="Faturado"/>
    <s v="Hotel"/>
    <s v="N"/>
    <s v="Grupo Motiva"/>
    <s v="Bloco Central"/>
    <s v="-"/>
    <s v="Brasil 21 Convention Suites - Inativo"/>
    <s v="-"/>
    <s v="KON-OPE-SAO-PVI-CCR"/>
    <s v="-"/>
    <x v="443"/>
    <n v="0"/>
    <n v="0"/>
    <n v="0"/>
    <n v="0"/>
    <n v="25.95"/>
    <n v="0"/>
    <s v="Reserva importada do Sistema TMS. OS: 48750"/>
    <s v="Não foi possível encontrar um contrato válido para o fornecedor 17987 (Código fornecedor) "/>
    <s v="ARGO(TMS)"/>
    <s v="Contrato de fornecedor"/>
    <s v="Análise Cadastro"/>
    <s v="Dados do Fornecedor"/>
    <s v="Qualidade dos dados"/>
    <s v="KONTIK BUSINESS TRAVEL"/>
  </r>
  <r>
    <n v="23368881"/>
    <n v="24094843"/>
    <s v="ACC01"/>
    <x v="513"/>
    <d v="2025-11-21T22:57:50"/>
    <s v="03 a 05 dias"/>
    <s v="03 a 05 dias"/>
    <s v="5UGZRZ"/>
    <s v="TMS"/>
    <s v="VINICIUS FERNANDO NEVOA"/>
    <s v="Flavio Roberto Ferreira"/>
    <s v="Flavio Roberto Ferreira"/>
    <x v="479"/>
    <n v="48021"/>
    <s v="-"/>
    <s v="OFF LINE"/>
    <s v="Invoice"/>
    <s v="Faturado"/>
    <s v="Hotel"/>
    <s v="N"/>
    <s v="Grupo Motiva"/>
    <s v="Motiva Filial"/>
    <s v="-"/>
    <s v="-"/>
    <s v="-"/>
    <s v="KON-OPE-SAO-PVI-CCR"/>
    <s v="-"/>
    <x v="444"/>
    <n v="0"/>
    <n v="0"/>
    <n v="0"/>
    <n v="0"/>
    <n v="0"/>
    <n v="0"/>
    <s v="Reserva importada do Sistema TMS. OS: 48021"/>
    <s v="Fornecedor não preenchido! (ACC01)"/>
    <s v="ARGO(TMS)"/>
    <s v="Falta de Fornecedor"/>
    <s v="Campo Fornecedor"/>
    <s v="Dados do Fornecedor"/>
    <s v="Qualidade dos dados"/>
    <s v="KONTIK BUSINESS TRAVEL"/>
  </r>
  <r>
    <n v="23368888"/>
    <n v="24094850"/>
    <s v="ACC01"/>
    <x v="514"/>
    <d v="2025-11-21T23:01:51"/>
    <s v="03 a 05 dias"/>
    <s v="03 a 05 dias"/>
    <s v="5UQ241"/>
    <s v="TMS"/>
    <s v="LEANDRO MOTTA QUEIROZ"/>
    <s v="Flavio Roberto Ferreira"/>
    <s v="Flavio Roberto Ferreira"/>
    <x v="480"/>
    <n v="48020"/>
    <s v="-"/>
    <s v="OFF LINE"/>
    <s v="Invoice"/>
    <s v="Faturado"/>
    <s v="Hotel"/>
    <s v="N"/>
    <s v="Grupo Motiva"/>
    <s v="Motiva Filial"/>
    <s v="-"/>
    <s v="-"/>
    <s v="-"/>
    <s v="KON-OPE-SAO-PVI-CCR"/>
    <s v="-"/>
    <x v="444"/>
    <n v="0"/>
    <n v="0"/>
    <n v="0"/>
    <n v="0"/>
    <n v="0"/>
    <n v="0"/>
    <s v="Reserva importada do Sistema TMS. OS: 48020"/>
    <s v="Fornecedor não preenchido! (ACC01)"/>
    <s v="ARGO(TMS)"/>
    <s v="Falta de Fornecedor"/>
    <s v="Campo Fornecedor"/>
    <s v="Dados do Fornecedor"/>
    <s v="Qualidade dos dados"/>
    <s v="KONTIK BUSINESS TRAVEL"/>
  </r>
  <r>
    <n v="23368894"/>
    <n v="24094856"/>
    <s v="ACC01"/>
    <x v="515"/>
    <d v="2025-11-21T23:02:50"/>
    <s v="03 a 05 dias"/>
    <s v="03 a 05 dias"/>
    <s v="5UJXF1"/>
    <s v="TMS"/>
    <s v="MARIO FERREIRA"/>
    <s v="Flavio Roberto Ferreira"/>
    <s v="Flavio Roberto Ferreira"/>
    <x v="481"/>
    <n v="48019"/>
    <s v="-"/>
    <s v="OFF LINE"/>
    <s v="Invoice"/>
    <s v="Faturado"/>
    <s v="Hotel"/>
    <s v="N"/>
    <s v="Grupo Motiva"/>
    <s v="Motiva Filial"/>
    <s v="-"/>
    <s v="-"/>
    <s v="-"/>
    <s v="KON-OPE-SAO-PVI-CCR"/>
    <s v="-"/>
    <x v="444"/>
    <n v="0"/>
    <n v="0"/>
    <n v="0"/>
    <n v="0"/>
    <n v="0"/>
    <n v="0"/>
    <s v="Reserva importada do Sistema TMS. OS: 48019"/>
    <s v="Fornecedor não preenchido! (ACC01)"/>
    <s v="ARGO(TMS)"/>
    <s v="Falta de Fornecedor"/>
    <s v="Campo Fornecedor"/>
    <s v="Dados do Fornecedor"/>
    <s v="Qualidade dos dados"/>
    <s v="KONTIK BUSINESS TRAVEL"/>
  </r>
  <r>
    <n v="23305348"/>
    <n v="24035996"/>
    <s v="ACC01"/>
    <x v="516"/>
    <d v="2025-11-11T19:10:49"/>
    <s v="09 a 15 dias"/>
    <s v="09 a 15 dias"/>
    <s v="5TUX2P"/>
    <s v="TMS"/>
    <s v="ROMAO ROMERO/JULIANA"/>
    <s v="Flavio Roberto Ferreira"/>
    <s v="Flavio Roberto Ferreira"/>
    <x v="482"/>
    <n v="48381"/>
    <s v="-"/>
    <s v="OFF LINE"/>
    <s v="Cartão de crédito"/>
    <s v="Cartão AMEX"/>
    <s v="Aéreo"/>
    <s v="N"/>
    <s v="Grupo Motiva"/>
    <s v="Metro Bahia"/>
    <s v="-"/>
    <s v="Latam Airlines Brasil"/>
    <n v="4460942374"/>
    <s v="KON-OPE-SAO-PVI-CCR"/>
    <s v="-"/>
    <x v="0"/>
    <n v="92"/>
    <n v="0"/>
    <n v="0"/>
    <n v="0"/>
    <n v="0"/>
    <n v="0"/>
    <s v="Reserva importada do Sistema TMS. OS: 4838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02387"/>
    <n v="24033029"/>
    <s v="ACC01"/>
    <x v="517"/>
    <d v="2025-11-11T12:51:55"/>
    <s v="09 a 15 dias"/>
    <s v="09 a 15 dias"/>
    <s v="5RMXCN"/>
    <s v="TMS"/>
    <s v="DA SILVEIRA BRESSAN/SILVIA"/>
    <s v="Flavio Roberto Ferreira"/>
    <s v="Flavio Roberto Ferreira"/>
    <x v="483"/>
    <n v="48264"/>
    <s v="-"/>
    <s v="OFF LINE"/>
    <s v="Cartão de crédito"/>
    <s v="Cartão AMEX"/>
    <s v="Aéreo"/>
    <s v="N"/>
    <s v="Grupo Motiva"/>
    <s v="Vlt"/>
    <s v="-"/>
    <s v="Azul Linhas Aereas"/>
    <n v="3024033029"/>
    <s v="KON-OPE-SAO-PVI-CCR"/>
    <s v="-"/>
    <x v="0"/>
    <n v="129"/>
    <n v="0"/>
    <n v="0"/>
    <n v="0"/>
    <n v="0"/>
    <n v="0"/>
    <s v="Reserva importada do Sistema TMS. OS: 4826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302386"/>
    <n v="24033028"/>
    <s v="ACC01"/>
    <x v="518"/>
    <d v="2025-11-11T12:51:54"/>
    <s v="09 a 15 dias"/>
    <s v="09 a 15 dias"/>
    <s v="5RLQCN"/>
    <s v="TMS"/>
    <s v="OLIVEIRA/LUCIANA"/>
    <s v="Flavio Roberto Ferreira"/>
    <s v="Flavio Roberto Ferreira"/>
    <x v="484"/>
    <n v="48265"/>
    <s v="-"/>
    <s v="OFF LINE"/>
    <s v="Cartão de crédito"/>
    <s v="Cartão AMEX"/>
    <s v="Aéreo"/>
    <s v="N"/>
    <s v="Grupo Motiva"/>
    <s v="Vialagos"/>
    <s v="-"/>
    <s v="Azul Linhas Aereas"/>
    <n v="3024033028"/>
    <s v="KON-OPE-SAO-PVI-CCR"/>
    <s v="-"/>
    <x v="0"/>
    <n v="129"/>
    <n v="0"/>
    <n v="0"/>
    <n v="0"/>
    <n v="0"/>
    <n v="0"/>
    <s v="Reserva importada do Sistema TMS. OS: 48265"/>
    <s v="Tarifa mínima não preenchida! (ACC01)"/>
    <s v="ARGO(TMS)"/>
    <s v="Tarifa mínima"/>
    <s v="Falta de informação Gerencial"/>
    <s v="Dados do Fornecedor"/>
    <s v="Qualidade dos dados"/>
    <s v="KONTIK BUSINESS TRAVEL"/>
  </r>
  <r>
    <n v="21933235"/>
    <n v="22831878"/>
    <s v="ACC01"/>
    <x v="519"/>
    <d v="2025-11-11T08:46:31"/>
    <s v="09 a 15 dias"/>
    <s v="31 dias ou +"/>
    <s v="MCMJJG1"/>
    <s v="TMS"/>
    <s v="RENATA RUGGIERO MORAES"/>
    <s v="Flavio Roberto Ferreira"/>
    <s v="Flavio Roberto Ferreira"/>
    <x v="485"/>
    <n v="28891"/>
    <s v="-"/>
    <s v="OFF LINE"/>
    <s v="Cartão de crédito"/>
    <s v="Cartão AMEX"/>
    <s v="Aéreo"/>
    <s v="N"/>
    <s v="Grupo Motiva"/>
    <s v="Instituto Motiva"/>
    <s v="-"/>
    <s v="Gol Linhas Aereas"/>
    <n v="2135308439"/>
    <s v="KON-OPE-SAO-PVI-CCR"/>
    <s v="-"/>
    <x v="0"/>
    <n v="0"/>
    <n v="0"/>
    <n v="0"/>
    <n v="0"/>
    <n v="0"/>
    <n v="0"/>
    <s v="Reserva importada do Sistema TMS. OS: 2889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3362718"/>
    <n v="24089227"/>
    <s v="ACC01"/>
    <x v="520"/>
    <d v="2025-11-20T21:28:13"/>
    <s v="03 a 05 dias"/>
    <s v="03 a 05 dias"/>
    <s v="5U2YBB"/>
    <s v="TMS"/>
    <s v="HERNAN RIOS"/>
    <s v="Tms"/>
    <s v="Tms"/>
    <x v="486"/>
    <n v="17"/>
    <s v="-"/>
    <s v="ON LINE"/>
    <s v="Cartão de crédito"/>
    <s v="Cartão de crédito"/>
    <s v="Hotel"/>
    <s v="N"/>
    <s v="Grupo Syngenta"/>
    <s v="Syngenta Crop"/>
    <s v="-"/>
    <s v="-"/>
    <s v="-"/>
    <s v="FCM-OPE-POA-PVI-SYNGENTA"/>
    <s v="-"/>
    <x v="445"/>
    <n v="0"/>
    <n v="0"/>
    <n v="0"/>
    <n v="0"/>
    <n v="74.26000000000001"/>
    <n v="0"/>
    <s v="Reserva importada do Sistema TMS. OS: 17"/>
    <s v="Fornecedor não preenchido! (ACC01)"/>
    <s v="ARGO(TMS)"/>
    <s v="Falta de Fornecedor"/>
    <s v="Campo Fornecedor"/>
    <s v="Dados do Fornecedor"/>
    <s v="Sistêmico"/>
    <s v="GRUPO KONTIK"/>
  </r>
  <r>
    <m/>
    <m/>
    <m/>
    <x v="521"/>
    <m/>
    <m/>
    <m/>
    <m/>
    <m/>
    <m/>
    <m/>
    <m/>
    <x v="487"/>
    <m/>
    <m/>
    <m/>
    <m/>
    <m/>
    <m/>
    <m/>
    <m/>
    <m/>
    <m/>
    <m/>
    <m/>
    <m/>
    <m/>
    <x v="446"/>
    <m/>
    <m/>
    <m/>
    <m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8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9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0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1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a dinâmica5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8:I77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0"/>
        <item t="data" sd="1" x="2"/>
        <item t="data" sd="1" x="1"/>
        <item t="data" sd="1" x="5"/>
        <item t="data" sd="1" x="6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m="1" x="8"/>
        <item t="data" sd="1" m="1" x="9"/>
        <item t="data" sd="1" x="6"/>
        <item t="data" sd="1" x="5"/>
        <item t="data" sd="1" x="4"/>
        <item t="data" sd="1" m="1" x="10"/>
        <item t="data" sd="1" x="1"/>
        <item t="data" sd="1" x="2"/>
        <item t="data" h="1" sd="1" x="7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5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42"/>
  </colFields>
  <colItems count="8">
    <i t="data" r="0" i="0">
      <x v="0"/>
    </i>
    <i t="data" r="0" i="0">
      <x v="3"/>
    </i>
    <i t="data" r="0" i="0">
      <x v="4"/>
    </i>
    <i t="data" r="0" i="0">
      <x v="5"/>
    </i>
    <i t="data" r="0" i="0">
      <x v="7"/>
    </i>
    <i t="data" r="0" i="0">
      <x v="8"/>
    </i>
    <i t="data" r="0" i="0">
      <x v="10"/>
    </i>
    <i t="grand" r="0" i="0">
      <x v="0"/>
    </i>
  </colItems>
  <dataFields count="1">
    <dataField name="Contagem de RESPONSÁVEL" fld="42" subtotal="count" showDataAs="normal" baseField="0" baseItem="0"/>
  </dataFields>
  <formats count="80">
    <format action="formatting" dxfId="737">
      <pivotArea type="normal" dataOnly="1" outline="0" collapsedLevelsAreSubtotals="1" fieldPosition="0"/>
    </format>
    <format action="formatting" dxfId="736">
      <pivotArea type="normal" dataOnly="0" labelOnly="1" grandCol="1" outline="0" fieldPosition="0"/>
    </format>
    <format action="formatting" dxfId="735">
      <pivotArea type="all" dataOnly="0" outline="0" fieldPosition="0"/>
    </format>
    <format action="formatting" dxfId="734">
      <pivotArea type="normal" dataOnly="1" outline="0" collapsedLevelsAreSubtotals="1" fieldPosition="0"/>
    </format>
    <format action="formatting" dxfId="733">
      <pivotArea type="origin" dataOnly="0" labelOnly="1" outline="0" fieldPosition="0"/>
    </format>
    <format action="formatting" dxfId="732">
      <pivotArea type="topRight" dataOnly="0" labelOnly="1" outline="0" fieldPosition="0"/>
    </format>
    <format action="formatting" dxfId="731">
      <pivotArea type="normal" dataOnly="0" labelOnly="1" grandRow="1" outline="0" fieldPosition="0"/>
    </format>
    <format action="formatting" dxfId="730">
      <pivotArea type="normal" dataOnly="0" labelOnly="1" grandCol="1" outline="0" fieldPosition="0"/>
    </format>
    <format action="formatting" dxfId="729">
      <pivotArea type="all" dataOnly="0" outline="0" fieldPosition="0"/>
    </format>
    <format action="formatting" dxfId="728">
      <pivotArea type="normal" dataOnly="1" outline="0" collapsedLevelsAreSubtotals="1" fieldPosition="0"/>
    </format>
    <format action="formatting" dxfId="727">
      <pivotArea type="origin" dataOnly="0" labelOnly="1" outline="0" fieldPosition="0"/>
    </format>
    <format action="formatting" dxfId="726">
      <pivotArea type="topRight" dataOnly="0" labelOnly="1" outline="0" fieldPosition="0"/>
    </format>
    <format action="formatting" dxfId="725">
      <pivotArea type="normal" dataOnly="0" labelOnly="1" grandRow="1" outline="0" fieldPosition="0"/>
    </format>
    <format action="formatting" dxfId="724">
      <pivotArea type="normal" dataOnly="0" labelOnly="1" grandCol="1" outline="0" fieldPosition="0"/>
    </format>
    <format action="formatting" dxfId="723">
      <pivotArea type="all" dataOnly="0" outline="0" fieldPosition="0"/>
    </format>
    <format action="formatting" dxfId="722">
      <pivotArea type="normal" dataOnly="1" outline="0" collapsedLevelsAreSubtotals="1" fieldPosition="0"/>
    </format>
    <format action="formatting" dxfId="721">
      <pivotArea type="origin" dataOnly="0" labelOnly="1" outline="0" fieldPosition="0"/>
    </format>
    <format action="formatting" dxfId="720">
      <pivotArea type="topRight" dataOnly="0" labelOnly="1" outline="0" fieldPosition="0"/>
    </format>
    <format action="formatting" dxfId="719">
      <pivotArea type="normal" dataOnly="0" labelOnly="1" grandRow="1" outline="0" fieldPosition="0"/>
    </format>
    <format action="formatting" dxfId="718">
      <pivotArea type="normal" dataOnly="0" labelOnly="1" grandCol="1" outline="0" fieldPosition="0"/>
    </format>
    <format action="formatting" dxfId="717">
      <pivotArea type="all" dataOnly="0" outline="0" fieldPosition="0"/>
    </format>
    <format action="formatting" dxfId="716">
      <pivotArea type="normal" dataOnly="1" outline="0" collapsedLevelsAreSubtotals="1" fieldPosition="0"/>
    </format>
    <format action="formatting" dxfId="715">
      <pivotArea type="origin" dataOnly="0" labelOnly="1" outline="0" fieldPosition="0"/>
    </format>
    <format action="formatting" dxfId="714">
      <pivotArea type="topRight" dataOnly="0" labelOnly="1" outline="0" fieldPosition="0"/>
    </format>
    <format action="formatting" dxfId="713">
      <pivotArea type="normal" dataOnly="0" labelOnly="1" grandRow="1" outline="0" fieldPosition="0"/>
    </format>
    <format action="formatting" dxfId="712">
      <pivotArea type="normal" dataOnly="0" labelOnly="1" grandCol="1" outline="0" fieldPosition="0"/>
    </format>
    <format action="formatting" dxfId="711">
      <pivotArea type="all" dataOnly="0" outline="0" fieldPosition="0"/>
    </format>
    <format action="formatting" dxfId="710">
      <pivotArea type="normal" dataOnly="1" outline="0" collapsedLevelsAreSubtotals="1" fieldPosition="0"/>
    </format>
    <format action="formatting" dxfId="709">
      <pivotArea type="origin" dataOnly="0" labelOnly="1" outline="0" fieldPosition="0"/>
    </format>
    <format action="formatting" dxfId="708">
      <pivotArea type="normal" dataOnly="0" labelOnly="1" grandRow="1" outline="0" fieldPosition="0"/>
    </format>
    <format action="formatting" dxfId="707">
      <pivotArea type="normal" dataOnly="0" labelOnly="1" grandCol="1" outline="0" fieldPosition="0"/>
    </format>
    <format action="formatting" dxfId="706">
      <pivotArea type="origin" dataOnly="0" labelOnly="1" outline="0" fieldPosition="0"/>
    </format>
    <format action="formatting" dxfId="705">
      <pivotArea type="normal" dataOnly="0" labelOnly="1" grandRow="1" outline="0" fieldPosition="0"/>
    </format>
    <format action="formatting" dxfId="704">
      <pivotArea type="normal" dataOnly="1" outline="0" collapsedLevelsAreSubtotals="1" fieldPosition="0"/>
    </format>
    <format action="formatting" dxfId="703">
      <pivotArea type="normal" dataOnly="0" labelOnly="1" grandCol="1" outline="0" fieldPosition="0"/>
    </format>
    <format action="formatting" dxfId="702">
      <pivotArea type="normal" dataOnly="1" outline="0" collapsedLevelsAreSubtotals="1" fieldPosition="0"/>
    </format>
    <format action="formatting" dxfId="701">
      <pivotArea type="normal" dataOnly="0" labelOnly="1" grandCol="1" outline="0" fieldPosition="0"/>
    </format>
    <format action="formatting">
      <pivotArea type="normal" dataOnly="0" labelOnly="1" grandCol="1" outline="0" fieldPosition="0"/>
    </format>
    <format action="formatting" dxfId="700">
      <pivotArea type="normal" dataOnly="0" labelOnly="1" grandCol="1" outline="0" fieldPosition="0"/>
    </format>
    <format action="formatting" dxfId="699">
      <pivotArea type="normal" dataOnly="1" outline="0" collapsedLevelsAreSubtotals="1" fieldPosition="0"/>
    </format>
    <format action="formatting" dxfId="698">
      <pivotArea type="normal" dataOnly="0" labelOnly="1" grandCol="1" outline="0" fieldPosition="0"/>
    </format>
    <format action="formatting" dxfId="697">
      <pivotArea type="all" dataOnly="0" outline="0" fieldPosition="0"/>
    </format>
    <format action="formatting" dxfId="696">
      <pivotArea type="normal" dataOnly="1" outline="0" collapsedLevelsAreSubtotals="1" fieldPosition="0"/>
    </format>
    <format action="formatting" dxfId="695">
      <pivotArea type="origin" dataOnly="0" labelOnly="1" outline="0" fieldPosition="0"/>
    </format>
    <format action="formatting" dxfId="694">
      <pivotArea type="topRight" dataOnly="0" labelOnly="1" outline="0" fieldPosition="0"/>
    </format>
    <format action="formatting" dxfId="693">
      <pivotArea type="normal" dataOnly="0" labelOnly="1" grandRow="1" outline="0" fieldPosition="0"/>
    </format>
    <format action="formatting" dxfId="692">
      <pivotArea type="normal" dataOnly="0" labelOnly="1" grandCol="1" outline="0" fieldPosition="0"/>
    </format>
    <format action="formatting" dxfId="691">
      <pivotArea type="all" dataOnly="0" outline="0" fieldPosition="0"/>
    </format>
    <format action="formatting" dxfId="690">
      <pivotArea type="normal" dataOnly="1" outline="0" collapsedLevelsAreSubtotals="1" fieldPosition="0"/>
    </format>
    <format action="formatting" dxfId="689">
      <pivotArea type="topRight" dataOnly="0" labelOnly="1" outline="0" fieldPosition="0"/>
    </format>
    <format action="formatting" dxfId="688">
      <pivotArea type="normal" dataOnly="0" labelOnly="1" grandCol="1" outline="0" fieldPosition="0"/>
    </format>
    <format action="formatting" dxfId="687">
      <pivotArea type="origin" dataOnly="0" labelOnly="1" outline="0" fieldPosition="0"/>
    </format>
    <format action="formatting" dxfId="686">
      <pivotArea type="normal" dataOnly="0" labelOnly="1" grandRow="1" outline="0" fieldPosition="0"/>
    </format>
    <format action="formatting" dxfId="685">
      <pivotArea type="all" dataOnly="0" outline="0" fieldPosition="0"/>
    </format>
    <format action="formatting" dxfId="684">
      <pivotArea type="normal" dataOnly="1" outline="0" collapsedLevelsAreSubtotals="1" fieldPosition="0"/>
    </format>
    <format action="formatting" dxfId="683">
      <pivotArea type="origin" dataOnly="0" labelOnly="1" outline="0" fieldPosition="0"/>
    </format>
    <format action="formatting" dxfId="682">
      <pivotArea field="42" type="button" dataOnly="0" labelOnly="1" outline="0" axis="axisCol" fieldPosition="0"/>
    </format>
    <format action="formatting" dxfId="681">
      <pivotArea type="topRight" dataOnly="0" labelOnly="1" outline="0" fieldPosition="0"/>
    </format>
    <format action="formatting" dxfId="680">
      <pivotArea type="normal" dataOnly="0" labelOnly="1" grandRow="1" outline="0" fieldPosition="0"/>
    </format>
    <format action="formatting" dxfId="679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 dxfId="678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0" labelOnly="1" outline="0" axis="axisValues" fieldPosition="0"/>
    </format>
    <format action="formatting" dxfId="677">
      <pivotArea type="normal" dataOnly="0" labelOnly="1" outline="1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676">
      <pivotArea type="normal" dataOnly="1" outline="1" collapsedLevelsAreSubtotals="1" fieldPosition="0">
        <references count="1">
          <reference field="5">
            <x v="5"/>
            <x v="6"/>
          </reference>
        </references>
      </pivotArea>
    </format>
    <format action="formatting" dxfId="675">
      <pivotArea type="normal" dataOnly="0" labelOnly="1" outline="1" fieldPosition="0">
        <references count="1">
          <reference field="5">
            <x v="5"/>
            <x v="6"/>
          </reference>
        </references>
      </pivotArea>
    </format>
    <format action="formatting" dxfId="674">
      <pivotArea type="normal" dataOnly="1" outline="1" collapsedLevelsAreSubtotals="1" fieldPosition="0">
        <references count="1">
          <reference field="5">
            <x v="4"/>
          </reference>
        </references>
      </pivotArea>
    </format>
    <format action="formatting" dxfId="673">
      <pivotArea type="normal" dataOnly="0" labelOnly="1" outline="1" fieldPosition="0">
        <references count="1">
          <reference field="5"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/>
        </references>
      </pivotArea>
    </format>
    <format action="formatting">
      <pivotArea type="normal" dataOnly="0" labelOnly="1" grandCol="1" outline="0" fieldPosition="0"/>
    </format>
    <format action="formatting" dxfId="672">
      <pivotArea type="origin" dataOnly="0" labelOnly="1" outline="0" fieldPosition="0"/>
    </format>
    <format action="formatting" dxfId="671">
      <pivotArea field="5" type="button" dataOnly="0" labelOnly="1" outline="0" axis="axisRow" fieldPosition="0"/>
    </format>
    <format action="formatting" dxfId="670">
      <pivotArea type="normal" dataOnly="0" labelOnly="1" outline="1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669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ela dinâmica1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1:I37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ascending" defaultSubtotal="1">
      <items count="11">
        <item t="data" sd="1" x="5"/>
        <item t="data" h="1" sd="1" m="1" x="9"/>
        <item t="data" sd="1" x="0"/>
        <item t="data" sd="1" x="3"/>
        <item t="data" sd="1" x="6"/>
        <item t="data" sd="1" x="1"/>
        <item t="data" sd="1" x="4"/>
        <item t="data" h="1" sd="1" x="7"/>
        <item t="data" sd="1" x="2"/>
        <item t="data" h="1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descending" defaultSubtotal="1">
      <items count="7">
        <item t="data" sd="1" x="4"/>
        <item t="data" sd="1" x="0"/>
        <item t="data" sd="1" x="1"/>
        <item t="data" sd="1" x="2"/>
        <item t="data" sd="1" m="1" x="5"/>
        <item t="data" sd="1" x="3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9"/>
  </rowFields>
  <rowItems count="5">
    <i t="data" r="0" i="0">
      <x v="1"/>
    </i>
    <i t="data" r="0" i="0">
      <x v="3"/>
    </i>
    <i t="data" r="0" i="0">
      <x v="5"/>
    </i>
    <i t="data" r="0" i="0">
      <x v="2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8"/>
    </i>
    <i t="grand" r="0" i="0">
      <x v="0"/>
    </i>
  </colItems>
  <dataFields count="1">
    <dataField name="Contagem de TIPO DE ERRO" fld="39" subtotal="count" showDataAs="normal" baseField="0" baseItem="0" numFmtId="3"/>
  </dataFields>
  <formats count="104">
    <format action="formatting" dxfId="395">
      <pivotArea type="origin" dataOnly="0" labelOnly="1" outline="0" fieldPosition="0"/>
    </format>
    <format action="formatting" dxfId="394">
      <pivotArea field="36" type="button" dataOnly="0" labelOnly="1" outline="0" axis="axisCol" fieldPosition="0"/>
    </format>
    <format action="formatting" dxfId="393">
      <pivotArea type="topRight" dataOnly="0" labelOnly="1" outline="0" fieldPosition="0"/>
    </format>
    <format action="formatting" dxfId="392">
      <pivotArea field="39" type="button" dataOnly="0" labelOnly="1" outline="0" axis="axisRow" fieldPosition="0"/>
    </format>
    <format action="formatting" dxfId="391">
      <pivotArea type="normal" dataOnly="0" labelOnly="1" outline="1" fieldPosition="0">
        <references count="1">
          <reference field="36"/>
        </references>
      </pivotArea>
    </format>
    <format action="formatting" dxfId="390">
      <pivotArea type="normal" dataOnly="0" labelOnly="1" grandCol="1" outline="0" fieldPosition="0"/>
    </format>
    <format action="formatting" dxfId="389">
      <pivotArea type="normal" dataOnly="1" grandRow="1" outline="0" collapsedLevelsAreSubtotals="1" fieldPosition="0"/>
    </format>
    <format action="formatting" dxfId="388">
      <pivotArea type="normal" dataOnly="1" outline="0" collapsedLevelsAreSubtotals="1" fieldPosition="0"/>
    </format>
    <format action="formatting" dxfId="387">
      <pivotArea type="normal" dataOnly="0" labelOnly="1" outline="1" fieldPosition="0">
        <references count="1">
          <reference field="36"/>
        </references>
      </pivotArea>
    </format>
    <format action="formatting" dxfId="386">
      <pivotArea type="normal" dataOnly="0" labelOnly="1" grandCol="1" outline="0" fieldPosition="0"/>
    </format>
    <format action="formatting" dxfId="385">
      <pivotArea type="all" dataOnly="0" outline="0" fieldPosition="0"/>
    </format>
    <format action="formatting" dxfId="384">
      <pivotArea type="normal" dataOnly="1" outline="0" collapsedLevelsAreSubtotals="1" fieldPosition="0"/>
    </format>
    <format action="formatting" dxfId="383">
      <pivotArea type="origin" dataOnly="0" labelOnly="1" outline="0" fieldPosition="0"/>
    </format>
    <format action="formatting" dxfId="382">
      <pivotArea field="36" type="button" dataOnly="0" labelOnly="1" outline="0" axis="axisCol" fieldPosition="0"/>
    </format>
    <format action="formatting" dxfId="381">
      <pivotArea type="topRight" dataOnly="0" labelOnly="1" outline="0" fieldPosition="0"/>
    </format>
    <format action="formatting" dxfId="380">
      <pivotArea field="39" type="button" dataOnly="0" labelOnly="1" outline="0" axis="axisRow" fieldPosition="0"/>
    </format>
    <format action="formatting" dxfId="379">
      <pivotArea type="normal" dataOnly="0" labelOnly="1" grandRow="1" outline="0" fieldPosition="0"/>
    </format>
    <format action="formatting" dxfId="378">
      <pivotArea type="normal" dataOnly="0" labelOnly="1" outline="1" fieldPosition="0">
        <references count="1">
          <reference field="36"/>
        </references>
      </pivotArea>
    </format>
    <format action="formatting" dxfId="377">
      <pivotArea type="normal" dataOnly="0" labelOnly="1" grandCol="1" outline="0" fieldPosition="0"/>
    </format>
    <format action="formatting" dxfId="376">
      <pivotArea type="all" dataOnly="0" outline="0" fieldPosition="0"/>
    </format>
    <format action="formatting" dxfId="375">
      <pivotArea type="normal" dataOnly="1" outline="0" collapsedLevelsAreSubtotals="1" fieldPosition="0"/>
    </format>
    <format action="formatting" dxfId="374">
      <pivotArea type="origin" dataOnly="0" labelOnly="1" outline="0" fieldPosition="0"/>
    </format>
    <format action="formatting" dxfId="373">
      <pivotArea field="36" type="button" dataOnly="0" labelOnly="1" outline="0" axis="axisCol" fieldPosition="0"/>
    </format>
    <format action="formatting" dxfId="372">
      <pivotArea type="topRight" dataOnly="0" labelOnly="1" outline="0" fieldPosition="0"/>
    </format>
    <format action="formatting" dxfId="371">
      <pivotArea field="39" type="button" dataOnly="0" labelOnly="1" outline="0" axis="axisRow" fieldPosition="0"/>
    </format>
    <format action="formatting" dxfId="370">
      <pivotArea type="normal" dataOnly="0" labelOnly="1" grandRow="1" outline="0" fieldPosition="0"/>
    </format>
    <format action="formatting" dxfId="369">
      <pivotArea type="normal" dataOnly="0" labelOnly="1" outline="1" fieldPosition="0">
        <references count="1">
          <reference field="36"/>
        </references>
      </pivotArea>
    </format>
    <format action="formatting" dxfId="368">
      <pivotArea type="normal" dataOnly="0" labelOnly="1" grandCol="1" outline="0" fieldPosition="0"/>
    </format>
    <format action="formatting" dxfId="367">
      <pivotArea type="all" dataOnly="0" outline="0" fieldPosition="0"/>
    </format>
    <format action="formatting" dxfId="366">
      <pivotArea type="normal" dataOnly="1" outline="0" collapsedLevelsAreSubtotals="1" fieldPosition="0"/>
    </format>
    <format action="formatting" dxfId="365">
      <pivotArea type="origin" dataOnly="0" labelOnly="1" outline="0" fieldPosition="0"/>
    </format>
    <format action="formatting" dxfId="364">
      <pivotArea field="36" type="button" dataOnly="0" labelOnly="1" outline="0" axis="axisCol" fieldPosition="0"/>
    </format>
    <format action="formatting" dxfId="363">
      <pivotArea type="topRight" dataOnly="0" labelOnly="1" outline="0" fieldPosition="0"/>
    </format>
    <format action="formatting" dxfId="362">
      <pivotArea field="39" type="button" dataOnly="0" labelOnly="1" outline="0" axis="axisRow" fieldPosition="0"/>
    </format>
    <format action="formatting" dxfId="361">
      <pivotArea type="normal" dataOnly="0" labelOnly="1" grandRow="1" outline="0" fieldPosition="0"/>
    </format>
    <format action="formatting" dxfId="360">
      <pivotArea type="normal" dataOnly="0" labelOnly="1" outline="1" fieldPosition="0">
        <references count="1">
          <reference field="36"/>
        </references>
      </pivotArea>
    </format>
    <format action="formatting" dxfId="359">
      <pivotArea type="normal" dataOnly="0" labelOnly="1" grandCol="1" outline="0" fieldPosition="0"/>
    </format>
    <format action="formatting" dxfId="358">
      <pivotArea type="all" dataOnly="0" outline="0" fieldPosition="0"/>
    </format>
    <format action="formatting" dxfId="357">
      <pivotArea type="normal" dataOnly="1" outline="0" collapsedLevelsAreSubtotals="1" fieldPosition="0"/>
    </format>
    <format action="formatting" dxfId="356">
      <pivotArea type="origin" dataOnly="0" labelOnly="1" outline="0" fieldPosition="0"/>
    </format>
    <format action="formatting" dxfId="355">
      <pivotArea field="36" type="button" dataOnly="0" labelOnly="1" outline="0" axis="axisCol" fieldPosition="0"/>
    </format>
    <format action="formatting" dxfId="354">
      <pivotArea type="topRight" dataOnly="0" labelOnly="1" outline="0" fieldPosition="0"/>
    </format>
    <format action="formatting" dxfId="353">
      <pivotArea field="39" type="button" dataOnly="0" labelOnly="1" outline="0" axis="axisRow" fieldPosition="0"/>
    </format>
    <format action="formatting" dxfId="352">
      <pivotArea type="normal" dataOnly="0" labelOnly="1" grandRow="1" outline="0" fieldPosition="0"/>
    </format>
    <format action="formatting" dxfId="351">
      <pivotArea type="normal" dataOnly="0" labelOnly="1" outline="1" fieldPosition="0">
        <references count="1">
          <reference field="36"/>
        </references>
      </pivotArea>
    </format>
    <format action="formatting" dxfId="350">
      <pivotArea type="normal" dataOnly="0" labelOnly="1" grandCol="1" outline="0" fieldPosition="0"/>
    </format>
    <format action="formatting" dxfId="349">
      <pivotArea type="all" dataOnly="0" outline="0" fieldPosition="0"/>
    </format>
    <format action="formatting" dxfId="348">
      <pivotArea type="normal" dataOnly="1" outline="0" collapsedLevelsAreSubtotals="1" fieldPosition="0"/>
    </format>
    <format action="formatting" dxfId="347">
      <pivotArea type="origin" dataOnly="0" labelOnly="1" outline="0" fieldPosition="0"/>
    </format>
    <format action="formatting" dxfId="346">
      <pivotArea field="39" type="button" dataOnly="0" labelOnly="1" outline="0" axis="axisRow" fieldPosition="0"/>
    </format>
    <format action="formatting" dxfId="345">
      <pivotArea type="normal" dataOnly="0" labelOnly="1" grandRow="1" outline="0" fieldPosition="0"/>
    </format>
    <format action="formatting" dxfId="344">
      <pivotArea type="normal" dataOnly="0" labelOnly="1" outline="1" fieldPosition="0">
        <references count="1">
          <reference field="36"/>
        </references>
      </pivotArea>
    </format>
    <format action="formatting" dxfId="343">
      <pivotArea type="normal" dataOnly="0" labelOnly="1" grandCol="1" outline="0" fieldPosition="0"/>
    </format>
    <format action="formatting" dxfId="342">
      <pivotArea type="origin" dataOnly="0" labelOnly="1" outline="0" fieldPosition="0"/>
    </format>
    <format action="formatting" dxfId="341">
      <pivotArea field="39" type="button" dataOnly="0" labelOnly="1" outline="0" axis="axisRow" fieldPosition="0"/>
    </format>
    <format action="formatting" dxfId="340">
      <pivotArea type="normal" dataOnly="0" labelOnly="1" grandRow="1" outline="0" fieldPosition="0"/>
    </format>
    <format action="formatting" dxfId="339">
      <pivotArea type="normal" dataOnly="1" outline="0" collapsedLevelsAreSubtotals="1" fieldPosition="0"/>
    </format>
    <format action="formatting" dxfId="338">
      <pivotArea type="normal" dataOnly="0" labelOnly="1" outline="1" fieldPosition="0">
        <references count="1">
          <reference field="36"/>
        </references>
      </pivotArea>
    </format>
    <format action="formatting" dxfId="337">
      <pivotArea type="normal" dataOnly="0" labelOnly="1" grandCol="1" outline="0" fieldPosition="0"/>
    </format>
    <format action="formatting" dxfId="336">
      <pivotArea type="normal" dataOnly="1" outline="0" collapsedLevelsAreSubtotals="1" fieldPosition="0"/>
    </format>
    <format action="formatting" dxfId="335">
      <pivotArea type="normal" dataOnly="0" labelOnly="1" outline="1" fieldPosition="0">
        <references count="1">
          <reference field="36"/>
        </references>
      </pivotArea>
    </format>
    <format action="formatting" dxfId="334">
      <pivotArea type="normal" dataOnly="0" labelOnly="1" grandCol="1" outline="0" fieldPosition="0"/>
    </format>
    <format action="formatting" dxfId="333">
      <pivotArea type="all" dataOnly="0" outline="0" fieldPosition="0"/>
    </format>
    <format action="formatting" dxfId="332">
      <pivotArea type="normal" dataOnly="1" outline="0" collapsedLevelsAreSubtotals="1" fieldPosition="0"/>
    </format>
    <format action="formatting" dxfId="331">
      <pivotArea type="origin" dataOnly="0" labelOnly="1" outline="0" fieldPosition="0"/>
    </format>
    <format action="formatting" dxfId="330">
      <pivotArea field="36" type="button" dataOnly="0" labelOnly="1" outline="0" axis="axisCol" fieldPosition="0"/>
    </format>
    <format action="formatting" dxfId="329">
      <pivotArea type="topRight" dataOnly="0" labelOnly="1" outline="0" fieldPosition="0"/>
    </format>
    <format action="formatting" dxfId="328">
      <pivotArea field="39" type="button" dataOnly="0" labelOnly="1" outline="0" axis="axisRow" fieldPosition="0"/>
    </format>
    <format action="formatting" dxfId="327">
      <pivotArea type="normal" dataOnly="0" labelOnly="1" outline="1" fieldPosition="0">
        <references count="1">
          <reference field="39">
            <x v="1"/>
            <x v="2"/>
            <x v="3"/>
            <x v="4"/>
          </reference>
        </references>
      </pivotArea>
    </format>
    <format action="formatting" dxfId="326">
      <pivotArea type="normal" dataOnly="0" labelOnly="1" grandRow="1" outline="0" fieldPosition="0"/>
    </format>
    <format action="formatting" dxfId="325">
      <pivotArea type="normal" dataOnly="0" labelOnly="1" outline="1" fieldPosition="0">
        <references count="1">
          <reference field="36"/>
        </references>
      </pivotArea>
    </format>
    <format action="formatting" dxfId="324">
      <pivotArea type="normal" dataOnly="0" labelOnly="1" grandCol="1" outline="0" fieldPosition="0"/>
    </format>
    <format action="formatting" dxfId="323">
      <pivotArea type="all" dataOnly="0" outline="0" fieldPosition="0"/>
    </format>
    <format action="formatting" dxfId="322">
      <pivotArea type="normal" dataOnly="1" outline="0" collapsedLevelsAreSubtotals="1" fieldPosition="0"/>
    </format>
    <format action="formatting" dxfId="321">
      <pivotArea field="36" type="button" dataOnly="0" labelOnly="1" outline="0" axis="axisCol" fieldPosition="0"/>
    </format>
    <format action="formatting" dxfId="320">
      <pivotArea type="topRight" dataOnly="0" labelOnly="1" outline="0" fieldPosition="0"/>
    </format>
    <format action="formatting" dxfId="319">
      <pivotArea type="normal" dataOnly="0" labelOnly="1" outline="1" fieldPosition="0">
        <references count="1">
          <reference field="36"/>
        </references>
      </pivotArea>
    </format>
    <format action="formatting" dxfId="318">
      <pivotArea type="normal" dataOnly="0" labelOnly="1" grandCol="1" outline="0" fieldPosition="0"/>
    </format>
    <format action="formatting" dxfId="317">
      <pivotArea type="origin" dataOnly="0" labelOnly="1" outline="0" fieldPosition="0"/>
    </format>
    <format action="formatting" dxfId="316">
      <pivotArea field="39" type="button" dataOnly="0" labelOnly="1" outline="0" axis="axisRow" fieldPosition="0"/>
    </format>
    <format action="formatting" dxfId="315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314">
      <pivotArea type="normal" dataOnly="0" labelOnly="1" grandRow="1" outline="0" fieldPosition="0"/>
    </format>
    <format action="formatting" dxfId="313">
      <pivotArea type="all" dataOnly="0" outline="0" fieldPosition="0"/>
    </format>
    <format action="formatting" dxfId="312">
      <pivotArea type="normal" dataOnly="1" outline="0" collapsedLevelsAreSubtotals="1" fieldPosition="0"/>
    </format>
    <format action="formatting" dxfId="311">
      <pivotArea type="origin" dataOnly="0" labelOnly="1" outline="0" fieldPosition="0"/>
    </format>
    <format action="formatting" dxfId="310">
      <pivotArea field="36" type="button" dataOnly="0" labelOnly="1" outline="0" axis="axisCol" fieldPosition="0"/>
    </format>
    <format action="formatting" dxfId="309">
      <pivotArea type="topRight" dataOnly="0" labelOnly="1" outline="0" fieldPosition="0"/>
    </format>
    <format action="formatting" dxfId="308">
      <pivotArea field="39" type="button" dataOnly="0" labelOnly="1" outline="0" axis="axisRow" fieldPosition="0"/>
    </format>
    <format action="formatting" dxfId="307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306">
      <pivotArea type="normal" dataOnly="0" labelOnly="1" grandRow="1" outline="0" fieldPosition="0"/>
    </format>
    <format action="formatting" dxfId="305">
      <pivotArea type="normal" dataOnly="0" labelOnly="1" outline="1" fieldPosition="0">
        <references count="1">
          <reference field="36"/>
        </references>
      </pivotArea>
    </format>
    <format action="formatting" dxfId="304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303">
      <pivotArea type="origin" dataOnly="0" labelOnly="1" outline="0" fieldPosition="0"/>
    </format>
    <format action="formatting" dxfId="302">
      <pivotArea field="39" type="button" dataOnly="0" labelOnly="1" outline="0" axis="axisRow" fieldPosition="0"/>
    </format>
    <format action="formatting" dxfId="301">
      <pivotArea type="normal" dataOnly="0" labelOnly="1" outline="1" fieldPosition="0">
        <references count="1">
          <reference field="39">
            <x v="1"/>
            <x v="2"/>
            <x v="3"/>
            <x v="4"/>
            <x v="5"/>
          </reference>
        </references>
      </pivotArea>
    </format>
    <format action="formatting" dxfId="300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Tabela dinâmica14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S121:T128" firstHeaderRow="1" firstDataRow="1" firstDataCol="1" rowPageCount="1" colPageCount="1"/>
  <pivotFields count="4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487"/>
        <item t="data" sd="1" m="1" x="6048"/>
        <item t="data" sd="1" m="1" x="6284"/>
        <item t="data" sd="1" m="1" x="7779"/>
        <item t="data" sd="1" m="1" x="7027"/>
        <item t="data" sd="1" m="1" x="6062"/>
        <item t="data" sd="1" m="1" x="7255"/>
        <item t="data" sd="1" m="1" x="2458"/>
        <item t="data" sd="1" m="1" x="6338"/>
        <item t="data" sd="1" m="1" x="6335"/>
        <item t="data" sd="1" m="1" x="6374"/>
        <item t="data" sd="1" m="1" x="4367"/>
        <item t="data" sd="1" m="1" x="6367"/>
        <item t="data" sd="1" m="1" x="7057"/>
        <item t="data" sd="1" m="1" x="7766"/>
        <item t="data" sd="1" m="1" x="7058"/>
        <item t="data" sd="1" m="1" x="7654"/>
        <item t="data" sd="1" m="1" x="6050"/>
        <item t="data" sd="1" m="1" x="4846"/>
        <item t="data" sd="1" m="1" x="7666"/>
        <item t="data" sd="1" m="1" x="5649"/>
        <item t="data" sd="1" m="1" x="7655"/>
        <item t="data" sd="1" m="1" x="6280"/>
        <item t="data" sd="1" m="1" x="6622"/>
        <item t="data" sd="1" m="1" x="5330"/>
        <item t="data" sd="1" m="1" x="5384"/>
        <item t="data" sd="1" m="1" x="7656"/>
        <item t="data" sd="1" m="1" x="5323"/>
        <item t="data" sd="1" m="1" x="5324"/>
        <item t="data" sd="1" m="1" x="6799"/>
        <item t="data" sd="1" m="1" x="7664"/>
        <item t="data" sd="1" m="1" x="6808"/>
        <item t="data" sd="1" m="1" x="6801"/>
        <item t="data" sd="1" m="1" x="7570"/>
        <item t="data" sd="1" m="1" x="6095"/>
        <item t="data" sd="1" m="1" x="7132"/>
        <item t="data" sd="1" m="1" x="5325"/>
        <item t="data" sd="1" m="1" x="7136"/>
        <item t="data" sd="1" m="1" x="7137"/>
        <item t="data" sd="1" m="1" x="7138"/>
        <item t="data" sd="1" m="1" x="7139"/>
        <item t="data" sd="1" m="1" x="6804"/>
        <item t="data" sd="1" m="1" x="7140"/>
        <item t="data" sd="1" m="1" x="7141"/>
        <item t="data" sd="1" m="1" x="5628"/>
        <item t="data" sd="1" m="1" x="6073"/>
        <item t="data" sd="1" m="1" x="7142"/>
        <item t="data" sd="1" m="1" x="6805"/>
        <item t="data" sd="1" m="1" x="6806"/>
        <item t="data" sd="1" m="1" x="7633"/>
        <item t="data" sd="1" m="1" x="5417"/>
        <item t="data" sd="1" m="1" x="6807"/>
        <item t="data" sd="1" m="1" x="6323"/>
        <item t="data" sd="1" m="1" x="5660"/>
        <item t="data" sd="1" m="1" x="5659"/>
        <item t="data" sd="1" m="1" x="6795"/>
        <item t="data" sd="1" m="1" x="6327"/>
        <item t="data" sd="1" m="1" x="7657"/>
        <item t="data" sd="1" m="1" x="7660"/>
        <item t="data" sd="1" m="1" x="6492"/>
        <item t="data" sd="1" m="1" x="7028"/>
        <item t="data" sd="1" m="1" x="5658"/>
        <item t="data" sd="1" m="1" x="7131"/>
        <item t="data" sd="1" m="1" x="7133"/>
        <item t="data" sd="1" m="1" x="7134"/>
        <item t="data" sd="1" m="1" x="7135"/>
        <item t="data" sd="1" m="1" x="6796"/>
        <item t="data" sd="1" m="1" x="6797"/>
        <item t="data" sd="1" m="1" x="7130"/>
        <item t="data" sd="1" m="1" x="6052"/>
        <item t="data" sd="1" m="1" x="7661"/>
        <item t="data" sd="1" m="1" x="7066"/>
        <item t="data" sd="1" m="1" x="7126"/>
        <item t="data" sd="1" m="1" x="7127"/>
        <item t="data" sd="1" m="1" x="7128"/>
        <item t="data" sd="1" m="1" x="7658"/>
        <item t="data" sd="1" m="1" x="5438"/>
        <item t="data" sd="1" m="1" x="6792"/>
        <item t="data" sd="1" m="1" x="6454"/>
        <item t="data" sd="1" m="1" x="7659"/>
        <item t="data" sd="1" m="1" x="7129"/>
        <item t="data" sd="1" m="1" x="6337"/>
        <item t="data" sd="1" m="1" x="6794"/>
        <item t="data" sd="1" m="1" x="2411"/>
        <item t="data" sd="1" m="1" x="6079"/>
        <item t="data" sd="1" m="1" x="7098"/>
        <item t="data" sd="1" m="1" x="7663"/>
        <item t="data" sd="1" m="1" x="6093"/>
        <item t="data" sd="1" m="1" x="6802"/>
        <item t="data" sd="1" m="1" x="6803"/>
        <item t="data" sd="1" m="1" x="6800"/>
        <item t="data" sd="1" m="1" x="6798"/>
        <item t="data" sd="1" m="1" x="6660"/>
        <item t="data" sd="1" m="1" x="6441"/>
        <item t="data" sd="1" m="1" x="6540"/>
        <item t="data" sd="1" m="1" x="6537"/>
        <item t="data" sd="1" m="1" x="6536"/>
        <item t="data" sd="1" m="1" x="5597"/>
        <item t="data" sd="1" m="1" x="5942"/>
        <item t="data" sd="1" m="1" x="7662"/>
        <item t="data" sd="1" m="1" x="6253"/>
        <item t="data" sd="1" m="1" x="6480"/>
        <item t="data" sd="1" m="1" x="7484"/>
        <item t="data" sd="1" m="1" x="7821"/>
        <item t="data" sd="1" m="1" x="7815"/>
        <item t="data" sd="1" m="1" x="7530"/>
        <item t="data" sd="1" m="1" x="5451"/>
        <item t="data" sd="1" m="1" x="6128"/>
        <item t="data" sd="1" m="1" x="7818"/>
        <item t="data" sd="1" m="1" x="7090"/>
        <item t="data" sd="1" m="1" x="5657"/>
        <item t="data" sd="1" m="1" x="6461"/>
        <item t="data" sd="1" m="1" x="6382"/>
        <item t="data" sd="1" m="1" x="5652"/>
        <item t="data" sd="1" m="1" x="6761"/>
        <item t="data" sd="1" m="1" x="7175"/>
        <item t="data" sd="1" m="1" x="7174"/>
        <item t="data" sd="1" m="1" x="7817"/>
        <item t="data" sd="1" m="1" x="6498"/>
        <item t="data" sd="1" m="1" x="7244"/>
        <item t="data" sd="1" m="1" x="6538"/>
        <item t="data" sd="1" m="1" x="6307"/>
        <item t="data" sd="1" m="1" x="7813"/>
        <item t="data" sd="1" m="1" x="6755"/>
        <item t="data" sd="1" m="1" x="6756"/>
        <item t="data" sd="1" m="1" x="7812"/>
        <item t="data" sd="1" m="1" x="7820"/>
        <item t="data" sd="1" m="1" x="7087"/>
        <item t="data" sd="1" m="1" x="4263"/>
        <item t="data" sd="1" m="1" x="7808"/>
        <item t="data" sd="1" m="1" x="7809"/>
        <item t="data" sd="1" m="1" x="7810"/>
        <item t="data" sd="1" m="1" x="7811"/>
        <item t="data" sd="1" m="1" x="5653"/>
        <item t="data" sd="1" m="1" x="7063"/>
        <item t="data" sd="1" m="1" x="6308"/>
        <item t="data" sd="1" m="1" x="6760"/>
        <item t="data" sd="1" m="1" x="7814"/>
        <item t="data" sd="1" m="1" x="6384"/>
        <item t="data" sd="1" m="1" x="7816"/>
        <item t="data" sd="1" m="1" x="7819"/>
        <item t="data" sd="1" m="1" x="7828"/>
        <item t="data" sd="1" m="1" x="7829"/>
        <item t="data" sd="1" m="1" x="7823"/>
        <item t="data" sd="1" m="1" x="7824"/>
        <item t="data" sd="1" m="1" x="7164"/>
        <item t="data" sd="1" m="1" x="7149"/>
        <item t="data" sd="1" m="1" x="2422"/>
        <item t="data" sd="1" m="1" x="7637"/>
        <item t="data" sd="1" m="1" x="6305"/>
        <item t="data" sd="1" m="1" x="5201"/>
        <item t="data" sd="1" m="1" x="6321"/>
        <item t="data" sd="1" m="1" x="6759"/>
        <item t="data" sd="1" m="1" x="7834"/>
        <item t="data" sd="1" m="1" x="7838"/>
        <item t="data" sd="1" m="1" x="6200"/>
        <item t="data" sd="1" m="1" x="6204"/>
        <item t="data" sd="1" m="1" x="6497"/>
        <item t="data" sd="1" m="1" x="6674"/>
        <item t="data" sd="1" m="1" x="6675"/>
        <item t="data" sd="1" m="1" x="6007"/>
        <item t="data" sd="1" m="1" x="5656"/>
        <item t="data" sd="1" m="1" x="6775"/>
        <item t="data" sd="1" m="1" x="6231"/>
        <item t="data" sd="1" m="1" x="6539"/>
        <item t="data" sd="1" m="1" x="6198"/>
        <item t="data" sd="1" m="1" x="5361"/>
        <item t="data" sd="1" m="1" x="6156"/>
        <item t="data" sd="1" m="1" x="6157"/>
        <item t="data" sd="1" m="1" x="7830"/>
        <item t="data" sd="1" m="1" x="7831"/>
        <item t="data" sd="1" m="1" x="7000"/>
        <item t="data" sd="1" m="1" x="6172"/>
        <item t="data" sd="1" m="1" x="7515"/>
        <item t="data" sd="1" m="1" x="7841"/>
        <item t="data" sd="1" m="1" x="5632"/>
        <item t="data" sd="1" m="1" x="7485"/>
        <item t="data" sd="1" m="1" x="7486"/>
        <item t="data" sd="1" m="1" x="6002"/>
        <item t="data" sd="1" m="1" x="7833"/>
        <item t="data" sd="1" m="1" x="6496"/>
        <item t="data" sd="1" m="1" x="6207"/>
        <item t="data" sd="1" m="1" x="7298"/>
        <item t="data" sd="1" m="1" x="5662"/>
        <item t="data" sd="1" m="1" x="6216"/>
        <item t="data" sd="1" m="1" x="7297"/>
        <item t="data" sd="1" m="1" x="5651"/>
        <item t="data" sd="1" m="1" x="6160"/>
        <item t="data" sd="1" m="1" x="6194"/>
        <item t="data" sd="1" m="1" x="6205"/>
        <item t="data" sd="1" m="1" x="6268"/>
        <item t="data" sd="1" m="1" x="6274"/>
        <item t="data" sd="1" m="1" x="7053"/>
        <item t="data" sd="1" m="1" x="6295"/>
        <item t="data" sd="1" m="1" x="6310"/>
        <item t="data" sd="1" m="1" x="5445"/>
        <item t="data" sd="1" m="1" x="6320"/>
        <item t="data" sd="1" m="1" x="6319"/>
        <item t="data" sd="1" m="1" x="6604"/>
        <item t="data" sd="1" m="1" x="7148"/>
        <item t="data" sd="1" m="1" x="5446"/>
        <item t="data" sd="1" m="1" x="5447"/>
        <item t="data" sd="1" m="1" x="5448"/>
        <item t="data" sd="1" m="1" x="7531"/>
        <item t="data" sd="1" m="1" x="7303"/>
        <item t="data" sd="1" m="1" x="7836"/>
        <item t="data" sd="1" m="1" x="7773"/>
        <item t="data" sd="1" m="1" x="6440"/>
        <item t="data" sd="1" m="1" x="6438"/>
        <item t="data" sd="1" m="1" x="6439"/>
        <item t="data" sd="1" m="1" x="6758"/>
        <item t="data" sd="1" m="1" x="6763"/>
        <item t="data" sd="1" m="1" x="5427"/>
        <item t="data" sd="1" m="1" x="7302"/>
        <item t="data" sd="1" m="1" x="3655"/>
        <item t="data" sd="1" m="1" x="7832"/>
        <item t="data" sd="1" m="1" x="5401"/>
        <item t="data" sd="1" m="1" x="5833"/>
        <item t="data" sd="1" m="1" x="5832"/>
        <item t="data" sd="1" m="1" x="7839"/>
        <item t="data" sd="1" m="1" x="5370"/>
        <item t="data" sd="1" m="1" x="5368"/>
        <item t="data" sd="1" m="1" x="5371"/>
        <item t="data" sd="1" m="1" x="7822"/>
        <item t="data" sd="1" m="1" x="7825"/>
        <item t="data" sd="1" m="1" x="6171"/>
        <item t="data" sd="1" m="1" x="7826"/>
        <item t="data" sd="1" m="1" x="7231"/>
        <item t="data" sd="1" m="1" x="6228"/>
        <item t="data" sd="1" m="1" x="6229"/>
        <item t="data" sd="1" m="1" x="6220"/>
        <item t="data" sd="1" m="1" x="6225"/>
        <item t="data" sd="1" m="1" x="6226"/>
        <item t="data" sd="1" m="1" x="6227"/>
        <item t="data" sd="1" m="1" x="6217"/>
        <item t="data" sd="1" m="1" x="6232"/>
        <item t="data" sd="1" m="1" x="6233"/>
        <item t="data" sd="1" m="1" x="6230"/>
        <item t="data" sd="1" m="1" x="7536"/>
        <item t="data" sd="1" m="1" x="6199"/>
        <item t="data" sd="1" m="1" x="6203"/>
        <item t="data" sd="1" m="1" x="6201"/>
        <item t="data" sd="1" m="1" x="6202"/>
        <item t="data" sd="1" m="1" x="6206"/>
        <item t="data" sd="1" m="1" x="6208"/>
        <item t="data" sd="1" m="1" x="6209"/>
        <item t="data" sd="1" m="1" x="7827"/>
        <item t="data" sd="1" m="1" x="6273"/>
        <item t="data" sd="1" m="1" x="7270"/>
        <item t="data" sd="1" m="1" x="7156"/>
        <item t="data" sd="1" m="1" x="6294"/>
        <item t="data" sd="1" m="1" x="7532"/>
        <item t="data" sd="1" m="1" x="7861"/>
        <item t="data" sd="1" m="1" x="7124"/>
        <item t="data" sd="1" m="1" x="7125"/>
        <item t="data" sd="1" m="1" x="6309"/>
        <item t="data" sd="1" m="1" x="7840"/>
        <item t="data" sd="1" m="1" x="7677"/>
        <item t="data" sd="1" m="1" x="7533"/>
        <item t="data" sd="1" m="1" x="7837"/>
        <item t="data" sd="1" m="1" x="7835"/>
        <item t="data" sd="1" m="1" x="7872"/>
        <item t="data" sd="1" m="1" x="5511"/>
        <item t="data" sd="1" m="1" x="6657"/>
        <item t="data" sd="1" m="1" x="6197"/>
        <item t="data" sd="1" m="1" x="5530"/>
        <item t="data" sd="1" m="1" x="7697"/>
        <item t="data" sd="1" m="1" x="7301"/>
        <item t="data" sd="1" m="1" x="7859"/>
        <item t="data" sd="1" m="1" x="7860"/>
        <item t="data" sd="1" m="1" x="7689"/>
        <item t="data" sd="1" m="1" x="6155"/>
        <item t="data" sd="1" m="1" x="7300"/>
        <item t="data" sd="1" m="1" x="7854"/>
        <item t="data" sd="1" m="1" x="7299"/>
        <item t="data" sd="1" m="1" x="7846"/>
        <item t="data" sd="1" m="1" x="7847"/>
        <item t="data" sd="1" m="1" x="7848"/>
        <item t="data" sd="1" m="1" x="7849"/>
        <item t="data" sd="1" m="1" x="7850"/>
        <item t="data" sd="1" m="1" x="7665"/>
        <item t="data" sd="1" m="1" x="7851"/>
        <item t="data" sd="1" m="1" x="7535"/>
        <item t="data" sd="1" m="1" x="7845"/>
        <item t="data" sd="1" m="1" x="6924"/>
        <item t="data" sd="1" m="1" x="6814"/>
        <item t="data" sd="1" m="1" x="7871"/>
        <item t="data" sd="1" m="1" x="6133"/>
        <item t="data" sd="1" m="1" x="5512"/>
        <item t="data" sd="1" m="1" x="5509"/>
        <item t="data" sd="1" m="1" x="7002"/>
        <item t="data" sd="1" m="1" x="6946"/>
        <item t="data" sd="1" m="1" x="6659"/>
        <item t="data" sd="1" m="1" x="7325"/>
        <item t="data" sd="1" m="1" x="7260"/>
        <item t="data" sd="1" m="1" x="7853"/>
        <item t="data" sd="1" m="1" x="7983"/>
        <item t="data" sd="1" m="1" x="7984"/>
        <item t="data" sd="1" m="1" x="7985"/>
        <item t="data" sd="1" m="1" x="7886"/>
        <item t="data" sd="1" m="1" x="7986"/>
        <item t="data" sd="1" m="1" x="7873"/>
        <item t="data" sd="1" m="1" x="5629"/>
        <item t="data" sd="1" m="1" x="7987"/>
        <item t="data" sd="1" m="1" x="7988"/>
        <item t="data" sd="1" m="1" x="7989"/>
        <item t="data" sd="1" m="1" x="7990"/>
        <item t="data" sd="1" m="1" x="7991"/>
        <item t="data" sd="1" m="1" x="7992"/>
        <item t="data" sd="1" m="1" x="7993"/>
        <item t="data" sd="1" m="1" x="7994"/>
        <item t="data" sd="1" m="1" x="7995"/>
        <item t="data" sd="1" m="1" x="7996"/>
        <item t="data" sd="1" m="1" x="7997"/>
        <item t="data" sd="1" m="1" x="7998"/>
        <item t="data" sd="1" m="1" x="7999"/>
        <item t="data" sd="1" m="1" x="6081"/>
        <item t="data" sd="1" m="1" x="7557"/>
        <item t="data" sd="1" m="1" x="7165"/>
        <item t="data" sd="1" m="1" x="5583"/>
        <item t="data" sd="1" m="1" x="6853"/>
        <item t="data" sd="1" m="1" x="7680"/>
        <item t="data" sd="1" m="1" x="7676"/>
        <item t="data" sd="1" m="1" x="5556"/>
        <item t="data" sd="1" m="1" x="7699"/>
        <item t="data" sd="1" m="1" x="7519"/>
        <item t="data" sd="1" m="1" x="7561"/>
        <item t="data" sd="1" m="1" x="7702"/>
        <item t="data" sd="1" m="1" x="6196"/>
        <item t="data" sd="1" m="1" x="7728"/>
        <item t="data" sd="1" m="1" x="7877"/>
        <item t="data" sd="1" m="1" x="6087"/>
        <item t="data" sd="1" m="1" x="7879"/>
        <item t="data" sd="1" m="1" x="7878"/>
        <item t="data" sd="1" m="1" x="7339"/>
        <item t="data" sd="1" m="1" x="7338"/>
        <item t="data" sd="1" m="1" x="7882"/>
        <item t="data" sd="1" m="1" x="7881"/>
        <item t="data" sd="1" m="1" x="7534"/>
        <item t="data" sd="1" m="1" x="7667"/>
        <item t="data" sd="1" m="1" x="6132"/>
        <item t="data" sd="1" m="1" x="7883"/>
        <item t="data" sd="1" m="1" x="7884"/>
        <item t="data" sd="1" m="1" x="6139"/>
        <item t="data" sd="1" m="1" x="6322"/>
        <item t="data" sd="1" m="1" x="7678"/>
        <item t="data" sd="1" m="1" x="6130"/>
        <item t="data" sd="1" m="1" x="6455"/>
        <item t="data" sd="1" m="1" x="6456"/>
        <item t="data" sd="1" m="1" x="7852"/>
        <item t="data" sd="1" m="1" x="6361"/>
        <item t="data" sd="1" m="1" x="5369"/>
        <item t="data" sd="1" m="1" x="6316"/>
        <item t="data" sd="1" m="1" x="7858"/>
        <item t="data" sd="1" m="1" x="7856"/>
        <item t="data" sd="1" m="1" x="7857"/>
        <item t="data" sd="1" m="1" x="6190"/>
        <item t="data" sd="1" m="1" x="7688"/>
        <item t="data" sd="1" m="1" x="7171"/>
        <item t="data" sd="1" m="1" x="6235"/>
        <item t="data" sd="1" m="1" x="6221"/>
        <item t="data" sd="1" m="1" x="7668"/>
        <item t="data" sd="1" m="1" x="7843"/>
        <item t="data" sd="1" m="1" x="7842"/>
        <item t="data" sd="1" m="1" x="7304"/>
        <item t="data" sd="1" m="1" x="5400"/>
        <item t="data" sd="1" m="1" x="7042"/>
        <item t="data" sd="1" m="1" x="7049"/>
        <item t="data" sd="1" m="1" x="7549"/>
        <item t="data" sd="1" m="1" x="7679"/>
        <item t="data" sd="1" m="1" x="6306"/>
        <item t="data" sd="1" m="1" x="6958"/>
        <item t="data" sd="1" m="1" x="6339"/>
        <item t="data" sd="1" m="1" x="6344"/>
        <item t="data" sd="1" m="1" x="5585"/>
        <item t="data" sd="1" m="1" x="7146"/>
        <item t="data" sd="1" m="1" x="5631"/>
        <item t="data" sd="1" m="1" x="7013"/>
        <item t="data" sd="1" m="1" x="7552"/>
        <item t="data" sd="1" m="1" x="7862"/>
        <item t="data" sd="1" m="1" x="7863"/>
        <item t="data" sd="1" m="1" x="7864"/>
        <item t="data" sd="1" m="1" x="5666"/>
        <item t="data" sd="1" m="1" x="7865"/>
        <item t="data" sd="1" m="1" x="5689"/>
        <item t="data" sd="1" m="1" x="3495"/>
        <item t="data" sd="1" m="1" x="7001"/>
        <item t="data" sd="1" m="1" x="7684"/>
        <item t="data" sd="1" m="1" x="5217"/>
        <item t="data" sd="1" m="1" x="7685"/>
        <item t="data" sd="1" m="1" x="6658"/>
        <item t="data" sd="1" m="1" x="7683"/>
        <item t="data" sd="1" m="1" x="7681"/>
        <item t="data" sd="1" m="1" x="7682"/>
        <item t="data" sd="1" m="1" x="7246"/>
        <item t="data" sd="1" m="1" x="7867"/>
        <item t="data" sd="1" m="1" x="7868"/>
        <item t="data" sd="1" m="1" x="2127"/>
        <item t="data" sd="1" m="1" x="7540"/>
        <item t="data" sd="1" m="1" x="7844"/>
        <item t="data" sd="1" m="1" x="7488"/>
        <item t="data" sd="1" m="1" x="7670"/>
        <item t="data" sd="1" m="1" x="5393"/>
        <item t="data" sd="1" m="1" x="7671"/>
        <item t="data" sd="1" m="1" x="7672"/>
        <item t="data" sd="1" m="1" x="7673"/>
        <item t="data" sd="1" m="1" x="6769"/>
        <item t="data" sd="1" m="1" x="7674"/>
        <item t="data" sd="1" m="1" x="6770"/>
        <item t="data" sd="1" m="1" x="7321"/>
        <item t="data" sd="1" m="1" x="6771"/>
        <item t="data" sd="1" m="1" x="7855"/>
        <item t="data" sd="1" m="1" x="6772"/>
        <item t="data" sd="1" m="1" x="5449"/>
        <item t="data" sd="1" m="1" x="5655"/>
        <item t="data" sd="1" m="1" x="7866"/>
        <item t="data" sd="1" m="1" x="7687"/>
        <item t="data" sd="1" m="1" x="7869"/>
        <item t="data" sd="1" m="1" x="7870"/>
        <item t="data" sd="1" m="1" x="7692"/>
        <item t="data" sd="1" m="1" x="7691"/>
        <item t="data" sd="1" m="1" x="7696"/>
        <item t="data" sd="1" m="1" x="6325"/>
        <item t="data" sd="1" m="1" x="6317"/>
        <item t="data" sd="1" m="1" x="6346"/>
        <item t="data" sd="1" m="1" x="6313"/>
        <item t="data" sd="1" m="1" x="6324"/>
        <item t="data" sd="1" m="1" x="5428"/>
        <item t="data" sd="1" m="1" x="7874"/>
        <item t="data" sd="1" m="1" x="7875"/>
        <item t="data" sd="1" m="1" x="7876"/>
        <item t="data" sd="1" m="1" x="7487"/>
        <item t="data" sd="1" m="1" x="7703"/>
        <item t="data" sd="1" m="1" x="7880"/>
        <item t="data" sd="1" m="1" x="5647"/>
        <item t="data" sd="1" m="1" x="7704"/>
        <item t="data" sd="1" m="1" x="7885"/>
        <item t="data" sd="1" m="1" x="7179"/>
        <item t="data" sd="1" m="1" x="7887"/>
        <item t="data" sd="1" m="1" x="7888"/>
        <item t="data" sd="1" m="1" x="7889"/>
        <item t="data" sd="1" m="1" x="7890"/>
        <item t="data" sd="1" m="1" x="7891"/>
        <item t="data" sd="1" m="1" x="7892"/>
        <item t="data" sd="1" m="1" x="7893"/>
        <item t="data" sd="1" m="1" x="5584"/>
        <item t="data" sd="1" m="1" x="7894"/>
        <item t="data" sd="1" m="1" x="7895"/>
        <item t="data" sd="1" m="1" x="7896"/>
        <item t="data" sd="1" m="1" x="7311"/>
        <item t="data" sd="1" m="1" x="7897"/>
        <item t="data" sd="1" m="1" x="7898"/>
        <item t="data" sd="1" m="1" x="7899"/>
        <item t="data" sd="1" m="1" x="7203"/>
        <item t="data" sd="1" m="1" x="7669"/>
        <item t="data" sd="1" m="1" x="7900"/>
        <item t="data" sd="1" m="1" x="7901"/>
        <item t="data" sd="1" m="1" x="7902"/>
        <item t="data" sd="1" m="1" x="7903"/>
        <item t="data" sd="1" m="1" x="6004"/>
        <item t="data" sd="1" m="1" x="7904"/>
        <item t="data" sd="1" m="1" x="7905"/>
        <item t="data" sd="1" m="1" x="7906"/>
        <item t="data" sd="1" m="1" x="7907"/>
        <item t="data" sd="1" m="1" x="7317"/>
        <item t="data" sd="1" m="1" x="7908"/>
        <item t="data" sd="1" m="1" x="7909"/>
        <item t="data" sd="1" m="1" x="6413"/>
        <item t="data" sd="1" m="1" x="7910"/>
        <item t="data" sd="1" m="1" x="7675"/>
        <item t="data" sd="1" m="1" x="7319"/>
        <item t="data" sd="1" m="1" x="7082"/>
        <item t="data" sd="1" m="1" x="7320"/>
        <item t="data" sd="1" m="1" x="7542"/>
        <item t="data" sd="1" m="1" x="7543"/>
        <item t="data" sd="1" m="1" x="7546"/>
        <item t="data" sd="1" m="1" x="7547"/>
        <item t="data" sd="1" m="1" x="7548"/>
        <item t="data" sd="1" m="1" x="7550"/>
        <item t="data" sd="1" m="1" x="7551"/>
        <item t="data" sd="1" m="1" x="7553"/>
        <item t="data" sd="1" m="1" x="7554"/>
        <item t="data" sd="1" m="1" x="7555"/>
        <item t="data" sd="1" m="1" x="7571"/>
        <item t="data" sd="1" m="1" x="7911"/>
        <item t="data" sd="1" m="1" x="7912"/>
        <item t="data" sd="1" m="1" x="7913"/>
        <item t="data" sd="1" m="1" x="7143"/>
        <item t="data" sd="1" m="1" x="7914"/>
        <item t="data" sd="1" m="1" x="7915"/>
        <item t="data" sd="1" m="1" x="7916"/>
        <item t="data" sd="1" m="1" x="7917"/>
        <item t="data" sd="1" m="1" x="6954"/>
        <item t="data" sd="1" m="1" x="7918"/>
        <item t="data" sd="1" m="1" x="7919"/>
        <item t="data" sd="1" m="1" x="7920"/>
        <item t="data" sd="1" m="1" x="5954"/>
        <item t="data" sd="1" m="1" x="7921"/>
        <item t="data" sd="1" m="1" x="5473"/>
        <item t="data" sd="1" m="1" x="7922"/>
        <item t="data" sd="1" m="1" x="7923"/>
        <item t="data" sd="1" m="1" x="7924"/>
        <item t="data" sd="1" m="1" x="7925"/>
        <item t="data" sd="1" m="1" x="7759"/>
        <item t="data" sd="1" m="1" x="7926"/>
        <item t="data" sd="1" m="1" x="7927"/>
        <item t="data" sd="1" m="1" x="7928"/>
        <item t="data" sd="1" m="1" x="7686"/>
        <item t="data" sd="1" m="1" x="7929"/>
        <item t="data" sd="1" m="1" x="5849"/>
        <item t="data" sd="1" m="1" x="6661"/>
        <item t="data" sd="1" m="1" x="7705"/>
        <item t="data" sd="1" m="1" x="7930"/>
        <item t="data" sd="1" m="1" x="7931"/>
        <item t="data" sd="1" m="1" x="7932"/>
        <item t="data" sd="1" m="1" x="7933"/>
        <item t="data" sd="1" m="1" x="7544"/>
        <item t="data" sd="1" m="1" x="7934"/>
        <item t="data" sd="1" m="1" x="7690"/>
        <item t="data" sd="1" m="1" x="7693"/>
        <item t="data" sd="1" m="1" x="7559"/>
        <item t="data" sd="1" m="1" x="7695"/>
        <item t="data" sd="1" m="1" x="6239"/>
        <item t="data" sd="1" m="1" x="6129"/>
        <item t="data" sd="1" m="1" x="7698"/>
        <item t="data" sd="1" m="1" x="7935"/>
        <item t="data" sd="1" m="1" x="4255"/>
        <item t="data" sd="1" m="1" x="6195"/>
        <item t="data" sd="1" m="1" x="6845"/>
        <item t="data" sd="1" m="1" x="7936"/>
        <item t="data" sd="1" m="1" x="7937"/>
        <item t="data" sd="1" m="1" x="7938"/>
        <item t="data" sd="1" m="1" x="7939"/>
        <item t="data" sd="1" m="1" x="7050"/>
        <item t="data" sd="1" m="1" x="7940"/>
        <item t="data" sd="1" m="1" x="7941"/>
        <item t="data" sd="1" m="1" x="7047"/>
        <item t="data" sd="1" m="1" x="7942"/>
        <item t="data" sd="1" m="1" x="7943"/>
        <item t="data" sd="1" m="1" x="7944"/>
        <item t="data" sd="1" m="1" x="5557"/>
        <item t="data" sd="1" m="1" x="7267"/>
        <item t="data" sd="1" m="1" x="6330"/>
        <item t="data" sd="1" m="1" x="7945"/>
        <item t="data" sd="1" m="1" x="7059"/>
        <item t="data" sd="1" m="1" x="7061"/>
        <item t="data" sd="1" m="1" x="7946"/>
        <item t="data" sd="1" m="1" x="7064"/>
        <item t="data" sd="1" m="1" x="7068"/>
        <item t="data" sd="1" m="1" x="7067"/>
        <item t="data" sd="1" m="1" x="7065"/>
        <item t="data" sd="1" m="1" x="7489"/>
        <item t="data" sd="1" m="1" x="7947"/>
        <item t="data" sd="1" m="1" x="7948"/>
        <item t="data" sd="1" m="1" x="7949"/>
        <item t="data" sd="1" m="1" x="7950"/>
        <item t="data" sd="1" m="1" x="7701"/>
        <item t="data" sd="1" m="1" x="7700"/>
        <item t="data" sd="1" m="1" x="7951"/>
        <item t="data" sd="1" m="1" x="7952"/>
        <item t="data" sd="1" m="1" x="7953"/>
        <item t="data" sd="1" m="1" x="7954"/>
        <item t="data" sd="1" m="1" x="7955"/>
        <item t="data" sd="1" m="1" x="7956"/>
        <item t="data" sd="1" m="1" x="7957"/>
        <item t="data" sd="1" m="1" x="7958"/>
        <item t="data" sd="1" m="1" x="6476"/>
        <item t="data" sd="1" m="1" x="7959"/>
        <item t="data" sd="1" m="1" x="7960"/>
        <item t="data" sd="1" m="1" x="7961"/>
        <item t="data" sd="1" m="1" x="7962"/>
        <item t="data" sd="1" m="1" x="7751"/>
        <item t="data" sd="1" m="1" x="7963"/>
        <item t="data" sd="1" m="1" x="7964"/>
        <item t="data" sd="1" m="1" x="7965"/>
        <item t="data" sd="1" m="1" x="7966"/>
        <item t="data" sd="1" m="1" x="6851"/>
        <item t="data" sd="1" m="1" x="7967"/>
        <item t="data" sd="1" m="1" x="7968"/>
        <item t="data" sd="1" m="1" x="7969"/>
        <item t="data" sd="1" m="1" x="7970"/>
        <item t="data" sd="1" m="1" x="6242"/>
        <item t="data" sd="1" m="1" x="6252"/>
        <item t="data" sd="1" m="1" x="7971"/>
        <item t="data" sd="1" m="1" x="7972"/>
        <item t="data" sd="1" m="1" x="7973"/>
        <item t="data" sd="1" m="1" x="7974"/>
        <item t="data" sd="1" m="1" x="7975"/>
        <item t="data" sd="1" m="1" x="7976"/>
        <item t="data" sd="1" m="1" x="7977"/>
        <item t="data" sd="1" m="1" x="7070"/>
        <item t="data" sd="1" m="1" x="7978"/>
        <item t="data" sd="1" m="1" x="7793"/>
        <item t="data" sd="1" m="1" x="7979"/>
        <item t="data" sd="1" m="1" x="7980"/>
        <item t="data" sd="1" m="1" x="7981"/>
        <item t="data" sd="1" m="1" x="7785"/>
        <item t="data" sd="1" m="1" x="7982"/>
        <item t="data" sd="1" m="1" x="7088"/>
        <item t="data" sd="1" m="1" x="7528"/>
        <item t="data" sd="1" m="1" x="5830"/>
        <item t="data" sd="1" m="1" x="7694"/>
        <item t="data" sd="1" m="1" x="7706"/>
        <item t="data" sd="1" m="1" x="7707"/>
        <item t="data" sd="1" m="1" x="4258"/>
        <item t="data" sd="1" m="1" x="7708"/>
        <item t="data" sd="1" m="1" x="7709"/>
        <item t="data" sd="1" m="1" x="7537"/>
        <item t="data" sd="1" m="1" x="7538"/>
        <item t="data" sd="1" m="1" x="7710"/>
        <item t="data" sd="1" m="1" x="7711"/>
        <item t="data" sd="1" m="1" x="7539"/>
        <item t="data" sd="1" m="1" x="7712"/>
        <item t="data" sd="1" m="1" x="5394"/>
        <item t="data" sd="1" m="1" x="6534"/>
        <item t="data" sd="1" m="1" x="7713"/>
        <item t="data" sd="1" m="1" x="7714"/>
        <item t="data" sd="1" m="1" x="6223"/>
        <item t="data" sd="1" m="1" x="7715"/>
        <item t="data" sd="1" m="1" x="7716"/>
        <item t="data" sd="1" m="1" x="7717"/>
        <item t="data" sd="1" m="1" x="7718"/>
        <item t="data" sd="1" m="1" x="7719"/>
        <item t="data" sd="1" m="1" x="7196"/>
        <item t="data" sd="1" m="1" x="7720"/>
        <item t="data" sd="1" m="1" x="7721"/>
        <item t="data" sd="1" m="1" x="7722"/>
        <item t="data" sd="1" m="1" x="7723"/>
        <item t="data" sd="1" m="1" x="7326"/>
        <item t="data" sd="1" m="1" x="7315"/>
        <item t="data" sd="1" m="1" x="7724"/>
        <item t="data" sd="1" m="1" x="7725"/>
        <item t="data" sd="1" m="1" x="7726"/>
        <item t="data" sd="1" m="1" x="7541"/>
        <item t="data" sd="1" m="1" x="6041"/>
        <item t="data" sd="1" m="1" x="7322"/>
        <item t="data" sd="1" m="1" x="7727"/>
        <item t="data" sd="1" m="1" x="7567"/>
        <item t="data" sd="1" m="1" x="7729"/>
        <item t="data" sd="1" m="1" x="7730"/>
        <item t="data" sd="1" m="1" x="7731"/>
        <item t="data" sd="1" m="1" x="7732"/>
        <item t="data" sd="1" m="1" x="7733"/>
        <item t="data" sd="1" m="1" x="7734"/>
        <item t="data" sd="1" m="1" x="7735"/>
        <item t="data" sd="1" m="1" x="7736"/>
        <item t="data" sd="1" m="1" x="7323"/>
        <item t="data" sd="1" m="1" x="7324"/>
        <item t="data" sd="1" m="1" x="5437"/>
        <item t="data" sd="1" m="1" x="7545"/>
        <item t="data" sd="1" m="1" x="7737"/>
        <item t="data" sd="1" m="1" x="7556"/>
        <item t="data" sd="1" m="1" x="5474"/>
        <item t="data" sd="1" m="1" x="7738"/>
        <item t="data" sd="1" m="1" x="7329"/>
        <item t="data" sd="1" m="1" x="7332"/>
        <item t="data" sd="1" m="1" x="7739"/>
        <item t="data" sd="1" m="1" x="7206"/>
        <item t="data" sd="1" m="1" x="7740"/>
        <item t="data" sd="1" m="1" x="7741"/>
        <item t="data" sd="1" m="1" x="6025"/>
        <item t="data" sd="1" m="1" x="7742"/>
        <item t="data" sd="1" m="1" x="7743"/>
        <item t="data" sd="1" m="1" x="7744"/>
        <item t="data" sd="1" m="1" x="7228"/>
        <item t="data" sd="1" m="1" x="7745"/>
        <item t="data" sd="1" m="1" x="7746"/>
        <item t="data" sd="1" m="1" x="7747"/>
        <item t="data" sd="1" m="1" x="6977"/>
        <item t="data" sd="1" m="1" x="6978"/>
        <item t="data" sd="1" m="1" x="7335"/>
        <item t="data" sd="1" m="1" x="7748"/>
        <item t="data" sd="1" m="1" x="6495"/>
        <item t="data" sd="1" m="1" x="7749"/>
        <item t="data" sd="1" m="1" x="7750"/>
        <item t="data" sd="1" m="1" x="6262"/>
        <item t="data" sd="1" m="1" x="7752"/>
        <item t="data" sd="1" m="1" x="7753"/>
        <item t="data" sd="1" m="1" x="7558"/>
        <item t="data" sd="1" m="1" x="7754"/>
        <item t="data" sd="1" m="1" x="7755"/>
        <item t="data" sd="1" m="1" x="6250"/>
        <item t="data" sd="1" m="1" x="6251"/>
        <item t="data" sd="1" m="1" x="7756"/>
        <item t="data" sd="1" m="1" x="7757"/>
        <item t="data" sd="1" m="1" x="7758"/>
        <item t="data" sd="1" m="1" x="7760"/>
        <item t="data" sd="1" m="1" x="7560"/>
        <item t="data" sd="1" m="1" x="7761"/>
        <item t="data" sd="1" m="1" x="7762"/>
        <item t="data" sd="1" m="1" x="7763"/>
        <item t="data" sd="1" m="1" x="7562"/>
        <item t="data" sd="1" m="1" x="7764"/>
        <item t="data" sd="1" m="1" x="7765"/>
        <item t="data" sd="1" m="1" x="7767"/>
        <item t="data" sd="1" m="1" x="7768"/>
        <item t="data" sd="1" m="1" x="7769"/>
        <item t="data" sd="1" m="1" x="7770"/>
        <item t="data" sd="1" m="1" x="7771"/>
        <item t="data" sd="1" m="1" x="7772"/>
        <item t="data" sd="1" m="1" x="7774"/>
        <item t="data" sd="1" m="1" x="7775"/>
        <item t="data" sd="1" m="1" x="7776"/>
        <item t="data" sd="1" m="1" x="5596"/>
        <item t="data" sd="1" m="1" x="6188"/>
        <item t="data" sd="1" m="1" x="7777"/>
        <item t="data" sd="1" m="1" x="6425"/>
        <item t="data" sd="1" m="1" x="7778"/>
        <item t="data" sd="1" m="1" x="7780"/>
        <item t="data" sd="1" m="1" x="7781"/>
        <item t="data" sd="1" m="1" x="7782"/>
        <item t="data" sd="1" m="1" x="7783"/>
        <item t="data" sd="1" m="1" x="7277"/>
        <item t="data" sd="1" m="1" x="7784"/>
        <item t="data" sd="1" m="1" x="7786"/>
        <item t="data" sd="1" m="1" x="7787"/>
        <item t="data" sd="1" m="1" x="7788"/>
        <item t="data" sd="1" m="1" x="7565"/>
        <item t="data" sd="1" m="1" x="7568"/>
        <item t="data" sd="1" m="1" x="7789"/>
        <item t="data" sd="1" m="1" x="7790"/>
        <item t="data" sd="1" m="1" x="7563"/>
        <item t="data" sd="1" m="1" x="7791"/>
        <item t="data" sd="1" m="1" x="7792"/>
        <item t="data" sd="1" m="1" x="7564"/>
        <item t="data" sd="1" m="1" x="7648"/>
        <item t="data" sd="1" m="1" x="7566"/>
        <item t="data" sd="1" m="1" x="7569"/>
        <item t="data" sd="1" m="1" x="7794"/>
        <item t="data" sd="1" m="1" x="7493"/>
        <item t="data" sd="1" m="1" x="7795"/>
        <item t="data" sd="1" m="1" x="7796"/>
        <item t="data" sd="1" m="1" x="7797"/>
        <item t="data" sd="1" m="1" x="7798"/>
        <item t="data" sd="1" m="1" x="7799"/>
        <item t="data" sd="1" m="1" x="7800"/>
        <item t="data" sd="1" m="1" x="7801"/>
        <item t="data" sd="1" m="1" x="7802"/>
        <item t="data" sd="1" m="1" x="6385"/>
        <item t="data" sd="1" m="1" x="7803"/>
        <item t="data" sd="1" m="1" x="7804"/>
        <item t="data" sd="1" m="1" x="7573"/>
        <item t="data" sd="1" m="1" x="7805"/>
        <item t="data" sd="1" m="1" x="7806"/>
        <item t="data" sd="1" m="1" x="7807"/>
        <item t="data" sd="1" m="1" x="7653"/>
        <item t="data" sd="1" m="1" x="7529"/>
        <item t="data" sd="1" m="1" x="7572"/>
        <item t="data" sd="1" m="1" x="7305"/>
        <item t="data" sd="1" m="1" x="7306"/>
        <item t="data" sd="1" m="1" x="7307"/>
        <item t="data" sd="1" m="1" x="7308"/>
        <item t="data" sd="1" m="1" x="7309"/>
        <item t="data" sd="1" m="1" x="7310"/>
        <item t="data" sd="1" m="1" x="7348"/>
        <item t="data" sd="1" m="1" x="7349"/>
        <item t="data" sd="1" m="1" x="7350"/>
        <item t="data" sd="1" m="1" x="7494"/>
        <item t="data" sd="1" m="1" x="7184"/>
        <item t="data" sd="1" m="1" x="7354"/>
        <item t="data" sd="1" m="1" x="7574"/>
        <item t="data" sd="1" m="1" x="7575"/>
        <item t="data" sd="1" m="1" x="7576"/>
        <item t="data" sd="1" m="1" x="7577"/>
        <item t="data" sd="1" m="1" x="7578"/>
        <item t="data" sd="1" m="1" x="7579"/>
        <item t="data" sd="1" m="1" x="7580"/>
        <item t="data" sd="1" m="1" x="7581"/>
        <item t="data" sd="1" m="1" x="7582"/>
        <item t="data" sd="1" m="1" x="7583"/>
        <item t="data" sd="1" m="1" x="7584"/>
        <item t="data" sd="1" m="1" x="7585"/>
        <item t="data" sd="1" m="1" x="7586"/>
        <item t="data" sd="1" m="1" x="7587"/>
        <item t="data" sd="1" m="1" x="7588"/>
        <item t="data" sd="1" m="1" x="7589"/>
        <item t="data" sd="1" m="1" x="7590"/>
        <item t="data" sd="1" m="1" x="7591"/>
        <item t="data" sd="1" m="1" x="7592"/>
        <item t="data" sd="1" m="1" x="7593"/>
        <item t="data" sd="1" m="1" x="7594"/>
        <item t="data" sd="1" m="1" x="7595"/>
        <item t="data" sd="1" m="1" x="5819"/>
        <item t="data" sd="1" m="1" x="7312"/>
        <item t="data" sd="1" m="1" x="7192"/>
        <item t="data" sd="1" m="1" x="7596"/>
        <item t="data" sd="1" m="1" x="7383"/>
        <item t="data" sd="1" m="1" x="7313"/>
        <item t="data" sd="1" m="1" x="5654"/>
        <item t="data" sd="1" m="1" x="5402"/>
        <item t="data" sd="1" m="1" x="7314"/>
        <item t="data" sd="1" m="1" x="7385"/>
        <item t="data" sd="1" m="1" x="7386"/>
        <item t="data" sd="1" m="1" x="7391"/>
        <item t="data" sd="1" m="1" x="7318"/>
        <item t="data" sd="1" m="1" x="7316"/>
        <item t="data" sd="1" m="1" x="6927"/>
        <item t="data" sd="1" m="1" x="7597"/>
        <item t="data" sd="1" m="1" x="7598"/>
        <item t="data" sd="1" m="1" x="7599"/>
        <item t="data" sd="1" m="1" x="7600"/>
        <item t="data" sd="1" m="1" x="7601"/>
        <item t="data" sd="1" m="1" x="7602"/>
        <item t="data" sd="1" m="1" x="7603"/>
        <item t="data" sd="1" m="1" x="7497"/>
        <item t="data" sd="1" m="1" x="7498"/>
        <item t="data" sd="1" m="1" x="7604"/>
        <item t="data" sd="1" m="1" x="7605"/>
        <item t="data" sd="1" m="1" x="7606"/>
        <item t="data" sd="1" m="1" x="6045"/>
        <item t="data" sd="1" m="1" x="7327"/>
        <item t="data" sd="1" m="1" x="7328"/>
        <item t="data" sd="1" m="1" x="6950"/>
        <item t="data" sd="1" m="1" x="7607"/>
        <item t="data" sd="1" m="1" x="7608"/>
        <item t="data" sd="1" m="1" x="7377"/>
        <item t="data" sd="1" m="1" x="7330"/>
        <item t="data" sd="1" m="1" x="7378"/>
        <item t="data" sd="1" m="1" x="6015"/>
        <item t="data" sd="1" m="1" x="7331"/>
        <item t="data" sd="1" m="1" x="7609"/>
        <item t="data" sd="1" m="1" x="7610"/>
        <item t="data" sd="1" m="1" x="7333"/>
        <item t="data" sd="1" m="1" x="7396"/>
        <item t="data" sd="1" m="1" x="7334"/>
        <item t="data" sd="1" m="1" x="7398"/>
        <item t="data" sd="1" m="1" x="7399"/>
        <item t="data" sd="1" m="1" x="7216"/>
        <item t="data" sd="1" m="1" x="7222"/>
        <item t="data" sd="1" m="1" x="7611"/>
        <item t="data" sd="1" m="1" x="7210"/>
        <item t="data" sd="1" m="1" x="7211"/>
        <item t="data" sd="1" m="1" x="7217"/>
        <item t="data" sd="1" m="1" x="7218"/>
        <item t="data" sd="1" m="1" x="7219"/>
        <item t="data" sd="1" m="1" x="7220"/>
        <item t="data" sd="1" m="1" x="7221"/>
        <item t="data" sd="1" m="1" x="7123"/>
        <item t="data" sd="1" m="1" x="7223"/>
        <item t="data" sd="1" m="1" x="7224"/>
        <item t="data" sd="1" m="1" x="7225"/>
        <item t="data" sd="1" m="1" x="7209"/>
        <item t="data" sd="1" m="1" x="7212"/>
        <item t="data" sd="1" m="1" x="7490"/>
        <item t="data" sd="1" m="1" x="7410"/>
        <item t="data" sd="1" m="1" x="5529"/>
        <item t="data" sd="1" m="1" x="7336"/>
        <item t="data" sd="1" m="1" x="7200"/>
        <item t="data" sd="1" m="1" x="7413"/>
        <item t="data" sd="1" m="1" x="7412"/>
        <item t="data" sd="1" m="1" x="7612"/>
        <item t="data" sd="1" m="1" x="7613"/>
        <item t="data" sd="1" m="1" x="7614"/>
        <item t="data" sd="1" m="1" x="7615"/>
        <item t="data" sd="1" m="1" x="7616"/>
        <item t="data" sd="1" m="1" x="7617"/>
        <item t="data" sd="1" m="1" x="7618"/>
        <item t="data" sd="1" m="1" x="6259"/>
        <item t="data" sd="1" m="1" x="7619"/>
        <item t="data" sd="1" m="1" x="7620"/>
        <item t="data" sd="1" m="1" x="7621"/>
        <item t="data" sd="1" m="1" x="6260"/>
        <item t="data" sd="1" m="1" x="7038"/>
        <item t="data" sd="1" m="1" x="7039"/>
        <item t="data" sd="1" m="1" x="7622"/>
        <item t="data" sd="1" m="1" x="7623"/>
        <item t="data" sd="1" m="1" x="7624"/>
        <item t="data" sd="1" m="1" x="7625"/>
        <item t="data" sd="1" m="1" x="7626"/>
        <item t="data" sd="1" m="1" x="7627"/>
        <item t="data" sd="1" m="1" x="7491"/>
        <item t="data" sd="1" m="1" x="7506"/>
        <item t="data" sd="1" m="1" x="7628"/>
        <item t="data" sd="1" m="1" x="7629"/>
        <item t="data" sd="1" m="1" x="7504"/>
        <item t="data" sd="1" m="1" x="6145"/>
        <item t="data" sd="1" m="1" x="7630"/>
        <item t="data" sd="1" m="1" x="7631"/>
        <item t="data" sd="1" m="1" x="7632"/>
        <item t="data" sd="1" m="1" x="7505"/>
        <item t="data" sd="1" m="1" x="7337"/>
        <item t="data" sd="1" m="1" x="7634"/>
        <item t="data" sd="1" m="1" x="7062"/>
        <item t="data" sd="1" m="1" x="7635"/>
        <item t="data" sd="1" m="1" x="7636"/>
        <item t="data" sd="1" m="1" x="7638"/>
        <item t="data" sd="1" m="1" x="7639"/>
        <item t="data" sd="1" m="1" x="7640"/>
        <item t="data" sd="1" m="1" x="7641"/>
        <item t="data" sd="1" m="1" x="7642"/>
        <item t="data" sd="1" m="1" x="7643"/>
        <item t="data" sd="1" m="1" x="7644"/>
        <item t="data" sd="1" m="1" x="7645"/>
        <item t="data" sd="1" m="1" x="7646"/>
        <item t="data" sd="1" m="1" x="7647"/>
        <item t="data" sd="1" m="1" x="7649"/>
        <item t="data" sd="1" m="1" x="7650"/>
        <item t="data" sd="1" m="1" x="7651"/>
        <item t="data" sd="1" m="1" x="7652"/>
        <item t="data" sd="1" m="1" x="7340"/>
        <item t="data" sd="1" m="1" x="5566"/>
        <item t="data" sd="1" m="1" x="7492"/>
        <item t="data" sd="1" m="1" x="7180"/>
        <item t="data" sd="1" m="1" x="7341"/>
        <item t="data" sd="1" m="1" x="7342"/>
        <item t="data" sd="1" m="1" x="7343"/>
        <item t="data" sd="1" m="1" x="7344"/>
        <item t="data" sd="1" m="1" x="7345"/>
        <item t="data" sd="1" m="1" x="7346"/>
        <item t="data" sd="1" m="1" x="7347"/>
        <item t="data" sd="1" m="1" x="7353"/>
        <item t="data" sd="1" m="1" x="7185"/>
        <item t="data" sd="1" m="1" x="7186"/>
        <item t="data" sd="1" m="1" x="7356"/>
        <item t="data" sd="1" m="1" x="6164"/>
        <item t="data" sd="1" m="1" x="6165"/>
        <item t="data" sd="1" m="1" x="6166"/>
        <item t="data" sd="1" m="1" x="6167"/>
        <item t="data" sd="1" m="1" x="6168"/>
        <item t="data" sd="1" m="1" x="6169"/>
        <item t="data" sd="1" m="1" x="6170"/>
        <item t="data" sd="1" m="1" x="7357"/>
        <item t="data" sd="1" m="1" x="7495"/>
        <item t="data" sd="1" m="1" x="5395"/>
        <item t="data" sd="1" m="1" x="6535"/>
        <item t="data" sd="1" m="1" x="7382"/>
        <item t="data" sd="1" m="1" x="6137"/>
        <item t="data" sd="1" m="1" x="7384"/>
        <item t="data" sd="1" m="1" x="7387"/>
        <item t="data" sd="1" m="1" x="7388"/>
        <item t="data" sd="1" m="1" x="7496"/>
        <item t="data" sd="1" m="1" x="7202"/>
        <item t="data" sd="1" m="1" x="7364"/>
        <item t="data" sd="1" m="1" x="7365"/>
        <item t="data" sd="1" m="1" x="5430"/>
        <item t="data" sd="1" m="1" x="7366"/>
        <item t="data" sd="1" m="1" x="7375"/>
        <item t="data" sd="1" m="1" x="7372"/>
        <item t="data" sd="1" m="1" x="7373"/>
        <item t="data" sd="1" m="1" x="7374"/>
        <item t="data" sd="1" m="1" x="6951"/>
        <item t="data" sd="1" m="1" x="7376"/>
        <item t="data" sd="1" m="1" x="7379"/>
        <item t="data" sd="1" m="1" x="7380"/>
        <item t="data" sd="1" m="1" x="7381"/>
        <item t="data" sd="1" m="1" x="7394"/>
        <item t="data" sd="1" m="1" x="7397"/>
        <item t="data" sd="1" m="1" x="7400"/>
        <item t="data" sd="1" m="1" x="7401"/>
        <item t="data" sd="1" m="1" x="7402"/>
        <item t="data" sd="1" m="1" x="7403"/>
        <item t="data" sd="1" m="1" x="7215"/>
        <item t="data" sd="1" m="1" x="7407"/>
        <item t="data" sd="1" m="1" x="6976"/>
        <item t="data" sd="1" m="1" x="7499"/>
        <item t="data" sd="1" m="1" x="7411"/>
        <item t="data" sd="1" m="1" x="6733"/>
        <item t="data" sd="1" m="1" x="7416"/>
        <item t="data" sd="1" m="1" x="7414"/>
        <item t="data" sd="1" m="1" x="7415"/>
        <item t="data" sd="1" m="1" x="7295"/>
        <item t="data" sd="1" m="1" x="7417"/>
        <item t="data" sd="1" m="1" x="7500"/>
        <item t="data" sd="1" m="1" x="6258"/>
        <item t="data" sd="1" m="1" x="7418"/>
        <item t="data" sd="1" m="1" x="7501"/>
        <item t="data" sd="1" m="1" x="7502"/>
        <item t="data" sd="1" m="1" x="7503"/>
        <item t="data" sd="1" m="1" x="7240"/>
        <item t="data" sd="1" m="1" x="6719"/>
        <item t="data" sd="1" m="1" x="7158"/>
        <item t="data" sd="1" m="1" x="7507"/>
        <item t="data" sd="1" m="1" x="6224"/>
        <item t="data" sd="1" m="1" x="7508"/>
        <item t="data" sd="1" m="1" x="7509"/>
        <item t="data" sd="1" m="1" x="7261"/>
        <item t="data" sd="1" m="1" x="7510"/>
        <item t="data" sd="1" m="1" x="7511"/>
        <item t="data" sd="1" m="1" x="7512"/>
        <item t="data" sd="1" m="1" x="7513"/>
        <item t="data" sd="1" m="1" x="7514"/>
        <item t="data" sd="1" m="1" x="6254"/>
        <item t="data" sd="1" m="1" x="6255"/>
        <item t="data" sd="1" m="1" x="6278"/>
        <item t="data" sd="1" m="1" x="7516"/>
        <item t="data" sd="1" m="1" x="7517"/>
        <item t="data" sd="1" m="1" x="7518"/>
        <item t="data" sd="1" m="1" x="7445"/>
        <item t="data" sd="1" m="1" x="7520"/>
        <item t="data" sd="1" m="1" x="7521"/>
        <item t="data" sd="1" m="1" x="7522"/>
        <item t="data" sd="1" m="1" x="7523"/>
        <item t="data" sd="1" m="1" x="7524"/>
        <item t="data" sd="1" m="1" x="7525"/>
        <item t="data" sd="1" m="1" x="7294"/>
        <item t="data" sd="1" m="1" x="7526"/>
        <item t="data" sd="1" m="1" x="7527"/>
        <item t="data" sd="1" m="1" x="4578"/>
        <item t="data" sd="1" m="1" x="7351"/>
        <item t="data" sd="1" m="1" x="7352"/>
        <item t="data" sd="1" m="1" x="7355"/>
        <item t="data" sd="1" m="1" x="7051"/>
        <item t="data" sd="1" m="1" x="7358"/>
        <item t="data" sd="1" m="1" x="4573"/>
        <item t="data" sd="1" m="1" x="7100"/>
        <item t="data" sd="1" m="1" x="7101"/>
        <item t="data" sd="1" m="1" x="6046"/>
        <item t="data" sd="1" m="1" x="7359"/>
        <item t="data" sd="1" m="1" x="7360"/>
        <item t="data" sd="1" m="1" x="7361"/>
        <item t="data" sd="1" m="1" x="7362"/>
        <item t="data" sd="1" m="1" x="7363"/>
        <item t="data" sd="1" m="1" x="7367"/>
        <item t="data" sd="1" m="1" x="7368"/>
        <item t="data" sd="1" m="1" x="7369"/>
        <item t="data" sd="1" m="1" x="6472"/>
        <item t="data" sd="1" m="1" x="7370"/>
        <item t="data" sd="1" m="1" x="6952"/>
        <item t="data" sd="1" m="1" x="7371"/>
        <item t="data" sd="1" m="1" x="4709"/>
        <item t="data" sd="1" m="1" x="7103"/>
        <item t="data" sd="1" m="1" x="7389"/>
        <item t="data" sd="1" m="1" x="7390"/>
        <item t="data" sd="1" m="1" x="7392"/>
        <item t="data" sd="1" m="1" x="7393"/>
        <item t="data" sd="1" m="1" x="7395"/>
        <item t="data" sd="1" m="1" x="6410"/>
        <item t="data" sd="1" m="1" x="7404"/>
        <item t="data" sd="1" m="1" x="7405"/>
        <item t="data" sd="1" m="1" x="7406"/>
        <item t="data" sd="1" m="1" x="6932"/>
        <item t="data" sd="1" m="1" x="6975"/>
        <item t="data" sd="1" m="1" x="6974"/>
        <item t="data" sd="1" m="1" x="7408"/>
        <item t="data" sd="1" m="1" x="5691"/>
        <item t="data" sd="1" m="1" x="7409"/>
        <item t="data" sd="1" m="1" x="7014"/>
        <item t="data" sd="1" m="1" x="7234"/>
        <item t="data" sd="1" m="1" x="7419"/>
        <item t="data" sd="1" m="1" x="7420"/>
        <item t="data" sd="1" m="1" x="7421"/>
        <item t="data" sd="1" m="1" x="7422"/>
        <item t="data" sd="1" m="1" x="7423"/>
        <item t="data" sd="1" m="1" x="7424"/>
        <item t="data" sd="1" m="1" x="7425"/>
        <item t="data" sd="1" m="1" x="7250"/>
        <item t="data" sd="1" m="1" x="7426"/>
        <item t="data" sd="1" m="1" x="7427"/>
        <item t="data" sd="1" m="1" x="7428"/>
        <item t="data" sd="1" m="1" x="7429"/>
        <item t="data" sd="1" m="1" x="7430"/>
        <item t="data" sd="1" m="1" x="6412"/>
        <item t="data" sd="1" m="1" x="7431"/>
        <item t="data" sd="1" m="1" x="7432"/>
        <item t="data" sd="1" m="1" x="7433"/>
        <item t="data" sd="1" m="1" x="7434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444"/>
        <item t="data" sd="1" m="1" x="7296"/>
        <item t="data" sd="1" m="1" x="7446"/>
        <item t="data" sd="1" m="1" x="7447"/>
        <item t="data" sd="1" m="1" x="7448"/>
        <item t="data" sd="1" m="1" x="7449"/>
        <item t="data" sd="1" m="1" x="7450"/>
        <item t="data" sd="1" m="1" x="5966"/>
        <item t="data" sd="1" m="1" x="7451"/>
        <item t="data" sd="1" m="1" x="7452"/>
        <item t="data" sd="1" m="1" x="7453"/>
        <item t="data" sd="1" m="1" x="7454"/>
        <item t="data" sd="1" m="1" x="7111"/>
        <item t="data" sd="1" m="1" x="7455"/>
        <item t="data" sd="1" m="1" x="7456"/>
        <item t="data" sd="1" m="1" x="6296"/>
        <item t="data" sd="1" m="1" x="6334"/>
        <item t="data" sd="1" m="1" x="6959"/>
        <item t="data" sd="1" m="1" x="7457"/>
        <item t="data" sd="1" m="1" x="7458"/>
        <item t="data" sd="1" m="1" x="7459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466"/>
        <item t="data" sd="1" m="1" x="7467"/>
        <item t="data" sd="1" m="1" x="7468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475"/>
        <item t="data" sd="1" m="1" x="7476"/>
        <item t="data" sd="1" m="1" x="7477"/>
        <item t="data" sd="1" m="1" x="7264"/>
        <item t="data" sd="1" m="1" x="7478"/>
        <item t="data" sd="1" m="1" x="7479"/>
        <item t="data" sd="1" m="1" x="5859"/>
        <item t="data" sd="1" m="1" x="6314"/>
        <item t="data" sd="1" m="1" x="6332"/>
        <item t="data" sd="1" m="1" x="6356"/>
        <item t="data" sd="1" m="1" x="6389"/>
        <item t="data" sd="1" m="1" x="6257"/>
        <item t="data" sd="1" m="1" x="5301"/>
        <item t="data" sd="1" m="1" x="7480"/>
        <item t="data" sd="1" m="1" x="7481"/>
        <item t="data" sd="1" m="1" x="7482"/>
        <item t="data" sd="1" m="1" x="7483"/>
        <item t="data" sd="1" m="1" x="6047"/>
        <item t="data" sd="1" m="1" x="7092"/>
        <item t="data" sd="1" m="1" x="6882"/>
        <item t="data" sd="1" m="1" x="7181"/>
        <item t="data" sd="1" m="1" x="6948"/>
        <item t="data" sd="1" m="1" x="7182"/>
        <item t="data" sd="1" m="1" x="7183"/>
        <item t="data" sd="1" m="1" x="4576"/>
        <item t="data" sd="1" m="1" x="6886"/>
        <item t="data" sd="1" m="1" x="5343"/>
        <item t="data" sd="1" m="1" x="7093"/>
        <item t="data" sd="1" m="1" x="7094"/>
        <item t="data" sd="1" m="1" x="6892"/>
        <item t="data" sd="1" m="1" x="6896"/>
        <item t="data" sd="1" m="1" x="7187"/>
        <item t="data" sd="1" m="1" x="5962"/>
        <item t="data" sd="1" m="1" x="7188"/>
        <item t="data" sd="1" m="1" x="7189"/>
        <item t="data" sd="1" m="1" x="6905"/>
        <item t="data" sd="1" m="1" x="7190"/>
        <item t="data" sd="1" m="1" x="5827"/>
        <item t="data" sd="1" m="1" x="5196"/>
        <item t="data" sd="1" m="1" x="7191"/>
        <item t="data" sd="1" m="1" x="7102"/>
        <item t="data" sd="1" m="1" x="7099"/>
        <item t="data" sd="1" m="1" x="6724"/>
        <item t="data" sd="1" m="1" x="6916"/>
        <item t="data" sd="1" m="1" x="6917"/>
        <item t="data" sd="1" m="1" x="6551"/>
        <item t="data" sd="1" m="1" x="7193"/>
        <item t="data" sd="1" m="1" x="4580"/>
        <item t="data" sd="1" m="1" x="7091"/>
        <item t="data" sd="1" m="1" x="5061"/>
        <item t="data" sd="1" m="1" x="7194"/>
        <item t="data" sd="1" m="1" x="7195"/>
        <item t="data" sd="1" m="1" x="7197"/>
        <item t="data" sd="1" m="1" x="7104"/>
        <item t="data" sd="1" m="1" x="7105"/>
        <item t="data" sd="1" m="1" x="7106"/>
        <item t="data" sd="1" m="1" x="7107"/>
        <item t="data" sd="1" m="1" x="6925"/>
        <item t="data" sd="1" m="1" x="6603"/>
        <item t="data" sd="1" m="1" x="6929"/>
        <item t="data" sd="1" m="1" x="6926"/>
        <item t="data" sd="1" m="1" x="7198"/>
        <item t="data" sd="1" m="1" x="7199"/>
        <item t="data" sd="1" m="1" x="6777"/>
        <item t="data" sd="1" m="1" x="7201"/>
        <item t="data" sd="1" m="1" x="6312"/>
        <item t="data" sd="1" m="1" x="6732"/>
        <item t="data" sd="1" m="1" x="7113"/>
        <item t="data" sd="1" m="1" x="6731"/>
        <item t="data" sd="1" m="1" x="6935"/>
        <item t="data" sd="1" m="1" x="7115"/>
        <item t="data" sd="1" m="1" x="6944"/>
        <item t="data" sd="1" m="1" x="6464"/>
        <item t="data" sd="1" m="1" x="6465"/>
        <item t="data" sd="1" m="1" x="6945"/>
        <item t="data" sd="1" m="1" x="6210"/>
        <item t="data" sd="1" m="1" x="5237"/>
        <item t="data" sd="1" m="1" x="4581"/>
        <item t="data" sd="1" m="1" x="6094"/>
        <item t="data" sd="1" m="1" x="7204"/>
        <item t="data" sd="1" m="1" x="6783"/>
        <item t="data" sd="1" m="1" x="6553"/>
        <item t="data" sd="1" m="1" x="7144"/>
        <item t="data" sd="1" m="1" x="6960"/>
        <item t="data" sd="1" m="1" x="6942"/>
        <item t="data" sd="1" m="1" x="4582"/>
        <item t="data" sd="1" m="1" x="6809"/>
        <item t="data" sd="1" m="1" x="5467"/>
        <item t="data" sd="1" m="1" x="6965"/>
        <item t="data" sd="1" m="1" x="6963"/>
        <item t="data" sd="1" m="1" x="6964"/>
        <item t="data" sd="1" m="1" x="6967"/>
        <item t="data" sd="1" m="1" x="7205"/>
        <item t="data" sd="1" m="1" x="6024"/>
        <item t="data" sd="1" m="1" x="6635"/>
        <item t="data" sd="1" m="1" x="7207"/>
        <item t="data" sd="1" m="1" x="7208"/>
        <item t="data" sd="1" m="1" x="7213"/>
        <item t="data" sd="1" m="1" x="7214"/>
        <item t="data" sd="1" m="1" x="7226"/>
        <item t="data" sd="1" m="1" x="7227"/>
        <item t="data" sd="1" m="1" x="6150"/>
        <item t="data" sd="1" m="1" x="6654"/>
        <item t="data" sd="1" m="1" x="6979"/>
        <item t="data" sd="1" m="1" x="6980"/>
        <item t="data" sd="1" m="1" x="6983"/>
        <item t="data" sd="1" m="1" x="6984"/>
        <item t="data" sd="1" m="1" x="5060"/>
        <item t="data" sd="1" m="1" x="6998"/>
        <item t="data" sd="1" m="1" x="6996"/>
        <item t="data" sd="1" m="1" x="7229"/>
        <item t="data" sd="1" m="1" x="6997"/>
        <item t="data" sd="1" m="1" x="6994"/>
        <item t="data" sd="1" m="1" x="7230"/>
        <item t="data" sd="1" m="1" x="6422"/>
        <item t="data" sd="1" m="1" x="6423"/>
        <item t="data" sd="1" m="1" x="6414"/>
        <item t="data" sd="1" m="1" x="6415"/>
        <item t="data" sd="1" m="1" x="6416"/>
        <item t="data" sd="1" m="1" x="7232"/>
        <item t="data" sd="1" m="1" x="7233"/>
        <item t="data" sd="1" m="1" x="7017"/>
        <item t="data" sd="1" m="1" x="6568"/>
        <item t="data" sd="1" m="1" x="7235"/>
        <item t="data" sd="1" m="1" x="7236"/>
        <item t="data" sd="1" m="1" x="7237"/>
        <item t="data" sd="1" m="1" x="7238"/>
        <item t="data" sd="1" m="1" x="7239"/>
        <item t="data" sd="1" m="1" x="7241"/>
        <item t="data" sd="1" m="1" x="7242"/>
        <item t="data" sd="1" m="1" x="7243"/>
        <item t="data" sd="1" m="1" x="6369"/>
        <item t="data" sd="1" m="1" x="7245"/>
        <item t="data" sd="1" m="1" x="7154"/>
        <item t="data" sd="1" m="1" x="6219"/>
        <item t="data" sd="1" m="1" x="6420"/>
        <item t="data" sd="1" m="1" x="6421"/>
        <item t="data" sd="1" m="1" x="6424"/>
        <item t="data" sd="1" m="1" x="7247"/>
        <item t="data" sd="1" m="1" x="7248"/>
        <item t="data" sd="1" m="1" x="6426"/>
        <item t="data" sd="1" m="1" x="7249"/>
        <item t="data" sd="1" m="1" x="7251"/>
        <item t="data" sd="1" m="1" x="6084"/>
        <item t="data" sd="1" m="1" x="7252"/>
        <item t="data" sd="1" m="1" x="7253"/>
        <item t="data" sd="1" m="1" x="7254"/>
        <item t="data" sd="1" m="1" x="7256"/>
        <item t="data" sd="1" m="1" x="7257"/>
        <item t="data" sd="1" m="1" x="6727"/>
        <item t="data" sd="1" m="1" x="7258"/>
        <item t="data" sd="1" m="1" x="7259"/>
        <item t="data" sd="1" m="1" x="7262"/>
        <item t="data" sd="1" m="1" x="6244"/>
        <item t="data" sd="1" m="1" x="7263"/>
        <item t="data" sd="1" m="1" x="7265"/>
        <item t="data" sd="1" m="1" x="6347"/>
        <item t="data" sd="1" m="1" x="7266"/>
        <item t="data" sd="1" m="1" x="6353"/>
        <item t="data" sd="1" m="1" x="6333"/>
        <item t="data" sd="1" m="1" x="7268"/>
        <item t="data" sd="1" m="1" x="6331"/>
        <item t="data" sd="1" m="1" x="6734"/>
        <item t="data" sd="1" m="1" x="7052"/>
        <item t="data" sd="1" m="1" x="7269"/>
        <item t="data" sd="1" m="1" x="6606"/>
        <item t="data" sd="1" m="1" x="7271"/>
        <item t="data" sd="1" m="1" x="6357"/>
        <item t="data" sd="1" m="1" x="7272"/>
        <item t="data" sd="1" m="1" x="7273"/>
        <item t="data" sd="1" m="1" x="7274"/>
        <item t="data" sd="1" m="1" x="6398"/>
        <item t="data" sd="1" m="1" x="5287"/>
        <item t="data" sd="1" m="1" x="6341"/>
        <item t="data" sd="1" m="1" x="6340"/>
        <item t="data" sd="1" m="1" x="7275"/>
        <item t="data" sd="1" m="1" x="7276"/>
        <item t="data" sd="1" m="1" x="6136"/>
        <item t="data" sd="1" m="1" x="7170"/>
        <item t="data" sd="1" m="1" x="7278"/>
        <item t="data" sd="1" m="1" x="6722"/>
        <item t="data" sd="1" m="1" x="7279"/>
        <item t="data" sd="1" m="1" x="6275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6256"/>
        <item t="data" sd="1" m="1" x="7288"/>
        <item t="data" sd="1" m="1" x="7289"/>
        <item t="data" sd="1" m="1" x="7290"/>
        <item t="data" sd="1" m="1" x="7291"/>
        <item t="data" sd="1" m="1" x="7292"/>
        <item t="data" sd="1" m="1" x="6249"/>
        <item t="data" sd="1" m="1" x="7293"/>
        <item t="data" sd="1" m="1" x="4583"/>
        <item t="data" sd="1" m="1" x="6218"/>
        <item t="data" sd="1" m="1" x="6875"/>
        <item t="data" sd="1" m="1" x="6721"/>
        <item t="data" sd="1" m="1" x="6720"/>
        <item t="data" sd="1" m="1" x="4577"/>
        <item t="data" sd="1" m="1" x="5669"/>
        <item t="data" sd="1" m="1" x="6885"/>
        <item t="data" sd="1" m="1" x="6749"/>
        <item t="data" sd="1" m="1" x="6887"/>
        <item t="data" sd="1" m="1" x="6888"/>
        <item t="data" sd="1" m="1" x="4579"/>
        <item t="data" sd="1" m="1" x="7095"/>
        <item t="data" sd="1" m="1" x="6895"/>
        <item t="data" sd="1" m="1" x="6894"/>
        <item t="data" sd="1" m="1" x="7096"/>
        <item t="data" sd="1" m="1" x="5367"/>
        <item t="data" sd="1" m="1" x="6904"/>
        <item t="data" sd="1" m="1" x="6901"/>
        <item t="data" sd="1" m="1" x="6906"/>
        <item t="data" sd="1" m="1" x="7097"/>
        <item t="data" sd="1" m="1" x="6909"/>
        <item t="data" sd="1" m="1" x="6911"/>
        <item t="data" sd="1" m="1" x="6830"/>
        <item t="data" sd="1" m="1" x="6138"/>
        <item t="data" sd="1" m="1" x="6915"/>
        <item t="data" sd="1" m="1" x="6918"/>
        <item t="data" sd="1" m="1" x="5935"/>
        <item t="data" sd="1" m="1" x="5916"/>
        <item t="data" sd="1" m="1" x="5063"/>
        <item t="data" sd="1" m="1" x="5414"/>
        <item t="data" sd="1" m="1" x="6921"/>
        <item t="data" sd="1" m="1" x="6922"/>
        <item t="data" sd="1" m="1" x="6919"/>
        <item t="data" sd="1" m="1" x="6920"/>
        <item t="data" sd="1" m="1" x="6158"/>
        <item t="data" sd="1" m="1" x="6923"/>
        <item t="data" sd="1" m="1" x="6768"/>
        <item t="data" sd="1" m="1" x="6928"/>
        <item t="data" sd="1" m="1" x="6767"/>
        <item t="data" sd="1" m="1" x="7108"/>
        <item t="data" sd="1" m="1" x="7109"/>
        <item t="data" sd="1" m="1" x="6930"/>
        <item t="data" sd="1" m="1" x="6933"/>
        <item t="data" sd="1" m="1" x="7110"/>
        <item t="data" sd="1" m="1" x="7112"/>
        <item t="data" sd="1" m="1" x="6936"/>
        <item t="data" sd="1" m="1" x="7114"/>
        <item t="data" sd="1" m="1" x="7116"/>
        <item t="data" sd="1" m="1" x="6786"/>
        <item t="data" sd="1" m="1" x="6787"/>
        <item t="data" sd="1" m="1" x="6788"/>
        <item t="data" sd="1" m="1" x="6789"/>
        <item t="data" sd="1" m="1" x="5948"/>
        <item t="data" sd="1" m="1" x="7117"/>
        <item t="data" sd="1" m="1" x="7118"/>
        <item t="data" sd="1" m="1" x="7119"/>
        <item t="data" sd="1" m="1" x="7120"/>
        <item t="data" sd="1" m="1" x="5945"/>
        <item t="data" sd="1" m="1" x="5946"/>
        <item t="data" sd="1" m="1" x="6941"/>
        <item t="data" sd="1" m="1" x="6943"/>
        <item t="data" sd="1" m="1" x="7121"/>
        <item t="data" sd="1" m="1" x="4602"/>
        <item t="data" sd="1" m="1" x="7122"/>
        <item t="data" sd="1" m="1" x="6947"/>
        <item t="data" sd="1" m="1" x="4843"/>
        <item t="data" sd="1" m="1" x="7145"/>
        <item t="data" sd="1" m="1" x="5688"/>
        <item t="data" sd="1" m="1" x="6953"/>
        <item t="data" sd="1" m="1" x="6955"/>
        <item t="data" sd="1" m="1" x="4511"/>
        <item t="data" sd="1" m="1" x="6957"/>
        <item t="data" sd="1" m="1" x="5062"/>
        <item t="data" sd="1" m="1" x="6811"/>
        <item t="data" sd="1" m="1" x="7147"/>
        <item t="data" sd="1" m="1" x="6962"/>
        <item t="data" sd="1" m="1" x="6969"/>
        <item t="data" sd="1" m="1" x="6970"/>
        <item t="data" sd="1" m="1" x="6985"/>
        <item t="data" sd="1" m="1" x="6662"/>
        <item t="data" sd="1" m="1" x="6986"/>
        <item t="data" sd="1" m="1" x="6991"/>
        <item t="data" sd="1" m="1" x="6982"/>
        <item t="data" sd="1" m="1" x="5215"/>
        <item t="data" sd="1" m="1" x="6652"/>
        <item t="data" sd="1" m="1" x="6655"/>
        <item t="data" sd="1" m="1" x="6656"/>
        <item t="data" sd="1" m="1" x="7005"/>
        <item t="data" sd="1" m="1" x="7006"/>
        <item t="data" sd="1" m="1" x="6995"/>
        <item t="data" sd="1" m="1" x="6993"/>
        <item t="data" sd="1" m="1" x="4594"/>
        <item t="data" sd="1" m="1" x="7008"/>
        <item t="data" sd="1" m="1" x="7009"/>
        <item t="data" sd="1" m="1" x="7010"/>
        <item t="data" sd="1" m="1" x="7011"/>
        <item t="data" sd="1" m="1" x="7012"/>
        <item t="data" sd="1" m="1" x="5544"/>
        <item t="data" sd="1" m="1" x="7015"/>
        <item t="data" sd="1" m="1" x="7023"/>
        <item t="data" sd="1" m="1" x="7026"/>
        <item t="data" sd="1" m="1" x="7150"/>
        <item t="data" sd="1" m="1" x="7019"/>
        <item t="data" sd="1" m="1" x="7151"/>
        <item t="data" sd="1" m="1" x="7152"/>
        <item t="data" sd="1" m="1" x="7153"/>
        <item t="data" sd="1" m="1" x="7155"/>
        <item t="data" sd="1" m="1" x="7044"/>
        <item t="data" sd="1" m="1" x="7157"/>
        <item t="data" sd="1" m="1" x="6189"/>
        <item t="data" sd="1" m="1" x="7159"/>
        <item t="data" sd="1" m="1" x="7160"/>
        <item t="data" sd="1" m="1" x="7161"/>
        <item t="data" sd="1" m="1" x="7030"/>
        <item t="data" sd="1" m="1" x="7162"/>
        <item t="data" sd="1" m="1" x="7031"/>
        <item t="data" sd="1" m="1" x="7032"/>
        <item t="data" sd="1" m="1" x="7163"/>
        <item t="data" sd="1" m="1" x="6237"/>
        <item t="data" sd="1" m="1" x="7166"/>
        <item t="data" sd="1" m="1" x="7167"/>
        <item t="data" sd="1" m="1" x="6236"/>
        <item t="data" sd="1" m="1" x="7168"/>
        <item t="data" sd="1" m="1" x="7169"/>
        <item t="data" sd="1" m="1" x="6212"/>
        <item t="data" sd="1" m="1" x="6215"/>
        <item t="data" sd="1" m="1" x="6211"/>
        <item t="data" sd="1" m="1" x="6213"/>
        <item t="data" sd="1" m="1" x="6214"/>
        <item t="data" sd="1" m="1" x="7069"/>
        <item t="data" sd="1" m="1" x="6857"/>
        <item t="data" sd="1" m="1" x="7078"/>
        <item t="data" sd="1" m="1" x="7172"/>
        <item t="data" sd="1" m="1" x="7079"/>
        <item t="data" sd="1" m="1" x="7076"/>
        <item t="data" sd="1" m="1" x="6872"/>
        <item t="data" sd="1" m="1" x="6863"/>
        <item t="data" sd="1" m="1" x="7073"/>
        <item t="data" sd="1" m="1" x="7080"/>
        <item t="data" sd="1" m="1" x="7173"/>
        <item t="data" sd="1" m="1" x="7176"/>
        <item t="data" sd="1" m="1" x="7085"/>
        <item t="data" sd="1" m="1" x="7177"/>
        <item t="data" sd="1" m="1" x="7089"/>
        <item t="data" sd="1" m="1" x="7178"/>
        <item t="data" sd="1" m="1" x="6883"/>
        <item t="data" sd="1" m="1" x="6884"/>
        <item t="data" sd="1" m="1" x="5973"/>
        <item t="data" sd="1" m="1" x="5972"/>
        <item t="data" sd="1" m="1" x="6889"/>
        <item t="data" sd="1" m="1" x="6890"/>
        <item t="data" sd="1" m="1" x="6891"/>
        <item t="data" sd="1" m="1" x="6893"/>
        <item t="data" sd="1" m="1" x="4913"/>
        <item t="data" sd="1" m="1" x="6897"/>
        <item t="data" sd="1" m="1" x="6898"/>
        <item t="data" sd="1" m="1" x="6899"/>
        <item t="data" sd="1" m="1" x="6900"/>
        <item t="data" sd="1" m="1" x="5364"/>
        <item t="data" sd="1" m="1" x="6902"/>
        <item t="data" sd="1" m="1" x="6903"/>
        <item t="data" sd="1" m="1" x="6907"/>
        <item t="data" sd="1" m="1" x="6908"/>
        <item t="data" sd="1" m="1" x="6910"/>
        <item t="data" sd="1" m="1" x="4586"/>
        <item t="data" sd="1" m="1" x="4587"/>
        <item t="data" sd="1" m="1" x="6912"/>
        <item t="data" sd="1" m="1" x="6913"/>
        <item t="data" sd="1" m="1" x="6914"/>
        <item t="data" sd="1" m="1" x="6765"/>
        <item t="data" sd="1" m="1" x="6931"/>
        <item t="data" sd="1" m="1" x="6934"/>
        <item t="data" sd="1" m="1" x="6937"/>
        <item t="data" sd="1" m="1" x="6938"/>
        <item t="data" sd="1" m="1" x="6939"/>
        <item t="data" sd="1" m="1" x="6940"/>
        <item t="data" sd="1" m="1" x="6791"/>
        <item t="data" sd="1" m="1" x="6949"/>
        <item t="data" sd="1" m="1" x="6956"/>
        <item t="data" sd="1" m="1" x="6961"/>
        <item t="data" sd="1" m="1" x="6966"/>
        <item t="data" sd="1" m="1" x="5482"/>
        <item t="data" sd="1" m="1" x="6968"/>
        <item t="data" sd="1" m="1" x="6812"/>
        <item t="data" sd="1" m="1" x="6813"/>
        <item t="data" sd="1" m="1" x="6810"/>
        <item t="data" sd="1" m="1" x="6776"/>
        <item t="data" sd="1" m="1" x="6971"/>
        <item t="data" sd="1" m="1" x="6972"/>
        <item t="data" sd="1" m="1" x="6973"/>
        <item t="data" sd="1" m="1" x="6981"/>
        <item t="data" sd="1" m="1" x="6817"/>
        <item t="data" sd="1" m="1" x="6987"/>
        <item t="data" sd="1" m="1" x="6988"/>
        <item t="data" sd="1" m="1" x="6818"/>
        <item t="data" sd="1" m="1" x="6989"/>
        <item t="data" sd="1" m="1" x="6990"/>
        <item t="data" sd="1" m="1" x="6816"/>
        <item t="data" sd="1" m="1" x="6992"/>
        <item t="data" sd="1" m="1" x="6999"/>
        <item t="data" sd="1" m="1" x="6154"/>
        <item t="data" sd="1" m="1" x="6153"/>
        <item t="data" sd="1" m="1" x="7003"/>
        <item t="data" sd="1" m="1" x="7004"/>
        <item t="data" sd="1" m="1" x="7007"/>
        <item t="data" sd="1" m="1" x="6594"/>
        <item t="data" sd="1" m="1" x="7016"/>
        <item t="data" sd="1" m="1" x="7018"/>
        <item t="data" sd="1" m="1" x="6827"/>
        <item t="data" sd="1" m="1" x="7020"/>
        <item t="data" sd="1" m="1" x="7021"/>
        <item t="data" sd="1" m="1" x="7022"/>
        <item t="data" sd="1" m="1" x="7024"/>
        <item t="data" sd="1" m="1" x="7025"/>
        <item t="data" sd="1" m="1" x="6277"/>
        <item t="data" sd="1" m="1" x="4591"/>
        <item t="data" sd="1" m="1" x="7029"/>
        <item t="data" sd="1" m="1" x="6839"/>
        <item t="data" sd="1" m="1" x="7033"/>
        <item t="data" sd="1" m="1" x="7034"/>
        <item t="data" sd="1" m="1" x="6134"/>
        <item t="data" sd="1" m="1" x="7035"/>
        <item t="data" sd="1" m="1" x="7036"/>
        <item t="data" sd="1" m="1" x="7037"/>
        <item t="data" sd="1" m="1" x="6870"/>
        <item t="data" sd="1" m="1" x="6234"/>
        <item t="data" sd="1" m="1" x="6848"/>
        <item t="data" sd="1" m="1" x="7040"/>
        <item t="data" sd="1" m="1" x="7041"/>
        <item t="data" sd="1" m="1" x="6265"/>
        <item t="data" sd="1" m="1" x="6349"/>
        <item t="data" sd="1" m="1" x="6350"/>
        <item t="data" sd="1" m="1" x="7043"/>
        <item t="data" sd="1" m="1" x="6329"/>
        <item t="data" sd="1" m="1" x="5275"/>
        <item t="data" sd="1" m="1" x="7045"/>
        <item t="data" sd="1" m="1" x="6318"/>
        <item t="data" sd="1" m="1" x="5277"/>
        <item t="data" sd="1" m="1" x="6315"/>
        <item t="data" sd="1" m="1" x="7046"/>
        <item t="data" sd="1" m="1" x="7048"/>
        <item t="data" sd="1" m="1" x="7054"/>
        <item t="data" sd="1" m="1" x="7055"/>
        <item t="data" sd="1" m="1" x="7056"/>
        <item t="data" sd="1" m="1" x="7060"/>
        <item t="data" sd="1" m="1" x="5718"/>
        <item t="data" sd="1" m="1" x="6854"/>
        <item t="data" sd="1" m="1" x="7071"/>
        <item t="data" sd="1" m="1" x="7072"/>
        <item t="data" sd="1" m="1" x="6869"/>
        <item t="data" sd="1" m="1" x="6858"/>
        <item t="data" sd="1" m="1" x="7074"/>
        <item t="data" sd="1" m="1" x="7075"/>
        <item t="data" sd="1" m="1" x="7077"/>
        <item t="data" sd="1" m="1" x="6419"/>
        <item t="data" sd="1" m="1" x="6530"/>
        <item t="data" sd="1" m="1" x="6874"/>
        <item t="data" sd="1" m="1" x="7081"/>
        <item t="data" sd="1" m="1" x="7083"/>
        <item t="data" sd="1" m="1" x="7084"/>
        <item t="data" sd="1" m="1" x="7086"/>
        <item t="data" sd="1" m="1" x="4593"/>
        <item t="data" sd="1" m="1" x="6746"/>
        <item t="data" sd="1" m="1" x="6747"/>
        <item t="data" sd="1" m="1" x="6748"/>
        <item t="data" sd="1" m="1" x="4595"/>
        <item t="data" sd="1" m="1" x="4259"/>
        <item t="data" sd="1" m="1" x="6579"/>
        <item t="data" sd="1" m="1" x="6580"/>
        <item t="data" sd="1" m="1" x="5066"/>
        <item t="data" sd="1" m="1" x="5671"/>
        <item t="data" sd="1" m="1" x="6587"/>
        <item t="data" sd="1" m="1" x="6750"/>
        <item t="data" sd="1" m="1" x="6751"/>
        <item t="data" sd="1" m="1" x="4584"/>
        <item t="data" sd="1" m="1" x="6563"/>
        <item t="data" sd="1" m="1" x="5956"/>
        <item t="data" sd="1" m="1" x="4585"/>
        <item t="data" sd="1" m="1" x="6752"/>
        <item t="data" sd="1" m="1" x="6753"/>
        <item t="data" sd="1" m="1" x="6549"/>
        <item t="data" sd="1" m="1" x="6754"/>
        <item t="data" sd="1" m="1" x="6559"/>
        <item t="data" sd="1" m="1" x="4588"/>
        <item t="data" sd="1" m="1" x="5065"/>
        <item t="data" sd="1" m="1" x="6757"/>
        <item t="data" sd="1" m="1" x="5064"/>
        <item t="data" sd="1" m="1" x="6762"/>
        <item t="data" sd="1" m="1" x="6764"/>
        <item t="data" sd="1" m="1" x="6766"/>
        <item t="data" sd="1" m="1" x="6773"/>
        <item t="data" sd="1" m="1" x="6774"/>
        <item t="data" sd="1" m="1" x="6478"/>
        <item t="data" sd="1" m="1" x="6479"/>
        <item t="data" sd="1" m="1" x="4590"/>
        <item t="data" sd="1" m="1" x="4589"/>
        <item t="data" sd="1" m="1" x="6778"/>
        <item t="data" sd="1" m="1" x="6779"/>
        <item t="data" sd="1" m="1" x="6780"/>
        <item t="data" sd="1" m="1" x="6781"/>
        <item t="data" sd="1" m="1" x="5677"/>
        <item t="data" sd="1" m="1" x="6782"/>
        <item t="data" sd="1" m="1" x="6784"/>
        <item t="data" sd="1" m="1" x="5947"/>
        <item t="data" sd="1" m="1" x="6785"/>
        <item t="data" sd="1" m="1" x="6790"/>
        <item t="data" sd="1" m="1" x="6588"/>
        <item t="data" sd="1" m="1" x="5981"/>
        <item t="data" sd="1" m="1" x="4915"/>
        <item t="data" sd="1" m="1" x="6589"/>
        <item t="data" sd="1" m="1" x="6590"/>
        <item t="data" sd="1" m="1" x="4914"/>
        <item t="data" sd="1" m="1" x="6793"/>
        <item t="data" sd="1" m="1" x="6599"/>
        <item t="data" sd="1" m="1" x="4592"/>
        <item t="data" sd="1" m="1" x="6561"/>
        <item t="data" sd="1" m="1" x="5454"/>
        <item t="data" sd="1" m="1" x="6012"/>
        <item t="data" sd="1" m="1" x="6013"/>
        <item t="data" sd="1" m="1" x="6612"/>
        <item t="data" sd="1" m="1" x="6815"/>
        <item t="data" sd="1" m="1" x="6611"/>
        <item t="data" sd="1" m="1" x="6640"/>
        <item t="data" sd="1" m="1" x="6630"/>
        <item t="data" sd="1" m="1" x="6631"/>
        <item t="data" sd="1" m="1" x="6629"/>
        <item t="data" sd="1" m="1" x="6632"/>
        <item t="data" sd="1" m="1" x="6633"/>
        <item t="data" sd="1" m="1" x="6634"/>
        <item t="data" sd="1" m="1" x="6026"/>
        <item t="data" sd="1" m="1" x="6740"/>
        <item t="data" sd="1" m="1" x="5686"/>
        <item t="data" sd="1" m="1" x="5687"/>
        <item t="data" sd="1" m="1" x="5690"/>
        <item t="data" sd="1" m="1" x="6653"/>
        <item t="data" sd="1" m="1" x="5848"/>
        <item t="data" sd="1" m="1" x="6672"/>
        <item t="data" sd="1" m="1" x="6673"/>
        <item t="data" sd="1" m="1" x="6663"/>
        <item t="data" sd="1" m="1" x="6671"/>
        <item t="data" sd="1" m="1" x="6819"/>
        <item t="data" sd="1" m="1" x="6019"/>
        <item t="data" sd="1" m="1" x="6020"/>
        <item t="data" sd="1" m="1" x="6820"/>
        <item t="data" sd="1" m="1" x="6628"/>
        <item t="data" sd="1" m="1" x="6821"/>
        <item t="data" sd="1" m="1" x="6822"/>
        <item t="data" sd="1" m="1" x="6618"/>
        <item t="data" sd="1" m="1" x="6016"/>
        <item t="data" sd="1" m="1" x="6021"/>
        <item t="data" sd="1" m="1" x="5545"/>
        <item t="data" sd="1" m="1" x="6627"/>
        <item t="data" sd="1" m="1" x="6623"/>
        <item t="data" sd="1" m="1" x="6823"/>
        <item t="data" sd="1" m="1" x="6824"/>
        <item t="data" sd="1" m="1" x="6825"/>
        <item t="data" sd="1" m="1" x="6826"/>
        <item t="data" sd="1" m="1" x="6828"/>
        <item t="data" sd="1" m="1" x="6829"/>
        <item t="data" sd="1" m="1" x="6831"/>
        <item t="data" sd="1" m="1" x="6832"/>
        <item t="data" sd="1" m="1" x="6833"/>
        <item t="data" sd="1" m="1" x="6834"/>
        <item t="data" sd="1" m="1" x="6835"/>
        <item t="data" sd="1" m="1" x="6336"/>
        <item t="data" sd="1" m="1" x="5711"/>
        <item t="data" sd="1" m="1" x="6836"/>
        <item t="data" sd="1" m="1" x="6837"/>
        <item t="data" sd="1" m="1" x="6838"/>
        <item t="data" sd="1" m="1" x="6840"/>
        <item t="data" sd="1" m="1" x="6841"/>
        <item t="data" sd="1" m="1" x="6842"/>
        <item t="data" sd="1" m="1" x="6843"/>
        <item t="data" sd="1" m="1" x="6844"/>
        <item t="data" sd="1" m="1" x="6846"/>
        <item t="data" sd="1" m="1" x="6847"/>
        <item t="data" sd="1" m="1" x="6849"/>
        <item t="data" sd="1" m="1" x="6850"/>
        <item t="data" sd="1" m="1" x="6358"/>
        <item t="data" sd="1" m="1" x="6359"/>
        <item t="data" sd="1" m="1" x="6348"/>
        <item t="data" sd="1" m="1" x="6738"/>
        <item t="data" sd="1" m="1" x="5241"/>
        <item t="data" sd="1" m="1" x="6642"/>
        <item t="data" sd="1" m="1" x="6739"/>
        <item t="data" sd="1" m="1" x="6342"/>
        <item t="data" sd="1" m="1" x="6371"/>
        <item t="data" sd="1" m="1" x="3174"/>
        <item t="data" sd="1" m="1" x="6852"/>
        <item t="data" sd="1" m="1" x="6855"/>
        <item t="data" sd="1" m="1" x="6856"/>
        <item t="data" sd="1" m="1" x="6859"/>
        <item t="data" sd="1" m="1" x="6860"/>
        <item t="data" sd="1" m="1" x="6861"/>
        <item t="data" sd="1" m="1" x="6862"/>
        <item t="data" sd="1" m="1" x="6864"/>
        <item t="data" sd="1" m="1" x="6865"/>
        <item t="data" sd="1" m="1" x="6866"/>
        <item t="data" sd="1" m="1" x="6867"/>
        <item t="data" sd="1" m="1" x="6868"/>
        <item t="data" sd="1" m="1" x="6871"/>
        <item t="data" sd="1" m="1" x="6873"/>
        <item t="data" sd="1" m="1" x="6135"/>
        <item t="data" sd="1" m="1" x="6876"/>
        <item t="data" sd="1" m="1" x="6877"/>
        <item t="data" sd="1" m="1" x="6878"/>
        <item t="data" sd="1" m="1" x="6879"/>
        <item t="data" sd="1" m="1" x="6880"/>
        <item t="data" sd="1" m="1" x="5313"/>
        <item t="data" sd="1" m="1" x="6881"/>
        <item t="data" sd="1" m="1" x="5834"/>
        <item t="data" sd="1" m="1" x="4512"/>
        <item t="data" sd="1" m="1" x="5917"/>
        <item t="data" sd="1" m="1" x="6677"/>
        <item t="data" sd="1" m="1" x="6678"/>
        <item t="data" sd="1" m="1" x="6679"/>
        <item t="data" sd="1" m="1" x="6680"/>
        <item t="data" sd="1" m="1" x="6681"/>
        <item t="data" sd="1" m="1" x="6044"/>
        <item t="data" sd="1" m="1" x="6682"/>
        <item t="data" sd="1" m="1" x="6683"/>
        <item t="data" sd="1" m="1" x="6684"/>
        <item t="data" sd="1" m="1" x="6685"/>
        <item t="data" sd="1" m="1" x="6686"/>
        <item t="data" sd="1" m="1" x="5829"/>
        <item t="data" sd="1" m="1" x="3319"/>
        <item t="data" sd="1" m="1" x="5672"/>
        <item t="data" sd="1" m="1" x="6687"/>
        <item t="data" sd="1" m="1" x="1484"/>
        <item t="data" sd="1" m="1" x="6088"/>
        <item t="data" sd="1" m="1" x="6688"/>
        <item t="data" sd="1" m="1" x="6689"/>
        <item t="data" sd="1" m="1" x="6690"/>
        <item t="data" sd="1" m="1" x="6691"/>
        <item t="data" sd="1" m="1" x="6692"/>
        <item t="data" sd="1" m="1" x="6693"/>
        <item t="data" sd="1" m="1" x="6694"/>
        <item t="data" sd="1" m="1" x="6695"/>
        <item t="data" sd="1" m="1" x="6696"/>
        <item t="data" sd="1" m="1" x="6697"/>
        <item t="data" sd="1" m="1" x="6698"/>
        <item t="data" sd="1" m="1" x="6699"/>
        <item t="data" sd="1" m="1" x="6700"/>
        <item t="data" sd="1" m="1" x="6701"/>
        <item t="data" sd="1" m="1" x="6702"/>
        <item t="data" sd="1" m="1" x="6529"/>
        <item t="data" sd="1" m="1" x="6703"/>
        <item t="data" sd="1" m="1" x="6704"/>
        <item t="data" sd="1" m="1" x="6705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6714"/>
        <item t="data" sd="1" m="1" x="6715"/>
        <item t="data" sd="1" m="1" x="6716"/>
        <item t="data" sd="1" m="1" x="6717"/>
        <item t="data" sd="1" m="1" x="6533"/>
        <item t="data" sd="1" m="1" x="6718"/>
        <item t="data" sd="1" m="1" x="6651"/>
        <item t="data" sd="1" m="1" x="6452"/>
        <item t="data" sd="1" m="1" x="6542"/>
        <item t="data" sd="1" m="1" x="6723"/>
        <item t="data" sd="1" m="1" x="5316"/>
        <item t="data" sd="1" m="1" x="5320"/>
        <item t="data" sd="1" m="1" x="5068"/>
        <item t="data" sd="1" m="1" x="6548"/>
        <item t="data" sd="1" m="1" x="5067"/>
        <item t="data" sd="1" m="1" x="6552"/>
        <item t="data" sd="1" m="1" x="6555"/>
        <item t="data" sd="1" m="1" x="6557"/>
        <item t="data" sd="1" m="1" x="4610"/>
        <item t="data" sd="1" m="1" x="6162"/>
        <item t="data" sd="1" m="1" x="5828"/>
        <item t="data" sd="1" m="1" x="6565"/>
        <item t="data" sd="1" m="1" x="5963"/>
        <item t="data" sd="1" m="1" x="6725"/>
        <item t="data" sd="1" m="1" x="6726"/>
        <item t="data" sd="1" m="1" x="5875"/>
        <item t="data" sd="1" m="1" x="6238"/>
        <item t="data" sd="1" m="1" x="5806"/>
        <item t="data" sd="1" m="1" x="5969"/>
        <item t="data" sd="1" m="1" x="6263"/>
        <item t="data" sd="1" m="1" x="5970"/>
        <item t="data" sd="1" m="1" x="6576"/>
        <item t="data" sd="1" m="1" x="6571"/>
        <item t="data" sd="1" m="1" x="6574"/>
        <item t="data" sd="1" m="1" x="6575"/>
        <item t="data" sd="1" m="1" x="4603"/>
        <item t="data" sd="1" m="1" x="5312"/>
        <item t="data" sd="1" m="1" x="6728"/>
        <item t="data" sd="1" m="1" x="6729"/>
        <item t="data" sd="1" m="1" x="5980"/>
        <item t="data" sd="1" m="1" x="5979"/>
        <item t="data" sd="1" m="1" x="6585"/>
        <item t="data" sd="1" m="1" x="5431"/>
        <item t="data" sd="1" m="1" x="6584"/>
        <item t="data" sd="1" m="1" x="6591"/>
        <item t="data" sd="1" m="1" x="6311"/>
        <item t="data" sd="1" m="1" x="6598"/>
        <item t="data" sd="1" m="1" x="6469"/>
        <item t="data" sd="1" m="1" x="6597"/>
        <item t="data" sd="1" m="1" x="6360"/>
        <item t="data" sd="1" m="1" x="6730"/>
        <item t="data" sd="1" m="1" x="6351"/>
        <item t="data" sd="1" m="1" x="6354"/>
        <item t="data" sd="1" m="1" x="4599"/>
        <item t="data" sd="1" m="1" x="6605"/>
        <item t="data" sd="1" m="1" x="4600"/>
        <item t="data" sd="1" m="1" x="6477"/>
        <item t="data" sd="1" m="1" x="6363"/>
        <item t="data" sd="1" m="1" x="6364"/>
        <item t="data" sd="1" m="1" x="6735"/>
        <item t="data" sd="1" m="1" x="6736"/>
        <item t="data" sd="1" m="1" x="6737"/>
        <item t="data" sd="1" m="1" x="6610"/>
        <item t="data" sd="1" m="1" x="5998"/>
        <item t="data" sd="1" m="1" x="6376"/>
        <item t="data" sd="1" m="1" x="6375"/>
        <item t="data" sd="1" m="1" x="5069"/>
        <item t="data" sd="1" m="1" x="6613"/>
        <item t="data" sd="1" m="1" x="6619"/>
        <item t="data" sd="1" m="1" x="6620"/>
        <item t="data" sd="1" m="1" x="6621"/>
        <item t="data" sd="1" m="1" x="5906"/>
        <item t="data" sd="1" m="1" x="6396"/>
        <item t="data" sd="1" m="1" x="5907"/>
        <item t="data" sd="1" m="1" x="6639"/>
        <item t="data" sd="1" m="1" x="6741"/>
        <item t="data" sd="1" m="1" x="6418"/>
        <item t="data" sd="1" m="1" x="5218"/>
        <item t="data" sd="1" m="1" x="6650"/>
        <item t="data" sd="1" m="1" x="6742"/>
        <item t="data" sd="1" m="1" x="6743"/>
        <item t="data" sd="1" m="1" x="6744"/>
        <item t="data" sd="1" m="1" x="6494"/>
        <item t="data" sd="1" m="1" x="6433"/>
        <item t="data" sd="1" m="1" x="4597"/>
        <item t="data" sd="1" m="1" x="6676"/>
        <item t="data" sd="1" m="1" x="6499"/>
        <item t="data" sd="1" m="1" x="6745"/>
        <item t="data" sd="1" m="1" x="6667"/>
        <item t="data" sd="1" m="1" x="5626"/>
        <item t="data" sd="1" m="1" x="5835"/>
        <item t="data" sd="1" m="1" x="6042"/>
        <item t="data" sd="1" m="1" x="6006"/>
        <item t="data" sd="1" m="1" x="6502"/>
        <item t="data" sd="1" m="1" x="6503"/>
        <item t="data" sd="1" m="1" x="6056"/>
        <item t="data" sd="1" m="1" x="6057"/>
        <item t="data" sd="1" m="1" x="3004"/>
        <item t="data" sd="1" m="1" x="4262"/>
        <item t="data" sd="1" m="1" x="6055"/>
        <item t="data" sd="1" m="1" x="4260"/>
        <item t="data" sd="1" m="1" x="4261"/>
        <item t="data" sd="1" m="1" x="4264"/>
        <item t="data" sd="1" m="1" x="6054"/>
        <item t="data" sd="1" m="1" x="6049"/>
        <item t="data" sd="1" m="1" x="6051"/>
        <item t="data" sd="1" m="1" x="6053"/>
        <item t="data" sd="1" m="1" x="6065"/>
        <item t="data" sd="1" m="1" x="6070"/>
        <item t="data" sd="1" m="1" x="6061"/>
        <item t="data" sd="1" m="1" x="6067"/>
        <item t="data" sd="1" m="1" x="6064"/>
        <item t="data" sd="1" m="1" x="6072"/>
        <item t="data" sd="1" m="1" x="6066"/>
        <item t="data" sd="1" m="1" x="6068"/>
        <item t="data" sd="1" m="1" x="6074"/>
        <item t="data" sd="1" m="1" x="6075"/>
        <item t="data" sd="1" m="1" x="6058"/>
        <item t="data" sd="1" m="1" x="6071"/>
        <item t="data" sd="1" m="1" x="6059"/>
        <item t="data" sd="1" m="1" x="6060"/>
        <item t="data" sd="1" m="1" x="6076"/>
        <item t="data" sd="1" m="1" x="6069"/>
        <item t="data" sd="1" m="1" x="6063"/>
        <item t="data" sd="1" m="1" x="6110"/>
        <item t="data" sd="1" m="1" x="1512"/>
        <item t="data" sd="1" m="1" x="6080"/>
        <item t="data" sd="1" m="1" x="6504"/>
        <item t="data" sd="1" m="1" x="6505"/>
        <item t="data" sd="1" m="1" x="6506"/>
        <item t="data" sd="1" m="1" x="6083"/>
        <item t="data" sd="1" m="1" x="6507"/>
        <item t="data" sd="1" m="1" x="6508"/>
        <item t="data" sd="1" m="1" x="6509"/>
        <item t="data" sd="1" m="1" x="6092"/>
        <item t="data" sd="1" m="1" x="5200"/>
        <item t="data" sd="1" m="1" x="6510"/>
        <item t="data" sd="1" m="1" x="6511"/>
        <item t="data" sd="1" m="1" x="6512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18"/>
        <item t="data" sd="1" m="1" x="6519"/>
        <item t="data" sd="1" m="1" x="6451"/>
        <item t="data" sd="1" m="1" x="6520"/>
        <item t="data" sd="1" m="1" x="6521"/>
        <item t="data" sd="1" m="1" x="6522"/>
        <item t="data" sd="1" m="1" x="6523"/>
        <item t="data" sd="1" m="1" x="6524"/>
        <item t="data" sd="1" m="1" x="6525"/>
        <item t="data" sd="1" m="1" x="6526"/>
        <item t="data" sd="1" m="1" x="6527"/>
        <item t="data" sd="1" m="1" x="4605"/>
        <item t="data" sd="1" m="1" x="6528"/>
        <item t="data" sd="1" m="1" x="6531"/>
        <item t="data" sd="1" m="1" x="6532"/>
        <item t="data" sd="1" m="1" x="6127"/>
        <item t="data" sd="1" m="1" x="4609"/>
        <item t="data" sd="1" m="1" x="6541"/>
        <item t="data" sd="1" m="1" x="4608"/>
        <item t="data" sd="1" m="1" x="6131"/>
        <item t="data" sd="1" m="1" x="6543"/>
        <item t="data" sd="1" m="1" x="6544"/>
        <item t="data" sd="1" m="1" x="5595"/>
        <item t="data" sd="1" m="1" x="6481"/>
        <item t="data" sd="1" m="1" x="6545"/>
        <item t="data" sd="1" m="1" x="6546"/>
        <item t="data" sd="1" m="1" x="6547"/>
        <item t="data" sd="1" m="1" x="5623"/>
        <item t="data" sd="1" m="1" x="6550"/>
        <item t="data" sd="1" m="1" x="6142"/>
        <item t="data" sd="1" m="1" x="4786"/>
        <item t="data" sd="1" m="1" x="6554"/>
        <item t="data" sd="1" m="1" x="6556"/>
        <item t="data" sd="1" m="1" x="5077"/>
        <item t="data" sd="1" m="1" x="5078"/>
        <item t="data" sd="1" m="1" x="6558"/>
        <item t="data" sd="1" m="1" x="6560"/>
        <item t="data" sd="1" m="1" x="5817"/>
        <item t="data" sd="1" m="1" x="6562"/>
        <item t="data" sd="1" m="1" x="6163"/>
        <item t="data" sd="1" m="1" x="5960"/>
        <item t="data" sd="1" m="1" x="6564"/>
        <item t="data" sd="1" m="1" x="5961"/>
        <item t="data" sd="1" m="1" x="6187"/>
        <item t="data" sd="1" m="1" x="6566"/>
        <item t="data" sd="1" m="1" x="6222"/>
        <item t="data" sd="1" m="1" x="5807"/>
        <item t="data" sd="1" m="1" x="4607"/>
        <item t="data" sd="1" m="1" x="5808"/>
        <item t="data" sd="1" m="1" x="5809"/>
        <item t="data" sd="1" m="1" x="6245"/>
        <item t="data" sd="1" m="1" x="6567"/>
        <item t="data" sd="1" m="1" x="4606"/>
        <item t="data" sd="1" m="1" x="6569"/>
        <item t="data" sd="1" m="1" x="6264"/>
        <item t="data" sd="1" m="1" x="5974"/>
        <item t="data" sd="1" m="1" x="1468"/>
        <item t="data" sd="1" m="1" x="6570"/>
        <item t="data" sd="1" m="1" x="6572"/>
        <item t="data" sd="1" m="1" x="6573"/>
        <item t="data" sd="1" m="1" x="4616"/>
        <item t="data" sd="1" m="1" x="5073"/>
        <item t="data" sd="1" m="1" x="5074"/>
        <item t="data" sd="1" m="1" x="6577"/>
        <item t="data" sd="1" m="1" x="6578"/>
        <item t="data" sd="1" m="1" x="6581"/>
        <item t="data" sd="1" m="1" x="4604"/>
        <item t="data" sd="1" m="1" x="6582"/>
        <item t="data" sd="1" m="1" x="6279"/>
        <item t="data" sd="1" m="1" x="6282"/>
        <item t="data" sd="1" m="1" x="4362"/>
        <item t="data" sd="1" m="1" x="5620"/>
        <item t="data" sd="1" m="1" x="6291"/>
        <item t="data" sd="1" m="1" x="6283"/>
        <item t="data" sd="1" m="1" x="6583"/>
        <item t="data" sd="1" m="1" x="6586"/>
        <item t="data" sd="1" m="1" x="4601"/>
        <item t="data" sd="1" m="1" x="5982"/>
        <item t="data" sd="1" m="1" x="6592"/>
        <item t="data" sd="1" m="1" x="6593"/>
        <item t="data" sd="1" m="1" x="6595"/>
        <item t="data" sd="1" m="1" x="6596"/>
        <item t="data" sd="1" m="1" x="5983"/>
        <item t="data" sd="1" m="1" x="6600"/>
        <item t="data" sd="1" m="1" x="6326"/>
        <item t="data" sd="1" m="1" x="6601"/>
        <item t="data" sd="1" m="1" x="6602"/>
        <item t="data" sd="1" m="1" x="6343"/>
        <item t="data" sd="1" m="1" x="4598"/>
        <item t="data" sd="1" m="1" x="4611"/>
        <item t="data" sd="1" m="1" x="4612"/>
        <item t="data" sd="1" m="1" x="5207"/>
        <item t="data" sd="1" m="1" x="4596"/>
        <item t="data" sd="1" m="1" x="5744"/>
        <item t="data" sd="1" m="1" x="5743"/>
        <item t="data" sd="1" m="1" x="6352"/>
        <item t="data" sd="1" m="1" x="6355"/>
        <item t="data" sd="1" m="1" x="6366"/>
        <item t="data" sd="1" m="1" x="6365"/>
        <item t="data" sd="1" m="1" x="6607"/>
        <item t="data" sd="1" m="1" x="6608"/>
        <item t="data" sd="1" m="1" x="6368"/>
        <item t="data" sd="1" m="1" x="6609"/>
        <item t="data" sd="1" m="1" x="6005"/>
        <item t="data" sd="1" m="1" x="6003"/>
        <item t="data" sd="1" m="1" x="6011"/>
        <item t="data" sd="1" m="1" x="6380"/>
        <item t="data" sd="1" m="1" x="5071"/>
        <item t="data" sd="1" m="1" x="6614"/>
        <item t="data" sd="1" m="1" x="4935"/>
        <item t="data" sd="1" m="1" x="6615"/>
        <item t="data" sd="1" m="1" x="6616"/>
        <item t="data" sd="1" m="1" x="6617"/>
        <item t="data" sd="1" m="1" x="6023"/>
        <item t="data" sd="1" m="1" x="6624"/>
        <item t="data" sd="1" m="1" x="6625"/>
        <item t="data" sd="1" m="1" x="6328"/>
        <item t="data" sd="1" m="1" x="6626"/>
        <item t="data" sd="1" m="1" x="5851"/>
        <item t="data" sd="1" m="1" x="6486"/>
        <item t="data" sd="1" m="1" x="6487"/>
        <item t="data" sd="1" m="1" x="6636"/>
        <item t="data" sd="1" m="1" x="6637"/>
        <item t="data" sd="1" m="1" x="6638"/>
        <item t="data" sd="1" m="1" x="6641"/>
        <item t="data" sd="1" m="1" x="6643"/>
        <item t="data" sd="1" m="1" x="6644"/>
        <item t="data" sd="1" m="1" x="5685"/>
        <item t="data" sd="1" m="1" x="6645"/>
        <item t="data" sd="1" m="1" x="6646"/>
        <item t="data" sd="1" m="1" x="6647"/>
        <item t="data" sd="1" m="1" x="6648"/>
        <item t="data" sd="1" m="1" x="6649"/>
        <item t="data" sd="1" m="1" x="6493"/>
        <item t="data" sd="1" m="1" x="5072"/>
        <item t="data" sd="1" m="1" x="6664"/>
        <item t="data" sd="1" m="1" x="4917"/>
        <item t="data" sd="1" m="1" x="6665"/>
        <item t="data" sd="1" m="1" x="6666"/>
        <item t="data" sd="1" m="1" x="6668"/>
        <item t="data" sd="1" m="1" x="6669"/>
        <item t="data" sd="1" m="1" x="6670"/>
        <item t="data" sd="1" m="1" x="5521"/>
        <item t="data" sd="1" m="1" x="5076"/>
        <item t="data" sd="1" m="1" x="5837"/>
        <item t="data" sd="1" m="1" x="6434"/>
        <item t="data" sd="1" m="1" x="6435"/>
        <item t="data" sd="1" m="1" x="6436"/>
        <item t="data" sd="1" m="1" x="6437"/>
        <item t="data" sd="1" m="1" x="5921"/>
        <item t="data" sd="1" m="1" x="5673"/>
        <item t="data" sd="1" m="1" x="5682"/>
        <item t="data" sd="1" m="1" x="5199"/>
        <item t="data" sd="1" m="1" x="4918"/>
        <item t="data" sd="1" m="1" x="6442"/>
        <item t="data" sd="1" m="1" x="5281"/>
        <item t="data" sd="1" m="1" x="6089"/>
        <item t="data" sd="1" m="1" x="6090"/>
        <item t="data" sd="1" m="1" x="6091"/>
        <item t="data" sd="1" m="1" x="6126"/>
        <item t="data" sd="1" m="1" x="6443"/>
        <item t="data" sd="1" m="1" x="6444"/>
        <item t="data" sd="1" m="1" x="6445"/>
        <item t="data" sd="1" m="1" x="6123"/>
        <item t="data" sd="1" m="1" x="6446"/>
        <item t="data" sd="1" m="1" x="6447"/>
        <item t="data" sd="1" m="1" x="6448"/>
        <item t="data" sd="1" m="1" x="6099"/>
        <item t="data" sd="1" m="1" x="6122"/>
        <item t="data" sd="1" m="1" x="6104"/>
        <item t="data" sd="1" m="1" x="6121"/>
        <item t="data" sd="1" m="1" x="6119"/>
        <item t="data" sd="1" m="1" x="6120"/>
        <item t="data" sd="1" m="1" x="6105"/>
        <item t="data" sd="1" m="1" x="6449"/>
        <item t="data" sd="1" m="1" x="6450"/>
        <item t="data" sd="1" m="1" x="6100"/>
        <item t="data" sd="1" m="1" x="6112"/>
        <item t="data" sd="1" m="1" x="6113"/>
        <item t="data" sd="1" m="1" x="6109"/>
        <item t="data" sd="1" m="1" x="6111"/>
        <item t="data" sd="1" m="1" x="6106"/>
        <item t="data" sd="1" m="1" x="6107"/>
        <item t="data" sd="1" m="1" x="6108"/>
        <item t="data" sd="1" m="1" x="6114"/>
        <item t="data" sd="1" m="1" x="4614"/>
        <item t="data" sd="1" m="1" x="4315"/>
        <item t="data" sd="1" m="1" x="6453"/>
        <item t="data" sd="1" m="1" x="3218"/>
        <item t="data" sd="1" m="1" x="5192"/>
        <item t="data" sd="1" m="1" x="5871"/>
        <item t="data" sd="1" m="1" x="6143"/>
        <item t="data" sd="1" m="1" x="5494"/>
        <item t="data" sd="1" m="1" x="6146"/>
        <item t="data" sd="1" m="1" x="6147"/>
        <item t="data" sd="1" m="1" x="6457"/>
        <item t="data" sd="1" m="1" x="6161"/>
        <item t="data" sd="1" m="1" x="5959"/>
        <item t="data" sd="1" m="1" x="2486"/>
        <item t="data" sd="1" m="1" x="5958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8"/>
        <item t="data" sd="1" m="1" x="6186"/>
        <item t="data" sd="1" m="1" x="6185"/>
        <item t="data" sd="1" m="1" x="6182"/>
        <item t="data" sd="1" m="1" x="6183"/>
        <item t="data" sd="1" m="1" x="6184"/>
        <item t="data" sd="1" m="1" x="6008"/>
        <item t="data" sd="1" m="1" x="6180"/>
        <item t="data" sd="1" m="1" x="6181"/>
        <item t="data" sd="1" m="1" x="5724"/>
        <item t="data" sd="1" m="1" x="5810"/>
        <item t="data" sd="1" m="1" x="5811"/>
        <item t="data" sd="1" m="1" x="6458"/>
        <item t="data" sd="1" m="1" x="6459"/>
        <item t="data" sd="1" m="1" x="6460"/>
        <item t="data" sd="1" m="1" x="4916"/>
        <item t="data" sd="1" m="1" x="6261"/>
        <item t="data" sd="1" m="1" x="1620"/>
        <item t="data" sd="1" m="1" x="6462"/>
        <item t="data" sd="1" m="1" x="5075"/>
        <item t="data" sd="1" m="1" x="1469"/>
        <item t="data" sd="1" m="1" x="6285"/>
        <item t="data" sd="1" m="1" x="6463"/>
        <item t="data" sd="1" m="1" x="6302"/>
        <item t="data" sd="1" m="1" x="1474"/>
        <item t="data" sd="1" m="1" x="6466"/>
        <item t="data" sd="1" m="1" x="6304"/>
        <item t="data" sd="1" m="1" x="6467"/>
        <item t="data" sd="1" m="1" x="6468"/>
        <item t="data" sd="1" m="1" x="3702"/>
        <item t="data" sd="1" m="1" x="6470"/>
        <item t="data" sd="1" m="1" x="6471"/>
        <item t="data" sd="1" m="1" x="6473"/>
        <item t="data" sd="1" m="1" x="6474"/>
        <item t="data" sd="1" m="1" x="6475"/>
        <item t="data" sd="1" m="1" x="4921"/>
        <item t="data" sd="1" m="1" x="6482"/>
        <item t="data" sd="1" m="1" x="6000"/>
        <item t="data" sd="1" m="1" x="6372"/>
        <item t="data" sd="1" m="1" x="6373"/>
        <item t="data" sd="1" m="1" x="5460"/>
        <item t="data" sd="1" m="1" x="6381"/>
        <item t="data" sd="1" m="1" x="6483"/>
        <item t="data" sd="1" m="1" x="5070"/>
        <item t="data" sd="1" m="1" x="6386"/>
        <item t="data" sd="1" m="1" x="6484"/>
        <item t="data" sd="1" m="1" x="6395"/>
        <item t="data" sd="1" m="1" x="6485"/>
        <item t="data" sd="1" m="1" x="6397"/>
        <item t="data" sd="1" m="1" x="6399"/>
        <item t="data" sd="1" m="1" x="6400"/>
        <item t="data" sd="1" m="1" x="6488"/>
        <item t="data" sd="1" m="1" x="6489"/>
        <item t="data" sd="1" m="1" x="6490"/>
        <item t="data" sd="1" m="1" x="6491"/>
        <item t="data" sd="1" m="1" x="5683"/>
        <item t="data" sd="1" m="1" x="5684"/>
        <item t="data" sd="1" m="1" x="6411"/>
        <item t="data" sd="1" m="1" x="6417"/>
        <item t="data" sd="1" m="1" x="6035"/>
        <item t="data" sd="1" m="1" x="6036"/>
        <item t="data" sd="1" m="1" x="6030"/>
        <item t="data" sd="1" m="1" x="6031"/>
        <item t="data" sd="1" m="1" x="6032"/>
        <item t="data" sd="1" m="1" x="6033"/>
        <item t="data" sd="1" m="1" x="6500"/>
        <item t="data" sd="1" m="1" x="4569"/>
        <item t="data" sd="1" m="1" x="5518"/>
        <item t="data" sd="1" m="1" x="6501"/>
        <item t="data" sd="1" m="1" x="5889"/>
        <item t="data" sd="1" m="1" x="6040"/>
        <item t="data" sd="1" m="1" x="6043"/>
        <item t="data" sd="1" m="1" x="6077"/>
        <item t="data" sd="1" m="1" x="4183"/>
        <item t="data" sd="1" m="1" x="6078"/>
        <item t="data" sd="1" m="1" x="6082"/>
        <item t="data" sd="1" m="1" x="6085"/>
        <item t="data" sd="1" m="1" x="6086"/>
        <item t="data" sd="1" m="1" x="6096"/>
        <item t="data" sd="1" m="1" x="5934"/>
        <item t="data" sd="1" m="1" x="6097"/>
        <item t="data" sd="1" m="1" x="6098"/>
        <item t="data" sd="1" m="1" x="5234"/>
        <item t="data" sd="1" m="1" x="5232"/>
        <item t="data" sd="1" m="1" x="5233"/>
        <item t="data" sd="1" m="1" x="5933"/>
        <item t="data" sd="1" m="1" x="6101"/>
        <item t="data" sd="1" m="1" x="6102"/>
        <item t="data" sd="1" m="1" x="6103"/>
        <item t="data" sd="1" m="1" x="6115"/>
        <item t="data" sd="1" m="1" x="6116"/>
        <item t="data" sd="1" m="1" x="6117"/>
        <item t="data" sd="1" m="1" x="6118"/>
        <item t="data" sd="1" m="1" x="6124"/>
        <item t="data" sd="1" m="1" x="6125"/>
        <item t="data" sd="1" m="1" x="5318"/>
        <item t="data" sd="1" m="1" x="6140"/>
        <item t="data" sd="1" m="1" x="6141"/>
        <item t="data" sd="1" m="1" x="4920"/>
        <item t="data" sd="1" m="1" x="5748"/>
        <item t="data" sd="1" m="1" x="5429"/>
        <item t="data" sd="1" m="1" x="5952"/>
        <item t="data" sd="1" m="1" x="6144"/>
        <item t="data" sd="1" m="1" x="6148"/>
        <item t="data" sd="1" m="1" x="6149"/>
        <item t="data" sd="1" m="1" x="6151"/>
        <item t="data" sd="1" m="1" x="6152"/>
        <item t="data" sd="1" m="1" x="5419"/>
        <item t="data" sd="1" m="1" x="5420"/>
        <item t="data" sd="1" m="1" x="6159"/>
        <item t="data" sd="1" m="1" x="5957"/>
        <item t="data" sd="1" m="1" x="5964"/>
        <item t="data" sd="1" m="1" x="5965"/>
        <item t="data" sd="1" m="1" x="6179"/>
        <item t="data" sd="1" m="1" x="6191"/>
        <item t="data" sd="1" m="1" x="6192"/>
        <item t="data" sd="1" m="1" x="6193"/>
        <item t="data" sd="1" m="1" x="1473"/>
        <item t="data" sd="1" m="1" x="1472"/>
        <item t="data" sd="1" m="1" x="5967"/>
        <item t="data" sd="1" m="1" x="5307"/>
        <item t="data" sd="1" m="1" x="5968"/>
        <item t="data" sd="1" m="1" x="6240"/>
        <item t="data" sd="1" m="1" x="6241"/>
        <item t="data" sd="1" m="1" x="6243"/>
        <item t="data" sd="1" m="1" x="5670"/>
        <item t="data" sd="1" m="1" x="6246"/>
        <item t="data" sd="1" m="1" x="6247"/>
        <item t="data" sd="1" m="1" x="6248"/>
        <item t="data" sd="1" m="1" x="5823"/>
        <item t="data" sd="1" m="1" x="6266"/>
        <item t="data" sd="1" m="1" x="6267"/>
        <item t="data" sd="1" m="1" x="6269"/>
        <item t="data" sd="1" m="1" x="6270"/>
        <item t="data" sd="1" m="1" x="6271"/>
        <item t="data" sd="1" m="1" x="6272"/>
        <item t="data" sd="1" m="1" x="4489"/>
        <item t="data" sd="1" m="1" x="6276"/>
        <item t="data" sd="1" m="1" x="5593"/>
        <item t="data" sd="1" m="1" x="6281"/>
        <item t="data" sd="1" m="1" x="6286"/>
        <item t="data" sd="1" m="1" x="6287"/>
        <item t="data" sd="1" m="1" x="6288"/>
        <item t="data" sd="1" m="1" x="6289"/>
        <item t="data" sd="1" m="1" x="6290"/>
        <item t="data" sd="1" m="1" x="6292"/>
        <item t="data" sd="1" m="1" x="6293"/>
        <item t="data" sd="1" m="1" x="6297"/>
        <item t="data" sd="1" m="1" x="6298"/>
        <item t="data" sd="1" m="1" x="6299"/>
        <item t="data" sd="1" m="1" x="6300"/>
        <item t="data" sd="1" m="1" x="6301"/>
        <item t="data" sd="1" m="1" x="6303"/>
        <item t="data" sd="1" m="1" x="5759"/>
        <item t="data" sd="1" m="1" x="5746"/>
        <item t="data" sd="1" m="1" x="5745"/>
        <item t="data" sd="1" m="1" x="5604"/>
        <item t="data" sd="1" m="1" x="5423"/>
        <item t="data" sd="1" m="1" x="6345"/>
        <item t="data" sd="1" m="1" x="5602"/>
        <item t="data" sd="1" m="1" x="6362"/>
        <item t="data" sd="1" m="1" x="5854"/>
        <item t="data" sd="1" m="1" x="5905"/>
        <item t="data" sd="1" m="1" x="6370"/>
        <item t="data" sd="1" m="1" x="6001"/>
        <item t="data" sd="1" m="1" x="6377"/>
        <item t="data" sd="1" m="1" x="6378"/>
        <item t="data" sd="1" m="1" x="6379"/>
        <item t="data" sd="1" m="1" x="6014"/>
        <item t="data" sd="1" m="1" x="5842"/>
        <item t="data" sd="1" m="1" x="6383"/>
        <item t="data" sd="1" m="1" x="6009"/>
        <item t="data" sd="1" m="1" x="1471"/>
        <item t="data" sd="1" m="1" x="5486"/>
        <item t="data" sd="1" m="1" x="6387"/>
        <item t="data" sd="1" m="1" x="6388"/>
        <item t="data" sd="1" m="1" x="6390"/>
        <item t="data" sd="1" m="1" x="6391"/>
        <item t="data" sd="1" m="1" x="6392"/>
        <item t="data" sd="1" m="1" x="5536"/>
        <item t="data" sd="1" m="1" x="6393"/>
        <item t="data" sd="1" m="1" x="6394"/>
        <item t="data" sd="1" m="1" x="4617"/>
        <item t="data" sd="1" m="1" x="5742"/>
        <item t="data" sd="1" m="1" x="3742"/>
        <item t="data" sd="1" m="1" x="6401"/>
        <item t="data" sd="1" m="1" x="6402"/>
        <item t="data" sd="1" m="1" x="6403"/>
        <item t="data" sd="1" m="1" x="6404"/>
        <item t="data" sd="1" m="1" x="6405"/>
        <item t="data" sd="1" m="1" x="6406"/>
        <item t="data" sd="1" m="1" x="6407"/>
        <item t="data" sd="1" m="1" x="6408"/>
        <item t="data" sd="1" m="1" x="6409"/>
        <item t="data" sd="1" m="1" x="5424"/>
        <item t="data" sd="1" m="1" x="5701"/>
        <item t="data" sd="1" m="1" x="6427"/>
        <item t="data" sd="1" m="1" x="6428"/>
        <item t="data" sd="1" m="1" x="6429"/>
        <item t="data" sd="1" m="1" x="6430"/>
        <item t="data" sd="1" m="1" x="6431"/>
        <item t="data" sd="1" m="1" x="6432"/>
        <item t="data" sd="1" m="1" x="5918"/>
        <item t="data" sd="1" m="1" x="5919"/>
        <item t="data" sd="1" m="1" x="5920"/>
        <item t="data" sd="1" m="1" x="5675"/>
        <item t="data" sd="1" m="1" x="5922"/>
        <item t="data" sd="1" m="1" x="5923"/>
        <item t="data" sd="1" m="1" x="5836"/>
        <item t="data" sd="1" m="1" x="5924"/>
        <item t="data" sd="1" m="1" x="5925"/>
        <item t="data" sd="1" m="1" x="5926"/>
        <item t="data" sd="1" m="1" x="5927"/>
        <item t="data" sd="1" m="1" x="5876"/>
        <item t="data" sd="1" m="1" x="5928"/>
        <item t="data" sd="1" m="1" x="5929"/>
        <item t="data" sd="1" m="1" x="5930"/>
        <item t="data" sd="1" m="1" x="5931"/>
        <item t="data" sd="1" m="1" x="5932"/>
        <item t="data" sd="1" m="1" x="4444"/>
        <item t="data" sd="1" m="1" x="4445"/>
        <item t="data" sd="1" m="1" x="5398"/>
        <item t="data" sd="1" m="1" x="5936"/>
        <item t="data" sd="1" m="1" x="5937"/>
        <item t="data" sd="1" m="1" x="5838"/>
        <item t="data" sd="1" m="1" x="3355"/>
        <item t="data" sd="1" m="1" x="5839"/>
        <item t="data" sd="1" m="1" x="5840"/>
        <item t="data" sd="1" m="1" x="5938"/>
        <item t="data" sd="1" m="1" x="5749"/>
        <item t="data" sd="1" m="1" x="5939"/>
        <item t="data" sd="1" m="1" x="5940"/>
        <item t="data" sd="1" m="1" x="5941"/>
        <item t="data" sd="1" m="1" x="5943"/>
        <item t="data" sd="1" m="1" x="5410"/>
        <item t="data" sd="1" m="1" x="5944"/>
        <item t="data" sd="1" m="1" x="5949"/>
        <item t="data" sd="1" m="1" x="5950"/>
        <item t="data" sd="1" m="1" x="5951"/>
        <item t="data" sd="1" m="1" x="5852"/>
        <item t="data" sd="1" m="1" x="5679"/>
        <item t="data" sd="1" m="1" x="5953"/>
        <item t="data" sd="1" m="1" x="5955"/>
        <item t="data" sd="1" m="1" x="5553"/>
        <item t="data" sd="1" m="1" x="5552"/>
        <item t="data" sd="1" m="1" x="5893"/>
        <item t="data" sd="1" m="1" x="4853"/>
        <item t="data" sd="1" m="1" x="4854"/>
        <item t="data" sd="1" m="1" x="4855"/>
        <item t="data" sd="1" m="1" x="4856"/>
        <item t="data" sd="1" m="1" x="5579"/>
        <item t="data" sd="1" m="1" x="5328"/>
        <item t="data" sd="1" m="1" x="5326"/>
        <item t="data" sd="1" m="1" x="5576"/>
        <item t="data" sd="1" m="1" x="5820"/>
        <item t="data" sd="1" m="1" x="5909"/>
        <item t="data" sd="1" m="1" x="5910"/>
        <item t="data" sd="1" m="1" x="5911"/>
        <item t="data" sd="1" m="1" x="5912"/>
        <item t="data" sd="1" m="1" x="5890"/>
        <item t="data" sd="1" m="1" x="1477"/>
        <item t="data" sd="1" m="1" x="5160"/>
        <item t="data" sd="1" m="1" x="5664"/>
        <item t="data" sd="1" m="1" x="5331"/>
        <item t="data" sd="1" m="1" x="5971"/>
        <item t="data" sd="1" m="1" x="5815"/>
        <item t="data" sd="1" m="1" x="5816"/>
        <item t="data" sd="1" m="1" x="5614"/>
        <item t="data" sd="1" m="1" x="1470"/>
        <item t="data" sd="1" m="1" x="1475"/>
        <item t="data" sd="1" m="1" x="5191"/>
        <item t="data" sd="1" m="1" x="5975"/>
        <item t="data" sd="1" m="1" x="5976"/>
        <item t="data" sd="1" m="1" x="5977"/>
        <item t="data" sd="1" m="1" x="5978"/>
        <item t="data" sd="1" m="1" x="4933"/>
        <item t="data" sd="1" m="1" x="5764"/>
        <item t="data" sd="1" m="1" x="4919"/>
        <item t="data" sd="1" m="1" x="4223"/>
        <item t="data" sd="1" m="1" x="5450"/>
        <item t="data" sd="1" m="1" x="3717"/>
        <item t="data" sd="1" m="1" x="3432"/>
        <item t="data" sd="1" m="1" x="5206"/>
        <item t="data" sd="1" m="1" x="5605"/>
        <item t="data" sd="1" m="1" x="5984"/>
        <item t="data" sd="1" m="1" x="5985"/>
        <item t="data" sd="1" m="1" x="5986"/>
        <item t="data" sd="1" m="1" x="5987"/>
        <item t="data" sd="1" m="1" x="5988"/>
        <item t="data" sd="1" m="1" x="5587"/>
        <item t="data" sd="1" m="1" x="3435"/>
        <item t="data" sd="1" m="1" x="3436"/>
        <item t="data" sd="1" m="1" x="3949"/>
        <item t="data" sd="1" m="1" x="4618"/>
        <item t="data" sd="1" m="1" x="5989"/>
        <item t="data" sd="1" m="1" x="5741"/>
        <item t="data" sd="1" m="1" x="5990"/>
        <item t="data" sd="1" m="1" x="5739"/>
        <item t="data" sd="1" m="1" x="5991"/>
        <item t="data" sd="1" m="1" x="5740"/>
        <item t="data" sd="1" m="1" x="5992"/>
        <item t="data" sd="1" m="1" x="5760"/>
        <item t="data" sd="1" m="1" x="5993"/>
        <item t="data" sd="1" m="1" x="5994"/>
        <item t="data" sd="1" m="1" x="5995"/>
        <item t="data" sd="1" m="1" x="5855"/>
        <item t="data" sd="1" m="1" x="5996"/>
        <item t="data" sd="1" m="1" x="5615"/>
        <item t="data" sd="1" m="1" x="5997"/>
        <item t="data" sd="1" m="1" x="5915"/>
        <item t="data" sd="1" m="1" x="5999"/>
        <item t="data" sd="1" m="1" x="5475"/>
        <item t="data" sd="1" m="1" x="5458"/>
        <item t="data" sd="1" m="1" x="6010"/>
        <item t="data" sd="1" m="1" x="5869"/>
        <item t="data" sd="1" m="1" x="6017"/>
        <item t="data" sd="1" m="1" x="6018"/>
        <item t="data" sd="1" m="1" x="6022"/>
        <item t="data" sd="1" m="1" x="5295"/>
        <item t="data" sd="1" m="1" x="5291"/>
        <item t="data" sd="1" m="1" x="6027"/>
        <item t="data" sd="1" m="1" x="6028"/>
        <item t="data" sd="1" m="1" x="6029"/>
        <item t="data" sd="1" m="1" x="6034"/>
        <item t="data" sd="1" m="1" x="2000"/>
        <item t="data" sd="1" m="1" x="2001"/>
        <item t="data" sd="1" m="1" x="2003"/>
        <item t="data" sd="1" m="1" x="5846"/>
        <item t="data" sd="1" m="1" x="5847"/>
        <item t="data" sd="1" m="1" x="5508"/>
        <item t="data" sd="1" m="1" x="5765"/>
        <item t="data" sd="1" m="1" x="5791"/>
        <item t="data" sd="1" m="1" x="6037"/>
        <item t="data" sd="1" m="1" x="6038"/>
        <item t="data" sd="1" m="1" x="6039"/>
        <item t="data" sd="1" m="1" x="5327"/>
        <item t="data" sd="1" m="1" x="5411"/>
        <item t="data" sd="1" m="1" x="1476"/>
        <item t="data" sd="1" m="1" x="4923"/>
        <item t="data" sd="1" m="1" x="5812"/>
        <item t="data" sd="1" m="1" x="5220"/>
        <item t="data" sd="1" m="1" x="4443"/>
        <item t="data" sd="1" m="1" x="5813"/>
        <item t="data" sd="1" m="1" x="5630"/>
        <item t="data" sd="1" m="1" x="5814"/>
        <item t="data" sd="1" m="1" x="3580"/>
        <item t="data" sd="1" m="1" x="3071"/>
        <item t="data" sd="1" m="1" x="3070"/>
        <item t="data" sd="1" m="1" x="5082"/>
        <item t="data" sd="1" m="1" x="5083"/>
        <item t="data" sd="1" m="1" x="5348"/>
        <item t="data" sd="1" m="1" x="3753"/>
        <item t="data" sd="1" m="1" x="5357"/>
        <item t="data" sd="1" m="1" x="5674"/>
        <item t="data" sd="1" m="1" x="5818"/>
        <item t="data" sd="1" m="1" x="5362"/>
        <item t="data" sd="1" m="1" x="5821"/>
        <item t="data" sd="1" m="1" x="5822"/>
        <item t="data" sd="1" m="1" x="5259"/>
        <item t="data" sd="1" m="1" x="5824"/>
        <item t="data" sd="1" m="1" x="5825"/>
        <item t="data" sd="1" m="1" x="5826"/>
        <item t="data" sd="1" m="1" x="5831"/>
        <item t="data" sd="1" m="1" x="5408"/>
        <item t="data" sd="1" m="1" x="5409"/>
        <item t="data" sd="1" m="1" x="3657"/>
        <item t="data" sd="1" m="1" x="5421"/>
        <item t="data" sd="1" m="1" x="4442"/>
        <item t="data" sd="1" m="1" x="3116"/>
        <item t="data" sd="1" m="1" x="5678"/>
        <item t="data" sd="1" m="1" x="4184"/>
        <item t="data" sd="1" m="1" x="5750"/>
        <item t="data" sd="1" m="1" x="5751"/>
        <item t="data" sd="1" m="1" x="5432"/>
        <item t="data" sd="1" m="1" x="5436"/>
        <item t="data" sd="1" m="1" x="5841"/>
        <item t="data" sd="1" m="1" x="5439"/>
        <item t="data" sd="1" m="1" x="3716"/>
        <item t="data" sd="1" m="1" x="5738"/>
        <item t="data" sd="1" m="1" x="5737"/>
        <item t="data" sd="1" m="1" x="5747"/>
        <item t="data" sd="1" m="1" x="5452"/>
        <item t="data" sd="1" m="1" x="5453"/>
        <item t="data" sd="1" m="1" x="5472"/>
        <item t="data" sd="1" m="1" x="5456"/>
        <item t="data" sd="1" m="1" x="5213"/>
        <item t="data" sd="1" m="1" x="5455"/>
        <item t="data" sd="1" m="1" x="5457"/>
        <item t="data" sd="1" m="1" x="5843"/>
        <item t="data" sd="1" m="1" x="2954"/>
        <item t="data" sd="1" m="1" x="4787"/>
        <item t="data" sd="1" m="1" x="5470"/>
        <item t="data" sd="1" m="1" x="5485"/>
        <item t="data" sd="1" m="1" x="5492"/>
        <item t="data" sd="1" m="1" x="5498"/>
        <item t="data" sd="1" m="1" x="5499"/>
        <item t="data" sd="1" m="1" x="5506"/>
        <item t="data" sd="1" m="1" x="5681"/>
        <item t="data" sd="1" m="1" x="5510"/>
        <item t="data" sd="1" m="1" x="3621"/>
        <item t="data" sd="1" m="1" x="3622"/>
        <item t="data" sd="1" m="1" x="3623"/>
        <item t="data" sd="1" m="1" x="3624"/>
        <item t="data" sd="1" m="1" x="3625"/>
        <item t="data" sd="1" m="1" x="1479"/>
        <item t="data" sd="1" m="1" x="1480"/>
        <item t="data" sd="1" m="1" x="1481"/>
        <item t="data" sd="1" m="1" x="3620"/>
        <item t="data" sd="1" m="1" x="2002"/>
        <item t="data" sd="1" m="1" x="3618"/>
        <item t="data" sd="1" m="1" x="3619"/>
        <item t="data" sd="1" m="1" x="5844"/>
        <item t="data" sd="1" m="1" x="5845"/>
        <item t="data" sd="1" m="1" x="5517"/>
        <item t="data" sd="1" m="1" x="5850"/>
        <item t="data" sd="1" m="1" x="5540"/>
        <item t="data" sd="1" m="1" x="5087"/>
        <item t="data" sd="1" m="1" x="5088"/>
        <item t="data" sd="1" m="1" x="5089"/>
        <item t="data" sd="1" m="1" x="5853"/>
        <item t="data" sd="1" m="1" x="5856"/>
        <item t="data" sd="1" m="1" x="5857"/>
        <item t="data" sd="1" m="1" x="5858"/>
        <item t="data" sd="1" m="1" x="5222"/>
        <item t="data" sd="1" m="1" x="5860"/>
        <item t="data" sd="1" m="1" x="5770"/>
        <item t="data" sd="1" m="1" x="5861"/>
        <item t="data" sd="1" m="1" x="5862"/>
        <item t="data" sd="1" m="1" x="5863"/>
        <item t="data" sd="1" m="1" x="5864"/>
        <item t="data" sd="1" m="1" x="5865"/>
        <item t="data" sd="1" m="1" x="5769"/>
        <item t="data" sd="1" m="1" x="5866"/>
        <item t="data" sd="1" m="1" x="5867"/>
        <item t="data" sd="1" m="1" x="5236"/>
        <item t="data" sd="1" m="1" x="5231"/>
        <item t="data" sd="1" m="1" x="5868"/>
        <item t="data" sd="1" m="1" x="5870"/>
        <item t="data" sd="1" m="1" x="5872"/>
        <item t="data" sd="1" m="1" x="5703"/>
        <item t="data" sd="1" m="1" x="5873"/>
        <item t="data" sd="1" m="1" x="5874"/>
        <item t="data" sd="1" m="1" x="5877"/>
        <item t="data" sd="1" m="1" x="5878"/>
        <item t="data" sd="1" m="1" x="5879"/>
        <item t="data" sd="1" m="1" x="5575"/>
        <item t="data" sd="1" m="1" x="5880"/>
        <item t="data" sd="1" m="1" x="5881"/>
        <item t="data" sd="1" m="1" x="5882"/>
        <item t="data" sd="1" m="1" x="5883"/>
        <item t="data" sd="1" m="1" x="5884"/>
        <item t="data" sd="1" m="1" x="5885"/>
        <item t="data" sd="1" m="1" x="5570"/>
        <item t="data" sd="1" m="1" x="5886"/>
        <item t="data" sd="1" m="1" x="5887"/>
        <item t="data" sd="1" m="1" x="5717"/>
        <item t="data" sd="1" m="1" x="5288"/>
        <item t="data" sd="1" m="1" x="5302"/>
        <item t="data" sd="1" m="1" x="5888"/>
        <item t="data" sd="1" m="1" x="5891"/>
        <item t="data" sd="1" m="1" x="5892"/>
        <item t="data" sd="1" m="1" x="5894"/>
        <item t="data" sd="1" m="1" x="5895"/>
        <item t="data" sd="1" m="1" x="5896"/>
        <item t="data" sd="1" m="1" x="5897"/>
        <item t="data" sd="1" m="1" x="5898"/>
        <item t="data" sd="1" m="1" x="5899"/>
        <item t="data" sd="1" m="1" x="5900"/>
        <item t="data" sd="1" m="1" x="5901"/>
        <item t="data" sd="1" m="1" x="5902"/>
        <item t="data" sd="1" m="1" x="5754"/>
        <item t="data" sd="1" m="1" x="5903"/>
        <item t="data" sd="1" m="1" x="5904"/>
        <item t="data" sd="1" m="1" x="5908"/>
        <item t="data" sd="1" m="1" x="5913"/>
        <item t="data" sd="1" m="1" x="5665"/>
        <item t="data" sd="1" m="1" x="5914"/>
        <item t="data" sd="1" m="1" x="5731"/>
        <item t="data" sd="1" m="1" x="3055"/>
        <item t="data" sd="1" m="1" x="5668"/>
        <item t="data" sd="1" m="1" x="5332"/>
        <item t="data" sd="1" m="1" x="5333"/>
        <item t="data" sd="1" m="1" x="5337"/>
        <item t="data" sd="1" m="1" x="5350"/>
        <item t="data" sd="1" m="1" x="5359"/>
        <item t="data" sd="1" m="1" x="3867"/>
        <item t="data" sd="1" m="1" x="5366"/>
        <item t="data" sd="1" m="1" x="5374"/>
        <item t="data" sd="1" m="1" x="5732"/>
        <item t="data" sd="1" m="1" x="5733"/>
        <item t="data" sd="1" m="1" x="5734"/>
        <item t="data" sd="1" m="1" x="5735"/>
        <item t="data" sd="1" m="1" x="5407"/>
        <item t="data" sd="1" m="1" x="2015"/>
        <item t="data" sd="1" m="1" x="4926"/>
        <item t="data" sd="1" m="1" x="4927"/>
        <item t="data" sd="1" m="1" x="5676"/>
        <item t="data" sd="1" m="1" x="5736"/>
        <item t="data" sd="1" m="1" x="5397"/>
        <item t="data" sd="1" m="1" x="5415"/>
        <item t="data" sd="1" m="1" x="5413"/>
        <item t="data" sd="1" m="1" x="5404"/>
        <item t="data" sd="1" m="1" x="5405"/>
        <item t="data" sd="1" m="1" x="5406"/>
        <item t="data" sd="1" m="1" x="4498"/>
        <item t="data" sd="1" m="1" x="1486"/>
        <item t="data" sd="1" m="1" x="5752"/>
        <item t="data" sd="1" m="1" x="5425"/>
        <item t="data" sd="1" m="1" x="5753"/>
        <item t="data" sd="1" m="1" x="4186"/>
        <item t="data" sd="1" m="1" x="5433"/>
        <item t="data" sd="1" m="1" x="5440"/>
        <item t="data" sd="1" m="1" x="5441"/>
        <item t="data" sd="1" m="1" x="5444"/>
        <item t="data" sd="1" m="1" x="5442"/>
        <item t="data" sd="1" m="1" x="5755"/>
        <item t="data" sd="1" m="1" x="5756"/>
        <item t="data" sd="1" m="1" x="5757"/>
        <item t="data" sd="1" m="1" x="5758"/>
        <item t="data" sd="1" m="1" x="5761"/>
        <item t="data" sd="1" m="1" x="5477"/>
        <item t="data" sd="1" m="1" x="5476"/>
        <item t="data" sd="1" m="1" x="5080"/>
        <item t="data" sd="1" m="1" x="1478"/>
        <item t="data" sd="1" m="1" x="5463"/>
        <item t="data" sd="1" m="1" x="5466"/>
        <item t="data" sd="1" m="1" x="5465"/>
        <item t="data" sd="1" m="1" x="5471"/>
        <item t="data" sd="1" m="1" x="5481"/>
        <item t="data" sd="1" m="1" x="5487"/>
        <item t="data" sd="1" m="1" x="5488"/>
        <item t="data" sd="1" m="1" x="5490"/>
        <item t="data" sd="1" m="1" x="5491"/>
        <item t="data" sd="1" m="1" x="5762"/>
        <item t="data" sd="1" m="1" x="2289"/>
        <item t="data" sd="1" m="1" x="5500"/>
        <item t="data" sd="1" m="1" x="5501"/>
        <item t="data" sd="1" m="1" x="5502"/>
        <item t="data" sd="1" m="1" x="5503"/>
        <item t="data" sd="1" m="1" x="5504"/>
        <item t="data" sd="1" m="1" x="5680"/>
        <item t="data" sd="1" m="1" x="4938"/>
        <item t="data" sd="1" m="1" x="5763"/>
        <item t="data" sd="1" m="1" x="5513"/>
        <item t="data" sd="1" m="1" x="5514"/>
        <item t="data" sd="1" m="1" x="5522"/>
        <item t="data" sd="1" m="1" x="5085"/>
        <item t="data" sd="1" m="1" x="5523"/>
        <item t="data" sd="1" m="1" x="5524"/>
        <item t="data" sd="1" m="1" x="5515"/>
        <item t="data" sd="1" m="1" x="5516"/>
        <item t="data" sd="1" m="1" x="5525"/>
        <item t="data" sd="1" m="1" x="5526"/>
        <item t="data" sd="1" m="1" x="5122"/>
        <item t="data" sd="1" m="1" x="5535"/>
        <item t="data" sd="1" m="1" x="5538"/>
        <item t="data" sd="1" m="1" x="5539"/>
        <item t="data" sd="1" m="1" x="5549"/>
        <item t="data" sd="1" m="1" x="4624"/>
        <item t="data" sd="1" m="1" x="4625"/>
        <item t="data" sd="1" m="1" x="4626"/>
        <item t="data" sd="1" m="1" x="5766"/>
        <item t="data" sd="1" m="1" x="5767"/>
        <item t="data" sd="1" m="1" x="5694"/>
        <item t="data" sd="1" m="1" x="5768"/>
        <item t="data" sd="1" m="1" x="5696"/>
        <item t="data" sd="1" m="1" x="5303"/>
        <item t="data" sd="1" m="1" x="5695"/>
        <item t="data" sd="1" m="1" x="4794"/>
        <item t="data" sd="1" m="1" x="5699"/>
        <item t="data" sd="1" m="1" x="5240"/>
        <item t="data" sd="1" m="1" x="5771"/>
        <item t="data" sd="1" m="1" x="5772"/>
        <item t="data" sd="1" m="1" x="5601"/>
        <item t="data" sd="1" m="1" x="5773"/>
        <item t="data" sd="1" m="1" x="5774"/>
        <item t="data" sd="1" m="1" x="5775"/>
        <item t="data" sd="1" m="1" x="5603"/>
        <item t="data" sd="1" m="1" x="5776"/>
        <item t="data" sd="1" m="1" x="5777"/>
        <item t="data" sd="1" m="1" x="5778"/>
        <item t="data" sd="1" m="1" x="5779"/>
        <item t="data" sd="1" m="1" x="5780"/>
        <item t="data" sd="1" m="1" x="5781"/>
        <item t="data" sd="1" m="1" x="5782"/>
        <item t="data" sd="1" m="1" x="5783"/>
        <item t="data" sd="1" m="1" x="5784"/>
        <item t="data" sd="1" m="1" x="5785"/>
        <item t="data" sd="1" m="1" x="5786"/>
        <item t="data" sd="1" m="1" x="5787"/>
        <item t="data" sd="1" m="1" x="5788"/>
        <item t="data" sd="1" m="1" x="5789"/>
        <item t="data" sd="1" m="1" x="5262"/>
        <item t="data" sd="1" m="1" x="5790"/>
        <item t="data" sd="1" m="1" x="5592"/>
        <item t="data" sd="1" m="1" x="5322"/>
        <item t="data" sd="1" m="1" x="5594"/>
        <item t="data" sd="1" m="1" x="5248"/>
        <item t="data" sd="1" m="1" x="5249"/>
        <item t="data" sd="1" m="1" x="5792"/>
        <item t="data" sd="1" m="1" x="5624"/>
        <item t="data" sd="1" m="1" x="3089"/>
        <item t="data" sd="1" m="1" x="5793"/>
        <item t="data" sd="1" m="1" x="5306"/>
        <item t="data" sd="1" m="1" x="5794"/>
        <item t="data" sd="1" m="1" x="5795"/>
        <item t="data" sd="1" m="1" x="5796"/>
        <item t="data" sd="1" m="1" x="5797"/>
        <item t="data" sd="1" m="1" x="5798"/>
        <item t="data" sd="1" m="1" x="5799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310"/>
        <item t="data" sd="1" m="1" x="4256"/>
        <item t="data" sd="1" m="1" x="5667"/>
        <item t="data" sd="1" m="1" x="3051"/>
        <item t="data" sd="1" m="1" x="5341"/>
        <item t="data" sd="1" m="1" x="5346"/>
        <item t="data" sd="1" m="1" x="5347"/>
        <item t="data" sd="1" m="1" x="5338"/>
        <item t="data" sd="1" m="1" x="5339"/>
        <item t="data" sd="1" m="1" x="5340"/>
        <item t="data" sd="1" m="1" x="5355"/>
        <item t="data" sd="1" m="1" x="5356"/>
        <item t="data" sd="1" m="1" x="5165"/>
        <item t="data" sd="1" m="1" x="5358"/>
        <item t="data" sd="1" m="1" x="5360"/>
        <item t="data" sd="1" m="1" x="4813"/>
        <item t="data" sd="1" m="1" x="5365"/>
        <item t="data" sd="1" m="1" x="3022"/>
        <item t="data" sd="1" m="1" x="5383"/>
        <item t="data" sd="1" m="1" x="4499"/>
        <item t="data" sd="1" m="1" x="5418"/>
        <item t="data" sd="1" m="1" x="3359"/>
        <item t="data" sd="1" m="1" x="5422"/>
        <item t="data" sd="1" m="1" x="4503"/>
        <item t="data" sd="1" m="1" x="5435"/>
        <item t="data" sd="1" m="1" x="1485"/>
        <item t="data" sd="1" m="1" x="4931"/>
        <item t="data" sd="1" m="1" x="4932"/>
        <item t="data" sd="1" m="1" x="5443"/>
        <item t="data" sd="1" m="1" x="3703"/>
        <item t="data" sd="1" m="1" x="5079"/>
        <item t="data" sd="1" m="1" x="5212"/>
        <item t="data" sd="1" m="1" x="4185"/>
        <item t="data" sd="1" m="1" x="5480"/>
        <item t="data" sd="1" m="1" x="5081"/>
        <item t="data" sd="1" m="1" x="5464"/>
        <item t="data" sd="1" m="1" x="5483"/>
        <item t="data" sd="1" m="1" x="5484"/>
        <item t="data" sd="1" m="1" x="5493"/>
        <item t="data" sd="1" m="1" x="5489"/>
        <item t="data" sd="1" m="1" x="5495"/>
        <item t="data" sd="1" m="1" x="4937"/>
        <item t="data" sd="1" m="1" x="5497"/>
        <item t="data" sd="1" m="1" x="4548"/>
        <item t="data" sd="1" m="1" x="5532"/>
        <item t="data" sd="1" m="1" x="5084"/>
        <item t="data" sd="1" m="1" x="5519"/>
        <item t="data" sd="1" m="1" x="5528"/>
        <item t="data" sd="1" m="1" x="5086"/>
        <item t="data" sd="1" m="1" x="5543"/>
        <item t="data" sd="1" m="1" x="5546"/>
        <item t="data" sd="1" m="1" x="5548"/>
        <item t="data" sd="1" m="1" x="4700"/>
        <item t="data" sd="1" m="1" x="5534"/>
        <item t="data" sd="1" m="1" x="5550"/>
        <item t="data" sd="1" m="1" x="5692"/>
        <item t="data" sd="1" m="1" x="5693"/>
        <item t="data" sd="1" m="1" x="5697"/>
        <item t="data" sd="1" m="1" x="5698"/>
        <item t="data" sd="1" m="1" x="5235"/>
        <item t="data" sd="1" m="1" x="5700"/>
        <item t="data" sd="1" m="1" x="5702"/>
        <item t="data" sd="1" m="1" x="5704"/>
        <item t="data" sd="1" m="1" x="5705"/>
        <item t="data" sd="1" m="1" x="5706"/>
        <item t="data" sd="1" m="1" x="5707"/>
        <item t="data" sd="1" m="1" x="5708"/>
        <item t="data" sd="1" m="1" x="5709"/>
        <item t="data" sd="1" m="1" x="5710"/>
        <item t="data" sd="1" m="1" x="5568"/>
        <item t="data" sd="1" m="1" x="5712"/>
        <item t="data" sd="1" m="1" x="5713"/>
        <item t="data" sd="1" m="1" x="5714"/>
        <item t="data" sd="1" m="1" x="5715"/>
        <item t="data" sd="1" m="1" x="5716"/>
        <item t="data" sd="1" m="1" x="5261"/>
        <item t="data" sd="1" m="1" x="4865"/>
        <item t="data" sd="1" m="1" x="5289"/>
        <item t="data" sd="1" m="1" x="5292"/>
        <item t="data" sd="1" m="1" x="5719"/>
        <item t="data" sd="1" m="1" x="5633"/>
        <item t="data" sd="1" m="1" x="5720"/>
        <item t="data" sd="1" m="1" x="5721"/>
        <item t="data" sd="1" m="1" x="5722"/>
        <item t="data" sd="1" m="1" x="5723"/>
        <item t="data" sd="1" m="1" x="5725"/>
        <item t="data" sd="1" m="1" x="1482"/>
        <item t="data" sd="1" m="1" x="5726"/>
        <item t="data" sd="1" m="1" x="3796"/>
        <item t="data" sd="1" m="1" x="5727"/>
        <item t="data" sd="1" m="1" x="5728"/>
        <item t="data" sd="1" m="1" x="5648"/>
        <item t="data" sd="1" m="1" x="5729"/>
        <item t="data" sd="1" m="1" x="5730"/>
        <item t="data" sd="1" m="1" x="3270"/>
        <item t="data" sd="1" m="1" x="5321"/>
        <item t="data" sd="1" m="1" x="5329"/>
        <item t="data" sd="1" m="1" x="4922"/>
        <item t="data" sd="1" m="1" x="5334"/>
        <item t="data" sd="1" m="1" x="5335"/>
        <item t="data" sd="1" m="1" x="5336"/>
        <item t="data" sd="1" m="1" x="5342"/>
        <item t="data" sd="1" m="1" x="5344"/>
        <item t="data" sd="1" m="1" x="5345"/>
        <item t="data" sd="1" m="1" x="3797"/>
        <item t="data" sd="1" m="1" x="4857"/>
        <item t="data" sd="1" m="1" x="5349"/>
        <item t="data" sd="1" m="1" x="5351"/>
        <item t="data" sd="1" m="1" x="5352"/>
        <item t="data" sd="1" m="1" x="5353"/>
        <item t="data" sd="1" m="1" x="5354"/>
        <item t="data" sd="1" m="1" x="5093"/>
        <item t="data" sd="1" m="1" x="5363"/>
        <item t="data" sd="1" m="1" x="5372"/>
        <item t="data" sd="1" m="1" x="5373"/>
        <item t="data" sd="1" m="1" x="5375"/>
        <item t="data" sd="1" m="1" x="5376"/>
        <item t="data" sd="1" m="1" x="5377"/>
        <item t="data" sd="1" m="1" x="5378"/>
        <item t="data" sd="1" m="1" x="1492"/>
        <item t="data" sd="1" m="1" x="1493"/>
        <item t="data" sd="1" m="1" x="5379"/>
        <item t="data" sd="1" m="1" x="5380"/>
        <item t="data" sd="1" m="1" x="5381"/>
        <item t="data" sd="1" m="1" x="5382"/>
        <item t="data" sd="1" m="1" x="5197"/>
        <item t="data" sd="1" m="1" x="5385"/>
        <item t="data" sd="1" m="1" x="5386"/>
        <item t="data" sd="1" m="1" x="5387"/>
        <item t="data" sd="1" m="1" x="5388"/>
        <item t="data" sd="1" m="1" x="5389"/>
        <item t="data" sd="1" m="1" x="5390"/>
        <item t="data" sd="1" m="1" x="5391"/>
        <item t="data" sd="1" m="1" x="5392"/>
        <item t="data" sd="1" m="1" x="5396"/>
        <item t="data" sd="1" m="1" x="5096"/>
        <item t="data" sd="1" m="1" x="5399"/>
        <item t="data" sd="1" m="1" x="1500"/>
        <item t="data" sd="1" m="1" x="5403"/>
        <item t="data" sd="1" m="1" x="5094"/>
        <item t="data" sd="1" m="1" x="5412"/>
        <item t="data" sd="1" m="1" x="5416"/>
        <item t="data" sd="1" m="1" x="5095"/>
        <item t="data" sd="1" m="1" x="4928"/>
        <item t="data" sd="1" m="1" x="5209"/>
        <item t="data" sd="1" m="1" x="5426"/>
        <item t="data" sd="1" m="1" x="3959"/>
        <item t="data" sd="1" m="1" x="5434"/>
        <item t="data" sd="1" m="1" x="1483"/>
        <item t="data" sd="1" m="1" x="4934"/>
        <item t="data" sd="1" m="1" x="5210"/>
        <item t="data" sd="1" m="1" x="5211"/>
        <item t="data" sd="1" m="1" x="3955"/>
        <item t="data" sd="1" m="1" x="5459"/>
        <item t="data" sd="1" m="1" x="5461"/>
        <item t="data" sd="1" m="1" x="5462"/>
        <item t="data" sd="1" m="1" x="5468"/>
        <item t="data" sd="1" m="1" x="5469"/>
        <item t="data" sd="1" m="1" x="5478"/>
        <item t="data" sd="1" m="1" x="5479"/>
        <item t="data" sd="1" m="1" x="5496"/>
        <item t="data" sd="1" m="1" x="4544"/>
        <item t="data" sd="1" m="1" x="4545"/>
        <item t="data" sd="1" m="1" x="4547"/>
        <item t="data" sd="1" m="1" x="4551"/>
        <item t="data" sd="1" m="1" x="5505"/>
        <item t="data" sd="1" m="1" x="4623"/>
        <item t="data" sd="1" m="1" x="5507"/>
        <item t="data" sd="1" m="1" x="4552"/>
        <item t="data" sd="1" m="1" x="5132"/>
        <item t="data" sd="1" m="1" x="5520"/>
        <item t="data" sd="1" m="1" x="5527"/>
        <item t="data" sd="1" m="1" x="1511"/>
        <item t="data" sd="1" m="1" x="5531"/>
        <item t="data" sd="1" m="1" x="1487"/>
        <item t="data" sd="1" m="1" x="1489"/>
        <item t="data" sd="1" m="1" x="1490"/>
        <item t="data" sd="1" m="1" x="1491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5533"/>
        <item t="data" sd="1" m="1" x="4788"/>
        <item t="data" sd="1" m="1" x="4789"/>
        <item t="data" sd="1" m="1" x="4790"/>
        <item t="data" sd="1" m="1" x="4791"/>
        <item t="data" sd="1" m="1" x="4792"/>
        <item t="data" sd="1" m="1" x="4793"/>
        <item t="data" sd="1" m="1" x="1488"/>
        <item t="data" sd="1" m="1" x="3499"/>
        <item t="data" sd="1" m="1" x="5537"/>
        <item t="data" sd="1" m="1" x="5541"/>
        <item t="data" sd="1" m="1" x="5542"/>
        <item t="data" sd="1" m="1" x="5547"/>
        <item t="data" sd="1" m="1" x="5551"/>
        <item t="data" sd="1" m="1" x="5554"/>
        <item t="data" sd="1" m="1" x="5113"/>
        <item t="data" sd="1" m="1" x="5115"/>
        <item t="data" sd="1" m="1" x="5111"/>
        <item t="data" sd="1" m="1" x="5110"/>
        <item t="data" sd="1" m="1" x="5114"/>
        <item t="data" sd="1" m="1" x="5112"/>
        <item t="data" sd="1" m="1" x="5555"/>
        <item t="data" sd="1" m="1" x="5558"/>
        <item t="data" sd="1" m="1" x="5311"/>
        <item t="data" sd="1" m="1" x="5559"/>
        <item t="data" sd="1" m="1" x="5560"/>
        <item t="data" sd="1" m="1" x="5561"/>
        <item t="data" sd="1" m="1" x="5562"/>
        <item t="data" sd="1" m="1" x="5563"/>
        <item t="data" sd="1" m="1" x="5564"/>
        <item t="data" sd="1" m="1" x="5565"/>
        <item t="data" sd="1" m="1" x="5567"/>
        <item t="data" sd="1" m="1" x="5569"/>
        <item t="data" sd="1" m="1" x="5571"/>
        <item t="data" sd="1" m="1" x="5572"/>
        <item t="data" sd="1" m="1" x="5127"/>
        <item t="data" sd="1" m="1" x="5573"/>
        <item t="data" sd="1" m="1" x="5574"/>
        <item t="data" sd="1" m="1" x="5267"/>
        <item t="data" sd="1" m="1" x="5577"/>
        <item t="data" sd="1" m="1" x="5578"/>
        <item t="data" sd="1" m="1" x="5580"/>
        <item t="data" sd="1" m="1" x="5121"/>
        <item t="data" sd="1" m="1" x="5581"/>
        <item t="data" sd="1" m="1" x="5123"/>
        <item t="data" sd="1" m="1" x="5582"/>
        <item t="data" sd="1" m="1" x="5586"/>
        <item t="data" sd="1" m="1" x="5588"/>
        <item t="data" sd="1" m="1" x="5589"/>
        <item t="data" sd="1" m="1" x="5590"/>
        <item t="data" sd="1" m="1" x="5591"/>
        <item t="data" sd="1" m="1" x="5598"/>
        <item t="data" sd="1" m="1" x="5599"/>
        <item t="data" sd="1" m="1" x="5600"/>
        <item t="data" sd="1" m="1" x="4314"/>
        <item t="data" sd="1" m="1" x="5606"/>
        <item t="data" sd="1" m="1" x="5271"/>
        <item t="data" sd="1" m="1" x="5607"/>
        <item t="data" sd="1" m="1" x="4908"/>
        <item t="data" sd="1" m="1" x="5608"/>
        <item t="data" sd="1" m="1" x="5609"/>
        <item t="data" sd="1" m="1" x="5610"/>
        <item t="data" sd="1" m="1" x="5611"/>
        <item t="data" sd="1" m="1" x="5612"/>
        <item t="data" sd="1" m="1" x="5613"/>
        <item t="data" sd="1" m="1" x="5247"/>
        <item t="data" sd="1" m="1" x="5616"/>
        <item t="data" sd="1" m="1" x="5617"/>
        <item t="data" sd="1" m="1" x="5618"/>
        <item t="data" sd="1" m="1" x="5251"/>
        <item t="data" sd="1" m="1" x="5619"/>
        <item t="data" sd="1" m="1" x="5621"/>
        <item t="data" sd="1" m="1" x="5266"/>
        <item t="data" sd="1" m="1" x="5285"/>
        <item t="data" sd="1" m="1" x="5290"/>
        <item t="data" sd="1" m="1" x="5622"/>
        <item t="data" sd="1" m="1" x="5129"/>
        <item t="data" sd="1" m="1" x="5128"/>
        <item t="data" sd="1" m="1" x="5296"/>
        <item t="data" sd="1" m="1" x="5625"/>
        <item t="data" sd="1" m="1" x="5300"/>
        <item t="data" sd="1" m="1" x="5627"/>
        <item t="data" sd="1" m="1" x="5634"/>
        <item t="data" sd="1" m="1" x="5308"/>
        <item t="data" sd="1" m="1" x="4628"/>
        <item t="data" sd="1" m="1" x="5635"/>
        <item t="data" sd="1" m="1" x="5636"/>
        <item t="data" sd="1" m="1" x="5637"/>
        <item t="data" sd="1" m="1" x="5638"/>
        <item t="data" sd="1" m="1" x="5639"/>
        <item t="data" sd="1" m="1" x="5640"/>
        <item t="data" sd="1" m="1" x="5641"/>
        <item t="data" sd="1" m="1" x="5642"/>
        <item t="data" sd="1" m="1" x="5643"/>
        <item t="data" sd="1" m="1" x="5644"/>
        <item t="data" sd="1" m="1" x="5645"/>
        <item t="data" sd="1" m="1" x="5646"/>
        <item t="data" sd="1" m="1" x="5650"/>
        <item t="data" sd="1" m="1" x="5315"/>
        <item t="data" sd="1" m="1" x="5661"/>
        <item t="data" sd="1" m="1" x="5663"/>
        <item t="data" sd="1" m="1" x="5319"/>
        <item t="data" sd="1" x="309"/>
        <item t="data" sd="1" m="1" x="3367"/>
        <item t="data" sd="1" m="1" x="3368"/>
        <item t="data" sd="1" m="1" x="3369"/>
        <item t="data" sd="1" m="1" x="3370"/>
        <item t="data" sd="1" m="1" x="1509"/>
        <item t="data" sd="1" m="1" x="5090"/>
        <item t="data" sd="1" m="1" x="4485"/>
        <item t="data" sd="1" m="1" x="4945"/>
        <item t="data" sd="1" m="1" x="4946"/>
        <item t="data" sd="1" m="1" x="5193"/>
        <item t="data" sd="1" m="1" x="5092"/>
        <item t="data" sd="1" m="1" x="3863"/>
        <item t="data" sd="1" m="1" x="4924"/>
        <item t="data" sd="1" m="1" x="4925"/>
        <item t="data" sd="1" m="1" x="5194"/>
        <item t="data" sd="1" m="1" x="5195"/>
        <item t="data" sd="1" m="1" x="5198"/>
        <item t="data" sd="1" m="1" x="4966"/>
        <item t="data" sd="1" m="1" x="3442"/>
        <item t="data" sd="1" m="1" x="3439"/>
        <item t="data" sd="1" m="1" x="3598"/>
        <item t="data" sd="1" m="1" x="3440"/>
        <item t="data" sd="1" m="1" x="5202"/>
        <item t="data" sd="1" m="1" x="5203"/>
        <item t="data" sd="1" m="1" x="5204"/>
        <item t="data" sd="1" m="1" x="5205"/>
        <item t="data" sd="1" m="1" x="3430"/>
        <item t="data" sd="1" m="1" x="5208"/>
        <item t="data" sd="1" m="1" x="4620"/>
        <item t="data" sd="1" m="1" x="3514"/>
        <item t="data" sd="1" m="1" x="4929"/>
        <item t="data" sd="1" m="1" x="4930"/>
        <item t="data" sd="1" m="1" x="4974"/>
        <item t="data" sd="1" m="1" x="4975"/>
        <item t="data" sd="1" m="1" x="5098"/>
        <item t="data" sd="1" m="1" x="5100"/>
        <item t="data" sd="1" m="1" x="5099"/>
        <item t="data" sd="1" m="1" x="5101"/>
        <item t="data" sd="1" m="1" x="4982"/>
        <item t="data" sd="1" m="1" x="4936"/>
        <item t="data" sd="1" m="1" x="4376"/>
        <item t="data" sd="1" m="1" x="1506"/>
        <item t="data" sd="1" m="1" x="1507"/>
        <item t="data" sd="1" m="1" x="1508"/>
        <item t="data" sd="1" m="1" x="5214"/>
        <item t="data" sd="1" m="1" x="1510"/>
        <item t="data" sd="1" m="1" x="5216"/>
        <item t="data" sd="1" m="1" x="5103"/>
        <item t="data" sd="1" m="1" x="4567"/>
        <item t="data" sd="1" m="1" x="4568"/>
        <item t="data" sd="1" m="1" x="4939"/>
        <item t="data" sd="1" m="1" x="3633"/>
        <item t="data" sd="1" m="1" x="4940"/>
        <item t="data" sd="1" m="1" x="4992"/>
        <item t="data" sd="1" m="1" x="4989"/>
        <item t="data" sd="1" m="1" x="4990"/>
        <item t="data" sd="1" m="1" x="1501"/>
        <item t="data" sd="1" m="1" x="5104"/>
        <item t="data" sd="1" m="1" x="5105"/>
        <item t="data" sd="1" m="1" x="4994"/>
        <item t="data" sd="1" m="1" x="5219"/>
        <item t="data" sd="1" m="1" x="5221"/>
        <item t="data" sd="1" m="1" x="5223"/>
        <item t="data" sd="1" m="1" x="5224"/>
        <item t="data" sd="1" m="1" x="5225"/>
        <item t="data" sd="1" m="1" x="5226"/>
        <item t="data" sd="1" m="1" x="5227"/>
        <item t="data" sd="1" m="1" x="5228"/>
        <item t="data" sd="1" m="1" x="5229"/>
        <item t="data" sd="1" m="1" x="5230"/>
        <item t="data" sd="1" m="1" x="3088"/>
        <item t="data" sd="1" m="1" x="5107"/>
        <item t="data" sd="1" m="1" x="4337"/>
        <item t="data" sd="1" m="1" x="4338"/>
        <item t="data" sd="1" m="1" x="4339"/>
        <item t="data" sd="1" m="1" x="5238"/>
        <item t="data" sd="1" m="1" x="2004"/>
        <item t="data" sd="1" m="1" x="5239"/>
        <item t="data" sd="1" m="1" x="4622"/>
        <item t="data" sd="1" m="1" x="5242"/>
        <item t="data" sd="1" m="1" x="5243"/>
        <item t="data" sd="1" m="1" x="5244"/>
        <item t="data" sd="1" m="1" x="5245"/>
        <item t="data" sd="1" m="1" x="5246"/>
        <item t="data" sd="1" m="1" x="5250"/>
        <item t="data" sd="1" m="1" x="5252"/>
        <item t="data" sd="1" m="1" x="5253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60"/>
        <item t="data" sd="1" m="1" x="5263"/>
        <item t="data" sd="1" m="1" x="5264"/>
        <item t="data" sd="1" m="1" x="5265"/>
        <item t="data" sd="1" m="1" x="5268"/>
        <item t="data" sd="1" m="1" x="5269"/>
        <item t="data" sd="1" m="1" x="5270"/>
        <item t="data" sd="1" m="1" x="5272"/>
        <item t="data" sd="1" m="1" x="5273"/>
        <item t="data" sd="1" m="1" x="5274"/>
        <item t="data" sd="1" m="1" x="5276"/>
        <item t="data" sd="1" m="1" x="5278"/>
        <item t="data" sd="1" m="1" x="5279"/>
        <item t="data" sd="1" m="1" x="5280"/>
        <item t="data" sd="1" m="1" x="5282"/>
        <item t="data" sd="1" m="1" x="5283"/>
        <item t="data" sd="1" m="1" x="5284"/>
        <item t="data" sd="1" m="1" x="5286"/>
        <item t="data" sd="1" m="1" x="5293"/>
        <item t="data" sd="1" m="1" x="5294"/>
        <item t="data" sd="1" m="1" x="5297"/>
        <item t="data" sd="1" m="1" x="5298"/>
        <item t="data" sd="1" m="1" x="5299"/>
        <item t="data" sd="1" m="1" x="5304"/>
        <item t="data" sd="1" m="1" x="5305"/>
        <item t="data" sd="1" m="1" x="5309"/>
        <item t="data" sd="1" m="1" x="4310"/>
        <item t="data" sd="1" m="1" x="5314"/>
        <item t="data" sd="1" m="1" x="5317"/>
        <item t="data" sd="1" m="1" x="3377"/>
        <item t="data" sd="1" m="1" x="1543"/>
        <item t="data" sd="1" m="1" x="4944"/>
        <item t="data" sd="1" m="1" x="5091"/>
        <item t="data" sd="1" m="1" x="4951"/>
        <item t="data" sd="1" m="1" x="4961"/>
        <item t="data" sd="1" m="1" x="4962"/>
        <item t="data" sd="1" m="1" x="4447"/>
        <item t="data" sd="1" m="1" x="2007"/>
        <item t="data" sd="1" m="1" x="4956"/>
        <item t="data" sd="1" m="1" x="1502"/>
        <item t="data" sd="1" m="1" x="4621"/>
        <item t="data" sd="1" m="1" x="3441"/>
        <item t="data" sd="1" m="1" x="3434"/>
        <item t="data" sd="1" m="1" x="3433"/>
        <item t="data" sd="1" m="1" x="3443"/>
        <item t="data" sd="1" m="1" x="3948"/>
        <item t="data" sd="1" m="1" x="3437"/>
        <item t="data" sd="1" m="1" x="3438"/>
        <item t="data" sd="1" m="1" x="4959"/>
        <item t="data" sd="1" m="1" x="4619"/>
        <item t="data" sd="1" m="1" x="3467"/>
        <item t="data" sd="1" m="1" x="5097"/>
        <item t="data" sd="1" m="1" x="3947"/>
        <item t="data" sd="1" m="1" x="3960"/>
        <item t="data" sd="1" m="1" x="4973"/>
        <item t="data" sd="1" m="1" x="1503"/>
        <item t="data" sd="1" m="1" x="3375"/>
        <item t="data" sd="1" m="1" x="4972"/>
        <item t="data" sd="1" m="1" x="1504"/>
        <item t="data" sd="1" m="1" x="4981"/>
        <item t="data" sd="1" m="1" x="5102"/>
        <item t="data" sd="1" m="1" x="4983"/>
        <item t="data" sd="1" m="1" x="4984"/>
        <item t="data" sd="1" m="1" x="2006"/>
        <item t="data" sd="1" m="1" x="1505"/>
        <item t="data" sd="1" m="1" x="1559"/>
        <item t="data" sd="1" m="1" x="1560"/>
        <item t="data" sd="1" m="1" x="1561"/>
        <item t="data" sd="1" m="1" x="1562"/>
        <item t="data" sd="1" m="1" x="4991"/>
        <item t="data" sd="1" m="1" x="5106"/>
        <item t="data" sd="1" m="1" x="5108"/>
        <item t="data" sd="1" m="1" x="5109"/>
        <item t="data" sd="1" m="1" x="4647"/>
        <item t="data" sd="1" m="1" x="5116"/>
        <item t="data" sd="1" m="1" x="5117"/>
        <item t="data" sd="1" m="1" x="5118"/>
        <item t="data" sd="1" m="1" x="5119"/>
        <item t="data" sd="1" m="1" x="1514"/>
        <item t="data" sd="1" m="1" x="5120"/>
        <item t="data" sd="1" m="1" x="5124"/>
        <item t="data" sd="1" m="1" x="5125"/>
        <item t="data" sd="1" m="1" x="4643"/>
        <item t="data" sd="1" m="1" x="5126"/>
        <item t="data" sd="1" m="1" x="5130"/>
        <item t="data" sd="1" m="1" x="5131"/>
        <item t="data" sd="1" m="1" x="5133"/>
        <item t="data" sd="1" m="1" x="5134"/>
        <item t="data" sd="1" m="1" x="5135"/>
        <item t="data" sd="1" m="1" x="5136"/>
        <item t="data" sd="1" m="1" x="5137"/>
        <item t="data" sd="1" m="1" x="5138"/>
        <item t="data" sd="1" m="1" x="4641"/>
        <item t="data" sd="1" m="1" x="3429"/>
        <item t="data" sd="1" m="1" x="5139"/>
        <item t="data" sd="1" m="1" x="4472"/>
        <item t="data" sd="1" m="1" x="5140"/>
        <item t="data" sd="1" m="1" x="4943"/>
        <item t="data" sd="1" m="1" x="4947"/>
        <item t="data" sd="1" m="1" x="4948"/>
        <item t="data" sd="1" m="1" x="4949"/>
        <item t="data" sd="1" m="1" x="1544"/>
        <item t="data" sd="1" m="1" x="5141"/>
        <item t="data" sd="1" m="1" x="4954"/>
        <item t="data" sd="1" m="1" x="4960"/>
        <item t="data" sd="1" m="1" x="4963"/>
        <item t="data" sd="1" m="1" x="4964"/>
        <item t="data" sd="1" m="1" x="4076"/>
        <item t="data" sd="1" m="1" x="2758"/>
        <item t="data" sd="1" m="1" x="4457"/>
        <item t="data" sd="1" m="1" x="4958"/>
        <item t="data" sd="1" m="1" x="4194"/>
        <item t="data" sd="1" m="1" x="4957"/>
        <item t="data" sd="1" m="1" x="5142"/>
        <item t="data" sd="1" m="1" x="3654"/>
        <item t="data" sd="1" m="1" x="5143"/>
        <item t="data" sd="1" m="1" x="3354"/>
        <item t="data" sd="1" m="1" x="4187"/>
        <item t="data" sd="1" m="1" x="5144"/>
        <item t="data" sd="1" m="1" x="5145"/>
        <item t="data" sd="1" m="1" x="5146"/>
        <item t="data" sd="1" m="1" x="5147"/>
        <item t="data" sd="1" m="1" x="5148"/>
        <item t="data" sd="1" m="1" x="5149"/>
        <item t="data" sd="1" m="1" x="5150"/>
        <item t="data" sd="1" m="1" x="5151"/>
        <item t="data" sd="1" m="1" x="5152"/>
        <item t="data" sd="1" m="1" x="5153"/>
        <item t="data" sd="1" m="1" x="4456"/>
        <item t="data" sd="1" m="1" x="1520"/>
        <item t="data" sd="1" m="1" x="1521"/>
        <item t="data" sd="1" m="1" x="1522"/>
        <item t="data" sd="1" m="1" x="4465"/>
        <item t="data" sd="1" m="1" x="4455"/>
        <item t="data" sd="1" m="1" x="4001"/>
        <item t="data" sd="1" m="1" x="5007"/>
        <item t="data" sd="1" m="1" x="4977"/>
        <item t="data" sd="1" m="1" x="4976"/>
        <item t="data" sd="1" m="1" x="3698"/>
        <item t="data" sd="1" m="1" x="4374"/>
        <item t="data" sd="1" m="1" x="5154"/>
        <item t="data" sd="1" m="1" x="4970"/>
        <item t="data" sd="1" m="1" x="5155"/>
        <item t="data" sd="1" m="1" x="5156"/>
        <item t="data" sd="1" m="1" x="4980"/>
        <item t="data" sd="1" m="1" x="5157"/>
        <item t="data" sd="1" m="1" x="3999"/>
        <item t="data" sd="1" m="1" x="4000"/>
        <item t="data" sd="1" m="1" x="3743"/>
        <item t="data" sd="1" m="1" x="4986"/>
        <item t="data" sd="1" m="1" x="4985"/>
        <item t="data" sd="1" m="1" x="1557"/>
        <item t="data" sd="1" m="1" x="5158"/>
        <item t="data" sd="1" m="1" x="5159"/>
        <item t="data" sd="1" m="1" x="1558"/>
        <item t="data" sd="1" m="1" x="4978"/>
        <item t="data" sd="1" m="1" x="4537"/>
        <item t="data" sd="1" m="1" x="5161"/>
        <item t="data" sd="1" m="1" x="5162"/>
        <item t="data" sd="1" m="1" x="3380"/>
        <item t="data" sd="1" m="1" x="4705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69"/>
        <item t="data" sd="1" m="1" x="5170"/>
        <item t="data" sd="1" m="1" x="5171"/>
        <item t="data" sd="1" m="1" x="5172"/>
        <item t="data" sd="1" m="1" x="5173"/>
        <item t="data" sd="1" m="1" x="5174"/>
        <item t="data" sd="1" m="1" x="5175"/>
        <item t="data" sd="1" m="1" x="5176"/>
        <item t="data" sd="1" m="1" x="4329"/>
        <item t="data" sd="1" m="1" x="4649"/>
        <item t="data" sd="1" m="1" x="5177"/>
        <item t="data" sd="1" m="1" x="5178"/>
        <item t="data" sd="1" m="1" x="5179"/>
        <item t="data" sd="1" m="1" x="5180"/>
        <item t="data" sd="1" m="1" x="4644"/>
        <item t="data" sd="1" m="1" x="5181"/>
        <item t="data" sd="1" m="1" x="5182"/>
        <item t="data" sd="1" m="1" x="5183"/>
        <item t="data" sd="1" m="1" x="5184"/>
        <item t="data" sd="1" m="1" x="5185"/>
        <item t="data" sd="1" m="1" x="5186"/>
        <item t="data" sd="1" m="1" x="5187"/>
        <item t="data" sd="1" m="1" x="5188"/>
        <item t="data" sd="1" m="1" x="5189"/>
        <item t="data" sd="1" m="1" x="4868"/>
        <item t="data" sd="1" m="1" x="4095"/>
        <item t="data" sd="1" m="1" x="4120"/>
        <item t="data" sd="1" m="1" x="5190"/>
        <item t="data" sd="1" m="1" x="5008"/>
        <item t="data" sd="1" m="1" x="4571"/>
        <item t="data" sd="1" m="1" x="4941"/>
        <item t="data" sd="1" m="1" x="4458"/>
        <item t="data" sd="1" m="1" x="4942"/>
        <item t="data" sd="1" m="1" x="4500"/>
        <item t="data" sd="1" m="1" x="4950"/>
        <item t="data" sd="1" m="1" x="4952"/>
        <item t="data" sd="1" m="1" x="1554"/>
        <item t="data" sd="1" m="1" x="4953"/>
        <item t="data" sd="1" m="1" x="4955"/>
        <item t="data" sd="1" m="1" x="4459"/>
        <item t="data" sd="1" m="1" x="4504"/>
        <item t="data" sd="1" m="1" x="3431"/>
        <item t="data" sd="1" m="1" x="3952"/>
        <item t="data" sd="1" m="1" x="3951"/>
        <item t="data" sd="1" m="1" x="4470"/>
        <item t="data" sd="1" m="1" x="1545"/>
        <item t="data" sd="1" m="1" x="1546"/>
        <item t="data" sd="1" m="1" x="1515"/>
        <item t="data" sd="1" m="1" x="4965"/>
        <item t="data" sd="1" m="1" x="4967"/>
        <item t="data" sd="1" m="1" x="4968"/>
        <item t="data" sd="1" m="1" x="1564"/>
        <item t="data" sd="1" m="1" x="2432"/>
        <item t="data" sd="1" m="1" x="4969"/>
        <item t="data" sd="1" m="1" x="3705"/>
        <item t="data" sd="1" m="1" x="4971"/>
        <item t="data" sd="1" m="1" x="1526"/>
        <item t="data" sd="1" m="1" x="1527"/>
        <item t="data" sd="1" m="1" x="4525"/>
        <item t="data" sd="1" m="1" x="4899"/>
        <item t="data" sd="1" m="1" x="4979"/>
        <item t="data" sd="1" m="1" x="4987"/>
        <item t="data" sd="1" m="1" x="4563"/>
        <item t="data" sd="1" m="1" x="4988"/>
        <item t="data" sd="1" m="1" x="4993"/>
        <item t="data" sd="1" m="1" x="4531"/>
        <item t="data" sd="1" m="1" x="4034"/>
        <item t="data" sd="1" m="1" x="4645"/>
        <item t="data" sd="1" m="1" x="4627"/>
        <item t="data" sd="1" m="1" x="4995"/>
        <item t="data" sd="1" m="1" x="4996"/>
        <item t="data" sd="1" m="1" x="4997"/>
        <item t="data" sd="1" m="1" x="4998"/>
        <item t="data" sd="1" m="1" x="4999"/>
        <item t="data" sd="1" m="1" x="5000"/>
        <item t="data" sd="1" m="1" x="4651"/>
        <item t="data" sd="1" m="1" x="5001"/>
        <item t="data" sd="1" m="1" x="5002"/>
        <item t="data" sd="1" m="1" x="4546"/>
        <item t="data" sd="1" m="1" x="5003"/>
        <item t="data" sd="1" m="1" x="5004"/>
        <item t="data" sd="1" m="1" x="5005"/>
        <item t="data" sd="1" m="1" x="4331"/>
        <item t="data" sd="1" m="1" x="4655"/>
        <item t="data" sd="1" m="1" x="5006"/>
        <item t="data" sd="1" m="1" x="5009"/>
        <item t="data" sd="1" m="1" x="3901"/>
        <item t="data" sd="1" m="1" x="3902"/>
        <item t="data" sd="1" m="1" x="4501"/>
        <item t="data" sd="1" m="1" x="5010"/>
        <item t="data" sd="1" m="1" x="5011"/>
        <item t="data" sd="1" m="1" x="5012"/>
        <item t="data" sd="1" m="1" x="2694"/>
        <item t="data" sd="1" m="1" x="2695"/>
        <item t="data" sd="1" m="1" x="5013"/>
        <item t="data" sd="1" m="1" x="5014"/>
        <item t="data" sd="1" m="1" x="3393"/>
        <item t="data" sd="1" m="1" x="5015"/>
        <item t="data" sd="1" m="1" x="5016"/>
        <item t="data" sd="1" m="1" x="5017"/>
        <item t="data" sd="1" m="1" x="5018"/>
        <item t="data" sd="1" m="1" x="1568"/>
        <item t="data" sd="1" m="1" x="1569"/>
        <item t="data" sd="1" m="1" x="1570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3341"/>
        <item t="data" sd="1" m="1" x="5025"/>
        <item t="data" sd="1" m="1" x="5026"/>
        <item t="data" sd="1" m="1" x="4077"/>
        <item t="data" sd="1" m="1" x="5027"/>
        <item t="data" sd="1" m="1" x="4795"/>
        <item t="data" sd="1" m="1" x="4796"/>
        <item t="data" sd="1" m="1" x="3953"/>
        <item t="data" sd="1" m="1" x="3452"/>
        <item t="data" sd="1" m="1" x="5028"/>
        <item t="data" sd="1" m="1" x="5029"/>
        <item t="data" sd="1" m="1" x="5030"/>
        <item t="data" sd="1" m="1" x="5031"/>
        <item t="data" sd="1" m="1" x="5032"/>
        <item t="data" sd="1" m="1" x="3701"/>
        <item t="data" sd="1" m="1" x="4224"/>
        <item t="data" sd="1" m="1" x="3704"/>
        <item t="data" sd="1" m="1" x="5033"/>
        <item t="data" sd="1" m="1" x="5034"/>
        <item t="data" sd="1" m="1" x="5035"/>
        <item t="data" sd="1" m="1" x="5036"/>
        <item t="data" sd="1" m="1" x="5037"/>
        <item t="data" sd="1" m="1" x="4189"/>
        <item t="data" sd="1" m="1" x="1556"/>
        <item t="data" sd="1" m="1" x="4797"/>
        <item t="data" sd="1" m="1" x="1541"/>
        <item t="data" sd="1" m="1" x="5038"/>
        <item t="data" sd="1" m="1" x="4559"/>
        <item t="data" sd="1" m="1" x="4008"/>
        <item t="data" sd="1" m="1" x="5039"/>
        <item t="data" sd="1" m="1" x="5040"/>
        <item t="data" sd="1" m="1" x="3740"/>
        <item t="data" sd="1" m="1" x="5041"/>
        <item t="data" sd="1" m="1" x="3735"/>
        <item t="data" sd="1" m="1" x="5042"/>
        <item t="data" sd="1" m="1" x="4638"/>
        <item t="data" sd="1" m="1" x="3448"/>
        <item t="data" sd="1" m="1" x="5043"/>
        <item t="data" sd="1" m="1" x="5044"/>
        <item t="data" sd="1" m="1" x="5045"/>
        <item t="data" sd="1" m="1" x="4860"/>
        <item t="data" sd="1" m="1" x="5046"/>
        <item t="data" sd="1" m="1" x="5047"/>
        <item t="data" sd="1" m="1" x="5048"/>
        <item t="data" sd="1" m="1" x="5049"/>
        <item t="data" sd="1" m="1" x="5050"/>
        <item t="data" sd="1" m="1" x="4646"/>
        <item t="data" sd="1" m="1" x="4859"/>
        <item t="data" sd="1" m="1" x="4355"/>
        <item t="data" sd="1" m="1" x="4650"/>
        <item t="data" sd="1" m="1" x="5051"/>
        <item t="data" sd="1" m="1" x="4642"/>
        <item t="data" sd="1" m="1" x="4639"/>
        <item t="data" sd="1" m="1" x="4640"/>
        <item t="data" sd="1" m="1" x="4862"/>
        <item t="data" sd="1" m="1" x="4863"/>
        <item t="data" sd="1" m="1" x="4864"/>
        <item t="data" sd="1" m="1" x="5052"/>
        <item t="data" sd="1" m="1" x="4652"/>
        <item t="data" sd="1" m="1" x="4653"/>
        <item t="data" sd="1" m="1" x="4371"/>
        <item t="data" sd="1" m="1" x="4654"/>
        <item t="data" sd="1" m="1" x="5053"/>
        <item t="data" sd="1" m="1" x="5054"/>
        <item t="data" sd="1" m="1" x="5055"/>
        <item t="data" sd="1" m="1" x="5056"/>
        <item t="data" sd="1" m="1" x="5057"/>
        <item t="data" sd="1" m="1" x="5058"/>
        <item t="data" sd="1" m="1" x="5059"/>
        <item t="data" sd="1" m="1" x="4115"/>
        <item t="data" sd="1" m="1" x="4613"/>
        <item t="data" sd="1" m="1" x="4615"/>
        <item t="data" sd="1" m="1" x="3264"/>
        <item t="data" sd="1" m="1" x="4188"/>
        <item t="data" sd="1" m="1" x="3073"/>
        <item t="data" sd="1" m="1" x="4858"/>
        <item t="data" sd="1" m="1" x="2847"/>
        <item t="data" sd="1" m="1" x="4549"/>
        <item t="data" sd="1" m="1" x="4636"/>
        <item t="data" sd="1" m="1" x="4637"/>
        <item t="data" sd="1" m="1" x="4241"/>
        <item t="data" sd="1" m="1" x="4799"/>
        <item t="data" sd="1" m="1" x="4800"/>
        <item t="data" sd="1" m="1" x="4335"/>
        <item t="data" sd="1" m="1" x="4648"/>
        <item t="data" sd="1" m="1" x="4861"/>
        <item t="data" sd="1" m="1" x="4866"/>
        <item t="data" sd="1" m="1" x="4867"/>
        <item t="data" sd="1" m="1" x="4662"/>
        <item t="data" sd="1" m="1" x="4663"/>
        <item t="data" sd="1" m="1" x="4664"/>
        <item t="data" sd="1" m="1" x="3374"/>
        <item t="data" sd="1" m="1" x="3046"/>
        <item t="data" sd="1" m="1" x="4656"/>
        <item t="data" sd="1" m="1" x="2693"/>
        <item t="data" sd="1" m="1" x="2545"/>
        <item t="data" sd="1" m="1" x="4657"/>
        <item t="data" sd="1" m="1" x="4658"/>
        <item t="data" sd="1" m="1" x="4629"/>
        <item t="data" sd="1" m="1" x="4486"/>
        <item t="data" sd="1" m="1" x="3676"/>
        <item t="data" sd="1" m="1" x="4630"/>
        <item t="data" sd="1" m="1" x="1547"/>
        <item t="data" sd="1" m="1" x="4668"/>
        <item t="data" sd="1" m="1" x="1566"/>
        <item t="data" sd="1" m="1" x="1565"/>
        <item t="data" sd="1" m="1" x="1513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4875"/>
        <item t="data" sd="1" m="1" x="3671"/>
        <item t="data" sd="1" m="1" x="3672"/>
        <item t="data" sd="1" m="1" x="3673"/>
        <item t="data" sd="1" m="1" x="3674"/>
        <item t="data" sd="1" m="1" x="3670"/>
        <item t="data" sd="1" m="1" x="4876"/>
        <item t="data" sd="1" m="1" x="3009"/>
        <item t="data" sd="1" m="1" x="4678"/>
        <item t="data" sd="1" m="1" x="4670"/>
        <item t="data" sd="1" m="1" x="4671"/>
        <item t="data" sd="1" m="1" x="1518"/>
        <item t="data" sd="1" m="1" x="4672"/>
        <item t="data" sd="1" m="1" x="3895"/>
        <item t="data" sd="1" m="1" x="3896"/>
        <item t="data" sd="1" m="1" x="4676"/>
        <item t="data" sd="1" m="1" x="4454"/>
        <item t="data" sd="1" m="1" x="4674"/>
        <item t="data" sd="1" m="1" x="4675"/>
        <item t="data" sd="1" m="1" x="4631"/>
        <item t="data" sd="1" m="1" x="3453"/>
        <item t="data" sd="1" m="1" x="3454"/>
        <item t="data" sd="1" m="1" x="3950"/>
        <item t="data" sd="1" m="1" x="4877"/>
        <item t="data" sd="1" m="1" x="4471"/>
        <item t="data" sd="1" m="1" x="4806"/>
        <item t="data" sd="1" m="1" x="4807"/>
        <item t="data" sd="1" m="1" x="4808"/>
        <item t="data" sd="1" m="1" x="4190"/>
        <item t="data" sd="1" m="1" x="4191"/>
        <item t="data" sd="1" m="1" x="4878"/>
        <item t="data" sd="1" m="1" x="4879"/>
        <item t="data" sd="1" m="1" x="4322"/>
        <item t="data" sd="1" m="1" x="3455"/>
        <item t="data" sd="1" m="1" x="3762"/>
        <item t="data" sd="1" m="1" x="4632"/>
        <item t="data" sd="1" m="1" x="4880"/>
        <item t="data" sd="1" m="1" x="4529"/>
        <item t="data" sd="1" m="1" x="4683"/>
        <item t="data" sd="1" m="1" x="4685"/>
        <item t="data" sd="1" m="1" x="4633"/>
        <item t="data" sd="1" m="1" x="4634"/>
        <item t="data" sd="1" m="1" x="4010"/>
        <item t="data" sd="1" m="1" x="4635"/>
        <item t="data" sd="1" m="1" x="4562"/>
        <item t="data" sd="1" m="1" x="4689"/>
        <item t="data" sd="1" m="1" x="4690"/>
        <item t="data" sd="1" m="1" x="4692"/>
        <item t="data" sd="1" m="1" x="4693"/>
        <item t="data" sd="1" m="1" x="3739"/>
        <item t="data" sd="1" m="1" x="1567"/>
        <item t="data" sd="1" m="1" x="1555"/>
        <item t="data" sd="1" m="1" x="4560"/>
        <item t="data" sd="1" m="1" x="1540"/>
        <item t="data" sd="1" m="1" x="4688"/>
        <item t="data" sd="1" m="1" x="4814"/>
        <item t="data" sd="1" m="1" x="3741"/>
        <item t="data" sd="1" m="1" x="4815"/>
        <item t="data" sd="1" m="1" x="4881"/>
        <item t="data" sd="1" m="1" x="4816"/>
        <item t="data" sd="1" m="1" x="4817"/>
        <item t="data" sd="1" m="1" x="4882"/>
        <item t="data" sd="1" m="1" x="4698"/>
        <item t="data" sd="1" m="1" x="4798"/>
        <item t="data" sd="1" m="1" x="4883"/>
        <item t="data" sd="1" m="1" x="4884"/>
        <item t="data" sd="1" m="1" x="4885"/>
        <item t="data" sd="1" m="1" x="4886"/>
        <item t="data" sd="1" m="1" x="4887"/>
        <item t="data" sd="1" m="1" x="4696"/>
        <item t="data" sd="1" m="1" x="4888"/>
        <item t="data" sd="1" m="1" x="4889"/>
        <item t="data" sd="1" m="1" x="4890"/>
        <item t="data" sd="1" m="1" x="4891"/>
        <item t="data" sd="1" m="1" x="4892"/>
        <item t="data" sd="1" m="1" x="4893"/>
        <item t="data" sd="1" m="1" x="4894"/>
        <item t="data" sd="1" m="1" x="4895"/>
        <item t="data" sd="1" m="1" x="4699"/>
        <item t="data" sd="1" m="1" x="4701"/>
        <item t="data" sd="1" m="1" x="4702"/>
        <item t="data" sd="1" m="1" x="4703"/>
        <item t="data" sd="1" m="1" x="4826"/>
        <item t="data" sd="1" m="1" x="4896"/>
        <item t="data" sd="1" m="1" x="4708"/>
        <item t="data" sd="1" m="1" x="4897"/>
        <item t="data" sd="1" m="1" x="4898"/>
        <item t="data" sd="1" m="1" x="4900"/>
        <item t="data" sd="1" m="1" x="4901"/>
        <item t="data" sd="1" m="1" x="4902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9"/>
        <item t="data" sd="1" m="1" x="4507"/>
        <item t="data" sd="1" m="1" x="4712"/>
        <item t="data" sd="1" m="1" x="4910"/>
        <item t="data" sd="1" m="1" x="4911"/>
        <item t="data" sd="1" m="1" x="4713"/>
        <item t="data" sd="1" m="1" x="4912"/>
        <item t="data" sd="1" m="1" x="4575"/>
        <item t="data" sd="1" m="1" x="4574"/>
        <item t="data" sd="1" m="1" x="3323"/>
        <item t="data" sd="1" m="1" x="3052"/>
        <item t="data" sd="1" m="1" x="4665"/>
        <item t="data" sd="1" m="1" x="3219"/>
        <item t="data" sd="1" m="1" x="3220"/>
        <item t="data" sd="1" m="1" x="3221"/>
        <item t="data" sd="1" m="1" x="3222"/>
        <item t="data" sd="1" m="1" x="2349"/>
        <item t="data" sd="1" m="1" x="4667"/>
        <item t="data" sd="1" m="1" x="2487"/>
        <item t="data" sd="1" m="1" x="4801"/>
        <item t="data" sd="1" m="1" x="4802"/>
        <item t="data" sd="1" m="1" x="4803"/>
        <item t="data" sd="1" m="1" x="4804"/>
        <item t="data" sd="1" m="1" x="4805"/>
        <item t="data" sd="1" m="1" x="3675"/>
        <item t="data" sd="1" m="1" x="3566"/>
        <item t="data" sd="1" m="1" x="3123"/>
        <item t="data" sd="1" m="1" x="4673"/>
        <item t="data" sd="1" m="1" x="4677"/>
        <item t="data" sd="1" m="1" x="4809"/>
        <item t="data" sd="1" m="1" x="4810"/>
        <item t="data" sd="1" m="1" x="4811"/>
        <item t="data" sd="1" m="1" x="4812"/>
        <item t="data" sd="1" m="1" x="4449"/>
        <item t="data" sd="1" m="1" x="3356"/>
        <item t="data" sd="1" m="1" x="3030"/>
        <item t="data" sd="1" m="1" x="4679"/>
        <item t="data" sd="1" m="1" x="4680"/>
        <item t="data" sd="1" m="1" x="4681"/>
        <item t="data" sd="1" m="1" x="4682"/>
        <item t="data" sd="1" m="1" x="2005"/>
        <item t="data" sd="1" m="1" x="4684"/>
        <item t="data" sd="1" m="1" x="1529"/>
        <item t="data" sd="1" m="1" x="1530"/>
        <item t="data" sd="1" m="1" x="1531"/>
        <item t="data" sd="1" m="1" x="1532"/>
        <item t="data" sd="1" m="1" x="4695"/>
        <item t="data" sd="1" m="1" x="4697"/>
        <item t="data" sd="1" m="1" x="4818"/>
        <item t="data" sd="1" m="1" x="4819"/>
        <item t="data" sd="1" m="1" x="4820"/>
        <item t="data" sd="1" m="1" x="4821"/>
        <item t="data" sd="1" m="1" x="4822"/>
        <item t="data" sd="1" m="1" x="4823"/>
        <item t="data" sd="1" m="1" x="4824"/>
        <item t="data" sd="1" m="1" x="4825"/>
        <item t="data" sd="1" m="1" x="4704"/>
        <item t="data" sd="1" m="1" x="4827"/>
        <item t="data" sd="1" m="1" x="4828"/>
        <item t="data" sd="1" m="1" x="4829"/>
        <item t="data" sd="1" m="1" x="4830"/>
        <item t="data" sd="1" m="1" x="4831"/>
        <item t="data" sd="1" m="1" x="4710"/>
        <item t="data" sd="1" m="1" x="4711"/>
        <item t="data" sd="1" m="1" x="3351"/>
        <item t="data" sd="1" m="1" x="3194"/>
        <item t="data" sd="1" m="1" x="1542"/>
        <item t="data" sd="1" m="1" x="3373"/>
        <item t="data" sd="1" m="1" x="4659"/>
        <item t="data" sd="1" m="1" x="4660"/>
        <item t="data" sd="1" m="1" x="4661"/>
        <item t="data" sd="1" m="1" x="4666"/>
        <item t="data" sd="1" m="1" x="2490"/>
        <item t="data" sd="1" m="1" x="3928"/>
        <item t="data" sd="1" m="1" x="4482"/>
        <item t="data" sd="1" m="1" x="4669"/>
        <item t="data" sd="1" m="1" x="4514"/>
        <item t="data" sd="1" m="1" x="3922"/>
        <item t="data" sd="1" m="1" x="1519"/>
        <item t="data" sd="1" m="1" x="4236"/>
        <item t="data" sd="1" m="1" x="4832"/>
        <item t="data" sd="1" m="1" x="4833"/>
        <item t="data" sd="1" m="1" x="4834"/>
        <item t="data" sd="1" m="1" x="4835"/>
        <item t="data" sd="1" m="1" x="4707"/>
        <item t="data" sd="1" m="1" x="4686"/>
        <item t="data" sd="1" m="1" x="4687"/>
        <item t="data" sd="1" m="1" x="4009"/>
        <item t="data" sd="1" m="1" x="4564"/>
        <item t="data" sd="1" m="1" x="3503"/>
        <item t="data" sd="1" m="1" x="4691"/>
        <item t="data" sd="1" m="1" x="4694"/>
        <item t="data" sd="1" m="1" x="3362"/>
        <item t="data" sd="1" m="1" x="4250"/>
        <item t="data" sd="1" m="1" x="4836"/>
        <item t="data" sd="1" m="1" x="4837"/>
        <item t="data" sd="1" m="1" x="4838"/>
        <item t="data" sd="1" m="1" x="4839"/>
        <item t="data" sd="1" m="1" x="4488"/>
        <item t="data" sd="1" m="1" x="4378"/>
        <item t="data" sd="1" m="1" x="4840"/>
        <item t="data" sd="1" m="1" x="4841"/>
        <item t="data" sd="1" m="1" x="4842"/>
        <item t="data" sd="1" m="1" x="3203"/>
        <item t="data" sd="1" m="1" x="3197"/>
        <item t="data" sd="1" m="1" x="4844"/>
        <item t="data" sd="1" m="1" x="4273"/>
        <item t="data" sd="1" m="1" x="4274"/>
        <item t="data" sd="1" m="1" x="4845"/>
        <item t="data" sd="1" m="1" x="4383"/>
        <item t="data" sd="1" m="1" x="4706"/>
        <item t="data" sd="1" m="1" x="4847"/>
        <item t="data" sd="1" m="1" x="4848"/>
        <item t="data" sd="1" m="1" x="4550"/>
        <item t="data" sd="1" m="1" x="4849"/>
        <item t="data" sd="1" m="1" x="4850"/>
        <item t="data" sd="1" m="1" x="4851"/>
        <item t="data" sd="1" m="1" x="4852"/>
        <item t="data" sd="1" m="1" x="4251"/>
        <item t="data" sd="1" m="1" x="4572"/>
        <item t="data" sd="1" m="1" x="4333"/>
        <item t="data" sd="1" m="1" x="4714"/>
        <item t="data" sd="1" m="1" x="4715"/>
        <item t="data" sd="1" m="1" x="3392"/>
        <item t="data" sd="1" m="1" x="3914"/>
        <item t="data" sd="1" m="1" x="3794"/>
        <item t="data" sd="1" m="1" x="3795"/>
        <item t="data" sd="1" m="1" x="4716"/>
        <item t="data" sd="1" m="1" x="4717"/>
        <item t="data" sd="1" m="1" x="4718"/>
        <item t="data" sd="1" m="1" x="2348"/>
        <item t="data" sd="1" m="1" x="3757"/>
        <item t="data" sd="1" m="1" x="4719"/>
        <item t="data" sd="1" m="1" x="4720"/>
        <item t="data" sd="1" m="1" x="4721"/>
        <item t="data" sd="1" m="1" x="4350"/>
        <item t="data" sd="1" m="1" x="4479"/>
        <item t="data" sd="1" m="1" x="4722"/>
        <item t="data" sd="1" m="1" x="3008"/>
        <item t="data" sd="1" m="1" x="3315"/>
        <item t="data" sd="1" m="1" x="3854"/>
        <item t="data" sd="1" m="1" x="1516"/>
        <item t="data" sd="1" m="1" x="3793"/>
        <item t="data" sd="1" m="1" x="3340"/>
        <item t="data" sd="1" m="1" x="4448"/>
        <item t="data" sd="1" m="1" x="4723"/>
        <item t="data" sd="1" m="1" x="4081"/>
        <item t="data" sd="1" m="1" x="4492"/>
        <item t="data" sd="1" m="1" x="4490"/>
        <item t="data" sd="1" m="1" x="4491"/>
        <item t="data" sd="1" m="1" x="4493"/>
        <item t="data" sd="1" m="1" x="4494"/>
        <item t="data" sd="1" m="1" x="4495"/>
        <item t="data" sd="1" m="1" x="4496"/>
        <item t="data" sd="1" m="1" x="4497"/>
        <item t="data" sd="1" m="1" x="4724"/>
        <item t="data" sd="1" m="1" x="3944"/>
        <item t="data" sd="1" m="1" x="4725"/>
        <item t="data" sd="1" m="1" x="1537"/>
        <item t="data" sd="1" m="1" x="3414"/>
        <item t="data" sd="1" m="1" x="4306"/>
        <item t="data" sd="1" m="1" x="4726"/>
        <item t="data" sd="1" m="1" x="4727"/>
        <item t="data" sd="1" m="1" x="4728"/>
        <item t="data" sd="1" m="1" x="4729"/>
        <item t="data" sd="1" m="1" x="4730"/>
        <item t="data" sd="1" m="1" x="4731"/>
        <item t="data" sd="1" m="1" x="1525"/>
        <item t="data" sd="1" m="1" x="4732"/>
        <item t="data" sd="1" m="1" x="4386"/>
        <item t="data" sd="1" m="1" x="3706"/>
        <item t="data" sd="1" m="1" x="4733"/>
        <item t="data" sd="1" m="1" x="4734"/>
        <item t="data" sd="1" m="1" x="4735"/>
        <item t="data" sd="1" m="1" x="4527"/>
        <item t="data" sd="1" m="1" x="4524"/>
        <item t="data" sd="1" m="1" x="4528"/>
        <item t="data" sd="1" m="1" x="4526"/>
        <item t="data" sd="1" m="1" x="3728"/>
        <item t="data" sd="1" m="1" x="4736"/>
        <item t="data" sd="1" m="1" x="4737"/>
        <item t="data" sd="1" m="1" x="4738"/>
        <item t="data" sd="1" m="1" x="4391"/>
        <item t="data" sd="1" m="1" x="4739"/>
        <item t="data" sd="1" m="1" x="4740"/>
        <item t="data" sd="1" m="1" x="4543"/>
        <item t="data" sd="1" m="1" x="4741"/>
        <item t="data" sd="1" m="1" x="4742"/>
        <item t="data" sd="1" m="1" x="4743"/>
        <item t="data" sd="1" m="1" x="1533"/>
        <item t="data" sd="1" m="1" x="1534"/>
        <item t="data" sd="1" m="1" x="1535"/>
        <item t="data" sd="1" m="1" x="4558"/>
        <item t="data" sd="1" m="1" x="1536"/>
        <item t="data" sd="1" m="1" x="4744"/>
        <item t="data" sd="1" m="1" x="3729"/>
        <item t="data" sd="1" m="1" x="4745"/>
        <item t="data" sd="1" m="1" x="2008"/>
        <item t="data" sd="1" m="1" x="4746"/>
        <item t="data" sd="1" m="1" x="4247"/>
        <item t="data" sd="1" m="1" x="4401"/>
        <item t="data" sd="1" m="1" x="4747"/>
        <item t="data" sd="1" m="1" x="4748"/>
        <item t="data" sd="1" m="1" x="4749"/>
        <item t="data" sd="1" m="1" x="4750"/>
        <item t="data" sd="1" m="1" x="4751"/>
        <item t="data" sd="1" m="1" x="4752"/>
        <item t="data" sd="1" m="1" x="4753"/>
        <item t="data" sd="1" m="1" x="4754"/>
        <item t="data" sd="1" m="1" x="4755"/>
        <item t="data" sd="1" m="1" x="4756"/>
        <item t="data" sd="1" m="1" x="4538"/>
        <item t="data" sd="1" m="1" x="4757"/>
        <item t="data" sd="1" m="1" x="4758"/>
        <item t="data" sd="1" m="1" x="3289"/>
        <item t="data" sd="1" m="1" x="4759"/>
        <item t="data" sd="1" m="1" x="4760"/>
        <item t="data" sd="1" m="1" x="4761"/>
        <item t="data" sd="1" m="1" x="4762"/>
        <item t="data" sd="1" m="1" x="4763"/>
        <item t="data" sd="1" m="1" x="4330"/>
        <item t="data" sd="1" m="1" x="4764"/>
        <item t="data" sd="1" m="1" x="4765"/>
        <item t="data" sd="1" m="1" x="4766"/>
        <item t="data" sd="1" m="1" x="3864"/>
        <item t="data" sd="1" m="1" x="4767"/>
        <item t="data" sd="1" m="1" x="3910"/>
        <item t="data" sd="1" m="1" x="3175"/>
        <item t="data" sd="1" m="1" x="3176"/>
        <item t="data" sd="1" m="1" x="4768"/>
        <item t="data" sd="1" m="1" x="4769"/>
        <item t="data" sd="1" m="1" x="4770"/>
        <item t="data" sd="1" m="1" x="4771"/>
        <item t="data" sd="1" m="1" x="4772"/>
        <item t="data" sd="1" m="1" x="4773"/>
        <item t="data" sd="1" m="1" x="4774"/>
        <item t="data" sd="1" m="1" x="4775"/>
        <item t="data" sd="1" m="1" x="4776"/>
        <item t="data" sd="1" m="1" x="4777"/>
        <item t="data" sd="1" m="1" x="4778"/>
        <item t="data" sd="1" m="1" x="4779"/>
        <item t="data" sd="1" m="1" x="4780"/>
        <item t="data" sd="1" m="1" x="4781"/>
        <item t="data" sd="1" m="1" x="4782"/>
        <item t="data" sd="1" m="1" x="4783"/>
        <item t="data" sd="1" m="1" x="4336"/>
        <item t="data" sd="1" m="1" x="4784"/>
        <item t="data" sd="1" m="1" x="4785"/>
        <item t="data" sd="1" m="1" x="4426"/>
        <item t="data" sd="1" m="1" x="4427"/>
        <item t="data" sd="1" m="1" x="4428"/>
        <item t="data" sd="1" m="1" x="4429"/>
        <item t="data" sd="1" m="1" x="4430"/>
        <item t="data" sd="1" m="1" x="4431"/>
        <item t="data" sd="1" m="1" x="4432"/>
        <item t="data" sd="1" m="1" x="4433"/>
        <item t="data" sd="1" m="1" x="4434"/>
        <item t="data" sd="1" m="1" x="4277"/>
        <item t="data" sd="1" m="1" x="4435"/>
        <item t="data" sd="1" m="1" x="4275"/>
        <item t="data" sd="1" m="1" x="4271"/>
        <item t="data" sd="1" m="1" x="4156"/>
        <item t="data" sd="1" m="1" x="4436"/>
        <item t="data" sd="1" m="1" x="4437"/>
        <item t="data" sd="1" m="1" x="4438"/>
        <item t="data" sd="1" m="1" x="4439"/>
        <item t="data" sd="1" m="1" x="4440"/>
        <item t="data" sd="1" m="1" x="2009"/>
        <item t="data" sd="1" m="1" x="4298"/>
        <item t="data" sd="1" m="1" x="4290"/>
        <item t="data" sd="1" m="1" x="4292"/>
        <item t="data" sd="1" m="1" x="4164"/>
        <item t="data" sd="1" m="1" x="4293"/>
        <item t="data" sd="1" m="1" x="4294"/>
        <item t="data" sd="1" m="1" x="4291"/>
        <item t="data" sd="1" m="1" x="4154"/>
        <item t="data" sd="1" m="1" x="4155"/>
        <item t="data" sd="1" m="1" x="4301"/>
        <item t="data" sd="1" m="1" x="4304"/>
        <item t="data" sd="1" m="1" x="4157"/>
        <item t="data" sd="1" m="1" x="4302"/>
        <item t="data" sd="1" m="1" x="4289"/>
        <item t="data" sd="1" m="1" x="4152"/>
        <item t="data" sd="1" m="1" x="4153"/>
        <item t="data" sd="1" m="1" x="4296"/>
        <item t="data" sd="1" m="1" x="4297"/>
        <item t="data" sd="1" m="1" x="4295"/>
        <item t="data" sd="1" m="1" x="4303"/>
        <item t="data" sd="1" m="1" x="4158"/>
        <item t="data" sd="1" m="1" x="4305"/>
        <item t="data" sd="1" m="1" x="3541"/>
        <item t="data" sd="1" m="1" x="4280"/>
        <item t="data" sd="1" m="1" x="4307"/>
        <item t="data" sd="1" m="1" x="4308"/>
        <item t="data" sd="1" m="1" x="4441"/>
        <item t="data" sd="1" m="1" x="4312"/>
        <item t="data" sd="1" m="1" x="3800"/>
        <item t="data" sd="1" m="1" x="3801"/>
        <item t="data" sd="1" m="1" x="4313"/>
        <item t="data" sd="1" m="1" x="4083"/>
        <item t="data" sd="1" m="1" x="4090"/>
        <item t="data" sd="1" m="1" x="4446"/>
        <item t="data" sd="1" m="1" x="4181"/>
        <item t="data" sd="1" m="1" x="4182"/>
        <item t="data" sd="1" m="1" x="4450"/>
        <item t="data" sd="1" m="1" x="4451"/>
        <item t="data" sd="1" m="1" x="4452"/>
        <item t="data" sd="1" m="1" x="4453"/>
        <item t="data" sd="1" m="1" x="4460"/>
        <item t="data" sd="1" m="1" x="4461"/>
        <item t="data" sd="1" m="1" x="4462"/>
        <item t="data" sd="1" m="1" x="4463"/>
        <item t="data" sd="1" m="1" x="4327"/>
        <item t="data" sd="1" m="1" x="4328"/>
        <item t="data" sd="1" m="1" x="4464"/>
        <item t="data" sd="1" m="1" x="4466"/>
        <item t="data" sd="1" m="1" x="3668"/>
        <item t="data" sd="1" m="1" x="3565"/>
        <item t="data" sd="1" m="1" x="4197"/>
        <item t="data" sd="1" m="1" x="4198"/>
        <item t="data" sd="1" m="1" x="4199"/>
        <item t="data" sd="1" m="1" x="4201"/>
        <item t="data" sd="1" m="1" x="4202"/>
        <item t="data" sd="1" m="1" x="1551"/>
        <item t="data" sd="1" m="1" x="4467"/>
        <item t="data" sd="1" m="1" x="4468"/>
        <item t="data" sd="1" m="1" x="4469"/>
        <item t="data" sd="1" m="1" x="1548"/>
        <item t="data" sd="1" m="1" x="1549"/>
        <item t="data" sd="1" m="1" x="1550"/>
        <item t="data" sd="1" m="1" x="1523"/>
        <item t="data" sd="1" m="1" x="4473"/>
        <item t="data" sd="1" m="1" x="4474"/>
        <item t="data" sd="1" m="1" x="3853"/>
        <item t="data" sd="1" m="1" x="3041"/>
        <item t="data" sd="1" m="1" x="3042"/>
        <item t="data" sd="1" m="1" x="3045"/>
        <item t="data" sd="1" m="1" x="4475"/>
        <item t="data" sd="1" m="1" x="3043"/>
        <item t="data" sd="1" m="1" x="3044"/>
        <item t="data" sd="1" m="1" x="4334"/>
        <item t="data" sd="1" m="1" x="4476"/>
        <item t="data" sd="1" m="1" x="4343"/>
        <item t="data" sd="1" m="1" x="4344"/>
        <item t="data" sd="1" m="1" x="4341"/>
        <item t="data" sd="1" m="1" x="4342"/>
        <item t="data" sd="1" m="1" x="4351"/>
        <item t="data" sd="1" m="1" x="4477"/>
        <item t="data" sd="1" m="1" x="4478"/>
        <item t="data" sd="1" m="1" x="4480"/>
        <item t="data" sd="1" m="1" x="4481"/>
        <item t="data" sd="1" m="1" x="3581"/>
        <item t="data" sd="1" m="1" x="4483"/>
        <item t="data" sd="1" m="1" x="4352"/>
        <item t="data" sd="1" m="1" x="4353"/>
        <item t="data" sd="1" m="1" x="2688"/>
        <item t="data" sd="1" m="1" x="4484"/>
        <item t="data" sd="1" m="1" x="4487"/>
        <item t="data" sd="1" m="1" x="4502"/>
        <item t="data" sd="1" m="1" x="3057"/>
        <item t="data" sd="1" m="1" x="4505"/>
        <item t="data" sd="1" m="1" x="4506"/>
        <item t="data" sd="1" m="1" x="4219"/>
        <item t="data" sd="1" m="1" x="4363"/>
        <item t="data" sd="1" m="1" x="4364"/>
        <item t="data" sd="1" m="1" x="4360"/>
        <item t="data" sd="1" m="1" x="4359"/>
        <item t="data" sd="1" m="1" x="4372"/>
        <item t="data" sd="1" m="1" x="4373"/>
        <item t="data" sd="1" m="1" x="4375"/>
        <item t="data" sd="1" m="1" x="4356"/>
        <item t="data" sd="1" m="1" x="4358"/>
        <item t="data" sd="1" m="1" x="4357"/>
        <item t="data" sd="1" m="1" x="3921"/>
        <item t="data" sd="1" m="1" x="3920"/>
        <item t="data" sd="1" m="1" x="3918"/>
        <item t="data" sd="1" m="1" x="3919"/>
        <item t="data" sd="1" m="1" x="3923"/>
        <item t="data" sd="1" m="1" x="3924"/>
        <item t="data" sd="1" m="1" x="3925"/>
        <item t="data" sd="1" m="1" x="4382"/>
        <item t="data" sd="1" m="1" x="4379"/>
        <item t="data" sd="1" m="1" x="4381"/>
        <item t="data" sd="1" m="1" x="4384"/>
        <item t="data" sd="1" m="1" x="4380"/>
        <item t="data" sd="1" m="1" x="4365"/>
        <item t="data" sd="1" m="1" x="4366"/>
        <item t="data" sd="1" m="1" x="3907"/>
        <item t="data" sd="1" m="1" x="3908"/>
        <item t="data" sd="1" m="1" x="3909"/>
        <item t="data" sd="1" m="1" x="3911"/>
        <item t="data" sd="1" m="1" x="4369"/>
        <item t="data" sd="1" m="1" x="4368"/>
        <item t="data" sd="1" m="1" x="4370"/>
        <item t="data" sd="1" m="1" x="2011"/>
        <item t="data" sd="1" m="1" x="2012"/>
        <item t="data" sd="1" m="1" x="3695"/>
        <item t="data" sd="1" m="1" x="4220"/>
        <item t="data" sd="1" m="1" x="4508"/>
        <item t="data" sd="1" m="1" x="4509"/>
        <item t="data" sd="1" m="1" x="4385"/>
        <item t="data" sd="1" m="1" x="4222"/>
        <item t="data" sd="1" m="1" x="4510"/>
        <item t="data" sd="1" m="1" x="4403"/>
        <item t="data" sd="1" m="1" x="4410"/>
        <item t="data" sd="1" m="1" x="4513"/>
        <item t="data" sd="1" m="1" x="4409"/>
        <item t="data" sd="1" m="1" x="4412"/>
        <item t="data" sd="1" m="1" x="4411"/>
        <item t="data" sd="1" m="1" x="3428"/>
        <item t="data" sd="1" m="1" x="4413"/>
        <item t="data" sd="1" m="1" x="2390"/>
        <item t="data" sd="1" m="1" x="4515"/>
        <item t="data" sd="1" m="1" x="4234"/>
        <item t="data" sd="1" m="1" x="4233"/>
        <item t="data" sd="1" m="1" x="4235"/>
        <item t="data" sd="1" m="1" x="4231"/>
        <item t="data" sd="1" m="1" x="4232"/>
        <item t="data" sd="1" m="1" x="4390"/>
        <item t="data" sd="1" m="1" x="4326"/>
        <item t="data" sd="1" m="1" x="4230"/>
        <item t="data" sd="1" m="1" x="4395"/>
        <item t="data" sd="1" m="1" x="3447"/>
        <item t="data" sd="1" m="1" x="4402"/>
        <item t="data" sd="1" m="1" x="3450"/>
        <item t="data" sd="1" m="1" x="3451"/>
        <item t="data" sd="1" m="1" x="3449"/>
        <item t="data" sd="1" m="1" x="3446"/>
        <item t="data" sd="1" m="1" x="4516"/>
        <item t="data" sd="1" m="1" x="4517"/>
        <item t="data" sd="1" m="1" x="4518"/>
        <item t="data" sd="1" m="1" x="4519"/>
        <item t="data" sd="1" m="1" x="4520"/>
        <item t="data" sd="1" m="1" x="4397"/>
        <item t="data" sd="1" m="1" x="4398"/>
        <item t="data" sd="1" m="1" x="4399"/>
        <item t="data" sd="1" m="1" x="4400"/>
        <item t="data" sd="1" m="1" x="3445"/>
        <item t="data" sd="1" m="1" x="4521"/>
        <item t="data" sd="1" m="1" x="4417"/>
        <item t="data" sd="1" m="1" x="1524"/>
        <item t="data" sd="1" m="1" x="4522"/>
        <item t="data" sd="1" m="1" x="4523"/>
        <item t="data" sd="1" m="1" x="4420"/>
        <item t="data" sd="1" m="1" x="3726"/>
        <item t="data" sd="1" m="1" x="4243"/>
        <item t="data" sd="1" m="1" x="4244"/>
        <item t="data" sd="1" m="1" x="4530"/>
        <item t="data" sd="1" m="1" x="4421"/>
        <item t="data" sd="1" m="1" x="4422"/>
        <item t="data" sd="1" m="1" x="4532"/>
        <item t="data" sd="1" m="1" x="1563"/>
        <item t="data" sd="1" m="1" x="4533"/>
        <item t="data" sd="1" m="1" x="4248"/>
        <item t="data" sd="1" m="1" x="4534"/>
        <item t="data" sd="1" m="1" x="4535"/>
        <item t="data" sd="1" m="1" x="4536"/>
        <item t="data" sd="1" m="1" x="4539"/>
        <item t="data" sd="1" m="1" x="4540"/>
        <item t="data" sd="1" m="1" x="4541"/>
        <item t="data" sd="1" m="1" x="4542"/>
        <item t="data" sd="1" m="1" x="4206"/>
        <item t="data" sd="1" m="1" x="4553"/>
        <item t="data" sd="1" m="1" x="4554"/>
        <item t="data" sd="1" m="1" x="4555"/>
        <item t="data" sd="1" m="1" x="4556"/>
        <item t="data" sd="1" m="1" x="4557"/>
        <item t="data" sd="1" m="1" x="4180"/>
        <item t="data" sd="1" m="1" x="4561"/>
        <item t="data" sd="1" m="1" x="4565"/>
        <item t="data" sd="1" m="1" x="4566"/>
        <item t="data" sd="1" m="1" x="4570"/>
        <item t="data" sd="1" m="1" x="4121"/>
        <item t="data" sd="1" m="1" x="4257"/>
        <item t="data" sd="1" m="1" x="4137"/>
        <item t="data" sd="1" m="1" x="3115"/>
        <item t="data" sd="1" m="1" x="4265"/>
        <item t="data" sd="1" m="1" x="3754"/>
        <item t="data" sd="1" m="1" x="4266"/>
        <item t="data" sd="1" m="1" x="4267"/>
        <item t="data" sd="1" m="1" x="3178"/>
        <item t="data" sd="1" m="1" x="4268"/>
        <item t="data" sd="1" m="1" x="4269"/>
        <item t="data" sd="1" m="1" x="4270"/>
        <item t="data" sd="1" m="1" x="3320"/>
        <item t="data" sd="1" m="1" x="4272"/>
        <item t="data" sd="1" m="1" x="4139"/>
        <item t="data" sd="1" m="1" x="1552"/>
        <item t="data" sd="1" m="1" x="2361"/>
        <item t="data" sd="1" m="1" x="4276"/>
        <item t="data" sd="1" m="1" x="4278"/>
        <item t="data" sd="1" m="1" x="4279"/>
        <item t="data" sd="1" m="1" x="4281"/>
        <item t="data" sd="1" m="1" x="4146"/>
        <item t="data" sd="1" m="1" x="4147"/>
        <item t="data" sd="1" m="1" x="4282"/>
        <item t="data" sd="1" m="1" x="4283"/>
        <item t="data" sd="1" m="1" x="4284"/>
        <item t="data" sd="1" m="1" x="4050"/>
        <item t="data" sd="1" m="1" x="4049"/>
        <item t="data" sd="1" m="1" x="4148"/>
        <item t="data" sd="1" m="1" x="4285"/>
        <item t="data" sd="1" m="1" x="4151"/>
        <item t="data" sd="1" m="1" x="4286"/>
        <item t="data" sd="1" m="1" x="4287"/>
        <item t="data" sd="1" m="1" x="4288"/>
        <item t="data" sd="1" m="1" x="3931"/>
        <item t="data" sd="1" m="1" x="4159"/>
        <item t="data" sd="1" m="1" x="4160"/>
        <item t="data" sd="1" m="1" x="4161"/>
        <item t="data" sd="1" m="1" x="4162"/>
        <item t="data" sd="1" m="1" x="4163"/>
        <item t="data" sd="1" m="1" x="4299"/>
        <item t="data" sd="1" m="1" x="4300"/>
        <item t="data" sd="1" m="1" x="4149"/>
        <item t="data" sd="1" m="1" x="4150"/>
        <item t="data" sd="1" m="1" x="3540"/>
        <item t="data" sd="1" m="1" x="1517"/>
        <item t="data" sd="1" m="1" x="3339"/>
        <item t="data" sd="1" m="1" x="3792"/>
        <item t="data" sd="1" m="1" x="4309"/>
        <item t="data" sd="1" m="1" x="4311"/>
        <item t="data" sd="1" m="1" x="1610"/>
        <item t="data" sd="1" m="1" x="4316"/>
        <item t="data" sd="1" m="1" x="4082"/>
        <item t="data" sd="1" m="1" x="3811"/>
        <item t="data" sd="1" m="1" x="4085"/>
        <item t="data" sd="1" m="1" x="4086"/>
        <item t="data" sd="1" m="1" x="4087"/>
        <item t="data" sd="1" m="1" x="4088"/>
        <item t="data" sd="1" m="1" x="4089"/>
        <item t="data" sd="1" m="1" x="3810"/>
        <item t="data" sd="1" m="1" x="4317"/>
        <item t="data" sd="1" m="1" x="4318"/>
        <item t="data" sd="1" m="1" x="4319"/>
        <item t="data" sd="1" m="1" x="4320"/>
        <item t="data" sd="1" m="1" x="3813"/>
        <item t="data" sd="1" m="1" x="4321"/>
        <item t="data" sd="1" m="1" x="4323"/>
        <item t="data" sd="1" m="1" x="4324"/>
        <item t="data" sd="1" m="1" x="4325"/>
        <item t="data" sd="1" m="1" x="3828"/>
        <item t="data" sd="1" m="1" x="4192"/>
        <item t="data" sd="1" m="1" x="4196"/>
        <item t="data" sd="1" m="1" x="3360"/>
        <item t="data" sd="1" m="1" x="3824"/>
        <item t="data" sd="1" m="1" x="3827"/>
        <item t="data" sd="1" m="1" x="3669"/>
        <item t="data" sd="1" m="1" x="3843"/>
        <item t="data" sd="1" m="1" x="3836"/>
        <item t="data" sd="1" m="1" x="1553"/>
        <item t="data" sd="1" m="1" x="4332"/>
        <item t="data" sd="1" m="1" x="4340"/>
        <item t="data" sd="1" m="1" x="4205"/>
        <item t="data" sd="1" m="1" x="4345"/>
        <item t="data" sd="1" m="1" x="4207"/>
        <item t="data" sd="1" m="1" x="4346"/>
        <item t="data" sd="1" m="1" x="4347"/>
        <item t="data" sd="1" m="1" x="4348"/>
        <item t="data" sd="1" m="1" x="4349"/>
        <item t="data" sd="1" m="1" x="4214"/>
        <item t="data" sd="1" m="1" x="4210"/>
        <item t="data" sd="1" m="1" x="3687"/>
        <item t="data" sd="1" m="1" x="3228"/>
        <item t="data" sd="1" m="1" x="3889"/>
        <item t="data" sd="1" m="1" x="3868"/>
        <item t="data" sd="1" m="1" x="4217"/>
        <item t="data" sd="1" m="1" x="3887"/>
        <item t="data" sd="1" m="1" x="3888"/>
        <item t="data" sd="1" m="1" x="3886"/>
        <item t="data" sd="1" m="1" x="4354"/>
        <item t="data" sd="1" m="1" x="3243"/>
        <item t="data" sd="1" m="1" x="3242"/>
        <item t="data" sd="1" m="1" x="3900"/>
        <item t="data" sd="1" m="1" x="3903"/>
        <item t="data" sd="1" m="1" x="4361"/>
        <item t="data" sd="1" m="1" x="3905"/>
        <item t="data" sd="1" m="1" x="3906"/>
        <item t="data" sd="1" m="1" x="3915"/>
        <item t="data" sd="1" m="1" x="3916"/>
        <item t="data" sd="1" m="1" x="4377"/>
        <item t="data" sd="1" m="1" x="3917"/>
        <item t="data" sd="1" m="1" x="3932"/>
        <item t="data" sd="1" m="1" x="3934"/>
        <item t="data" sd="1" m="1" x="3417"/>
        <item t="data" sd="1" m="1" x="4225"/>
        <item t="data" sd="1" m="1" x="4387"/>
        <item t="data" sd="1" m="1" x="4388"/>
        <item t="data" sd="1" m="1" x="4389"/>
        <item t="data" sd="1" m="1" x="4229"/>
        <item t="data" sd="1" m="1" x="4392"/>
        <item t="data" sd="1" m="1" x="4393"/>
        <item t="data" sd="1" m="1" x="4394"/>
        <item t="data" sd="1" m="1" x="2406"/>
        <item t="data" sd="1" m="1" x="4396"/>
        <item t="data" sd="1" m="1" x="3444"/>
        <item t="data" sd="1" m="1" x="4404"/>
        <item t="data" sd="1" m="1" x="4405"/>
        <item t="data" sd="1" m="1" x="4406"/>
        <item t="data" sd="1" m="1" x="4407"/>
        <item t="data" sd="1" m="1" x="4408"/>
        <item t="data" sd="1" m="1" x="4414"/>
        <item t="data" sd="1" m="1" x="4415"/>
        <item t="data" sd="1" m="1" x="4416"/>
        <item t="data" sd="1" m="1" x="4418"/>
        <item t="data" sd="1" m="1" x="3964"/>
        <item t="data" sd="1" m="1" x="3963"/>
        <item t="data" sd="1" m="1" x="4419"/>
        <item t="data" sd="1" m="1" x="4237"/>
        <item t="data" sd="1" m="1" x="2855"/>
        <item t="data" sd="1" m="1" x="4240"/>
        <item t="data" sd="1" m="1" x="1528"/>
        <item t="data" sd="1" m="1" x="3475"/>
        <item t="data" sd="1" m="1" x="3970"/>
        <item t="data" sd="1" m="1" x="4246"/>
        <item t="data" sd="1" m="1" x="3976"/>
        <item t="data" sd="1" m="1" x="3733"/>
        <item t="data" sd="1" m="1" x="3734"/>
        <item t="data" sd="1" m="1" x="3987"/>
        <item t="data" sd="1" m="1" x="3988"/>
        <item t="data" sd="1" m="1" x="3989"/>
        <item t="data" sd="1" m="1" x="3983"/>
        <item t="data" sd="1" m="1" x="3984"/>
        <item t="data" sd="1" m="1" x="3480"/>
        <item t="data" sd="1" m="1" x="3483"/>
        <item t="data" sd="1" m="1" x="3995"/>
        <item t="data" sd="1" m="1" x="3996"/>
        <item t="data" sd="1" m="1" x="3997"/>
        <item t="data" sd="1" m="1" x="3288"/>
        <item t="data" sd="1" m="1" x="4423"/>
        <item t="data" sd="1" m="1" x="1538"/>
        <item t="data" sd="1" m="1" x="1539"/>
        <item t="data" sd="1" m="1" x="4424"/>
        <item t="data" sd="1" m="1" x="4015"/>
        <item t="data" sd="1" m="1" x="4425"/>
        <item t="data" sd="1" m="1" x="4013"/>
        <item t="data" sd="1" m="1" x="4254"/>
        <item t="data" sd="1" m="1" x="4018"/>
        <item t="data" sd="1" m="1" x="4019"/>
        <item t="data" sd="1" m="1" x="4020"/>
        <item t="data" sd="1" m="1" x="4021"/>
        <item t="data" sd="1" m="1" x="4122"/>
        <item t="data" sd="1" m="1" x="4123"/>
        <item t="data" sd="1" m="1" x="4124"/>
        <item t="data" sd="1" m="1" x="4125"/>
        <item t="data" sd="1" m="1" x="4126"/>
        <item t="data" sd="1" m="1" x="4127"/>
        <item t="data" sd="1" m="1" x="4128"/>
        <item t="data" sd="1" m="1" x="3749"/>
        <item t="data" sd="1" m="1" x="4129"/>
        <item t="data" sd="1" m="1" x="4130"/>
        <item t="data" sd="1" m="1" x="4131"/>
        <item t="data" sd="1" m="1" x="4132"/>
        <item t="data" sd="1" m="1" x="4133"/>
        <item t="data" sd="1" m="1" x="4134"/>
        <item t="data" sd="1" m="1" x="4135"/>
        <item t="data" sd="1" m="1" x="4136"/>
        <item t="data" sd="1" m="1" x="4138"/>
        <item t="data" sd="1" m="1" x="4140"/>
        <item t="data" sd="1" m="1" x="3418"/>
        <item t="data" sd="1" m="1" x="4033"/>
        <item t="data" sd="1" m="1" x="4141"/>
        <item t="data" sd="1" m="1" x="4142"/>
        <item t="data" sd="1" m="1" x="3939"/>
        <item t="data" sd="1" m="1" x="4143"/>
        <item t="data" sd="1" m="1" x="4144"/>
        <item t="data" sd="1" m="1" x="4145"/>
        <item t="data" sd="1" m="1" x="4165"/>
        <item t="data" sd="1" m="1" x="4070"/>
        <item t="data" sd="1" m="1" x="4068"/>
        <item t="data" sd="1" m="1" x="4069"/>
        <item t="data" sd="1" m="1" x="4053"/>
        <item t="data" sd="1" m="1" x="4166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0"/>
        <item t="data" sd="1" m="1" x="4061"/>
        <item t="data" sd="1" m="1" x="4167"/>
        <item t="data" sd="1" m="1" x="4062"/>
        <item t="data" sd="1" m="1" x="4168"/>
        <item t="data" sd="1" m="1" x="4063"/>
        <item t="data" sd="1" m="1" x="4169"/>
        <item t="data" sd="1" m="1" x="4064"/>
        <item t="data" sd="1" m="1" x="4170"/>
        <item t="data" sd="1" m="1" x="4065"/>
        <item t="data" sd="1" m="1" x="4171"/>
        <item t="data" sd="1" m="1" x="4066"/>
        <item t="data" sd="1" m="1" x="4067"/>
        <item t="data" sd="1" m="1" x="4051"/>
        <item t="data" sd="1" m="1" x="4172"/>
        <item t="data" sd="1" m="1" x="4052"/>
        <item t="data" sd="1" m="1" x="4173"/>
        <item t="data" sd="1" m="1" x="4174"/>
        <item t="data" sd="1" m="1" x="3765"/>
        <item t="data" sd="1" m="1" x="3766"/>
        <item t="data" sd="1" m="1" x="4175"/>
        <item t="data" sd="1" m="1" x="4080"/>
        <item t="data" sd="1" m="1" x="3809"/>
        <item t="data" sd="1" m="1" x="3804"/>
        <item t="data" sd="1" m="1" x="3805"/>
        <item t="data" sd="1" m="1" x="3806"/>
        <item t="data" sd="1" m="1" x="3807"/>
        <item t="data" sd="1" m="1" x="3819"/>
        <item t="data" sd="1" m="1" x="3820"/>
        <item t="data" sd="1" m="1" x="3821"/>
        <item t="data" sd="1" m="1" x="3814"/>
        <item t="data" sd="1" m="1" x="3815"/>
        <item t="data" sd="1" m="1" x="3816"/>
        <item t="data" sd="1" m="1" x="3817"/>
        <item t="data" sd="1" m="1" x="3818"/>
        <item t="data" sd="1" m="1" x="4176"/>
        <item t="data" sd="1" m="1" x="4177"/>
        <item t="data" sd="1" m="1" x="4178"/>
        <item t="data" sd="1" m="1" x="4179"/>
        <item t="data" sd="1" m="1" x="3831"/>
        <item t="data" sd="1" m="1" x="3830"/>
        <item t="data" sd="1" m="1" x="4193"/>
        <item t="data" sd="1" m="1" x="4195"/>
        <item t="data" sd="1" m="1" x="3823"/>
        <item t="data" sd="1" m="1" x="3363"/>
        <item t="data" sd="1" m="1" x="4200"/>
        <item t="data" sd="1" m="1" x="1580"/>
        <item t="data" sd="1" m="1" x="1581"/>
        <item t="data" sd="1" m="1" x="3844"/>
        <item t="data" sd="1" m="1" x="3842"/>
        <item t="data" sd="1" m="1" x="4097"/>
        <item t="data" sd="1" m="1" x="4203"/>
        <item t="data" sd="1" m="1" x="4204"/>
        <item t="data" sd="1" m="1" x="4208"/>
        <item t="data" sd="1" m="1" x="4209"/>
        <item t="data" sd="1" m="1" x="4211"/>
        <item t="data" sd="1" m="1" x="4212"/>
        <item t="data" sd="1" m="1" x="4213"/>
        <item t="data" sd="1" m="1" x="4215"/>
        <item t="data" sd="1" m="1" x="4216"/>
        <item t="data" sd="1" m="1" x="3869"/>
        <item t="data" sd="1" m="1" x="3885"/>
        <item t="data" sd="1" m="1" x="3882"/>
        <item t="data" sd="1" m="1" x="3883"/>
        <item t="data" sd="1" m="1" x="3884"/>
        <item t="data" sd="1" m="1" x="3231"/>
        <item t="data" sd="1" m="1" x="3897"/>
        <item t="data" sd="1" m="1" x="3898"/>
        <item t="data" sd="1" m="1" x="3054"/>
        <item t="data" sd="1" m="1" x="3899"/>
        <item t="data" sd="1" m="1" x="4218"/>
        <item t="data" sd="1" m="1" x="3912"/>
        <item t="data" sd="1" m="1" x="3913"/>
        <item t="data" sd="1" m="1" x="3930"/>
        <item t="data" sd="1" m="1" x="3707"/>
        <item t="data" sd="1" m="1" x="3933"/>
        <item t="data" sd="1" m="1" x="4221"/>
        <item t="data" sd="1" m="1" x="3713"/>
        <item t="data" sd="1" m="1" x="3714"/>
        <item t="data" sd="1" m="1" x="4226"/>
        <item t="data" sd="1" m="1" x="3464"/>
        <item t="data" sd="1" m="1" x="3945"/>
        <item t="data" sd="1" m="1" x="4227"/>
        <item t="data" sd="1" m="1" x="4228"/>
        <item t="data" sd="1" m="1" x="3962"/>
        <item t="data" sd="1" m="1" x="3961"/>
        <item t="data" sd="1" m="1" x="4238"/>
        <item t="data" sd="1" m="1" x="4239"/>
        <item t="data" sd="1" m="1" x="4242"/>
        <item t="data" sd="1" m="1" x="3971"/>
        <item t="data" sd="1" m="1" x="3972"/>
        <item t="data" sd="1" m="1" x="4245"/>
        <item t="data" sd="1" m="1" x="3985"/>
        <item t="data" sd="1" m="1" x="3986"/>
        <item t="data" sd="1" m="1" x="3981"/>
        <item t="data" sd="1" m="1" x="3993"/>
        <item t="data" sd="1" m="1" x="3994"/>
        <item t="data" sd="1" m="1" x="1654"/>
        <item t="data" sd="1" m="1" x="4249"/>
        <item t="data" sd="1" m="1" x="4252"/>
        <item t="data" sd="1" m="1" x="4253"/>
        <item t="data" sd="1" m="1" x="4016"/>
        <item t="data" sd="1" m="1" x="4023"/>
        <item t="data" sd="1" m="1" x="3090"/>
        <item t="data" sd="1" m="1" x="3087"/>
        <item t="data" sd="1" m="1" x="4031"/>
        <item t="data" sd="1" m="1" x="4032"/>
        <item t="data" sd="1" m="1" x="3758"/>
        <item t="data" sd="1" m="1" x="3755"/>
        <item t="data" sd="1" m="1" x="1674"/>
        <item t="data" sd="1" m="1" x="3756"/>
        <item t="data" sd="1" m="1" x="4035"/>
        <item t="data" sd="1" m="1" x="4036"/>
        <item t="data" sd="1" m="1" x="4037"/>
        <item t="data" sd="1" m="1" x="4038"/>
        <item t="data" sd="1" m="1" x="4039"/>
        <item t="data" sd="1" m="1" x="4040"/>
        <item t="data" sd="1" m="1" x="4041"/>
        <item t="data" sd="1" m="1" x="4042"/>
        <item t="data" sd="1" m="1" x="4043"/>
        <item t="data" sd="1" m="1" x="4044"/>
        <item t="data" sd="1" m="1" x="3767"/>
        <item t="data" sd="1" m="1" x="4045"/>
        <item t="data" sd="1" m="1" x="4046"/>
        <item t="data" sd="1" m="1" x="4047"/>
        <item t="data" sd="1" m="1" x="4048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8"/>
        <item t="data" sd="1" m="1" x="4079"/>
        <item t="data" sd="1" m="1" x="4084"/>
        <item t="data" sd="1" m="1" x="3808"/>
        <item t="data" sd="1" m="1" x="4091"/>
        <item t="data" sd="1" m="1" x="2412"/>
        <item t="data" sd="1" m="1" x="4092"/>
        <item t="data" sd="1" m="1" x="4093"/>
        <item t="data" sd="1" m="1" x="4094"/>
        <item t="data" sd="1" m="1" x="3829"/>
        <item t="data" sd="1" m="1" x="3656"/>
        <item t="data" sd="1" m="1" x="3653"/>
        <item t="data" sd="1" m="1" x="3825"/>
        <item t="data" sd="1" m="1" x="3835"/>
        <item t="data" sd="1" m="1" x="3837"/>
        <item t="data" sd="1" m="1" x="3199"/>
        <item t="data" sd="1" m="1" x="3838"/>
        <item t="data" sd="1" m="1" x="3846"/>
        <item t="data" sd="1" m="1" x="3845"/>
        <item t="data" sd="1" m="1" x="1668"/>
        <item t="data" sd="1" m="1" x="4096"/>
        <item t="data" sd="1" m="1" x="3855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04"/>
        <item t="data" sd="1" m="1" x="4105"/>
        <item t="data" sd="1" m="1" x="4106"/>
        <item t="data" sd="1" m="1" x="3967"/>
        <item t="data" sd="1" m="1" x="4107"/>
        <item t="data" sd="1" m="1" x="4108"/>
        <item t="data" sd="1" m="1" x="4109"/>
        <item t="data" sd="1" m="1" x="4110"/>
        <item t="data" sd="1" m="1" x="4111"/>
        <item t="data" sd="1" m="1" x="4112"/>
        <item t="data" sd="1" m="1" x="4113"/>
        <item t="data" sd="1" m="1" x="4114"/>
        <item t="data" sd="1" m="1" x="3870"/>
        <item t="data" sd="1" m="1" x="3871"/>
        <item t="data" sd="1" m="1" x="3872"/>
        <item t="data" sd="1" m="1" x="3873"/>
        <item t="data" sd="1" m="1" x="3878"/>
        <item t="data" sd="1" m="1" x="3879"/>
        <item t="data" sd="1" m="1" x="3880"/>
        <item t="data" sd="1" m="1" x="3881"/>
        <item t="data" sd="1" m="1" x="3688"/>
        <item t="data" sd="1" m="1" x="3890"/>
        <item t="data" sd="1" m="1" x="3891"/>
        <item t="data" sd="1" m="1" x="3927"/>
        <item t="data" sd="1" m="1" x="3926"/>
        <item t="data" sd="1" m="1" x="3692"/>
        <item t="data" sd="1" m="1" x="3904"/>
        <item t="data" sd="1" m="1" x="3700"/>
        <item t="data" sd="1" m="1" x="4116"/>
        <item t="data" sd="1" m="1" x="3708"/>
        <item t="data" sd="1" m="1" x="3709"/>
        <item t="data" sd="1" m="1" x="3710"/>
        <item t="data" sd="1" m="1" x="4117"/>
        <item t="data" sd="1" m="1" x="3954"/>
        <item t="data" sd="1" m="1" x="3601"/>
        <item t="data" sd="1" m="1" x="3941"/>
        <item t="data" sd="1" m="1" x="4118"/>
        <item t="data" sd="1" m="1" x="3946"/>
        <item t="data" sd="1" m="1" x="4119"/>
        <item t="data" sd="1" m="1" x="3956"/>
        <item t="data" sd="1" m="1" x="3957"/>
        <item t="data" sd="1" m="1" x="3958"/>
        <item t="data" sd="1" m="1" x="3720"/>
        <item t="data" sd="1" m="1" x="3968"/>
        <item t="data" sd="1" m="1" x="3969"/>
        <item t="data" sd="1" m="1" x="3974"/>
        <item t="data" sd="1" m="1" x="3975"/>
        <item t="data" sd="1" m="1" x="3982"/>
        <item t="data" sd="1" m="1" x="3980"/>
        <item t="data" sd="1" m="1" x="3485"/>
        <item t="data" sd="1" m="1" x="3998"/>
        <item t="data" sd="1" m="1" x="3608"/>
        <item t="data" sd="1" m="1" x="3992"/>
        <item t="data" sd="1" m="1" x="2966"/>
        <item t="data" sd="1" m="1" x="3496"/>
        <item t="data" sd="1" m="1" x="3284"/>
        <item t="data" sd="1" m="1" x="4005"/>
        <item t="data" sd="1" m="1" x="1648"/>
        <item t="data" sd="1" m="1" x="1649"/>
        <item t="data" sd="1" m="1" x="1650"/>
        <item t="data" sd="1" m="1" x="1651"/>
        <item t="data" sd="1" m="1" x="1652"/>
        <item t="data" sd="1" m="1" x="4006"/>
        <item t="data" sd="1" m="1" x="4012"/>
        <item t="data" sd="1" m="1" x="4014"/>
        <item t="data" sd="1" m="1" x="4017"/>
        <item t="data" sd="1" m="1" x="4022"/>
        <item t="data" sd="1" m="1" x="3747"/>
        <item t="data" sd="1" m="1" x="3750"/>
        <item t="data" sd="1" m="1" x="3751"/>
        <item t="data" sd="1" m="1" x="3752"/>
        <item t="data" sd="1" m="1" x="3318"/>
        <item t="data" sd="1" m="1" x="3759"/>
        <item t="data" sd="1" m="1" x="3760"/>
        <item t="data" sd="1" m="1" x="3761"/>
        <item t="data" sd="1" m="1" x="3763"/>
        <item t="data" sd="1" m="1" x="3764"/>
        <item t="data" sd="1" m="1" x="3768"/>
        <item t="data" sd="1" m="1" x="3769"/>
        <item t="data" sd="1" m="1" x="3770"/>
        <item t="data" sd="1" m="1" x="3771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78"/>
        <item t="data" sd="1" m="1" x="3779"/>
        <item t="data" sd="1" m="1" x="3780"/>
        <item t="data" sd="1" m="1" x="3781"/>
        <item t="data" sd="1" m="1" x="3782"/>
        <item t="data" sd="1" m="1" x="3783"/>
        <item t="data" sd="1" m="1" x="3784"/>
        <item t="data" sd="1" m="1" x="3785"/>
        <item t="data" sd="1" m="1" x="3786"/>
        <item t="data" sd="1" m="1" x="3787"/>
        <item t="data" sd="1" m="1" x="3788"/>
        <item t="data" sd="1" m="1" x="3789"/>
        <item t="data" sd="1" m="1" x="3790"/>
        <item t="data" sd="1" m="1" x="3791"/>
        <item t="data" sd="1" m="1" x="3342"/>
        <item t="data" sd="1" m="1" x="1673"/>
        <item t="data" sd="1" m="1" x="3798"/>
        <item t="data" sd="1" m="1" x="3799"/>
        <item t="data" sd="1" m="1" x="3344"/>
        <item t="data" sd="1" m="1" x="3802"/>
        <item t="data" sd="1" m="1" x="3803"/>
        <item t="data" sd="1" m="1" x="3812"/>
        <item t="data" sd="1" m="1" x="2413"/>
        <item t="data" sd="1" m="1" x="2414"/>
        <item t="data" sd="1" m="1" x="2415"/>
        <item t="data" sd="1" m="1" x="3822"/>
        <item t="data" sd="1" m="1" x="3826"/>
        <item t="data" sd="1" m="1" x="3832"/>
        <item t="data" sd="1" m="1" x="3833"/>
        <item t="data" sd="1" m="1" x="3834"/>
        <item t="data" sd="1" m="1" x="1608"/>
        <item t="data" sd="1" m="1" x="1603"/>
        <item t="data" sd="1" m="1" x="1582"/>
        <item t="data" sd="1" m="1" x="1583"/>
        <item t="data" sd="1" m="1" x="3839"/>
        <item t="data" sd="1" m="1" x="3840"/>
        <item t="data" sd="1" m="1" x="3841"/>
        <item t="data" sd="1" m="1" x="3847"/>
        <item t="data" sd="1" m="1" x="3848"/>
        <item t="data" sd="1" m="1" x="3849"/>
        <item t="data" sd="1" m="1" x="1588"/>
        <item t="data" sd="1" m="1" x="3850"/>
        <item t="data" sd="1" m="1" x="3851"/>
        <item t="data" sd="1" m="1" x="3204"/>
        <item t="data" sd="1" m="1" x="3205"/>
        <item t="data" sd="1" m="1" x="3852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5"/>
        <item t="data" sd="1" m="1" x="3866"/>
        <item t="data" sd="1" m="1" x="1601"/>
        <item t="data" sd="1" m="1" x="1578"/>
        <item t="data" sd="1" m="1" x="3230"/>
        <item t="data" sd="1" m="1" x="3874"/>
        <item t="data" sd="1" m="1" x="3875"/>
        <item t="data" sd="1" m="1" x="3876"/>
        <item t="data" sd="1" m="1" x="3877"/>
        <item t="data" sd="1" m="1" x="3892"/>
        <item t="data" sd="1" m="1" x="3893"/>
        <item t="data" sd="1" m="1" x="3894"/>
        <item t="data" sd="1" m="1" x="1615"/>
        <item t="data" sd="1" m="1" x="3929"/>
        <item t="data" sd="1" m="1" x="3935"/>
        <item t="data" sd="1" m="1" x="3936"/>
        <item t="data" sd="1" m="1" x="3937"/>
        <item t="data" sd="1" m="1" x="3938"/>
        <item t="data" sd="1" m="1" x="3940"/>
        <item t="data" sd="1" m="1" x="3942"/>
        <item t="data" sd="1" m="1" x="3943"/>
        <item t="data" sd="1" m="1" x="3427"/>
        <item t="data" sd="1" m="1" x="2979"/>
        <item t="data" sd="1" m="1" x="1612"/>
        <item t="data" sd="1" m="1" x="3267"/>
        <item t="data" sd="1" m="1" x="3965"/>
        <item t="data" sd="1" m="1" x="3966"/>
        <item t="data" sd="1" m="1" x="3973"/>
        <item t="data" sd="1" m="1" x="3732"/>
        <item t="data" sd="1" m="1" x="3977"/>
        <item t="data" sd="1" m="1" x="3978"/>
        <item t="data" sd="1" m="1" x="3979"/>
        <item t="data" sd="1" m="1" x="3736"/>
        <item t="data" sd="1" m="1" x="3990"/>
        <item t="data" sd="1" m="1" x="3991"/>
        <item t="data" sd="1" m="1" x="2974"/>
        <item t="data" sd="1" m="1" x="2975"/>
        <item t="data" sd="1" m="1" x="2976"/>
        <item t="data" sd="1" m="1" x="2980"/>
        <item t="data" sd="1" m="1" x="2977"/>
        <item t="data" sd="1" m="1" x="2978"/>
        <item t="data" sd="1" m="1" x="4002"/>
        <item t="data" sd="1" m="1" x="4003"/>
        <item t="data" sd="1" m="1" x="4004"/>
        <item t="data" sd="1" m="1" x="3287"/>
        <item t="data" sd="1" m="1" x="1653"/>
        <item t="data" sd="1" m="1" x="1647"/>
        <item t="data" sd="1" m="1" x="4007"/>
        <item t="data" sd="1" m="1" x="4011"/>
        <item t="data" sd="1" m="1" x="4024"/>
        <item t="data" sd="1" m="1" x="4025"/>
        <item t="data" sd="1" m="1" x="4026"/>
        <item t="data" sd="1" m="1" x="4027"/>
        <item t="data" sd="1" m="1" x="4028"/>
        <item t="data" sd="1" m="1" x="4029"/>
        <item t="data" sd="1" m="1" x="4030"/>
        <item t="data" sd="1" m="1" x="1672"/>
        <item t="data" sd="1" m="1" x="3634"/>
        <item t="data" sd="1" m="1" x="3310"/>
        <item t="data" sd="1" m="1" x="3635"/>
        <item t="data" sd="1" m="1" x="3636"/>
        <item t="data" sd="1" m="1" x="3637"/>
        <item t="data" sd="1" m="1" x="3638"/>
        <item t="data" sd="1" m="1" x="3639"/>
        <item t="data" sd="1" m="1" x="2804"/>
        <item t="data" sd="1" m="1" x="3127"/>
        <item t="data" sd="1" m="1" x="3513"/>
        <item t="data" sd="1" m="1" x="3286"/>
        <item t="data" sd="1" m="1" x="3640"/>
        <item t="data" sd="1" m="1" x="3641"/>
        <item t="data" sd="1" m="1" x="3642"/>
        <item t="data" sd="1" m="1" x="3643"/>
        <item t="data" sd="1" m="1" x="3644"/>
        <item t="data" sd="1" m="1" x="3336"/>
        <item t="data" sd="1" m="1" x="3645"/>
        <item t="data" sd="1" m="1" x="3646"/>
        <item t="data" sd="1" m="1" x="3647"/>
        <item t="data" sd="1" m="1" x="3648"/>
        <item t="data" sd="1" m="1" x="3649"/>
        <item t="data" sd="1" m="1" x="3544"/>
        <item t="data" sd="1" m="1" x="3545"/>
        <item t="data" sd="1" m="1" x="3546"/>
        <item t="data" sd="1" m="1" x="3172"/>
        <item t="data" sd="1" m="1" x="3349"/>
        <item t="data" sd="1" m="1" x="3345"/>
        <item t="data" sd="1" m="1" x="3348"/>
        <item t="data" sd="1" m="1" x="3650"/>
        <item t="data" sd="1" m="1" x="3651"/>
        <item t="data" sd="1" m="1" x="3652"/>
        <item t="data" sd="1" m="1" x="3180"/>
        <item t="data" sd="1" m="1" x="3179"/>
        <item t="data" sd="1" m="1" x="3183"/>
        <item t="data" sd="1" m="1" x="1619"/>
        <item t="data" sd="1" m="1" x="3188"/>
        <item t="data" sd="1" m="1" x="3658"/>
        <item t="data" sd="1" m="1" x="1291"/>
        <item t="data" sd="1" m="1" x="1606"/>
        <item t="data" sd="1" m="1" x="3659"/>
        <item t="data" sd="1" m="1" x="3660"/>
        <item t="data" sd="1" m="1" x="3661"/>
        <item t="data" sd="1" m="1" x="1604"/>
        <item t="data" sd="1" m="1" x="3563"/>
        <item t="data" sd="1" m="1" x="3564"/>
        <item t="data" sd="1" m="1" x="3662"/>
        <item t="data" sd="1" m="1" x="3663"/>
        <item t="data" sd="1" m="1" x="3664"/>
        <item t="data" sd="1" m="1" x="3665"/>
        <item t="data" sd="1" m="1" x="3666"/>
        <item t="data" sd="1" m="1" x="3667"/>
        <item t="data" sd="1" m="1" x="1590"/>
        <item t="data" sd="1" m="1" x="3198"/>
        <item t="data" sd="1" m="1" x="1589"/>
        <item t="data" sd="1" m="1" x="3568"/>
        <item t="data" sd="1" m="1" x="3206"/>
        <item t="data" sd="1" m="1" x="2646"/>
        <item t="data" sd="1" m="1" x="3212"/>
        <item t="data" sd="1" m="1" x="1602"/>
        <item t="data" sd="1" m="1" x="3570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3686"/>
        <item t="data" sd="1" m="1" x="3050"/>
        <item t="data" sd="1" m="1" x="2981"/>
        <item t="data" sd="1" m="1" x="3229"/>
        <item t="data" sd="1" m="1" x="3586"/>
        <item t="data" sd="1" m="1" x="3689"/>
        <item t="data" sd="1" m="1" x="3589"/>
        <item t="data" sd="1" m="1" x="3588"/>
        <item t="data" sd="1" m="1" x="3391"/>
        <item t="data" sd="1" m="1" x="3407"/>
        <item t="data" sd="1" m="1" x="3405"/>
        <item t="data" sd="1" m="1" x="3394"/>
        <item t="data" sd="1" m="1" x="3395"/>
        <item t="data" sd="1" m="1" x="3396"/>
        <item t="data" sd="1" m="1" x="3397"/>
        <item t="data" sd="1" m="1" x="3402"/>
        <item t="data" sd="1" m="1" x="3400"/>
        <item t="data" sd="1" m="1" x="3401"/>
        <item t="data" sd="1" m="1" x="3403"/>
        <item t="data" sd="1" m="1" x="3404"/>
        <item t="data" sd="1" m="1" x="3406"/>
        <item t="data" sd="1" m="1" x="3234"/>
        <item t="data" sd="1" m="1" x="3240"/>
        <item t="data" sd="1" m="1" x="3235"/>
        <item t="data" sd="1" m="1" x="3236"/>
        <item t="data" sd="1" m="1" x="3237"/>
        <item t="data" sd="1" m="1" x="3238"/>
        <item t="data" sd="1" m="1" x="3239"/>
        <item t="data" sd="1" m="1" x="3690"/>
        <item t="data" sd="1" m="1" x="3691"/>
        <item t="data" sd="1" m="1" x="3693"/>
        <item t="data" sd="1" m="1" x="3694"/>
        <item t="data" sd="1" m="1" x="1618"/>
        <item t="data" sd="1" m="1" x="3696"/>
        <item t="data" sd="1" m="1" x="3697"/>
        <item t="data" sd="1" m="1" x="3699"/>
        <item t="data" sd="1" m="1" x="3415"/>
        <item t="data" sd="1" m="1" x="3711"/>
        <item t="data" sd="1" m="1" x="3712"/>
        <item t="data" sd="1" m="1" x="3715"/>
        <item t="data" sd="1" m="1" x="3718"/>
        <item t="data" sd="1" m="1" x="3602"/>
        <item t="data" sd="1" m="1" x="3456"/>
        <item t="data" sd="1" m="1" x="3465"/>
        <item t="data" sd="1" m="1" x="3458"/>
        <item t="data" sd="1" m="1" x="3459"/>
        <item t="data" sd="1" m="1" x="3719"/>
        <item t="data" sd="1" m="1" x="3596"/>
        <item t="data" sd="1" m="1" x="3597"/>
        <item t="data" sd="1" m="1" x="3595"/>
        <item t="data" sd="1" m="1" x="2431"/>
        <item t="data" sd="1" m="1" x="3466"/>
        <item t="data" sd="1" m="1" x="1613"/>
        <item t="data" sd="1" m="1" x="3721"/>
        <item t="data" sd="1" m="1" x="3722"/>
        <item t="data" sd="1" m="1" x="3723"/>
        <item t="data" sd="1" m="1" x="3724"/>
        <item t="data" sd="1" m="1" x="3725"/>
        <item t="data" sd="1" m="1" x="3474"/>
        <item t="data" sd="1" m="1" x="3727"/>
        <item t="data" sd="1" m="1" x="3072"/>
        <item t="data" sd="1" m="1" x="3730"/>
        <item t="data" sd="1" m="1" x="3731"/>
        <item t="data" sd="1" m="1" x="1667"/>
        <item t="data" sd="1" m="1" x="3737"/>
        <item t="data" sd="1" m="1" x="3738"/>
        <item t="data" sd="1" m="1" x="3611"/>
        <item t="data" sd="1" m="1" x="3537"/>
        <item t="data" sd="1" m="1" x="3612"/>
        <item t="data" sd="1" m="1" x="3613"/>
        <item t="data" sd="1" m="1" x="298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988"/>
        <item t="data" sd="1" m="1" x="2989"/>
        <item t="data" sd="1" m="1" x="2990"/>
        <item t="data" sd="1" m="1" x="2991"/>
        <item t="data" sd="1" m="1" x="3486"/>
        <item t="data" sd="1" m="1" x="3487"/>
        <item t="data" sd="1" m="1" x="3285"/>
        <item t="data" sd="1" m="1" x="3299"/>
        <item t="data" sd="1" m="1" x="3283"/>
        <item t="data" sd="1" m="1" x="1646"/>
        <item t="data" sd="1" m="1" x="3629"/>
        <item t="data" sd="1" m="1" x="3744"/>
        <item t="data" sd="1" m="1" x="2781"/>
        <item t="data" sd="1" m="1" x="3082"/>
        <item t="data" sd="1" m="1" x="3084"/>
        <item t="data" sd="1" m="1" x="3745"/>
        <item t="data" sd="1" m="1" x="3746"/>
        <item t="data" sd="1" m="1" x="3504"/>
        <item t="data" sd="1" m="1" x="3748"/>
        <item t="data" sd="1" m="1" x="3505"/>
        <item t="data" sd="1" m="1" x="3309"/>
        <item t="data" sd="1" m="1" x="1663"/>
        <item t="data" sd="1" m="1" x="3506"/>
        <item t="data" sd="1" m="1" x="3507"/>
        <item t="data" sd="1" m="1" x="3508"/>
        <item t="data" sd="1" m="1" x="3509"/>
        <item t="data" sd="1" m="1" x="3510"/>
        <item t="data" sd="1" m="1" x="3511"/>
        <item t="data" sd="1" m="1" x="3120"/>
        <item t="data" sd="1" m="1" x="3462"/>
        <item t="data" sd="1" m="1" x="3357"/>
        <item t="data" sd="1" m="1" x="3324"/>
        <item t="data" sd="1" m="1" x="3512"/>
        <item t="data" sd="1" m="1" x="3314"/>
        <item t="data" sd="1" m="1" x="3515"/>
        <item t="data" sd="1" m="1" x="3516"/>
        <item t="data" sd="1" m="1" x="3517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531"/>
        <item t="data" sd="1" m="1" x="3532"/>
        <item t="data" sd="1" m="1" x="3533"/>
        <item t="data" sd="1" m="1" x="3534"/>
        <item t="data" sd="1" m="1" x="3535"/>
        <item t="data" sd="1" m="1" x="3536"/>
        <item t="data" sd="1" m="1" x="3538"/>
        <item t="data" sd="1" m="1" x="3539"/>
        <item t="data" sd="1" m="1" x="3542"/>
        <item t="data" sd="1" m="1" x="3543"/>
        <item t="data" sd="1" m="1" x="3347"/>
        <item t="data" sd="1" m="1" x="3547"/>
        <item t="data" sd="1" m="1" x="3548"/>
        <item t="data" sd="1" m="1" x="3549"/>
        <item t="data" sd="1" m="1" x="3550"/>
        <item t="data" sd="1" m="1" x="3409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1607"/>
        <item t="data" sd="1" m="1" x="2010"/>
        <item t="data" sd="1" m="1" x="3560"/>
        <item t="data" sd="1" m="1" x="3561"/>
        <item t="data" sd="1" m="1" x="3562"/>
        <item t="data" sd="1" m="1" x="3567"/>
        <item t="data" sd="1" m="1" x="1579"/>
        <item t="data" sd="1" m="1" x="1591"/>
        <item t="data" sd="1" m="1" x="3210"/>
        <item t="data" sd="1" m="1" x="3569"/>
        <item t="data" sd="1" m="1" x="3371"/>
        <item t="data" sd="1" m="1" x="3571"/>
        <item t="data" sd="1" m="1" x="3572"/>
        <item t="data" sd="1" m="1" x="3376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3081"/>
        <item t="data" sd="1" m="1" x="3579"/>
        <item t="data" sd="1" m="1" x="3379"/>
        <item t="data" sd="1" m="1" x="3381"/>
        <item t="data" sd="1" m="1" x="3582"/>
        <item t="data" sd="1" m="1" x="3583"/>
        <item t="data" sd="1" m="1" x="3584"/>
        <item t="data" sd="1" m="1" x="3585"/>
        <item t="data" sd="1" m="1" x="3587"/>
        <item t="data" sd="1" m="1" x="3389"/>
        <item t="data" sd="1" m="1" x="3390"/>
        <item t="data" sd="1" m="1" x="3408"/>
        <item t="data" sd="1" m="1" x="3398"/>
        <item t="data" sd="1" m="1" x="3399"/>
        <item t="data" sd="1" m="1" x="1574"/>
        <item t="data" sd="1" m="1" x="1611"/>
        <item t="data" sd="1" m="1" x="3590"/>
        <item t="data" sd="1" m="1" x="3591"/>
        <item t="data" sd="1" m="1" x="3592"/>
        <item t="data" sd="1" m="1" x="3593"/>
        <item t="data" sd="1" m="1" x="3594"/>
        <item t="data" sd="1" m="1" x="3296"/>
        <item t="data" sd="1" m="1" x="3257"/>
        <item t="data" sd="1" m="1" x="3457"/>
        <item t="data" sd="1" m="1" x="3461"/>
        <item t="data" sd="1" m="1" x="1659"/>
        <item t="data" sd="1" m="1" x="3599"/>
        <item t="data" sd="1" m="1" x="3600"/>
        <item t="data" sd="1" m="1" x="3603"/>
        <item t="data" sd="1" m="1" x="3268"/>
        <item t="data" sd="1" m="1" x="3473"/>
        <item t="data" sd="1" m="1" x="3468"/>
        <item t="data" sd="1" m="1" x="3472"/>
        <item t="data" sd="1" m="1" x="3469"/>
        <item t="data" sd="1" m="1" x="3470"/>
        <item t="data" sd="1" m="1" x="3471"/>
        <item t="data" sd="1" m="1" x="3604"/>
        <item t="data" sd="1" m="1" x="3605"/>
        <item t="data" sd="1" m="1" x="3476"/>
        <item t="data" sd="1" m="1" x="3606"/>
        <item t="data" sd="1" m="1" x="3607"/>
        <item t="data" sd="1" m="1" x="3609"/>
        <item t="data" sd="1" m="1" x="3610"/>
        <item t="data" sd="1" m="1" x="3614"/>
        <item t="data" sd="1" m="1" x="3615"/>
        <item t="data" sd="1" m="1" x="3616"/>
        <item t="data" sd="1" m="1" x="3301"/>
        <item t="data" sd="1" m="1" x="2782"/>
        <item t="data" sd="1" m="1" x="3497"/>
        <item t="data" sd="1" m="1" x="3617"/>
        <item t="data" sd="1" m="1" x="1660"/>
        <item t="data" sd="1" m="1" x="1661"/>
        <item t="data" sd="1" m="1" x="1664"/>
        <item t="data" sd="1" m="1" x="1662"/>
        <item t="data" sd="1" m="1" x="1665"/>
        <item t="data" sd="1" m="1" x="3626"/>
        <item t="data" sd="1" m="1" x="3627"/>
        <item t="data" sd="1" m="1" x="3628"/>
        <item t="data" sd="1" m="1" x="3502"/>
        <item t="data" sd="1" m="1" x="3083"/>
        <item t="data" sd="1" m="1" x="3630"/>
        <item t="data" sd="1" m="1" x="3631"/>
        <item t="data" sd="1" m="1" x="3632"/>
        <item t="data" sd="1" m="1" x="3092"/>
        <item t="data" sd="1" m="1" x="3307"/>
        <item t="data" sd="1" m="1" x="3308"/>
        <item t="data" sd="1" m="1" x="3311"/>
        <item t="data" sd="1" m="1" x="3312"/>
        <item t="data" sd="1" m="1" x="3313"/>
        <item t="data" sd="1" m="1" x="3316"/>
        <item t="data" sd="1" m="1" x="3317"/>
        <item t="data" sd="1" m="1" x="3321"/>
        <item t="data" sd="1" m="1" x="3322"/>
        <item t="data" sd="1" m="1" x="3325"/>
        <item t="data" sd="1" m="1" x="3326"/>
        <item t="data" sd="1" m="1" x="3126"/>
        <item t="data" sd="1" m="1" x="3124"/>
        <item t="data" sd="1" m="1" x="3012"/>
        <item t="data" sd="1" m="1" x="3327"/>
        <item t="data" sd="1" m="1" x="3328"/>
        <item t="data" sd="1" m="1" x="3329"/>
        <item t="data" sd="1" m="1" x="3330"/>
        <item t="data" sd="1" m="1" x="3331"/>
        <item t="data" sd="1" m="1" x="3332"/>
        <item t="data" sd="1" m="1" x="3333"/>
        <item t="data" sd="1" m="1" x="3334"/>
        <item t="data" sd="1" m="1" x="3335"/>
        <item t="data" sd="1" m="1" x="3337"/>
        <item t="data" sd="1" m="1" x="3338"/>
        <item t="data" sd="1" m="1" x="3343"/>
        <item t="data" sd="1" m="1" x="3346"/>
        <item t="data" sd="1" m="1" x="3350"/>
        <item t="data" sd="1" m="1" x="3352"/>
        <item t="data" sd="1" m="1" x="3353"/>
        <item t="data" sd="1" m="1" x="2016"/>
        <item t="data" sd="1" m="1" x="3182"/>
        <item t="data" sd="1" m="1" x="3358"/>
        <item t="data" sd="1" m="1" x="2288"/>
        <item t="data" sd="1" m="1" x="3361"/>
        <item t="data" sd="1" m="1" x="2778"/>
        <item t="data" sd="1" m="1" x="1599"/>
        <item t="data" sd="1" m="1" x="1600"/>
        <item t="data" sd="1" m="1" x="1594"/>
        <item t="data" sd="1" m="1" x="1592"/>
        <item t="data" sd="1" m="1" x="1593"/>
        <item t="data" sd="1" m="1" x="3200"/>
        <item t="data" sd="1" m="1" x="3364"/>
        <item t="data" sd="1" m="1" x="3365"/>
        <item t="data" sd="1" m="1" x="3211"/>
        <item t="data" sd="1" m="1" x="3366"/>
        <item t="data" sd="1" m="1" x="3035"/>
        <item t="data" sd="1" m="1" x="3036"/>
        <item t="data" sd="1" m="1" x="3037"/>
        <item t="data" sd="1" m="1" x="3038"/>
        <item t="data" sd="1" m="1" x="3039"/>
        <item t="data" sd="1" m="1" x="3040"/>
        <item t="data" sd="1" m="1" x="3372"/>
        <item t="data" sd="1" m="1" x="3378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7"/>
        <item t="data" sd="1" m="1" x="3388"/>
        <item t="data" sd="1" m="1" x="2593"/>
        <item t="data" sd="1" m="1" x="3056"/>
        <item t="data" sd="1" m="1" x="3245"/>
        <item t="data" sd="1" m="1" x="1573"/>
        <item t="data" sd="1" m="1" x="3410"/>
        <item t="data" sd="1" m="1" x="3411"/>
        <item t="data" sd="1" m="1" x="3412"/>
        <item t="data" sd="1" m="1" x="3413"/>
        <item t="data" sd="1" m="1" x="1616"/>
        <item t="data" sd="1" m="1" x="1617"/>
        <item t="data" sd="1" m="1" x="3416"/>
        <item t="data" sd="1" m="1" x="3419"/>
        <item t="data" sd="1" m="1" x="3253"/>
        <item t="data" sd="1" m="1" x="1623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3426"/>
        <item t="data" sd="1" m="1" x="3460"/>
        <item t="data" sd="1" m="1" x="3463"/>
        <item t="data" sd="1" m="1" x="678"/>
        <item t="data" sd="1" m="1" x="1624"/>
        <item t="data" sd="1" m="1" x="3477"/>
        <item t="data" sd="1" m="1" x="3274"/>
        <item t="data" sd="1" m="1" x="3478"/>
        <item t="data" sd="1" m="1" x="3479"/>
        <item t="data" sd="1" m="1" x="3481"/>
        <item t="data" sd="1" m="1" x="3482"/>
        <item t="data" sd="1" m="1" x="3484"/>
        <item t="data" sd="1" m="1" x="3488"/>
        <item t="data" sd="1" m="1" x="3489"/>
        <item t="data" sd="1" m="1" x="3490"/>
        <item t="data" sd="1" m="1" x="3491"/>
        <item t="data" sd="1" m="1" x="3492"/>
        <item t="data" sd="1" m="1" x="3493"/>
        <item t="data" sd="1" m="1" x="3494"/>
        <item t="data" sd="1" m="1" x="2866"/>
        <item t="data" sd="1" m="1" x="3282"/>
        <item t="data" sd="1" m="1" x="3300"/>
        <item t="data" sd="1" m="1" x="3281"/>
        <item t="data" sd="1" m="1" x="3498"/>
        <item t="data" sd="1" m="1" x="3304"/>
        <item t="data" sd="1" m="1" x="1655"/>
        <item t="data" sd="1" m="1" x="1656"/>
        <item t="data" sd="1" m="1" x="1657"/>
        <item t="data" sd="1" m="1" x="1658"/>
        <item t="data" sd="1" m="1" x="3500"/>
        <item t="data" sd="1" m="1" x="3501"/>
        <item t="data" sd="1" m="1" x="3091"/>
        <item t="data" sd="1" m="1" x="3093"/>
        <item t="data" sd="1" m="1" x="3094"/>
        <item t="data" sd="1" m="1" x="3095"/>
        <item t="data" sd="1" m="1" x="3096"/>
        <item t="data" sd="1" m="1" x="3097"/>
        <item t="data" sd="1" m="1" x="3098"/>
        <item t="data" sd="1" m="1" x="1609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3111"/>
        <item t="data" sd="1" m="1" x="3112"/>
        <item t="data" sd="1" m="1" x="3113"/>
        <item t="data" sd="1" m="1" x="3114"/>
        <item t="data" sd="1" m="1" x="3117"/>
        <item t="data" sd="1" m="1" x="3118"/>
        <item t="data" sd="1" m="1" x="3119"/>
        <item t="data" sd="1" m="1" x="3121"/>
        <item t="data" sd="1" m="1" x="3122"/>
        <item t="data" sd="1" m="1" x="3125"/>
        <item t="data" sd="1" m="1" x="3128"/>
        <item t="data" sd="1" m="1" x="3129"/>
        <item t="data" sd="1" m="1" x="3130"/>
        <item t="data" sd="1" m="1" x="2360"/>
        <item t="data" sd="1" m="1" x="3131"/>
        <item t="data" sd="1" m="1" x="3132"/>
        <item t="data" sd="1" m="1" x="3133"/>
        <item t="data" sd="1" m="1" x="2766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3153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3160"/>
        <item t="data" sd="1" m="1" x="3161"/>
        <item t="data" sd="1" m="1" x="3162"/>
        <item t="data" sd="1" m="1" x="3163"/>
        <item t="data" sd="1" m="1" x="3164"/>
        <item t="data" sd="1" m="1" x="3165"/>
        <item t="data" sd="1" m="1" x="3166"/>
        <item t="data" sd="1" m="1" x="3167"/>
        <item t="data" sd="1" m="1" x="3168"/>
        <item t="data" sd="1" m="1" x="3169"/>
        <item t="data" sd="1" m="1" x="3170"/>
        <item t="data" sd="1" m="1" x="3171"/>
        <item t="data" sd="1" m="1" x="2266"/>
        <item t="data" sd="1" m="1" x="2374"/>
        <item t="data" sd="1" m="1" x="3173"/>
        <item t="data" sd="1" m="1" x="3177"/>
        <item t="data" sd="1" m="1" x="2761"/>
        <item t="data" sd="1" m="1" x="3181"/>
        <item t="data" sd="1" m="1" x="2819"/>
        <item t="data" sd="1" m="1" x="1670"/>
        <item t="data" sd="1" m="1" x="1669"/>
        <item t="data" sd="1" m="1" x="2416"/>
        <item t="data" sd="1" m="1" x="3184"/>
        <item t="data" sd="1" m="1" x="3185"/>
        <item t="data" sd="1" m="1" x="3186"/>
        <item t="data" sd="1" m="1" x="3187"/>
        <item t="data" sd="1" m="1" x="3189"/>
        <item t="data" sd="1" m="1" x="1605"/>
        <item t="data" sd="1" m="1" x="3024"/>
        <item t="data" sd="1" m="1" x="616"/>
        <item t="data" sd="1" m="1" x="3190"/>
        <item t="data" sd="1" m="1" x="3191"/>
        <item t="data" sd="1" m="1" x="3192"/>
        <item t="data" sd="1" m="1" x="1627"/>
        <item t="data" sd="1" m="1" x="3193"/>
        <item t="data" sd="1" m="1" x="3195"/>
        <item t="data" sd="1" m="1" x="1596"/>
        <item t="data" sd="1" m="1" x="1597"/>
        <item t="data" sd="1" m="1" x="1598"/>
        <item t="data" sd="1" m="1" x="3196"/>
        <item t="data" sd="1" m="1" x="1577"/>
        <item t="data" sd="1" m="1" x="2467"/>
        <item t="data" sd="1" m="1" x="669"/>
        <item t="data" sd="1" m="1" x="1585"/>
        <item t="data" sd="1" m="1" x="2489"/>
        <item t="data" sd="1" m="1" x="3201"/>
        <item t="data" sd="1" m="1" x="3202"/>
        <item t="data" sd="1" m="1" x="3207"/>
        <item t="data" sd="1" m="1" x="3208"/>
        <item t="data" sd="1" m="1" x="3209"/>
        <item t="data" sd="1" m="1" x="2826"/>
        <item t="data" sd="1" m="1" x="2828"/>
        <item t="data" sd="1" m="1" x="2436"/>
        <item t="data" sd="1" m="1" x="2684"/>
        <item t="data" sd="1" m="1" x="2541"/>
        <item t="data" sd="1" m="1" x="3034"/>
        <item t="data" sd="1" m="1" x="3213"/>
        <item t="data" sd="1" m="1" x="3214"/>
        <item t="data" sd="1" m="1" x="3215"/>
        <item t="data" sd="1" m="1" x="3216"/>
        <item t="data" sd="1" m="1" x="2232"/>
        <item t="data" sd="1" m="1" x="3217"/>
        <item t="data" sd="1" m="1" x="3223"/>
        <item t="data" sd="1" m="1" x="3224"/>
        <item t="data" sd="1" m="1" x="3225"/>
        <item t="data" sd="1" m="1" x="3226"/>
        <item t="data" sd="1" m="1" x="3227"/>
        <item t="data" sd="1" m="1" x="2687"/>
        <item t="data" sd="1" m="1" x="3232"/>
        <item t="data" sd="1" m="1" x="3233"/>
        <item t="data" sd="1" m="1" x="3241"/>
        <item t="data" sd="1" m="1" x="3244"/>
        <item t="data" sd="1" m="1" x="3053"/>
        <item t="data" sd="1" m="1" x="2686"/>
        <item t="data" sd="1" m="1" x="3246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2"/>
        <item t="data" sd="1" m="1" x="2764"/>
        <item t="data" sd="1" m="1" x="2763"/>
        <item t="data" sd="1" m="1" x="2637"/>
        <item t="data" sd="1" m="1" x="1622"/>
        <item t="data" sd="1" m="1" x="3254"/>
        <item t="data" sd="1" m="1" x="3255"/>
        <item t="data" sd="1" m="1" x="3256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1614"/>
        <item t="data" sd="1" m="1" x="3265"/>
        <item t="data" sd="1" m="1" x="3266"/>
        <item t="data" sd="1" m="1" x="2774"/>
        <item t="data" sd="1" m="1" x="2013"/>
        <item t="data" sd="1" m="1" x="1625"/>
        <item t="data" sd="1" m="1" x="3269"/>
        <item t="data" sd="1" m="1" x="3069"/>
        <item t="data" sd="1" m="1" x="2775"/>
        <item t="data" sd="1" m="1" x="1626"/>
        <item t="data" sd="1" m="1" x="1576"/>
        <item t="data" sd="1" m="1" x="3271"/>
        <item t="data" sd="1" m="1" x="3272"/>
        <item t="data" sd="1" m="1" x="3273"/>
        <item t="data" sd="1" m="1" x="1666"/>
        <item t="data" sd="1" m="1" x="3275"/>
        <item t="data" sd="1" m="1" x="3276"/>
        <item t="data" sd="1" m="1" x="3277"/>
        <item t="data" sd="1" m="1" x="3278"/>
        <item t="data" sd="1" m="1" x="2973"/>
        <item t="data" sd="1" m="1" x="2971"/>
        <item t="data" sd="1" m="1" x="2972"/>
        <item t="data" sd="1" m="1" x="3279"/>
        <item t="data" sd="1" m="1" x="3280"/>
        <item t="data" sd="1" m="1" x="3290"/>
        <item t="data" sd="1" m="1" x="3291"/>
        <item t="data" sd="1" m="1" x="2865"/>
        <item t="data" sd="1" m="1" x="3292"/>
        <item t="data" sd="1" m="1" x="2493"/>
        <item t="data" sd="1" m="1" x="3293"/>
        <item t="data" sd="1" m="1" x="3294"/>
        <item t="data" sd="1" m="1" x="3295"/>
        <item t="data" sd="1" m="1" x="3297"/>
        <item t="data" sd="1" m="1" x="3298"/>
        <item t="data" sd="1" m="1" x="3302"/>
        <item t="data" sd="1" m="1" x="3303"/>
        <item t="data" sd="1" m="1" x="1634"/>
        <item t="data" sd="1" m="1" x="1631"/>
        <item t="data" sd="1" m="1" x="1635"/>
        <item t="data" sd="1" m="1" x="1630"/>
        <item t="data" sd="1" m="1" x="1629"/>
        <item t="data" sd="1" m="1" x="1458"/>
        <item t="data" sd="1" m="1" x="1457"/>
        <item t="data" sd="1" m="1" x="1456"/>
        <item t="data" sd="1" m="1" x="1455"/>
        <item t="data" sd="1" m="1" x="1628"/>
        <item t="data" sd="1" m="1" x="1632"/>
        <item t="data" sd="1" m="1" x="1633"/>
        <item t="data" sd="1" m="1" x="3305"/>
        <item t="data" sd="1" m="1" x="3306"/>
        <item t="data" sd="1" m="1" x="2784"/>
        <item t="data" sd="1" m="1" x="2783"/>
        <item t="data" sd="1" m="1" x="2998"/>
        <item t="data" sd="1" m="1" x="2999"/>
        <item t="data" sd="1" m="1" x="3000"/>
        <item t="data" sd="1" m="1" x="3001"/>
        <item t="data" sd="1" m="1" x="3002"/>
        <item t="data" sd="1" m="1" x="2728"/>
        <item t="data" sd="1" m="1" x="3003"/>
        <item t="data" sd="1" m="1" x="3005"/>
        <item t="data" sd="1" m="1" x="2342"/>
        <item t="data" sd="1" m="1" x="2343"/>
        <item t="data" sd="1" m="1" x="2350"/>
        <item t="data" sd="1" m="1" x="3006"/>
        <item t="data" sd="1" m="1" x="3007"/>
        <item t="data" sd="1" m="1" x="2363"/>
        <item t="data" sd="1" m="1" x="2364"/>
        <item t="data" sd="1" m="1" x="2365"/>
        <item t="data" sd="1" m="1" x="3010"/>
        <item t="data" sd="1" m="1" x="3011"/>
        <item t="data" sd="1" m="1" x="1621"/>
        <item t="data" sd="1" m="1" x="3013"/>
        <item t="data" sd="1" m="1" x="3014"/>
        <item t="data" sd="1" m="1" x="3015"/>
        <item t="data" sd="1" m="1" x="3016"/>
        <item t="data" sd="1" m="1" x="2919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3"/>
        <item t="data" sd="1" m="1" x="2498"/>
        <item t="data" sd="1" m="1" x="2388"/>
        <item t="data" sd="1" m="1" x="2929"/>
        <item t="data" sd="1" m="1" x="1730"/>
        <item t="data" sd="1" m="1" x="2817"/>
        <item t="data" sd="1" m="1" x="2818"/>
        <item t="data" sd="1" m="1" x="1671"/>
        <item t="data" sd="1" m="1" x="1639"/>
        <item t="data" sd="1" m="1" x="2417"/>
        <item t="data" sd="1" m="1" x="2418"/>
        <item t="data" sd="1" m="1" x="2419"/>
        <item t="data" sd="1" m="1" x="2420"/>
        <item t="data" sd="1" m="1" x="2421"/>
        <item t="data" sd="1" m="1" x="2632"/>
        <item t="data" sd="1" m="1" x="2633"/>
        <item t="data" sd="1" m="1" x="2634"/>
        <item t="data" sd="1" m="1" x="2931"/>
        <item t="data" sd="1" m="1" x="2026"/>
        <item t="data" sd="1" m="1" x="613"/>
        <item t="data" sd="1" m="1" x="2681"/>
        <item t="data" sd="1" m="1" x="2967"/>
        <item t="data" sd="1" m="1" x="2935"/>
        <item t="data" sd="1" m="1" x="2933"/>
        <item t="data" sd="1" m="1" x="2934"/>
        <item t="data" sd="1" m="1" x="726"/>
        <item t="data" sd="1" m="1" x="2054"/>
        <item t="data" sd="1" m="1" x="2736"/>
        <item t="data" sd="1" m="1" x="2738"/>
        <item t="data" sd="1" m="1" x="2737"/>
        <item t="data" sd="1" m="1" x="3025"/>
        <item t="data" sd="1" m="1" x="2021"/>
        <item t="data" sd="1" m="1" x="1586"/>
        <item t="data" sd="1" m="1" x="1587"/>
        <item t="data" sd="1" m="1" x="3026"/>
        <item t="data" sd="1" m="1" x="1584"/>
        <item t="data" sd="1" m="1" x="2727"/>
        <item t="data" sd="1" m="1" x="2733"/>
        <item t="data" sd="1" m="1" x="2732"/>
        <item t="data" sd="1" m="1" x="2731"/>
        <item t="data" sd="1" m="1" x="532"/>
        <item t="data" sd="1" m="1" x="2918"/>
        <item t="data" sd="1" m="1" x="2936"/>
        <item t="data" sd="1" m="1" x="2827"/>
        <item t="data" sd="1" m="1" x="3027"/>
        <item t="data" sd="1" m="1" x="3028"/>
        <item t="data" sd="1" m="1" x="2521"/>
        <item t="data" sd="1" m="1" x="3029"/>
        <item t="data" sd="1" m="1" x="2830"/>
        <item t="data" sd="1" m="1" x="2291"/>
        <item t="data" sd="1" m="1" x="3031"/>
        <item t="data" sd="1" m="1" x="1690"/>
        <item t="data" sd="1" m="1" x="3032"/>
        <item t="data" sd="1" m="1" x="3033"/>
        <item t="data" sd="1" m="1" x="2401"/>
        <item t="data" sd="1" m="1" x="3047"/>
        <item t="data" sd="1" m="1" x="3048"/>
        <item t="data" sd="1" m="1" x="3049"/>
        <item t="data" sd="1" m="1" x="1571"/>
        <item t="data" sd="1" m="1" x="1595"/>
        <item t="data" sd="1" m="1" x="2938"/>
        <item t="data" sd="1" m="1" x="1572"/>
        <item t="data" sd="1" m="1" x="2683"/>
        <item t="data" sd="1" m="1" x="2682"/>
        <item t="data" sd="1" m="1" x="2678"/>
        <item t="data" sd="1" m="1" x="1575"/>
        <item t="data" sd="1" m="1" x="1764"/>
        <item t="data" sd="1" m="1" x="3058"/>
        <item t="data" sd="1" m="1" x="3059"/>
        <item t="data" sd="1" m="1" x="2844"/>
        <item t="data" sd="1" m="1" x="2945"/>
        <item t="data" sd="1" m="1" x="2940"/>
        <item t="data" sd="1" m="1" x="3060"/>
        <item t="data" sd="1" m="1" x="3061"/>
        <item t="data" sd="1" m="1" x="2767"/>
        <item t="data" sd="1" m="1" x="2768"/>
        <item t="data" sd="1" m="1" x="3062"/>
        <item t="data" sd="1" m="1" x="3063"/>
        <item t="data" sd="1" m="1" x="2405"/>
        <item t="data" sd="1" m="1" x="2849"/>
        <item t="data" sd="1" m="1" x="2616"/>
        <item t="data" sd="1" m="1" x="2615"/>
        <item t="data" sd="1" m="1" x="2614"/>
        <item t="data" sd="1" m="1" x="2621"/>
        <item t="data" sd="1" m="1" x="2613"/>
        <item t="data" sd="1" m="1" x="2402"/>
        <item t="data" sd="1" m="1" x="2599"/>
        <item t="data" sd="1" m="1" x="2600"/>
        <item t="data" sd="1" m="1" x="2601"/>
        <item t="data" sd="1" m="1" x="2602"/>
        <item t="data" sd="1" m="1" x="2603"/>
        <item t="data" sd="1" m="1" x="2612"/>
        <item t="data" sd="1" m="1" x="2948"/>
        <item t="data" sd="1" m="1" x="2949"/>
        <item t="data" sd="1" m="1" x="2505"/>
        <item t="data" sd="1" m="1" x="3064"/>
        <item t="data" sd="1" m="1" x="3065"/>
        <item t="data" sd="1" m="1" x="2857"/>
        <item t="data" sd="1" m="1" x="3066"/>
        <item t="data" sd="1" m="1" x="3067"/>
        <item t="data" sd="1" m="1" x="2430"/>
        <item t="data" sd="1" m="1" x="2507"/>
        <item t="data" sd="1" m="1" x="2952"/>
        <item t="data" sd="1" m="1" x="2759"/>
        <item t="data" sd="1" m="1" x="3068"/>
        <item t="data" sd="1" m="1" x="2955"/>
        <item t="data" sd="1" m="1" x="2956"/>
        <item t="data" sd="1" m="1" x="3074"/>
        <item t="data" sd="1" m="1" x="2957"/>
        <item t="data" sd="1" m="1" x="2962"/>
        <item t="data" sd="1" m="1" x="3075"/>
        <item t="data" sd="1" m="1" x="3076"/>
        <item t="data" sd="1" m="1" x="2963"/>
        <item t="data" sd="1" m="1" x="3077"/>
        <item t="data" sd="1" m="1" x="3078"/>
        <item t="data" sd="1" m="1" x="1638"/>
        <item t="data" sd="1" m="1" x="2648"/>
        <item t="data" sd="1" m="1" x="1640"/>
        <item t="data" sd="1" m="1" x="1642"/>
        <item t="data" sd="1" m="1" x="1643"/>
        <item t="data" sd="1" m="1" x="2647"/>
        <item t="data" sd="1" m="1" x="1641"/>
        <item t="data" sd="1" m="1" x="1644"/>
        <item t="data" sd="1" m="1" x="1645"/>
        <item t="data" sd="1" m="1" x="733"/>
        <item t="data" sd="1" m="1" x="1636"/>
        <item t="data" sd="1" m="1" x="1637"/>
        <item t="data" sd="1" m="1" x="1774"/>
        <item t="data" sd="1" m="1" x="3079"/>
        <item t="data" sd="1" m="1" x="3080"/>
        <item t="data" sd="1" m="1" x="3085"/>
        <item t="data" sd="1" m="1" x="2993"/>
        <item t="data" sd="1" m="1" x="2994"/>
        <item t="data" sd="1" m="1" x="2992"/>
        <item t="data" sd="1" m="1" x="2785"/>
        <item t="data" sd="1" m="1" x="2997"/>
        <item t="data" sd="1" m="1" x="3086"/>
        <item t="data" sd="1" m="1" x="2795"/>
        <item t="data" sd="1" m="1" x="2796"/>
        <item t="data" sd="1" m="1" x="1728"/>
        <item t="data" sd="1" m="1" x="2872"/>
        <item t="data" sd="1" m="1" x="2873"/>
        <item t="data" sd="1" m="1" x="2874"/>
        <item t="data" sd="1" m="1" x="2875"/>
        <item t="data" sd="1" m="1" x="2876"/>
        <item t="data" sd="1" m="1" x="2877"/>
        <item t="data" sd="1" m="1" x="2878"/>
        <item t="data" sd="1" m="1" x="2879"/>
        <item t="data" sd="1" m="1" x="2880"/>
        <item t="data" sd="1" m="1" x="2881"/>
        <item t="data" sd="1" m="1" x="2882"/>
        <item t="data" sd="1" m="1" x="2883"/>
        <item t="data" sd="1" m="1" x="2588"/>
        <item t="data" sd="1" m="1" x="2884"/>
        <item t="data" sd="1" m="1" x="2885"/>
        <item t="data" sd="1" m="1" x="2359"/>
        <item t="data" sd="1" m="1" x="2809"/>
        <item t="data" sd="1" m="1" x="2886"/>
        <item t="data" sd="1" m="1" x="2345"/>
        <item t="data" sd="1" m="1" x="2808"/>
        <item t="data" sd="1" m="1" x="2344"/>
        <item t="data" sd="1" m="1" x="2887"/>
        <item t="data" sd="1" m="1" x="2231"/>
        <item t="data" sd="1" m="1" x="2230"/>
        <item t="data" sd="1" m="1" x="2888"/>
        <item t="data" sd="1" m="1" x="2889"/>
        <item t="data" sd="1" m="1" x="2890"/>
        <item t="data" sd="1" m="1" x="2891"/>
        <item t="data" sd="1" m="1" x="2892"/>
        <item t="data" sd="1" m="1" x="2893"/>
        <item t="data" sd="1" m="1" x="2894"/>
        <item t="data" sd="1" m="1" x="2895"/>
        <item t="data" sd="1" m="1" x="2896"/>
        <item t="data" sd="1" m="1" x="2897"/>
        <item t="data" sd="1" m="1" x="1714"/>
        <item t="data" sd="1" m="1" x="2898"/>
        <item t="data" sd="1" m="1" x="2027"/>
        <item t="data" sd="1" m="1" x="2899"/>
        <item t="data" sd="1" m="1" x="2900"/>
        <item t="data" sd="1" m="1" x="2901"/>
        <item t="data" sd="1" m="1" x="2902"/>
        <item t="data" sd="1" m="1" x="2903"/>
        <item t="data" sd="1" m="1" x="2904"/>
        <item t="data" sd="1" m="1" x="2905"/>
        <item t="data" sd="1" m="1" x="2906"/>
        <item t="data" sd="1" m="1" x="2907"/>
        <item t="data" sd="1" m="1" x="2908"/>
        <item t="data" sd="1" m="1" x="2909"/>
        <item t="data" sd="1" m="1" x="2910"/>
        <item t="data" sd="1" m="1" x="2911"/>
        <item t="data" sd="1" m="1" x="2912"/>
        <item t="data" sd="1" m="1" x="2913"/>
        <item t="data" sd="1" m="1" x="2914"/>
        <item t="data" sd="1" m="1" x="2915"/>
        <item t="data" sd="1" m="1" x="2916"/>
        <item t="data" sd="1" m="1" x="2917"/>
        <item t="data" sd="1" m="1" x="2920"/>
        <item t="data" sd="1" m="1" x="2921"/>
        <item t="data" sd="1" m="1" x="2922"/>
        <item t="data" sd="1" m="1" x="2923"/>
        <item t="data" sd="1" m="1" x="2924"/>
        <item t="data" sd="1" m="1" x="2925"/>
        <item t="data" sd="1" m="1" x="2926"/>
        <item t="data" sd="1" m="1" x="2927"/>
        <item t="data" sd="1" m="1" x="2928"/>
        <item t="data" sd="1" m="1" x="2064"/>
        <item t="data" sd="1" m="1" x="2378"/>
        <item t="data" sd="1" m="1" x="2265"/>
        <item t="data" sd="1" m="1" x="2743"/>
        <item t="data" sd="1" m="1" x="2352"/>
        <item t="data" sd="1" m="1" x="1818"/>
        <item t="data" sd="1" m="1" x="2058"/>
        <item t="data" sd="1" m="1" x="622"/>
        <item t="data" sd="1" m="1" x="2930"/>
        <item t="data" sd="1" m="1" x="2762"/>
        <item t="data" sd="1" m="1" x="2932"/>
        <item t="data" sd="1" m="1" x="639"/>
        <item t="data" sd="1" m="1" x="2042"/>
        <item t="data" sd="1" m="1" x="1713"/>
        <item t="data" sd="1" m="1" x="558"/>
        <item t="data" sd="1" m="1" x="2735"/>
        <item t="data" sd="1" m="1" x="2729"/>
        <item t="data" sd="1" m="1" x="2730"/>
        <item t="data" sd="1" m="1" x="1708"/>
        <item t="data" sd="1" m="1" x="1707"/>
        <item t="data" sd="1" m="1" x="1710"/>
        <item t="data" sd="1" m="1" x="1705"/>
        <item t="data" sd="1" m="1" x="2829"/>
        <item t="data" sd="1" m="1" x="2937"/>
        <item t="data" sd="1" m="1" x="2437"/>
        <item t="data" sd="1" m="1" x="2353"/>
        <item t="data" sd="1" m="1" x="2356"/>
        <item t="data" sd="1" m="1" x="2051"/>
        <item t="data" sd="1" m="1" x="2354"/>
        <item t="data" sd="1" m="1" x="2355"/>
        <item t="data" sd="1" m="1" x="1712"/>
        <item t="data" sd="1" m="1" x="2939"/>
        <item t="data" sd="1" m="1" x="1719"/>
        <item t="data" sd="1" m="1" x="1680"/>
        <item t="data" sd="1" m="1" x="2680"/>
        <item t="data" sd="1" m="1" x="2838"/>
        <item t="data" sd="1" m="1" x="2839"/>
        <item t="data" sd="1" m="1" x="2842"/>
        <item t="data" sd="1" m="1" x="2843"/>
        <item t="data" sd="1" m="1" x="2941"/>
        <item t="data" sd="1" m="1" x="2942"/>
        <item t="data" sd="1" m="1" x="2943"/>
        <item t="data" sd="1" m="1" x="2944"/>
        <item t="data" sd="1" x="307"/>
        <item t="data" sd="1" m="1" x="2946"/>
        <item t="data" sd="1" m="1" x="2389"/>
        <item t="data" sd="1" m="1" x="2947"/>
        <item t="data" sd="1" m="1" x="2814"/>
        <item t="data" sd="1" m="1" x="2950"/>
        <item t="data" sd="1" m="1" x="2617"/>
        <item t="data" sd="1" m="1" x="2618"/>
        <item t="data" sd="1" m="1" x="2619"/>
        <item t="data" sd="1" m="1" x="2620"/>
        <item t="data" sd="1" m="1" x="2951"/>
        <item t="data" sd="1" m="1" x="2953"/>
        <item t="data" sd="1" m="1" x="1755"/>
        <item t="data" sd="1" m="1" x="2036"/>
        <item t="data" sd="1" m="1" x="675"/>
        <item t="data" sd="1" m="1" x="2037"/>
        <item t="data" sd="1" m="1" x="2958"/>
        <item t="data" sd="1" m="1" x="2959"/>
        <item t="data" sd="1" m="1" x="2861"/>
        <item t="data" sd="1" m="1" x="1797"/>
        <item t="data" sd="1" m="1" x="1819"/>
        <item t="data" sd="1" m="1" x="2960"/>
        <item t="data" sd="1" m="1" x="2961"/>
        <item t="data" sd="1" m="1" x="2964"/>
        <item t="data" sd="1" m="1" x="1799"/>
        <item t="data" sd="1" m="1" x="2965"/>
        <item t="data" sd="1" m="1" x="2451"/>
        <item t="data" sd="1" m="1" x="2968"/>
        <item t="data" sd="1" m="1" x="2452"/>
        <item t="data" sd="1" m="1" x="2969"/>
        <item t="data" sd="1" m="1" x="2453"/>
        <item t="data" sd="1" m="1" x="2970"/>
        <item t="data" sd="1" m="1" x="1734"/>
        <item t="data" sd="1" m="1" x="2870"/>
        <item t="data" sd="1" m="1" x="2524"/>
        <item t="data" sd="1" m="1" x="1776"/>
        <item t="data" sd="1" m="1" x="1798"/>
        <item t="data" sd="1" m="1" x="1775"/>
        <item t="data" sd="1" m="1" x="1800"/>
        <item t="data" sd="1" m="1" x="1801"/>
        <item t="data" sd="1" m="1" x="1802"/>
        <item t="data" sd="1" m="1" x="1803"/>
        <item t="data" sd="1" m="1" x="1454"/>
        <item t="data" sd="1" m="1" x="1453"/>
        <item t="data" sd="1" m="1" x="1768"/>
        <item t="data" sd="1" m="1" x="1769"/>
        <item t="data" sd="1" m="1" x="1770"/>
        <item t="data" sd="1" m="1" x="1794"/>
        <item t="data" sd="1" m="1" x="2050"/>
        <item t="data" sd="1" m="1" x="2995"/>
        <item t="data" sd="1" m="1" x="2996"/>
        <item t="data" sd="1" m="1" x="1814"/>
        <item t="data" sd="1" m="1" x="2797"/>
        <item t="data" sd="1" m="1" x="2798"/>
        <item t="data" sd="1" m="1" x="2423"/>
        <item t="data" sd="1" m="1" x="2799"/>
        <item t="data" sd="1" m="1" x="2800"/>
        <item t="data" sd="1" m="1" x="2801"/>
        <item t="data" sd="1" m="1" x="2802"/>
        <item t="data" sd="1" m="1" x="2803"/>
        <item t="data" sd="1" m="1" x="2805"/>
        <item t="data" sd="1" m="1" x="2806"/>
        <item t="data" sd="1" m="1" x="2807"/>
        <item t="data" sd="1" m="1" x="1765"/>
        <item t="data" sd="1" m="1" x="2723"/>
        <item t="data" sd="1" m="1" x="2724"/>
        <item t="data" sd="1" m="1" x="2721"/>
        <item t="data" sd="1" m="1" x="2810"/>
        <item t="data" sd="1" m="1" x="1807"/>
        <item t="data" sd="1" m="1" x="1811"/>
        <item t="data" sd="1" m="1" x="2811"/>
        <item t="data" sd="1" m="1" x="2812"/>
        <item t="data" sd="1" m="1" x="2813"/>
        <item t="data" sd="1" m="1" x="2708"/>
        <item t="data" sd="1" m="1" x="2709"/>
        <item t="data" sd="1" m="1" x="2550"/>
        <item t="data" sd="1" m="1" x="2722"/>
        <item t="data" sd="1" m="1" x="2227"/>
        <item t="data" sd="1" m="1" x="2228"/>
        <item t="data" sd="1" m="1" x="2229"/>
        <item t="data" sd="1" m="1" x="2741"/>
        <item t="data" sd="1" m="1" x="2028"/>
        <item t="data" sd="1" m="1" x="2029"/>
        <item t="data" sd="1" m="1" x="2751"/>
        <item t="data" sd="1" m="1" x="2815"/>
        <item t="data" sd="1" m="1" x="2816"/>
        <item t="data" sd="1" m="1" x="2820"/>
        <item t="data" sd="1" m="1" x="2821"/>
        <item t="data" sd="1" m="1" x="2529"/>
        <item t="data" sd="1" m="1" x="2425"/>
        <item t="data" sd="1" m="1" x="2424"/>
        <item t="data" sd="1" m="1" x="2025"/>
        <item t="data" sd="1" m="1" x="1720"/>
        <item t="data" sd="1" m="1" x="1721"/>
        <item t="data" sd="1" m="1" x="2822"/>
        <item t="data" sd="1" m="1" x="2823"/>
        <item t="data" sd="1" m="1" x="2824"/>
        <item t="data" sd="1" m="1" x="1686"/>
        <item t="data" sd="1" m="1" x="1700"/>
        <item t="data" sd="1" m="1" x="1701"/>
        <item t="data" sd="1" m="1" x="1702"/>
        <item t="data" sd="1" m="1" x="1703"/>
        <item t="data" sd="1" m="1" x="1704"/>
        <item t="data" sd="1" m="1" x="2061"/>
        <item t="data" sd="1" m="1" x="2060"/>
        <item t="data" sd="1" m="1" x="1699"/>
        <item t="data" sd="1" m="1" x="2825"/>
        <item t="data" sd="1" m="1" x="1709"/>
        <item t="data" sd="1" m="1" x="529"/>
        <item t="data" sd="1" m="1" x="2019"/>
        <item t="data" sd="1" m="1" x="2020"/>
        <item t="data" sd="1" m="1" x="2434"/>
        <item t="data" sd="1" m="1" x="2455"/>
        <item t="data" sd="1" m="1" x="2831"/>
        <item t="data" sd="1" m="1" x="2832"/>
        <item t="data" sd="1" m="1" x="2833"/>
        <item t="data" sd="1" m="1" x="2834"/>
        <item t="data" sd="1" m="1" x="1679"/>
        <item t="data" sd="1" m="1" x="2835"/>
        <item t="data" sd="1" m="1" x="2836"/>
        <item t="data" sd="1" m="1" x="2837"/>
        <item t="data" sd="1" m="1" x="2697"/>
        <item t="data" sd="1" m="1" x="2679"/>
        <item t="data" sd="1" m="1" x="2752"/>
        <item t="data" sd="1" m="1" x="2840"/>
        <item t="data" sd="1" m="1" x="2841"/>
        <item t="data" sd="1" m="1" x="1741"/>
        <item t="data" sd="1" m="1" x="2845"/>
        <item t="data" sd="1" m="1" x="2846"/>
        <item t="data" sd="1" m="1" x="2032"/>
        <item t="data" sd="1" m="1" x="2033"/>
        <item t="data" sd="1" m="1" x="1750"/>
        <item t="data" sd="1" m="1" x="1748"/>
        <item t="data" sd="1" m="1" x="2622"/>
        <item t="data" sd="1" m="1" x="2400"/>
        <item t="data" sd="1" m="1" x="2848"/>
        <item t="data" sd="1" m="1" x="2403"/>
        <item t="data" sd="1" m="1" x="2850"/>
        <item t="data" sd="1" m="1" x="2596"/>
        <item t="data" sd="1" m="1" x="2604"/>
        <item t="data" sd="1" m="1" x="2597"/>
        <item t="data" sd="1" m="1" x="2607"/>
        <item t="data" sd="1" m="1" x="2608"/>
        <item t="data" sd="1" m="1" x="2598"/>
        <item t="data" sd="1" m="1" x="2605"/>
        <item t="data" sd="1" m="1" x="2606"/>
        <item t="data" sd="1" m="1" x="2851"/>
        <item t="data" sd="1" m="1" x="2387"/>
        <item t="data" sd="1" m="1" x="2754"/>
        <item t="data" sd="1" m="1" x="2852"/>
        <item t="data" sd="1" m="1" x="2853"/>
        <item t="data" sd="1" m="1" x="2854"/>
        <item t="data" sd="1" m="1" x="2856"/>
        <item t="data" sd="1" m="1" x="2858"/>
        <item t="data" sd="1" m="1" x="1754"/>
        <item t="data" sd="1" m="1" x="1763"/>
        <item t="data" sd="1" m="1" x="2859"/>
        <item t="data" sd="1" m="1" x="2860"/>
        <item t="data" sd="1" m="1" x="2044"/>
        <item t="data" sd="1" m="1" x="2045"/>
        <item t="data" sd="1" m="1" x="2793"/>
        <item t="data" sd="1" m="1" x="2794"/>
        <item t="data" sd="1" m="1" x="2048"/>
        <item t="data" sd="1" m="1" x="2049"/>
        <item t="data" sd="1" m="1" x="2440"/>
        <item t="data" sd="1" m="1" x="2862"/>
        <item t="data" sd="1" m="1" x="2863"/>
        <item t="data" sd="1" m="1" x="2441"/>
        <item t="data" sd="1" m="1" x="2442"/>
        <item t="data" sd="1" m="1" x="2443"/>
        <item t="data" sd="1" m="1" x="2444"/>
        <item t="data" sd="1" m="1" x="2864"/>
        <item t="data" sd="1" m="1" x="2867"/>
        <item t="data" sd="1" m="1" x="2868"/>
        <item t="data" sd="1" m="1" x="2869"/>
        <item t="data" sd="1" m="1" x="1805"/>
        <item t="data" sd="1" m="1" x="1806"/>
        <item t="data" sd="1" m="1" x="1808"/>
        <item t="data" sd="1" m="1" x="1804"/>
        <item t="data" sd="1" m="1" x="1772"/>
        <item t="data" sd="1" m="1" x="734"/>
        <item t="data" sd="1" m="1" x="1771"/>
        <item t="data" sd="1" m="1" x="1809"/>
        <item t="data" sd="1" m="1" x="1810"/>
        <item t="data" sd="1" m="1" x="2385"/>
        <item t="data" sd="1" m="1" x="2780"/>
        <item t="data" sd="1" m="1" x="1999"/>
        <item t="data" sd="1" m="1" x="2871"/>
        <item t="data" sd="1" m="1" x="2650"/>
        <item t="data" sd="1" m="1" x="2660"/>
        <item t="data" sd="1" m="1" x="2531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6"/>
        <item t="data" sd="1" m="1" x="2677"/>
        <item t="data" sd="1" m="1" x="2542"/>
        <item t="data" sd="1" m="1" x="2543"/>
        <item t="data" sd="1" m="1" x="2540"/>
        <item t="data" sd="1" m="1" x="2685"/>
        <item t="data" sd="1" m="1" x="2689"/>
        <item t="data" sd="1" m="1" x="2690"/>
        <item t="data" sd="1" m="1" x="2691"/>
        <item t="data" sd="1" m="1" x="2546"/>
        <item t="data" sd="1" m="1" x="2046"/>
        <item t="data" sd="1" m="1" x="2692"/>
        <item t="data" sd="1" m="1" x="2357"/>
        <item t="data" sd="1" m="1" x="2696"/>
        <item t="data" sd="1" m="1" x="2065"/>
        <item t="data" sd="1" m="1" x="2547"/>
        <item t="data" sd="1" m="1" x="2464"/>
        <item t="data" sd="1" m="1" x="2466"/>
        <item t="data" sd="1" m="1" x="2698"/>
        <item t="data" sd="1" m="1" x="2699"/>
        <item t="data" sd="1" m="1" x="2700"/>
        <item t="data" sd="1" m="1" x="2017"/>
        <item t="data" sd="1" m="1" x="1687"/>
        <item t="data" sd="1" m="1" x="2701"/>
        <item t="data" sd="1" m="1" x="2560"/>
        <item t="data" sd="1" m="1" x="2702"/>
        <item t="data" sd="1" m="1" x="2703"/>
        <item t="data" sd="1" m="1" x="2558"/>
        <item t="data" sd="1" m="1" x="2704"/>
        <item t="data" sd="1" m="1" x="2705"/>
        <item t="data" sd="1" m="1" x="2706"/>
        <item t="data" sd="1" m="1" x="2707"/>
        <item t="data" sd="1" m="1" x="2710"/>
        <item t="data" sd="1" m="1" x="2711"/>
        <item t="data" sd="1" m="1" x="2712"/>
        <item t="data" sd="1" m="1" x="2468"/>
        <item t="data" sd="1" m="1" x="2557"/>
        <item t="data" sd="1" m="1" x="2713"/>
        <item t="data" sd="1" m="1" x="2047"/>
        <item t="data" sd="1" m="1" x="2714"/>
        <item t="data" sd="1" m="1" x="2715"/>
        <item t="data" sd="1" m="1" x="2716"/>
        <item t="data" sd="1" m="1" x="2717"/>
        <item t="data" sd="1" m="1" x="2559"/>
        <item t="data" sd="1" m="1" x="2718"/>
        <item t="data" sd="1" m="1" x="2719"/>
        <item t="data" sd="1" m="1" x="2720"/>
        <item t="data" sd="1" m="1" x="2556"/>
        <item t="data" sd="1" m="1" x="2358"/>
        <item t="data" sd="1" m="1" x="2554"/>
        <item t="data" sd="1" m="1" x="2555"/>
        <item t="data" sd="1" m="1" x="2725"/>
        <item t="data" sd="1" m="1" x="2577"/>
        <item t="data" sd="1" m="1" x="2578"/>
        <item t="data" sd="1" m="1" x="2347"/>
        <item t="data" sd="1" m="1" x="2346"/>
        <item t="data" sd="1" m="1" x="1697"/>
        <item t="data" sd="1" m="1" x="2726"/>
        <item t="data" sd="1" x="175"/>
        <item t="data" sd="1" x="176"/>
        <item t="data" sd="1" x="177"/>
        <item t="data" sd="1" m="1" x="2018"/>
        <item t="data" sd="1" m="1" x="2734"/>
        <item t="data" sd="1" m="1" x="2739"/>
        <item t="data" sd="1" m="1" x="2589"/>
        <item t="data" sd="1" m="1" x="2740"/>
        <item t="data" sd="1" m="1" x="2380"/>
        <item t="data" sd="1" m="1" x="2381"/>
        <item t="data" sd="1" m="1" x="1796"/>
        <item t="data" sd="1" m="1" x="2377"/>
        <item t="data" sd="1" m="1" x="2055"/>
        <item t="data" sd="1" m="1" x="2059"/>
        <item t="data" sd="1" m="1" x="2742"/>
        <item t="data" sd="1" m="1" x="2744"/>
        <item t="data" sd="1" m="1" x="2745"/>
        <item t="data" sd="1" m="1" x="2746"/>
        <item t="data" sd="1" m="1" x="2747"/>
        <item t="data" sd="1" m="1" x="2748"/>
        <item t="data" sd="1" m="1" x="1723"/>
        <item t="data" sd="1" m="1" x="1722"/>
        <item t="data" sd="1" m="1" x="2749"/>
        <item t="data" sd="1" m="1" x="2750"/>
        <item t="data" sd="1" m="1" x="2594"/>
        <item t="data" sd="1" m="1" x="2386"/>
        <item t="data" sd="1" m="1" x="1731"/>
        <item t="data" sd="1" m="1" x="2753"/>
        <item t="data" sd="1" m="1" x="2610"/>
        <item t="data" sd="1" m="1" x="2609"/>
        <item t="data" sd="1" m="1" x="2611"/>
        <item t="data" sd="1" m="1" x="2755"/>
        <item t="data" sd="1" m="1" x="2756"/>
        <item t="data" sd="1" m="1" x="2623"/>
        <item t="data" sd="1" m="1" x="2624"/>
        <item t="data" sd="1" m="1" x="2757"/>
        <item t="data" sd="1" m="1" x="1815"/>
        <item t="data" sd="1" m="1" x="2062"/>
        <item t="data" sd="1" m="1" x="2760"/>
        <item t="data" sd="1" m="1" x="2631"/>
        <item t="data" sd="1" m="1" x="2630"/>
        <item t="data" sd="1" m="1" x="2426"/>
        <item t="data" sd="1" m="1" x="2031"/>
        <item t="data" sd="1" m="1" x="2765"/>
        <item t="data" sd="1" m="1" x="1742"/>
        <item t="data" sd="1" m="1" x="651"/>
        <item t="data" sd="1" m="1" x="1747"/>
        <item t="data" sd="1" m="1" x="1749"/>
        <item t="data" sd="1" m="1" x="2769"/>
        <item t="data" sd="1" m="1" x="2770"/>
        <item t="data" sd="1" m="1" x="2771"/>
        <item t="data" sd="1" m="1" x="2772"/>
        <item t="data" sd="1" m="1" x="2773"/>
        <item t="data" sd="1" m="1" x="2776"/>
        <item t="data" sd="1" m="1" x="2777"/>
        <item t="data" sd="1" m="1" x="1767"/>
        <item t="data" sd="1" m="1" x="1773"/>
        <item t="data" sd="1" m="1" x="2779"/>
        <item t="data" sd="1" m="1" x="2302"/>
        <item t="data" sd="1" m="1" x="1793"/>
        <item t="data" sd="1" m="1" x="2786"/>
        <item t="data" sd="1" m="1" x="2787"/>
        <item t="data" sd="1" m="1" x="2656"/>
        <item t="data" sd="1" m="1" x="2788"/>
        <item t="data" sd="1" m="1" x="2789"/>
        <item t="data" sd="1" m="1" x="2790"/>
        <item t="data" sd="1" m="1" x="2791"/>
        <item t="data" sd="1" m="1" x="2792"/>
        <item t="data" sd="1" m="1" x="2090"/>
        <item t="data" sd="1" m="1" x="2142"/>
        <item t="data" sd="1" m="1" x="2056"/>
        <item t="data" sd="1" m="1" x="2530"/>
        <item t="data" sd="1" m="1" x="2532"/>
        <item t="data" sd="1" m="1" x="2533"/>
        <item t="data" sd="1" m="1" x="2534"/>
        <item t="data" sd="1" m="1" x="2535"/>
        <item t="data" sd="1" m="1" x="2536"/>
        <item t="data" sd="1" m="1" x="2537"/>
        <item t="data" sd="1" m="1" x="2538"/>
        <item t="data" sd="1" m="1" x="2539"/>
        <item t="data" sd="1" m="1" x="1676"/>
        <item t="data" sd="1" m="1" x="1677"/>
        <item t="data" sd="1" m="1" x="1678"/>
        <item t="data" sd="1" m="1" x="2544"/>
        <item t="data" sd="1" m="1" x="2548"/>
        <item t="data" sd="1" m="1" x="2336"/>
        <item t="data" sd="1" m="1" x="2549"/>
        <item t="data" sd="1" m="1" x="2154"/>
        <item t="data" sd="1" m="1" x="2063"/>
        <item t="data" sd="1" m="1" x="1688"/>
        <item t="data" sd="1" m="1" x="2551"/>
        <item t="data" sd="1" m="1" x="2552"/>
        <item t="data" sd="1" m="1" x="2553"/>
        <item t="data" sd="1" m="1" x="2561"/>
        <item t="data" sd="1" m="1" x="2562"/>
        <item t="data" sd="1" m="1" x="2563"/>
        <item t="data" sd="1" m="1" x="2564"/>
        <item t="data" sd="1" m="1" x="2427"/>
        <item t="data" sd="1" m="1" x="2565"/>
        <item t="data" sd="1" m="1" x="2566"/>
        <item t="data" sd="1" m="1" x="2567"/>
        <item t="data" sd="1" m="1" x="2568"/>
        <item t="data" sd="1" m="1" x="2569"/>
        <item t="data" sd="1" m="1" x="2570"/>
        <item t="data" sd="1" m="1" x="2571"/>
        <item t="data" sd="1" m="1" x="2572"/>
        <item t="data" sd="1" m="1" x="2573"/>
        <item t="data" sd="1" m="1" x="2574"/>
        <item t="data" sd="1" m="1" x="2575"/>
        <item t="data" sd="1" m="1" x="2576"/>
        <item t="data" sd="1" m="1" x="1696"/>
        <item t="data" sd="1" m="1" x="1698"/>
        <item t="data" sd="1" m="1" x="2579"/>
        <item t="data" sd="1" m="1" x="2580"/>
        <item t="data" sd="1" m="1" x="2581"/>
        <item t="data" sd="1" m="1" x="2582"/>
        <item t="data" sd="1" m="1" x="2583"/>
        <item t="data" sd="1" m="1" x="2022"/>
        <item t="data" sd="1" m="1" x="2023"/>
        <item t="data" sd="1" m="1" x="531"/>
        <item t="data" sd="1" m="1" x="2584"/>
        <item t="data" sd="1" m="1" x="2585"/>
        <item t="data" sd="1" m="1" x="2586"/>
        <item t="data" sd="1" m="1" x="2587"/>
        <item t="data" sd="1" m="1" x="557"/>
        <item t="data" sd="1" m="1" x="2024"/>
        <item t="data" sd="1" m="1" x="2375"/>
        <item t="data" sd="1" m="1" x="1718"/>
        <item t="data" sd="1" m="1" x="2379"/>
        <item t="data" sd="1" m="1" x="2590"/>
        <item t="data" sd="1" m="1" x="2591"/>
        <item t="data" sd="1" m="1" x="2592"/>
        <item t="data" sd="1" m="1" x="2595"/>
        <item t="data" sd="1" m="1" x="2404"/>
        <item t="data" sd="1" m="1" x="2625"/>
        <item t="data" sd="1" m="1" x="2626"/>
        <item t="data" sd="1" m="1" x="2627"/>
        <item t="data" sd="1" m="1" x="2628"/>
        <item t="data" sd="1" m="1" x="1743"/>
        <item t="data" sd="1" m="1" x="2030"/>
        <item t="data" sd="1" m="1" x="2629"/>
        <item t="data" sd="1" m="1" x="2509"/>
        <item t="data" sd="1" m="1" x="2433"/>
        <item t="data" sd="1" m="1" x="2635"/>
        <item t="data" sd="1" m="1" x="2511"/>
        <item t="data" sd="1" m="1" x="2636"/>
        <item t="data" sd="1" m="1" x="2034"/>
        <item t="data" sd="1" m="1" x="2638"/>
        <item t="data" sd="1" m="1" x="2435"/>
        <item t="data" sd="1" m="1" x="670"/>
        <item t="data" sd="1" m="1" x="1758"/>
        <item t="data" sd="1" m="1" x="2639"/>
        <item t="data" sd="1" m="1" x="2640"/>
        <item t="data" sd="1" m="1" x="683"/>
        <item t="data" sd="1" m="1" x="2641"/>
        <item t="data" sd="1" m="1" x="2449"/>
        <item t="data" sd="1" m="1" x="2642"/>
        <item t="data" sd="1" m="1" x="2643"/>
        <item t="data" sd="1" m="1" x="2450"/>
        <item t="data" sd="1" m="1" x="2644"/>
        <item t="data" sd="1" m="1" x="2038"/>
        <item t="data" sd="1" m="1" x="2041"/>
        <item t="data" sd="1" m="1" x="2039"/>
        <item t="data" sd="1" m="1" x="2040"/>
        <item t="data" sd="1" m="1" x="2456"/>
        <item t="data" sd="1" m="1" x="2645"/>
        <item t="data" sd="1" m="1" x="2525"/>
        <item t="data" sd="1" m="1" x="1785"/>
        <item t="data" sd="1" m="1" x="1784"/>
        <item t="data" sd="1" m="1" x="2649"/>
        <item t="data" sd="1" m="1" x="1779"/>
        <item t="data" sd="1" m="1" x="1780"/>
        <item t="data" sd="1" m="1" x="1781"/>
        <item t="data" sd="1" m="1" x="1782"/>
        <item t="data" sd="1" m="1" x="1783"/>
        <item t="data" sd="1" m="1" x="2651"/>
        <item t="data" sd="1" m="1" x="2652"/>
        <item t="data" sd="1" m="1" x="2653"/>
        <item t="data" sd="1" m="1" x="2043"/>
        <item t="data" sd="1" m="1" x="2654"/>
        <item t="data" sd="1" m="1" x="2655"/>
        <item t="data" sd="1" m="1" x="2657"/>
        <item t="data" sd="1" m="1" x="2658"/>
        <item t="data" sd="1" m="1" x="2659"/>
        <item t="data" sd="1" m="1" x="1821"/>
        <item t="data" sd="1" m="1" x="2459"/>
        <item t="data" sd="1" m="1" x="2321"/>
        <item t="data" sd="1" m="1" x="2320"/>
        <item t="data" sd="1" m="1" x="2319"/>
        <item t="data" sd="1" m="1" x="2460"/>
        <item t="data" sd="1" m="1" x="2322"/>
        <item t="data" sd="1" m="1" x="2066"/>
        <item t="data" sd="1" m="1" x="2070"/>
        <item t="data" sd="1" m="1" x="2461"/>
        <item t="data" sd="1" m="1" x="2462"/>
        <item t="data" sd="1" m="1" x="2463"/>
        <item t="data" sd="1" m="1" x="2465"/>
        <item t="data" sd="1" m="1" x="604"/>
        <item t="data" sd="1" m="1" x="2469"/>
        <item t="data" sd="1" m="1" x="2470"/>
        <item t="data" sd="1" m="1" x="2471"/>
        <item t="data" sd="1" m="1" x="2372"/>
        <item t="data" sd="1" m="1" x="2472"/>
        <item t="data" sd="1" m="1" x="2473"/>
        <item t="data" sd="1" m="1" x="2096"/>
        <item t="data" sd="1" m="1" x="2474"/>
        <item t="data" sd="1" m="1" x="2475"/>
        <item t="data" sd="1" m="1" x="2476"/>
        <item t="data" sd="1" m="1" x="2477"/>
        <item t="data" sd="1" m="1" x="2478"/>
        <item t="data" sd="1" m="1" x="2479"/>
        <item t="data" sd="1" m="1" x="2480"/>
        <item t="data" sd="1" m="1" x="2481"/>
        <item t="data" sd="1" m="1" x="2482"/>
        <item t="data" sd="1" m="1" x="2483"/>
        <item t="data" sd="1" m="1" x="2484"/>
        <item t="data" sd="1" m="1" x="2485"/>
        <item t="data" sd="1" m="1" x="2083"/>
        <item t="data" sd="1" m="1" x="2488"/>
        <item t="data" sd="1" m="1" x="535"/>
        <item t="data" sd="1" m="1" x="530"/>
        <item t="data" sd="1" m="1" x="2491"/>
        <item t="data" sd="1" m="1" x="1715"/>
        <item t="data" sd="1" m="1" x="2492"/>
        <item t="data" sd="1" m="1" x="2494"/>
        <item t="data" sd="1" m="1" x="2495"/>
        <item t="data" sd="1" m="1" x="2496"/>
        <item t="data" sd="1" m="1" x="2497"/>
        <item t="data" sd="1" m="1" x="1716"/>
        <item t="data" sd="1" m="1" x="2382"/>
        <item t="data" sd="1" m="1" x="1717"/>
        <item t="data" sd="1" m="1" x="2371"/>
        <item t="data" sd="1" m="1" x="2499"/>
        <item t="data" sd="1" m="1" x="2500"/>
        <item t="data" sd="1" m="1" x="2501"/>
        <item t="data" sd="1" m="1" x="2502"/>
        <item t="data" sd="1" m="1" x="2503"/>
        <item t="data" sd="1" m="1" x="2097"/>
        <item t="data" sd="1" m="1" x="2098"/>
        <item t="data" sd="1" m="1" x="1726"/>
        <item t="data" sd="1" m="1" x="1725"/>
        <item t="data" sd="1" m="1" x="1724"/>
        <item t="data" sd="1" m="1" x="623"/>
        <item t="data" sd="1" m="1" x="2504"/>
        <item t="data" sd="1" m="1" x="2506"/>
        <item t="data" sd="1" m="1" x="2394"/>
        <item t="data" sd="1" m="1" x="1746"/>
        <item t="data" sd="1" m="1" x="2508"/>
        <item t="data" sd="1" m="1" x="2410"/>
        <item t="data" sd="1" m="1" x="2510"/>
        <item t="data" sd="1" m="1" x="2428"/>
        <item t="data" sd="1" m="1" x="2429"/>
        <item t="data" sd="1" m="1" x="1740"/>
        <item t="data" sd="1" m="1" x="2110"/>
        <item t="data" sd="1" m="1" x="2512"/>
        <item t="data" sd="1" m="1" x="2513"/>
        <item t="data" sd="1" m="1" x="2514"/>
        <item t="data" sd="1" m="1" x="2515"/>
        <item t="data" sd="1" m="1" x="1744"/>
        <item t="data" sd="1" m="1" x="2035"/>
        <item t="data" sd="1" m="1" x="1745"/>
        <item t="data" sd="1" m="1" x="1757"/>
        <item t="data" sd="1" m="1" x="2516"/>
        <item t="data" sd="1" m="1" x="2119"/>
        <item t="data" sd="1" m="1" x="1756"/>
        <item t="data" sd="1" m="1" x="2120"/>
        <item t="data" sd="1" m="1" x="2517"/>
        <item t="data" sd="1" m="1" x="1792"/>
        <item t="data" sd="1" m="1" x="2518"/>
        <item t="data" sd="1" m="1" x="2293"/>
        <item t="data" sd="1" m="1" x="2519"/>
        <item t="data" sd="1" m="1" x="2520"/>
        <item t="data" sd="1" m="1" x="2454"/>
        <item t="data" sd="1" m="1" x="2522"/>
        <item t="data" sd="1" m="1" x="1766"/>
        <item t="data" sd="1" m="1" x="2124"/>
        <item t="data" sd="1" m="1" x="1817"/>
        <item t="data" sd="1" m="1" x="2523"/>
        <item t="data" sd="1" m="1" x="2457"/>
        <item t="data" sd="1" m="1" x="1778"/>
        <item t="data" sd="1" m="1" x="2526"/>
        <item t="data" sd="1" m="1" x="2527"/>
        <item t="data" sd="1" m="1" x="2528"/>
        <item t="data" sd="1" m="1" x="2315"/>
        <item t="data" sd="1" m="1" x="2316"/>
        <item t="data" sd="1" m="1" x="2317"/>
        <item t="data" sd="1" m="1" x="2318"/>
        <item t="data" sd="1" m="1" x="2323"/>
        <item t="data" sd="1" m="1" x="2324"/>
        <item t="data" sd="1" m="1" x="2325"/>
        <item t="data" sd="1" m="1" x="2326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137"/>
        <item t="data" sd="1" m="1" x="1675"/>
        <item t="data" sd="1" m="1" x="2067"/>
        <item t="data" sd="1" m="1" x="1681"/>
        <item t="data" sd="1" m="1" x="2069"/>
        <item t="data" sd="1" m="1" x="1683"/>
        <item t="data" sd="1" m="1" x="1684"/>
        <item t="data" sd="1" m="1" x="2071"/>
        <item t="data" sd="1" m="1" x="2233"/>
        <item t="data" sd="1" m="1" x="2234"/>
        <item t="data" sd="1" m="1" x="2235"/>
        <item t="data" sd="1" m="1" x="2337"/>
        <item t="data" sd="1" m="1" x="2338"/>
        <item t="data" sd="1" m="1" x="2339"/>
        <item t="data" sd="1" m="1" x="2340"/>
        <item t="data" sd="1" m="1" x="2341"/>
        <item t="data" sd="1" m="1" x="2147"/>
        <item t="data" sd="1" m="1" x="2087"/>
        <item t="data" sd="1" m="1" x="2084"/>
        <item t="data" sd="1" m="1" x="2264"/>
        <item t="data" sd="1" m="1" x="1692"/>
        <item t="data" sd="1" m="1" x="1693"/>
        <item t="data" sd="1" m="1" x="1694"/>
        <item t="data" sd="1" m="1" x="1695"/>
        <item t="data" sd="1" m="1" x="2085"/>
        <item t="data" sd="1" m="1" x="2086"/>
        <item t="data" sd="1" m="1" x="1706"/>
        <item t="data" sd="1" m="1" x="2351"/>
        <item t="data" sd="1" m="1" x="1711"/>
        <item t="data" sd="1" m="1" x="1272"/>
        <item t="data" sd="1" m="1" x="2362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3"/>
        <item t="data" sd="1" m="1" x="2376"/>
        <item t="data" sd="1" m="1" x="2053"/>
        <item t="data" sd="1" m="1" x="2267"/>
        <item t="data" sd="1" m="1" x="2383"/>
        <item t="data" sd="1" m="1" x="2384"/>
        <item t="data" sd="1" m="1" x="2101"/>
        <item t="data" sd="1" m="1" x="2100"/>
        <item t="data" sd="1" m="1" x="2270"/>
        <item t="data" sd="1" m="1" x="2099"/>
        <item t="data" sd="1" m="1" x="2391"/>
        <item t="data" sd="1" m="1" x="2392"/>
        <item t="data" sd="1" m="1" x="2393"/>
        <item t="data" sd="1" m="1" x="2395"/>
        <item t="data" sd="1" m="1" x="2396"/>
        <item t="data" sd="1" m="1" x="2397"/>
        <item t="data" sd="1" m="1" x="2398"/>
        <item t="data" sd="1" m="1" x="2399"/>
        <item t="data" sd="1" m="1" x="1732"/>
        <item t="data" sd="1" m="1" x="2407"/>
        <item t="data" sd="1" m="1" x="2408"/>
        <item t="data" sd="1" m="1" x="2409"/>
        <item t="data" sd="1" m="1" x="2284"/>
        <item t="data" sd="1" m="1" x="2116"/>
        <item t="data" sd="1" m="1" x="674"/>
        <item t="data" sd="1" m="1" x="663"/>
        <item t="data" sd="1" m="1" x="1759"/>
        <item t="data" sd="1" m="1" x="1760"/>
        <item t="data" sd="1" m="1" x="1761"/>
        <item t="data" sd="1" m="1" x="1762"/>
        <item t="data" sd="1" m="1" x="2294"/>
        <item t="data" sd="1" m="1" x="2438"/>
        <item t="data" sd="1" m="1" x="2439"/>
        <item t="data" sd="1" m="1" x="2123"/>
        <item t="data" sd="1" m="1" x="2445"/>
        <item t="data" sd="1" m="1" x="2446"/>
        <item t="data" sd="1" m="1" x="2447"/>
        <item t="data" sd="1" m="1" x="2448"/>
        <item t="data" sd="1" m="1" x="723"/>
        <item t="data" sd="1" m="1" x="2295"/>
        <item t="data" sd="1" m="1" x="2296"/>
        <item t="data" sd="1" m="1" x="2148"/>
        <item t="data" sd="1" m="1" x="2153"/>
        <item t="data" sd="1" m="1" x="724"/>
        <item t="data" sd="1" m="1" x="1812"/>
        <item t="data" sd="1" m="1" x="1777"/>
        <item t="data" sd="1" m="1" x="2307"/>
        <item t="data" sd="1" m="1" x="2308"/>
        <item t="data" sd="1" m="1" x="2309"/>
        <item t="data" sd="1" m="1" x="2310"/>
        <item t="data" sd="1" m="1" x="1820"/>
        <item t="data" sd="1" m="1" x="2208"/>
        <item t="data" sd="1" m="1" x="2057"/>
        <item t="data" sd="1" m="1" x="2210"/>
        <item t="data" sd="1" m="1" x="2211"/>
        <item t="data" sd="1" m="1" x="2212"/>
        <item t="data" sd="1" m="1" x="2213"/>
        <item t="data" sd="1" m="1" x="2214"/>
        <item t="data" sd="1" m="1" x="2215"/>
        <item t="data" sd="1" m="1" x="2216"/>
        <item t="data" sd="1" m="1" x="2217"/>
        <item t="data" sd="1" m="1" x="2218"/>
        <item t="data" sd="1" m="1" x="2219"/>
        <item t="data" sd="1" m="1" x="2220"/>
        <item t="data" sd="1" m="1" x="2221"/>
        <item t="data" sd="1" m="1" x="2222"/>
        <item t="data" sd="1" m="1" x="2223"/>
        <item t="data" sd="1" m="1" x="2224"/>
        <item t="data" sd="1" m="1" x="2225"/>
        <item t="data" sd="1" m="1" x="2226"/>
        <item t="data" sd="1" m="1" x="2141"/>
        <item t="data" sd="1" m="1" x="2138"/>
        <item t="data" sd="1" m="1" x="2068"/>
        <item t="data" sd="1" m="1" x="1206"/>
        <item t="data" sd="1" m="1" x="1207"/>
        <item t="data" sd="1" m="1" x="2181"/>
        <item t="data" sd="1" m="1" x="1685"/>
        <item t="data" sd="1" m="1" x="2236"/>
        <item t="data" sd="1" m="1" x="2237"/>
        <item t="data" sd="1" m="1" x="1234"/>
        <item t="data" sd="1" m="1" x="1689"/>
        <item t="data" sd="1" m="1" x="2238"/>
        <item t="data" sd="1" m="1" x="647"/>
        <item t="data" sd="1" m="1" x="2239"/>
        <item t="data" sd="1" m="1" x="2240"/>
        <item t="data" sd="1" m="1" x="2241"/>
        <item t="data" sd="1" m="1" x="2242"/>
        <item t="data" sd="1" m="1" x="2243"/>
        <item t="data" sd="1" m="1" x="2244"/>
        <item t="data" sd="1" m="1" x="2245"/>
        <item t="data" sd="1" m="1" x="2246"/>
        <item t="data" sd="1" m="1" x="2247"/>
        <item t="data" sd="1" m="1" x="2248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2136"/>
        <item t="data" sd="1" m="1" x="2261"/>
        <item t="data" sd="1" m="1" x="2262"/>
        <item t="data" sd="1" m="1" x="533"/>
        <item t="data" sd="1" m="1" x="534"/>
        <item t="data" sd="1" m="1" x="1691"/>
        <item t="data" sd="1" m="1" x="2263"/>
        <item t="data" sd="1" m="1" x="2092"/>
        <item t="data" sd="1" m="1" x="2145"/>
        <item t="data" sd="1" m="1" x="2146"/>
        <item t="data" sd="1" m="1" x="2268"/>
        <item t="data" sd="1" m="1" x="614"/>
        <item t="data" sd="1" m="1" x="2269"/>
        <item t="data" sd="1" m="1" x="1300"/>
        <item t="data" sd="1" m="1" x="2102"/>
        <item t="data" sd="1" m="1" x="2271"/>
        <item t="data" sd="1" m="1" x="603"/>
        <item t="data" sd="1" m="1" x="1727"/>
        <item t="data" sd="1" m="1" x="2107"/>
        <item t="data" sd="1" m="1" x="2272"/>
        <item t="data" sd="1" m="1" x="2273"/>
        <item t="data" sd="1" m="1" x="1739"/>
        <item t="data" sd="1" m="1" x="2274"/>
        <item t="data" sd="1" m="1" x="2275"/>
        <item t="data" sd="1" m="1" x="2276"/>
        <item t="data" sd="1" m="1" x="2277"/>
        <item t="data" sd="1" m="1" x="2278"/>
        <item t="data" sd="1" m="1" x="2279"/>
        <item t="data" sd="1" m="1" x="2280"/>
        <item t="data" sd="1" m="1" x="2281"/>
        <item t="data" sd="1" m="1" x="2282"/>
        <item t="data" sd="1" m="1" x="2140"/>
        <item t="data" sd="1" m="1" x="1737"/>
        <item t="data" sd="1" m="1" x="1738"/>
        <item t="data" sd="1" m="1" x="1736"/>
        <item t="data" sd="1" m="1" x="1733"/>
        <item t="data" sd="1" m="1" x="1735"/>
        <item t="data" sd="1" m="1" x="2283"/>
        <item t="data" sd="1" m="1" x="2285"/>
        <item t="data" sd="1" m="1" x="2286"/>
        <item t="data" sd="1" m="1" x="2112"/>
        <item t="data" sd="1" m="1" x="1813"/>
        <item t="data" sd="1" m="1" x="2287"/>
        <item t="data" sd="1" m="1" x="2113"/>
        <item t="data" sd="1" m="1" x="2290"/>
        <item t="data" sd="1" m="1" x="2292"/>
        <item t="data" sd="1" m="1" x="1752"/>
        <item t="data" sd="1" m="1" x="1753"/>
        <item t="data" sd="1" m="1" x="2014"/>
        <item t="data" sd="1" m="1" x="2297"/>
        <item t="data" sd="1" m="1" x="2298"/>
        <item t="data" sd="1" m="1" x="2299"/>
        <item t="data" sd="1" m="1" x="2151"/>
        <item t="data" sd="1" x="424"/>
        <item t="data" sd="1" m="1" x="1788"/>
        <item t="data" sd="1" m="1" x="1787"/>
        <item t="data" sd="1" m="1" x="2300"/>
        <item t="data" sd="1" m="1" x="2301"/>
        <item t="data" sd="1" m="1" x="2303"/>
        <item t="data" sd="1" m="1" x="1795"/>
        <item t="data" sd="1" m="1" x="2304"/>
        <item t="data" sd="1" m="1" x="2305"/>
        <item t="data" sd="1" m="1" x="2306"/>
        <item t="data" sd="1" m="1" x="2311"/>
        <item t="data" sd="1" m="1" x="2312"/>
        <item t="data" sd="1" m="1" x="2313"/>
        <item t="data" sd="1" m="1" x="2314"/>
        <item t="data" sd="1" m="1" x="2109"/>
        <item t="data" sd="1" m="1" x="2052"/>
        <item t="data" sd="1" m="1" x="1822"/>
        <item t="data" sd="1" m="1" x="1682"/>
        <item t="data" sd="1" m="1" x="2072"/>
        <item t="data" sd="1" m="1" x="2073"/>
        <item t="data" sd="1" m="1" x="2074"/>
        <item t="data" sd="1" m="1" x="2075"/>
        <item t="data" sd="1" m="1" x="2076"/>
        <item t="data" sd="1" m="1" x="2077"/>
        <item t="data" sd="1" m="1" x="2078"/>
        <item t="data" sd="1" m="1" x="2079"/>
        <item t="data" sd="1" m="1" x="2080"/>
        <item t="data" sd="1" m="1" x="1829"/>
        <item t="data" sd="1" m="1" x="2081"/>
        <item t="data" sd="1" m="1" x="2082"/>
        <item t="data" sd="1" m="1" x="2088"/>
        <item t="data" sd="1" m="1" x="2089"/>
        <item t="data" sd="1" m="1" x="2091"/>
        <item t="data" sd="1" m="1" x="574"/>
        <item t="data" sd="1" m="1" x="2093"/>
        <item t="data" sd="1" m="1" x="2094"/>
        <item t="data" sd="1" x="55"/>
        <item t="data" sd="1" m="1" x="2095"/>
        <item t="data" sd="1" m="1" x="2103"/>
        <item t="data" sd="1" m="1" x="2104"/>
        <item t="data" sd="1" m="1" x="2105"/>
        <item t="data" sd="1" m="1" x="2106"/>
        <item t="data" sd="1" m="1" x="1850"/>
        <item t="data" sd="1" m="1" x="1848"/>
        <item t="data" sd="1" m="1" x="2108"/>
        <item t="data" sd="1" m="1" x="1849"/>
        <item t="data" sd="1" m="1" x="1851"/>
        <item t="data" sd="1" m="1" x="1860"/>
        <item t="data" sd="1" m="1" x="1870"/>
        <item t="data" sd="1" m="1" x="2111"/>
        <item t="data" sd="1" m="1" x="1876"/>
        <item t="data" sd="1" m="1" x="2114"/>
        <item t="data" sd="1" m="1" x="2115"/>
        <item t="data" sd="1" m="1" x="1751"/>
        <item t="data" sd="1" m="1" x="2117"/>
        <item t="data" sd="1" m="1" x="2118"/>
        <item t="data" sd="1" m="1" x="1892"/>
        <item t="data" sd="1" m="1" x="2121"/>
        <item t="data" sd="1" m="1" x="2122"/>
        <item t="data" sd="1" m="1" x="1786"/>
        <item t="data" sd="1" m="1" x="1789"/>
        <item t="data" sd="1" m="1" x="1790"/>
        <item t="data" sd="1" m="1" x="1791"/>
        <item t="data" sd="1" m="1" x="1903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9"/>
        <item t="data" sd="1" m="1" x="2125"/>
        <item t="data" sd="1" m="1" x="2126"/>
        <item t="data" sd="1" m="1" x="2128"/>
        <item t="data" sd="1" m="1" x="2129"/>
        <item t="data" sd="1" m="1" x="2130"/>
        <item t="data" sd="1" m="1" x="2131"/>
        <item t="data" sd="1" m="1" x="2132"/>
        <item t="data" sd="1" x="425"/>
        <item t="data" sd="1" m="1" x="2133"/>
        <item t="data" sd="1" m="1" x="2134"/>
        <item t="data" sd="1" m="1" x="2135"/>
        <item t="data" sd="1" m="1" x="2139"/>
        <item t="data" sd="1" m="1" x="2143"/>
        <item t="data" sd="1" m="1" x="2144"/>
        <item t="data" sd="1" m="1" x="2149"/>
        <item t="data" sd="1" m="1" x="2150"/>
        <item t="data" sd="1" m="1" x="2152"/>
        <item t="data" sd="1" m="1" x="2155"/>
        <item t="data" sd="1" m="1" x="1916"/>
        <item t="data" sd="1" m="1" x="1833"/>
        <item t="data" sd="1" m="1" x="2156"/>
        <item t="data" sd="1" m="1" x="518"/>
        <item t="data" sd="1" m="1" x="2157"/>
        <item t="data" sd="1" m="1" x="1841"/>
        <item t="data" sd="1" m="1" x="2158"/>
        <item t="data" sd="1" m="1" x="2159"/>
        <item t="data" sd="1" m="1" x="2160"/>
        <item t="data" sd="1" m="1" x="2161"/>
        <item t="data" sd="1" x="220"/>
        <item t="data" sd="1" m="1" x="2162"/>
        <item t="data" sd="1" m="1" x="1847"/>
        <item t="data" sd="1" m="1" x="1861"/>
        <item t="data" sd="1" m="1" x="1862"/>
        <item t="data" sd="1" m="1" x="2163"/>
        <item t="data" sd="1" m="1" x="2164"/>
        <item t="data" sd="1" m="1" x="1873"/>
        <item t="data" sd="1" m="1" x="2165"/>
        <item t="data" sd="1" m="1" x="1880"/>
        <item t="data" sd="1" m="1" x="1881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2202"/>
        <item t="data" sd="1" m="1" x="2203"/>
        <item t="data" sd="1" m="1" x="2204"/>
        <item t="data" sd="1" m="1" x="2205"/>
        <item t="data" sd="1" m="1" x="2206"/>
        <item t="data" sd="1" m="1" x="2207"/>
        <item t="data" sd="1" m="1" x="2209"/>
        <item t="data" sd="1" m="1" x="1463"/>
        <item t="data" sd="1" m="1" x="1464"/>
        <item t="data" sd="1" m="1" x="1465"/>
        <item t="data" sd="1" m="1" x="1466"/>
        <item t="data" sd="1" m="1" x="1467"/>
        <item t="data" sd="1" m="1" x="1729"/>
        <item t="data" sd="1" m="1" x="610"/>
        <item t="data" sd="1" m="1" x="1816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30"/>
        <item t="data" sd="1" m="1" x="1831"/>
        <item t="data" sd="1" m="1" x="1832"/>
        <item t="data" sd="1" x="400"/>
        <item t="data" sd="1" m="1" x="1271"/>
        <item t="data" sd="1" m="1" x="1834"/>
        <item t="data" sd="1" m="1" x="556"/>
        <item t="data" sd="1" m="1" x="559"/>
        <item t="data" sd="1" m="1" x="1835"/>
        <item t="data" sd="1" m="1" x="1836"/>
        <item t="data" sd="1" m="1" x="1837"/>
        <item t="data" sd="1" m="1" x="1838"/>
        <item t="data" sd="1" m="1" x="1839"/>
        <item t="data" sd="1" x="132"/>
        <item t="data" sd="1" m="1" x="1840"/>
        <item t="data" sd="1" m="1" x="1842"/>
        <item t="data" sd="1" x="172"/>
        <item t="data" sd="1" m="1" x="1843"/>
        <item t="data" sd="1" x="234"/>
        <item t="data" sd="1" m="1" x="617"/>
        <item t="data" sd="1" m="1" x="1844"/>
        <item t="data" sd="1" m="1" x="1845"/>
        <item t="data" sd="1" m="1" x="1846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3"/>
        <item t="data" sd="1" m="1" x="1864"/>
        <item t="data" sd="1" m="1" x="1865"/>
        <item t="data" sd="1" m="1" x="1866"/>
        <item t="data" sd="1" m="1" x="1867"/>
        <item t="data" sd="1" m="1" x="1868"/>
        <item t="data" sd="1" m="1" x="1869"/>
        <item t="data" sd="1" m="1" x="633"/>
        <item t="data" sd="1" m="1" x="1871"/>
        <item t="data" sd="1" m="1" x="1872"/>
        <item t="data" sd="1" m="1" x="1874"/>
        <item t="data" sd="1" m="1" x="1875"/>
        <item t="data" sd="1" m="1" x="1877"/>
        <item t="data" sd="1" m="1" x="1878"/>
        <item t="data" sd="1" m="1" x="1879"/>
        <item t="data" sd="1" m="1" x="1882"/>
        <item t="data" sd="1" m="1" x="1883"/>
        <item t="data" sd="1" m="1" x="1884"/>
        <item t="data" sd="1" m="1" x="1885"/>
        <item t="data" sd="1" m="1" x="1886"/>
        <item t="data" sd="1" m="1" x="1887"/>
        <item t="data" sd="1" m="1" x="1888"/>
        <item t="data" sd="1" m="1" x="1889"/>
        <item t="data" sd="1" x="399"/>
        <item t="data" sd="1" m="1" x="1890"/>
        <item t="data" sd="1" m="1" x="1891"/>
        <item t="data" sd="1" m="1" x="1893"/>
        <item t="data" sd="1" m="1" x="1894"/>
        <item t="data" sd="1" m="1" x="725"/>
        <item t="data" sd="1" m="1" x="1895"/>
        <item t="data" sd="1" m="1" x="1896"/>
        <item t="data" sd="1" m="1" x="1897"/>
        <item t="data" sd="1" m="1" x="1904"/>
        <item t="data" sd="1" m="1" x="1905"/>
        <item t="data" sd="1" m="1" x="1906"/>
        <item t="data" sd="1" m="1" x="1907"/>
        <item t="data" sd="1" m="1" x="1908"/>
        <item t="data" sd="1" m="1" x="1910"/>
        <item t="data" sd="1" m="1" x="1911"/>
        <item t="data" sd="1" m="1" x="1912"/>
        <item t="data" sd="1" m="1" x="1913"/>
        <item t="data" sd="1" m="1" x="1914"/>
        <item t="data" sd="1" m="1" x="1915"/>
        <item t="data" sd="1" m="1" x="1917"/>
        <item t="data" sd="1" m="1" x="1918"/>
        <item t="data" sd="1" m="1" x="1919"/>
        <item t="data" sd="1" m="1" x="1920"/>
        <item t="data" sd="1" m="1" x="1921"/>
        <item t="data" sd="1" m="1" x="1922"/>
        <item t="data" sd="1" m="1" x="1923"/>
        <item t="data" sd="1" m="1" x="1924"/>
        <item t="data" sd="1" m="1" x="1925"/>
        <item t="data" sd="1" m="1" x="1926"/>
        <item t="data" sd="1" m="1" x="1927"/>
        <item t="data" sd="1" m="1" x="1928"/>
        <item t="data" sd="1" m="1" x="1929"/>
        <item t="data" sd="1" m="1" x="1930"/>
        <item t="data" sd="1" m="1" x="1931"/>
        <item t="data" sd="1" m="1" x="193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1940"/>
        <item t="data" sd="1" m="1" x="1941"/>
        <item t="data" sd="1" m="1" x="1942"/>
        <item t="data" sd="1" m="1" x="1943"/>
        <item t="data" sd="1" m="1" x="1944"/>
        <item t="data" sd="1" m="1" x="1945"/>
        <item t="data" sd="1" m="1" x="1946"/>
        <item t="data" sd="1" m="1" x="1947"/>
        <item t="data" sd="1" m="1" x="1948"/>
        <item t="data" sd="1" m="1" x="1949"/>
        <item t="data" sd="1" m="1" x="1950"/>
        <item t="data" sd="1" m="1" x="1951"/>
        <item t="data" sd="1" m="1" x="1952"/>
        <item t="data" sd="1" m="1" x="1953"/>
        <item t="data" sd="1" m="1" x="1954"/>
        <item t="data" sd="1" m="1" x="1955"/>
        <item t="data" sd="1" m="1" x="1956"/>
        <item t="data" sd="1" m="1" x="1957"/>
        <item t="data" sd="1" m="1" x="1958"/>
        <item t="data" sd="1" m="1" x="1959"/>
        <item t="data" sd="1" m="1" x="1960"/>
        <item t="data" sd="1" m="1" x="1961"/>
        <item t="data" sd="1" m="1" x="1962"/>
        <item t="data" sd="1" m="1" x="1963"/>
        <item t="data" sd="1" m="1" x="1964"/>
        <item t="data" sd="1" m="1" x="1965"/>
        <item t="data" sd="1" m="1" x="1966"/>
        <item t="data" sd="1" m="1" x="1967"/>
        <item t="data" sd="1" m="1" x="1968"/>
        <item t="data" sd="1" m="1" x="1969"/>
        <item t="data" sd="1" m="1" x="1970"/>
        <item t="data" sd="1" m="1" x="1971"/>
        <item t="data" sd="1" m="1" x="1972"/>
        <item t="data" sd="1" m="1" x="1973"/>
        <item t="data" sd="1" m="1" x="1974"/>
        <item t="data" sd="1" m="1" x="1975"/>
        <item t="data" sd="1" m="1" x="1976"/>
        <item t="data" sd="1" m="1" x="1977"/>
        <item t="data" sd="1" m="1" x="1978"/>
        <item t="data" sd="1" m="1" x="638"/>
        <item t="data" sd="1" m="1" x="1979"/>
        <item t="data" sd="1" m="1" x="1980"/>
        <item t="data" sd="1" m="1" x="1981"/>
        <item t="data" sd="1" m="1" x="1982"/>
        <item t="data" sd="1" m="1" x="1983"/>
        <item t="data" sd="1" m="1" x="1984"/>
        <item t="data" sd="1" m="1" x="1985"/>
        <item t="data" sd="1" m="1" x="1986"/>
        <item t="data" sd="1" m="1" x="1987"/>
        <item t="data" sd="1" m="1" x="1988"/>
        <item t="data" sd="1" m="1" x="1989"/>
        <item t="data" sd="1" m="1" x="1990"/>
        <item t="data" sd="1" m="1" x="1991"/>
        <item t="data" sd="1" m="1" x="1992"/>
        <item t="data" sd="1" m="1" x="1993"/>
        <item t="data" sd="1" m="1" x="1994"/>
        <item t="data" sd="1" m="1" x="1995"/>
        <item t="data" sd="1" m="1" x="1996"/>
        <item t="data" sd="1" m="1" x="1997"/>
        <item t="data" sd="1" m="1" x="1998"/>
        <item t="data" sd="1" m="1" x="748"/>
        <item t="data" sd="1" m="1" x="749"/>
        <item t="data" sd="1" x="0"/>
        <item t="data" sd="1" x="1"/>
        <item t="data" sd="1" m="1" x="750"/>
        <item t="data" sd="1" m="1" x="751"/>
        <item t="data" sd="1" x="2"/>
        <item t="data" sd="1" m="1" x="752"/>
        <item t="data" sd="1" x="3"/>
        <item t="data" sd="1" x="4"/>
        <item t="data" sd="1" m="1" x="640"/>
        <item t="data" sd="1" m="1" x="491"/>
        <item t="data" sd="1" m="1" x="753"/>
        <item t="data" sd="1" x="7"/>
        <item t="data" sd="1" m="1" x="754"/>
        <item t="data" sd="1" m="1" x="755"/>
        <item t="data" sd="1" m="1" x="756"/>
        <item t="data" sd="1" m="1" x="757"/>
        <item t="data" sd="1" m="1" x="758"/>
        <item t="data" sd="1" m="1" x="759"/>
        <item t="data" sd="1" m="1" x="760"/>
        <item t="data" sd="1" m="1" x="761"/>
        <item t="data" sd="1" m="1" x="762"/>
        <item t="data" sd="1" m="1" x="763"/>
        <item t="data" sd="1" m="1" x="764"/>
        <item t="data" sd="1" m="1" x="765"/>
        <item t="data" sd="1" m="1" x="766"/>
        <item t="data" sd="1" m="1" x="767"/>
        <item t="data" sd="1" m="1" x="768"/>
        <item t="data" sd="1" m="1" x="769"/>
        <item t="data" sd="1" m="1" x="770"/>
        <item t="data" sd="1" m="1" x="771"/>
        <item t="data" sd="1" m="1" x="772"/>
        <item t="data" sd="1" m="1" x="773"/>
        <item t="data" sd="1" m="1" x="774"/>
        <item t="data" sd="1" m="1" x="775"/>
        <item t="data" sd="1" m="1" x="776"/>
        <item t="data" sd="1" m="1" x="777"/>
        <item t="data" sd="1" m="1" x="778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x="29"/>
        <item t="data" sd="1" m="1" x="786"/>
        <item t="data" sd="1" m="1" x="787"/>
        <item t="data" sd="1" x="147"/>
        <item t="data" sd="1" m="1" x="788"/>
        <item t="data" sd="1" m="1" x="656"/>
        <item t="data" sd="1" m="1" x="789"/>
        <item t="data" sd="1" x="264"/>
        <item t="data" sd="1" m="1" x="790"/>
        <item t="data" sd="1" m="1" x="791"/>
        <item t="data" sd="1" m="1" x="792"/>
        <item t="data" sd="1" m="1" x="793"/>
        <item t="data" sd="1" m="1" x="794"/>
        <item t="data" sd="1" m="1" x="795"/>
        <item t="data" sd="1" x="296"/>
        <item t="data" sd="1" m="1" x="796"/>
        <item t="data" sd="1" m="1" x="797"/>
        <item t="data" sd="1" m="1" x="798"/>
        <item t="data" sd="1" m="1" x="799"/>
        <item t="data" sd="1" m="1" x="800"/>
        <item t="data" sd="1" m="1" x="801"/>
        <item t="data" sd="1" m="1" x="802"/>
        <item t="data" sd="1" m="1" x="803"/>
        <item t="data" sd="1" m="1" x="804"/>
        <item t="data" sd="1" m="1" x="805"/>
        <item t="data" sd="1" m="1" x="806"/>
        <item t="data" sd="1" m="1" x="807"/>
        <item t="data" sd="1" m="1" x="808"/>
        <item t="data" sd="1" m="1" x="809"/>
        <item t="data" sd="1" m="1" x="810"/>
        <item t="data" sd="1" m="1" x="811"/>
        <item t="data" sd="1" m="1" x="812"/>
        <item t="data" sd="1" m="1" x="813"/>
        <item t="data" sd="1" m="1" x="814"/>
        <item t="data" sd="1" m="1" x="815"/>
        <item t="data" sd="1" x="26"/>
        <item t="data" sd="1" m="1" x="816"/>
        <item t="data" sd="1" m="1" x="817"/>
        <item t="data" sd="1" m="1" x="818"/>
        <item t="data" sd="1" x="27"/>
        <item t="data" sd="1" m="1" x="819"/>
        <item t="data" sd="1" m="1" x="820"/>
        <item t="data" sd="1" m="1" x="821"/>
        <item t="data" sd="1" m="1" x="822"/>
        <item t="data" sd="1" m="1" x="823"/>
        <item t="data" sd="1" m="1" x="824"/>
        <item t="data" sd="1" m="1" x="825"/>
        <item t="data" sd="1" x="31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x="32"/>
        <item t="data" sd="1" m="1" x="833"/>
        <item t="data" sd="1" m="1" x="834"/>
        <item t="data" sd="1" m="1" x="835"/>
        <item t="data" sd="1" x="30"/>
        <item t="data" sd="1" m="1" x="836"/>
        <item t="data" sd="1" x="28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495"/>
        <item t="data" sd="1" m="1" x="496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x="97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x="393"/>
        <item t="data" sd="1" m="1" x="881"/>
        <item t="data" sd="1" m="1" x="882"/>
        <item t="data" sd="1" m="1" x="883"/>
        <item t="data" sd="1" x="477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x="189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494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x="102"/>
        <item t="data" sd="1" m="1" x="906"/>
        <item t="data" sd="1" m="1" x="907"/>
        <item t="data" sd="1" m="1" x="908"/>
        <item t="data" sd="1" x="241"/>
        <item t="data" sd="1" m="1" x="909"/>
        <item t="data" sd="1" m="1" x="910"/>
        <item t="data" sd="1" m="1" x="911"/>
        <item t="data" sd="1" m="1" x="912"/>
        <item t="data" sd="1" m="1" x="913"/>
        <item t="data" sd="1" m="1" x="589"/>
        <item t="data" sd="1" m="1" x="642"/>
        <item t="data" sd="1" m="1" x="914"/>
        <item t="data" sd="1" m="1" x="631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m="1" x="949"/>
        <item t="data" sd="1" m="1" x="950"/>
        <item t="data" sd="1" m="1" x="951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m="1" x="967"/>
        <item t="data" sd="1" m="1" x="968"/>
        <item t="data" sd="1" m="1" x="969"/>
        <item t="data" sd="1" m="1" x="970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986"/>
        <item t="data" sd="1" m="1" x="987"/>
        <item t="data" sd="1" m="1" x="988"/>
        <item t="data" sd="1" m="1" x="492"/>
        <item t="data" sd="1" m="1" x="493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732"/>
        <item t="data" sd="1" m="1" x="1006"/>
        <item t="data" sd="1" m="1" x="1007"/>
        <item t="data" sd="1" m="1" x="1008"/>
        <item t="data" sd="1" m="1" x="72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740"/>
        <item t="data" sd="1" m="1" x="1015"/>
        <item t="data" sd="1" m="1" x="1016"/>
        <item t="data" sd="1" m="1" x="555"/>
        <item t="data" sd="1" m="1" x="1017"/>
        <item t="data" sd="1" x="254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554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646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x="463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502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524"/>
        <item t="data" sd="1" m="1" x="1205"/>
        <item t="data" sd="1" x="39"/>
        <item t="data" sd="1" x="40"/>
        <item t="data" sd="1" x="42"/>
        <item t="data" sd="1" x="41"/>
        <item t="data" sd="1" x="45"/>
        <item t="data" sd="1" m="1" x="501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x="57"/>
        <item t="data" sd="1" x="56"/>
        <item t="data" sd="1" m="1" x="504"/>
        <item t="data" sd="1" x="58"/>
        <item t="data" sd="1" m="1" x="503"/>
        <item t="data" sd="1" x="59"/>
        <item t="data" sd="1" m="1" x="1208"/>
        <item t="data" sd="1" m="1" x="1209"/>
        <item t="data" sd="1" m="1" x="1210"/>
        <item t="data" sd="1" m="1" x="1211"/>
        <item t="data" sd="1" m="1" x="505"/>
        <item t="data" sd="1" m="1" x="1212"/>
        <item t="data" sd="1" m="1" x="1213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214"/>
        <item t="data" sd="1" m="1" x="506"/>
        <item t="data" sd="1" x="78"/>
        <item t="data" sd="1" x="76"/>
        <item t="data" sd="1" m="1" x="507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x="79"/>
        <item t="data" sd="1" x="94"/>
        <item t="data" sd="1" x="93"/>
        <item t="data" sd="1" m="1" x="509"/>
        <item t="data" sd="1" m="1" x="1226"/>
        <item t="data" sd="1" m="1" x="1227"/>
        <item t="data" sd="1" m="1" x="1228"/>
        <item t="data" sd="1" x="95"/>
        <item t="data" sd="1" m="1" x="1229"/>
        <item t="data" sd="1" m="1" x="1230"/>
        <item t="data" sd="1" m="1" x="512"/>
        <item t="data" sd="1" m="1" x="511"/>
        <item t="data" sd="1" m="1" x="510"/>
        <item t="data" sd="1" x="100"/>
        <item t="data" sd="1" m="1" x="515"/>
        <item t="data" sd="1" m="1" x="1231"/>
        <item t="data" sd="1" x="103"/>
        <item t="data" sd="1" m="1" x="1232"/>
        <item t="data" sd="1" x="107"/>
        <item t="data" sd="1" x="106"/>
        <item t="data" sd="1" x="105"/>
        <item t="data" sd="1" m="1" x="1233"/>
        <item t="data" sd="1" m="1" x="516"/>
        <item t="data" sd="1" m="1" x="517"/>
        <item t="data" sd="1" x="111"/>
        <item t="data" sd="1" x="115"/>
        <item t="data" sd="1" x="116"/>
        <item t="data" sd="1" m="1" x="521"/>
        <item t="data" sd="1" m="1" x="520"/>
        <item t="data" sd="1" m="1" x="519"/>
        <item t="data" sd="1" x="117"/>
        <item t="data" sd="1" x="113"/>
        <item t="data" sd="1" x="114"/>
        <item t="data" sd="1" x="118"/>
        <item t="data" sd="1" x="119"/>
        <item t="data" sd="1" x="120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x="121"/>
        <item t="data" sd="1" x="127"/>
        <item t="data" sd="1" x="131"/>
        <item t="data" sd="1" m="1" x="1256"/>
        <item t="data" sd="1" m="1" x="1257"/>
        <item t="data" sd="1" x="128"/>
        <item t="data" sd="1" m="1" x="1258"/>
        <item t="data" sd="1" x="134"/>
        <item t="data" sd="1" x="133"/>
        <item t="data" sd="1" x="135"/>
        <item t="data" sd="1" x="130"/>
        <item t="data" sd="1" x="129"/>
        <item t="data" sd="1" m="1" x="1259"/>
        <item t="data" sd="1" m="1" x="1260"/>
        <item t="data" sd="1" m="1" x="1261"/>
        <item t="data" sd="1" m="1" x="526"/>
        <item t="data" sd="1" m="1" x="527"/>
        <item t="data" sd="1" x="136"/>
        <item t="data" sd="1" x="137"/>
        <item t="data" sd="1" m="1" x="525"/>
        <item t="data" sd="1" x="138"/>
        <item t="data" sd="1" x="139"/>
        <item t="data" sd="1" x="140"/>
        <item t="data" sd="1" x="141"/>
        <item t="data" sd="1" x="142"/>
        <item t="data" sd="1" x="151"/>
        <item t="data" sd="1" x="152"/>
        <item t="data" sd="1" x="150"/>
        <item t="data" sd="1" x="188"/>
        <item t="data" sd="1" m="1" x="544"/>
        <item t="data" sd="1" x="144"/>
        <item t="data" sd="1" m="1" x="536"/>
        <item t="data" sd="1" x="145"/>
        <item t="data" sd="1" x="146"/>
        <item t="data" sd="1" m="1" x="538"/>
        <item t="data" sd="1" x="190"/>
        <item t="data" sd="1" m="1" x="549"/>
        <item t="data" sd="1" m="1" x="550"/>
        <item t="data" sd="1" m="1" x="548"/>
        <item t="data" sd="1" x="173"/>
        <item t="data" sd="1" x="174"/>
        <item t="data" sd="1" m="1" x="545"/>
        <item t="data" sd="1" x="171"/>
        <item t="data" sd="1" m="1" x="553"/>
        <item t="data" sd="1" m="1" x="551"/>
        <item t="data" sd="1" m="1" x="552"/>
        <item t="data" sd="1" x="153"/>
        <item t="data" sd="1" x="154"/>
        <item t="data" sd="1" m="1" x="528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3"/>
        <item t="data" sd="1" x="194"/>
        <item t="data" sd="1" x="195"/>
        <item t="data" sd="1" m="1" x="563"/>
        <item t="data" sd="1" m="1" x="560"/>
        <item t="data" sd="1" m="1" x="561"/>
        <item t="data" sd="1" x="202"/>
        <item t="data" sd="1" m="1" x="562"/>
        <item t="data" sd="1" m="1" x="565"/>
        <item t="data" sd="1" m="1" x="564"/>
        <item t="data" sd="1" m="1" x="1274"/>
        <item t="data" sd="1" m="1" x="1275"/>
        <item t="data" sd="1" m="1" x="1276"/>
        <item t="data" sd="1" m="1" x="1277"/>
        <item t="data" sd="1" m="1" x="1278"/>
        <item t="data" sd="1" x="204"/>
        <item t="data" sd="1" x="205"/>
        <item t="data" sd="1" m="1" x="567"/>
        <item t="data" sd="1" m="1" x="568"/>
        <item t="data" sd="1" m="1" x="566"/>
        <item t="data" sd="1" m="1" x="569"/>
        <item t="data" sd="1" x="203"/>
        <item t="data" sd="1" x="199"/>
        <item t="data" sd="1" m="1" x="570"/>
        <item t="data" sd="1" x="201"/>
        <item t="data" sd="1" x="200"/>
        <item t="data" sd="1" m="1" x="1279"/>
        <item t="data" sd="1" x="207"/>
        <item t="data" sd="1" x="208"/>
        <item t="data" sd="1" m="1" x="1280"/>
        <item t="data" sd="1" m="1" x="1281"/>
        <item t="data" sd="1" x="213"/>
        <item t="data" sd="1" m="1" x="1282"/>
        <item t="data" sd="1" m="1" x="571"/>
        <item t="data" sd="1" m="1" x="573"/>
        <item t="data" sd="1" x="215"/>
        <item t="data" sd="1" m="1" x="575"/>
        <item t="data" sd="1" x="216"/>
        <item t="data" sd="1" m="1" x="577"/>
        <item t="data" sd="1" m="1" x="579"/>
        <item t="data" sd="1" m="1" x="578"/>
        <item t="data" sd="1" m="1" x="580"/>
        <item t="data" sd="1" m="1" x="572"/>
        <item t="data" sd="1" m="1" x="576"/>
        <item t="data" sd="1" m="1" x="1283"/>
        <item t="data" sd="1" m="1" x="1284"/>
        <item t="data" sd="1" m="1" x="582"/>
        <item t="data" sd="1" m="1" x="584"/>
        <item t="data" sd="1" m="1" x="581"/>
        <item t="data" sd="1" m="1" x="1285"/>
        <item t="data" sd="1" m="1" x="1286"/>
        <item t="data" sd="1" x="221"/>
        <item t="data" sd="1" x="222"/>
        <item t="data" sd="1" m="1" x="1287"/>
        <item t="data" sd="1" x="223"/>
        <item t="data" sd="1" x="224"/>
        <item t="data" sd="1" m="1" x="1288"/>
        <item t="data" sd="1" m="1" x="1289"/>
        <item t="data" sd="1" x="219"/>
        <item t="data" sd="1" m="1" x="1290"/>
        <item t="data" sd="1" x="218"/>
        <item t="data" sd="1" m="1" x="585"/>
        <item t="data" sd="1" m="1" x="586"/>
        <item t="data" sd="1" m="1" x="587"/>
        <item t="data" sd="1" m="1" x="1292"/>
        <item t="data" sd="1" m="1" x="590"/>
        <item t="data" sd="1" m="1" x="591"/>
        <item t="data" sd="1" m="1" x="593"/>
        <item t="data" sd="1" m="1" x="595"/>
        <item t="data" sd="1" m="1" x="594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596"/>
        <item t="data" sd="1" m="1" x="597"/>
        <item t="data" sd="1" m="1" x="598"/>
        <item t="data" sd="1" x="236"/>
        <item t="data" sd="1" m="1" x="1299"/>
        <item t="data" sd="1" m="1" x="599"/>
        <item t="data" sd="1" m="1" x="600"/>
        <item t="data" sd="1" m="1" x="609"/>
        <item t="data" sd="1" m="1" x="605"/>
        <item t="data" sd="1" m="1" x="606"/>
        <item t="data" sd="1" m="1" x="607"/>
        <item t="data" sd="1" m="1" x="601"/>
        <item t="data" sd="1" m="1" x="602"/>
        <item t="data" sd="1" m="1" x="618"/>
        <item t="data" sd="1" m="1" x="619"/>
        <item t="data" sd="1" x="240"/>
        <item t="data" sd="1" m="1" x="612"/>
        <item t="data" sd="1" m="1" x="611"/>
        <item t="data" sd="1" m="1" x="621"/>
        <item t="data" sd="1" x="268"/>
        <item t="data" sd="1" x="252"/>
        <item t="data" sd="1" x="253"/>
        <item t="data" sd="1" x="245"/>
        <item t="data" sd="1" x="247"/>
        <item t="data" sd="1" x="248"/>
        <item t="data" sd="1" x="246"/>
        <item t="data" sd="1" x="249"/>
        <item t="data" sd="1" x="250"/>
        <item t="data" sd="1" x="251"/>
        <item t="data" sd="1" x="255"/>
        <item t="data" sd="1" m="1" x="1301"/>
        <item t="data" sd="1" x="257"/>
        <item t="data" sd="1" x="259"/>
        <item t="data" sd="1" x="258"/>
        <item t="data" sd="1" x="260"/>
        <item t="data" sd="1" m="1" x="624"/>
        <item t="data" sd="1" m="1" x="1302"/>
        <item t="data" sd="1" m="1" x="1303"/>
        <item t="data" sd="1" m="1" x="1304"/>
        <item t="data" sd="1" m="1" x="1305"/>
        <item t="data" sd="1" m="1" x="743"/>
        <item t="data" sd="1" x="300"/>
        <item t="data" sd="1" m="1" x="1306"/>
        <item t="data" sd="1" x="266"/>
        <item t="data" sd="1" m="1" x="1307"/>
        <item t="data" sd="1" x="269"/>
        <item t="data" sd="1" m="1" x="1308"/>
        <item t="data" sd="1" m="1" x="1309"/>
        <item t="data" sd="1" m="1" x="1310"/>
        <item t="data" sd="1" x="261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626"/>
        <item t="data" sd="1" x="278"/>
        <item t="data" sd="1" x="279"/>
        <item t="data" sd="1" x="280"/>
        <item t="data" sd="1" x="281"/>
        <item t="data" sd="1" m="1" x="1335"/>
        <item t="data" sd="1" m="1" x="1336"/>
        <item t="data" sd="1" m="1" x="1337"/>
        <item t="data" sd="1" m="1" x="1338"/>
        <item t="data" sd="1" m="1" x="1339"/>
        <item t="data" sd="1" x="276"/>
        <item t="data" sd="1" x="275"/>
        <item t="data" sd="1" m="1" x="1340"/>
        <item t="data" sd="1" m="1" x="629"/>
        <item t="data" sd="1" x="286"/>
        <item t="data" sd="1" x="285"/>
        <item t="data" sd="1" x="282"/>
        <item t="data" sd="1" x="284"/>
        <item t="data" sd="1" m="1" x="1341"/>
        <item t="data" sd="1" m="1" x="1342"/>
        <item t="data" sd="1" m="1" x="1343"/>
        <item t="data" sd="1" x="295"/>
        <item t="data" sd="1" m="1" x="1344"/>
        <item t="data" sd="1" x="408"/>
        <item t="data" sd="1" m="1" x="1345"/>
        <item t="data" sd="1" m="1" x="1346"/>
        <item t="data" sd="1" x="297"/>
        <item t="data" sd="1" m="1" x="1347"/>
        <item t="data" sd="1" x="289"/>
        <item t="data" sd="1" m="1" x="1348"/>
        <item t="data" sd="1" m="1" x="1349"/>
        <item t="data" sd="1" m="1" x="632"/>
        <item t="data" sd="1" m="1" x="1350"/>
        <item t="data" sd="1" x="298"/>
        <item t="data" sd="1" m="1" x="637"/>
        <item t="data" sd="1" m="1" x="636"/>
        <item t="data" sd="1" m="1" x="635"/>
        <item t="data" sd="1" m="1" x="634"/>
        <item t="data" sd="1" x="306"/>
        <item t="data" sd="1" m="1" x="1351"/>
        <item t="data" sd="1" m="1" x="648"/>
        <item t="data" sd="1" m="1" x="644"/>
        <item t="data" sd="1" m="1" x="645"/>
        <item t="data" sd="1" m="1" x="641"/>
        <item t="data" sd="1" m="1" x="1352"/>
        <item t="data" sd="1" x="265"/>
        <item t="data" sd="1" x="299"/>
        <item t="data" sd="1" m="1" x="1353"/>
        <item t="data" sd="1" m="1" x="649"/>
        <item t="data" sd="1" m="1" x="1354"/>
        <item t="data" sd="1" m="1" x="653"/>
        <item t="data" sd="1" m="1" x="654"/>
        <item t="data" sd="1" m="1" x="1355"/>
        <item t="data" sd="1" m="1" x="1356"/>
        <item t="data" sd="1" m="1" x="655"/>
        <item t="data" sd="1" x="310"/>
        <item t="data" sd="1" m="1" x="1357"/>
        <item t="data" sd="1" m="1" x="1358"/>
        <item t="data" sd="1" x="314"/>
        <item t="data" sd="1" m="1" x="1359"/>
        <item t="data" sd="1" x="313"/>
        <item t="data" sd="1" m="1" x="1360"/>
        <item t="data" sd="1" m="1" x="1361"/>
        <item t="data" sd="1" m="1" x="1362"/>
        <item t="data" sd="1" m="1" x="1363"/>
        <item t="data" sd="1" m="1" x="1364"/>
        <item t="data" sd="1" x="315"/>
        <item t="data" sd="1" x="43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x="332"/>
        <item t="data" sd="1" m="1" x="660"/>
        <item t="data" sd="1" m="1" x="1372"/>
        <item t="data" sd="1" m="1" x="1373"/>
        <item t="data" sd="1" m="1" x="1374"/>
        <item t="data" sd="1" x="331"/>
        <item t="data" sd="1" m="1" x="1375"/>
        <item t="data" sd="1" m="1" x="1376"/>
        <item t="data" sd="1" m="1" x="1377"/>
        <item t="data" sd="1" m="1" x="1378"/>
        <item t="data" sd="1" x="352"/>
        <item t="data" sd="1" x="353"/>
        <item t="data" sd="1" x="350"/>
        <item t="data" sd="1" x="351"/>
        <item t="data" sd="1" x="349"/>
        <item t="data" sd="1" m="1" x="1379"/>
        <item t="data" sd="1" m="1" x="1380"/>
        <item t="data" sd="1" x="359"/>
        <item t="data" sd="1" m="1" x="659"/>
        <item t="data" sd="1" m="1" x="661"/>
        <item t="data" sd="1" x="362"/>
        <item t="data" sd="1" x="363"/>
        <item t="data" sd="1" m="1" x="673"/>
        <item t="data" sd="1" m="1" x="665"/>
        <item t="data" sd="1" m="1" x="667"/>
        <item t="data" sd="1" m="1" x="668"/>
        <item t="data" sd="1" m="1" x="671"/>
        <item t="data" sd="1" m="1" x="672"/>
        <item t="data" sd="1" m="1" x="666"/>
        <item t="data" sd="1" m="1" x="664"/>
        <item t="data" sd="1" x="365"/>
        <item t="data" sd="1" m="1" x="662"/>
        <item t="data" sd="1" x="369"/>
        <item t="data" sd="1" x="366"/>
        <item t="data" sd="1" x="367"/>
        <item t="data" sd="1" x="368"/>
        <item t="data" sd="1" m="1" x="676"/>
        <item t="data" sd="1" x="360"/>
        <item t="data" sd="1" m="1" x="677"/>
        <item t="data" sd="1" m="1" x="1381"/>
        <item t="data" sd="1" m="1" x="1382"/>
        <item t="data" sd="1" m="1" x="1383"/>
        <item t="data" sd="1" m="1" x="1384"/>
        <item t="data" sd="1" m="1" x="1385"/>
        <item t="data" sd="1" x="361"/>
        <item t="data" sd="1" m="1" x="1386"/>
        <item t="data" sd="1" m="1" x="1387"/>
        <item t="data" sd="1" m="1" x="1388"/>
        <item t="data" sd="1" x="375"/>
        <item t="data" sd="1" x="376"/>
        <item t="data" sd="1" m="1" x="679"/>
        <item t="data" sd="1" x="373"/>
        <item t="data" sd="1" x="374"/>
        <item t="data" sd="1" x="371"/>
        <item t="data" sd="1" x="372"/>
        <item t="data" sd="1" m="1" x="680"/>
        <item t="data" sd="1" m="1" x="1389"/>
        <item t="data" sd="1" m="1" x="1390"/>
        <item t="data" sd="1" m="1" x="1391"/>
        <item t="data" sd="1" x="383"/>
        <item t="data" sd="1" m="1" x="682"/>
        <item t="data" sd="1" x="386"/>
        <item t="data" sd="1" x="388"/>
        <item t="data" sd="1" m="1" x="1392"/>
        <item t="data" sd="1" x="387"/>
        <item t="data" sd="1" m="1" x="685"/>
        <item t="data" sd="1" m="1" x="690"/>
        <item t="data" sd="1" x="392"/>
        <item t="data" sd="1" x="396"/>
        <item t="data" sd="1" m="1" x="1393"/>
        <item t="data" sd="1" x="397"/>
        <item t="data" sd="1" x="398"/>
        <item t="data" sd="1" m="1" x="1394"/>
        <item t="data" sd="1" x="401"/>
        <item t="data" sd="1" x="402"/>
        <item t="data" sd="1" m="1" x="1395"/>
        <item t="data" sd="1" m="1" x="1396"/>
        <item t="data" sd="1" m="1" x="692"/>
        <item t="data" sd="1" m="1" x="693"/>
        <item t="data" sd="1" m="1" x="701"/>
        <item t="data" sd="1" m="1" x="698"/>
        <item t="data" sd="1" m="1" x="1397"/>
        <item t="data" sd="1" m="1" x="702"/>
        <item t="data" sd="1" m="1" x="707"/>
        <item t="data" sd="1" m="1" x="706"/>
        <item t="data" sd="1" m="1" x="709"/>
        <item t="data" sd="1" m="1" x="704"/>
        <item t="data" sd="1" m="1" x="697"/>
        <item t="data" sd="1" m="1" x="699"/>
        <item t="data" sd="1" m="1" x="705"/>
        <item t="data" sd="1" m="1" x="708"/>
        <item t="data" sd="1" m="1" x="703"/>
        <item t="data" sd="1" m="1" x="700"/>
        <item t="data" sd="1" m="1" x="710"/>
        <item t="data" sd="1" x="409"/>
        <item t="data" sd="1" x="406"/>
        <item t="data" sd="1" x="407"/>
        <item t="data" sd="1" m="1" x="711"/>
        <item t="data" sd="1" m="1" x="712"/>
        <item t="data" sd="1" m="1" x="713"/>
        <item t="data" sd="1" m="1" x="1398"/>
        <item t="data" sd="1" m="1" x="714"/>
        <item t="data" sd="1" m="1" x="715"/>
        <item t="data" sd="1" m="1" x="1399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m="1" x="722"/>
        <item t="data" sd="1" x="423"/>
        <item t="data" sd="1" x="426"/>
        <item t="data" sd="1" x="427"/>
        <item t="data" sd="1" m="1" x="1400"/>
        <item t="data" sd="1" m="1" x="1401"/>
        <item t="data" sd="1" m="1" x="1402"/>
        <item t="data" sd="1" x="432"/>
        <item t="data" sd="1" m="1" x="1403"/>
        <item t="data" sd="1" m="1" x="1404"/>
        <item t="data" sd="1" x="447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x="433"/>
        <item t="data" sd="1" x="436"/>
        <item t="data" sd="1" x="435"/>
        <item t="data" sd="1" x="440"/>
        <item t="data" sd="1" x="441"/>
        <item t="data" sd="1" m="1" x="1416"/>
        <item t="data" sd="1" m="1" x="1417"/>
        <item t="data" sd="1" x="439"/>
        <item t="data" sd="1" m="1" x="1418"/>
        <item t="data" sd="1" x="437"/>
        <item t="data" sd="1" x="438"/>
        <item t="data" sd="1" m="1" x="1419"/>
        <item t="data" sd="1" m="1" x="1420"/>
        <item t="data" sd="1" m="1" x="1421"/>
        <item t="data" sd="1" x="442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x="446"/>
        <item t="data" sd="1" x="444"/>
        <item t="data" sd="1" x="443"/>
        <item t="data" sd="1" m="1" x="1449"/>
        <item t="data" sd="1" x="445"/>
        <item t="data" sd="1" m="1" x="1450"/>
        <item t="data" sd="1" m="1" x="1451"/>
        <item t="data" sd="1" m="1" x="1452"/>
        <item t="data" sd="1" m="1" x="1459"/>
        <item t="data" sd="1" m="1" x="1460"/>
        <item t="data" sd="1" x="467"/>
        <item t="data" sd="1" m="1" x="739"/>
        <item t="data" sd="1" x="469"/>
        <item t="data" sd="1" x="468"/>
        <item t="data" sd="1" m="1" x="1461"/>
        <item t="data" sd="1" x="472"/>
        <item t="data" sd="1" m="1" x="741"/>
        <item t="data" sd="1" m="1" x="736"/>
        <item t="data" sd="1" m="1" x="745"/>
        <item t="data" sd="1" m="1" x="746"/>
        <item t="data" sd="1" m="1" x="747"/>
        <item t="data" sd="1" x="485"/>
        <item t="data" sd="1" x="482"/>
        <item t="data" sd="1" m="1" x="1462"/>
        <item t="data" sd="1" x="484"/>
        <item t="data" sd="1" x="483"/>
        <item t="data" sd="1" x="478"/>
        <item t="data" sd="1" m="1" x="488"/>
        <item t="data" sd="1" m="1" x="489"/>
        <item t="data" sd="1" m="1" x="490"/>
        <item t="data" sd="1" m="1" x="497"/>
        <item t="data" sd="1" m="1" x="498"/>
        <item t="data" sd="1" m="1" x="499"/>
        <item t="data" sd="1" m="1" x="500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08"/>
        <item t="data" sd="1" x="88"/>
        <item t="data" sd="1" x="89"/>
        <item t="data" sd="1" m="1" x="513"/>
        <item t="data" sd="1" m="1" x="514"/>
        <item t="data" sd="1" m="1" x="522"/>
        <item t="data" sd="1" m="1" x="523"/>
        <item t="data" sd="1" x="148"/>
        <item t="data" sd="1" m="1" x="537"/>
        <item t="data" sd="1" m="1" x="539"/>
        <item t="data" sd="1" m="1" x="540"/>
        <item t="data" sd="1" m="1" x="541"/>
        <item t="data" sd="1" x="168"/>
        <item t="data" sd="1" m="1" x="542"/>
        <item t="data" sd="1" m="1" x="543"/>
        <item t="data" sd="1" m="1" x="546"/>
        <item t="data" sd="1" m="1" x="547"/>
        <item t="data" sd="1" x="178"/>
        <item t="data" sd="1" x="198"/>
        <item t="data" sd="1" x="196"/>
        <item t="data" sd="1" x="197"/>
        <item t="data" sd="1" m="1" x="583"/>
        <item t="data" sd="1" m="1" x="588"/>
        <item t="data" sd="1" m="1" x="592"/>
        <item t="data" sd="1" x="235"/>
        <item t="data" sd="1" m="1" x="608"/>
        <item t="data" sd="1" m="1" x="615"/>
        <item t="data" sd="1" m="1" x="620"/>
        <item t="data" sd="1" m="1" x="625"/>
        <item t="data" sd="1" x="263"/>
        <item t="data" sd="1" x="273"/>
        <item t="data" sd="1" m="1" x="627"/>
        <item t="data" sd="1" m="1" x="628"/>
        <item t="data" sd="1" x="283"/>
        <item t="data" sd="1" m="1" x="630"/>
        <item t="data" sd="1" x="294"/>
        <item t="data" sd="1" x="292"/>
        <item t="data" sd="1" x="293"/>
        <item t="data" sd="1" m="1" x="643"/>
        <item t="data" sd="1" x="301"/>
        <item t="data" sd="1" x="302"/>
        <item t="data" sd="1" m="1" x="650"/>
        <item t="data" sd="1" m="1" x="652"/>
        <item t="data" sd="1" x="450"/>
        <item t="data" sd="1" m="1" x="657"/>
        <item t="data" sd="1" x="316"/>
        <item t="data" sd="1" m="1" x="658"/>
        <item t="data" sd="1" x="318"/>
        <item t="data" sd="1" x="320"/>
        <item t="data" sd="1" x="321"/>
        <item t="data" sd="1" x="319"/>
        <item t="data" sd="1" x="333"/>
        <item t="data" sd="1" x="325"/>
        <item t="data" sd="1" x="326"/>
        <item t="data" sd="1" x="335"/>
        <item t="data" sd="1" x="334"/>
        <item t="data" sd="1" x="354"/>
        <item t="data" sd="1" x="370"/>
        <item t="data" sd="1" m="1" x="681"/>
        <item t="data" sd="1" m="1" x="684"/>
        <item t="data" sd="1" m="1" x="686"/>
        <item t="data" sd="1" x="231"/>
        <item t="data" sd="1" m="1" x="687"/>
        <item t="data" sd="1" m="1" x="688"/>
        <item t="data" sd="1" m="1" x="689"/>
        <item t="data" sd="1" m="1" x="691"/>
        <item t="data" sd="1" x="394"/>
        <item t="data" sd="1" m="1" x="694"/>
        <item t="data" sd="1" m="1" x="695"/>
        <item t="data" sd="1" m="1" x="696"/>
        <item t="data" sd="1" m="1" x="716"/>
        <item t="data" sd="1" m="1" x="717"/>
        <item t="data" sd="1" m="1" x="718"/>
        <item t="data" sd="1" m="1" x="719"/>
        <item t="data" sd="1" m="1" x="720"/>
        <item t="data" sd="1" m="1" x="721"/>
        <item t="data" sd="1" m="1" x="727"/>
        <item t="data" sd="1" m="1" x="729"/>
        <item t="data" sd="1" m="1" x="730"/>
        <item t="data" sd="1" m="1" x="731"/>
        <item t="data" sd="1" x="448"/>
        <item t="data" sd="1" x="449"/>
        <item t="data" sd="1" m="1" x="735"/>
        <item t="data" sd="1" x="465"/>
        <item t="data" sd="1" m="1" x="737"/>
        <item t="data" sd="1" m="1" x="738"/>
        <item t="data" sd="1" x="473"/>
        <item t="data" sd="1" m="1" x="742"/>
        <item t="data" sd="1" m="1" x="744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8"/>
        <item t="data" sd="1" x="99"/>
        <item t="data" sd="1" x="101"/>
        <item t="data" sd="1" x="104"/>
        <item t="data" sd="1" x="108"/>
        <item t="data" sd="1" x="109"/>
        <item t="data" sd="1" x="110"/>
        <item t="data" sd="1" x="112"/>
        <item t="data" sd="1" x="122"/>
        <item t="data" sd="1" x="123"/>
        <item t="data" sd="1" x="124"/>
        <item t="data" sd="1" x="125"/>
        <item t="data" sd="1" x="126"/>
        <item t="data" sd="1" x="143"/>
        <item t="data" sd="1" x="149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9"/>
        <item t="data" sd="1" x="170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91"/>
        <item t="data" sd="1" x="192"/>
        <item t="data" sd="1" x="193"/>
        <item t="data" sd="1" x="206"/>
        <item t="data" sd="1" x="209"/>
        <item t="data" sd="1" x="210"/>
        <item t="data" sd="1" x="211"/>
        <item t="data" sd="1" x="212"/>
        <item t="data" sd="1" x="214"/>
        <item t="data" sd="1" x="217"/>
        <item t="data" sd="1" x="225"/>
        <item t="data" sd="1" x="226"/>
        <item t="data" sd="1" x="227"/>
        <item t="data" sd="1" x="228"/>
        <item t="data" sd="1" x="229"/>
        <item t="data" sd="1" x="230"/>
        <item t="data" sd="1" x="232"/>
        <item t="data" sd="1" x="233"/>
        <item t="data" sd="1" x="237"/>
        <item t="data" sd="1" x="238"/>
        <item t="data" sd="1" x="239"/>
        <item t="data" sd="1" x="242"/>
        <item t="data" sd="1" x="243"/>
        <item t="data" sd="1" x="244"/>
        <item t="data" sd="1" x="256"/>
        <item t="data" sd="1" x="262"/>
        <item t="data" sd="1" x="267"/>
        <item t="data" sd="1" x="270"/>
        <item t="data" sd="1" x="271"/>
        <item t="data" sd="1" x="272"/>
        <item t="data" sd="1" x="274"/>
        <item t="data" sd="1" x="277"/>
        <item t="data" sd="1" x="287"/>
        <item t="data" sd="1" x="288"/>
        <item t="data" sd="1" x="290"/>
        <item t="data" sd="1" x="291"/>
        <item t="data" sd="1" x="303"/>
        <item t="data" sd="1" x="304"/>
        <item t="data" sd="1" x="305"/>
        <item t="data" sd="1" x="308"/>
        <item t="data" sd="1" x="311"/>
        <item t="data" sd="1" x="312"/>
        <item t="data" sd="1" x="317"/>
        <item t="data" sd="1" x="322"/>
        <item t="data" sd="1" x="323"/>
        <item t="data" sd="1" x="324"/>
        <item t="data" sd="1" x="327"/>
        <item t="data" sd="1" x="328"/>
        <item t="data" sd="1" x="329"/>
        <item t="data" sd="1" x="330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55"/>
        <item t="data" sd="1" x="356"/>
        <item t="data" sd="1" x="357"/>
        <item t="data" sd="1" x="358"/>
        <item t="data" sd="1" x="364"/>
        <item t="data" sd="1" x="377"/>
        <item t="data" sd="1" x="378"/>
        <item t="data" sd="1" x="379"/>
        <item t="data" sd="1" x="380"/>
        <item t="data" sd="1" x="381"/>
        <item t="data" sd="1" x="382"/>
        <item t="data" sd="1" x="384"/>
        <item t="data" sd="1" x="385"/>
        <item t="data" sd="1" x="389"/>
        <item t="data" sd="1" x="390"/>
        <item t="data" sd="1" x="391"/>
        <item t="data" sd="1" x="395"/>
        <item t="data" sd="1" x="403"/>
        <item t="data" sd="1" x="404"/>
        <item t="data" sd="1" x="405"/>
        <item t="data" sd="1" x="410"/>
        <item t="data" sd="1" x="411"/>
        <item t="data" sd="1" x="412"/>
        <item t="data" sd="1" x="413"/>
        <item t="data" sd="1" x="414"/>
        <item t="data" sd="1" x="428"/>
        <item t="data" sd="1" x="429"/>
        <item t="data" sd="1" x="430"/>
        <item t="data" sd="1" x="431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4"/>
        <item t="data" sd="1" x="466"/>
        <item t="data" sd="1" x="470"/>
        <item t="data" sd="1" x="471"/>
        <item t="data" sd="1" x="474"/>
        <item t="data" sd="1" x="475"/>
        <item t="data" sd="1" x="476"/>
        <item t="data" sd="1" x="479"/>
        <item t="data" sd="1" x="480"/>
        <item t="data" sd="1" x="481"/>
        <item t="data" sd="1" x="48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0"/>
        <item t="data" sd="1" m="1" x="2673"/>
        <item t="data" sd="1" x="132"/>
        <item t="data" sd="1" x="131"/>
        <item t="data" sd="1" m="1" x="477"/>
        <item t="data" sd="1" m="1" x="6594"/>
        <item t="data" sd="1" m="1" x="7334"/>
        <item t="data" sd="1" m="1" x="649"/>
        <item t="data" sd="1" x="418"/>
        <item t="data" sd="1" x="104"/>
        <item t="data" sd="1" m="1" x="4613"/>
        <item t="data" sd="1" m="1" x="1608"/>
        <item t="data" sd="1" x="64"/>
        <item t="data" sd="1" x="351"/>
        <item t="data" sd="1" m="1" x="1620"/>
        <item t="data" sd="1" x="189"/>
        <item t="data" sd="1" m="1" x="2486"/>
        <item t="data" sd="1" x="254"/>
        <item t="data" sd="1" x="397"/>
        <item t="data" sd="1" m="1" x="3250"/>
        <item t="data" sd="1" x="177"/>
        <item t="data" sd="1" m="1" x="576"/>
        <item t="data" sd="1" x="70"/>
        <item t="data" sd="1" x="58"/>
        <item t="data" sd="1" m="1" x="580"/>
        <item t="data" sd="1" x="54"/>
        <item t="data" sd="1" m="1" x="605"/>
        <item t="data" sd="1" x="261"/>
        <item t="data" sd="1" x="301"/>
        <item t="data" sd="1" m="1" x="2115"/>
        <item t="data" sd="1" x="2"/>
        <item t="data" sd="1" m="1" x="5207"/>
        <item t="data" sd="1" m="1" x="6547"/>
        <item t="data" sd="1" x="221"/>
        <item t="data" sd="1" m="1" x="1770"/>
        <item t="data" sd="1" m="1" x="626"/>
        <item t="data" sd="1" m="1" x="3105"/>
        <item t="data" sd="1" x="446"/>
        <item t="data" sd="1" x="93"/>
        <item t="data" sd="1" m="1" x="1630"/>
        <item t="data" sd="1" m="1" x="1666"/>
        <item t="data" h="1" sd="1" m="1" x="593"/>
        <item t="data" sd="1" m="1" x="1995"/>
        <item t="data" sd="1" m="1" x="1668"/>
        <item t="data" sd="1" m="1" x="1421"/>
        <item t="data" sd="1" m="1" x="5000"/>
        <item t="data" sd="1" x="135"/>
        <item t="data" sd="1" m="1" x="1559"/>
        <item t="data" sd="1" m="1" x="1673"/>
        <item t="data" sd="1" m="1" x="1415"/>
        <item t="data" sd="1" m="1" x="1678"/>
        <item t="data" sd="1" m="1" x="3704"/>
        <item t="data" sd="1" m="1" x="2418"/>
        <item t="data" sd="1" m="1" x="486"/>
        <item t="data" sd="1" m="1" x="634"/>
        <item t="data" sd="1" x="140"/>
        <item t="data" sd="1" m="1" x="488"/>
        <item t="data" sd="1" x="227"/>
        <item t="data" sd="1" m="1" x="597"/>
        <item t="data" sd="1" x="176"/>
        <item t="data" sd="1" x="300"/>
        <item t="data" sd="1" m="1" x="1585"/>
        <item t="data" sd="1" m="1" x="596"/>
        <item t="data" sd="1" x="202"/>
        <item t="data" sd="1" m="1" x="1411"/>
        <item t="data" sd="1" m="1" x="5450"/>
        <item t="data" sd="1" m="1" x="2861"/>
        <item t="data" sd="1" x="228"/>
        <item t="data" sd="1" x="392"/>
        <item t="data" sd="1" m="1" x="4182"/>
        <item t="data" sd="1" m="1" x="595"/>
        <item t="data" sd="1" m="1" x="4105"/>
        <item t="data" sd="1" x="138"/>
        <item t="data" sd="1" m="1" x="592"/>
        <item t="data" sd="1" x="256"/>
        <item t="data" sd="1" m="1" x="784"/>
        <item t="data" sd="1" m="1" x="1548"/>
        <item t="data" sd="1" m="1" x="4896"/>
        <item t="data" h="1" sd="1" m="1" x="2644"/>
        <item t="data" h="1" sd="1" m="1" x="878"/>
        <item t="data" sd="1" x="102"/>
        <item t="data" h="1" sd="1" x="287"/>
        <item t="data" h="1" sd="1" m="1" x="1621"/>
        <item t="data" h="1" sd="1" x="375"/>
        <item t="data" h="1" sd="1" x="142"/>
        <item t="data" h="1" sd="1" x="216"/>
        <item t="data" h="1" sd="1" x="173"/>
        <item t="data" h="1" sd="1" m="1" x="503"/>
        <item t="data" h="1" sd="1" m="1" x="485"/>
        <item t="data" h="1" sd="1" m="1" x="5247"/>
        <item t="data" h="1" sd="1" m="1" x="1754"/>
        <item t="data" h="1" sd="1" m="1" x="1659"/>
        <item t="data" h="1" sd="1" m="1" x="1744"/>
        <item t="data" h="1" sd="1" m="1" x="2321"/>
        <item t="data" h="1" sd="1" m="1" x="6777"/>
        <item t="data" h="1" sd="1" m="1" x="614"/>
        <item t="data" h="1" sd="1" x="69"/>
        <item t="data" h="1" sd="1" m="1" x="1801"/>
        <item t="data" h="1" sd="1" m="1" x="487"/>
        <item t="data" h="1" sd="1" m="1" x="712"/>
        <item t="data" h="1" sd="1" m="1" x="1413"/>
        <item t="data" h="1" sd="1" m="1" x="636"/>
        <item t="data" h="1" sd="1" m="1" x="3313"/>
        <item t="data" h="1" sd="1" m="1" x="2117"/>
        <item t="data" h="1" sd="1" x="59"/>
        <item t="data" h="1" sd="1" m="1" x="1730"/>
        <item t="data" h="1" sd="1" m="1" x="484"/>
        <item t="data" h="1" sd="1" m="1" x="2333"/>
        <item t="data" h="1" sd="1" x="288"/>
        <item t="data" h="1" sd="1" x="376"/>
        <item t="data" h="1" sd="1" x="92"/>
        <item t="data" h="1" sd="1" x="1"/>
        <item t="data" h="1" sd="1" m="1" x="1635"/>
        <item t="data" h="1" sd="1" x="280"/>
        <item t="data" h="1" sd="1" x="159"/>
        <item t="data" h="1" sd="1" x="62"/>
        <item t="data" h="1" sd="1" x="175"/>
        <item t="data" h="1" sd="1" m="1" x="1629"/>
        <item t="data" h="1" sd="1" m="1" x="532"/>
        <item t="data" h="1" sd="1" m="1" x="3586"/>
        <item t="data" h="1" sd="1" m="1" x="1725"/>
        <item t="data" h="1" sd="1" m="1" x="1676"/>
        <item t="data" h="1" sd="1" m="1" x="6851"/>
        <item t="data" h="1" sd="1" m="1" x="1663"/>
        <item t="data" h="1" sd="1" m="1" x="1648"/>
        <item t="data" h="1" sd="1" x="383"/>
        <item t="data" h="1" sd="1" x="249"/>
        <item t="data" h="1" sd="1" m="1" x="6564"/>
        <item t="data" h="1" sd="1" m="1" x="5322"/>
        <item t="data" h="1" sd="1" m="1" x="4700"/>
        <item t="data" h="1" sd="1" m="1" x="4655"/>
        <item t="data" h="1" sd="1" m="1" x="2403"/>
        <item t="data" h="1" sd="1" m="1" x="606"/>
        <item t="data" h="1" sd="1" m="1" x="7794"/>
        <item t="data" h="1" sd="1" x="251"/>
        <item t="data" h="1" sd="1" m="1" x="1704"/>
        <item t="data" h="1" sd="1" m="1" x="2042"/>
        <item t="data" h="1" sd="1" m="1" x="1642"/>
        <item t="data" h="1" sd="1" m="1" x="7486"/>
        <item t="data" h="1" sd="1" m="1" x="520"/>
        <item t="data" h="1" sd="1" m="1" x="1722"/>
        <item t="data" h="1" sd="1" m="1" x="7326"/>
        <item t="data" h="1" sd="1" m="1" x="5445"/>
        <item t="data" h="1" sd="1" m="1" x="3648"/>
        <item t="data" h="1" sd="1" m="1" x="552"/>
        <item t="data" h="1" sd="1" m="1" x="1454"/>
        <item t="data" h="1" sd="1" m="1" x="3926"/>
        <item t="data" h="1" sd="1" m="1" x="1708"/>
        <item t="data" h="1" sd="1" m="1" x="6880"/>
        <item t="data" h="1" sd="1" m="1" x="1656"/>
        <item t="data" h="1" sd="1" m="1" x="2020"/>
        <item t="data" h="1" sd="1" m="1" x="5452"/>
        <item t="data" h="1" sd="1" m="1" x="7317"/>
        <item t="data" h="1" sd="1" x="271"/>
        <item t="data" h="1" sd="1" x="215"/>
        <item t="data" h="1" sd="1" m="1" x="3001"/>
        <item t="data" h="1" sd="1" m="1" x="3035"/>
        <item t="data" h="1" sd="1" x="411"/>
        <item t="data" h="1" sd="1" x="349"/>
        <item t="data" h="1" sd="1" m="1" x="1686"/>
        <item t="data" h="1" sd="1" m="1" x="4681"/>
        <item t="data" h="1" sd="1" m="1" x="1670"/>
        <item t="data" h="1" sd="1" m="1" x="1583"/>
        <item t="data" h="1" sd="1" m="1" x="7122"/>
        <item t="data" h="1" sd="1" x="393"/>
        <item t="data" h="1" sd="1" m="1" x="648"/>
        <item t="data" h="1" sd="1" m="1" x="2782"/>
        <item t="data" h="1" sd="1" m="1" x="3137"/>
        <item t="data" h="1" sd="1" x="262"/>
        <item t="data" h="1" sd="1" m="1" x="1616"/>
        <item t="data" h="1" sd="1" m="1" x="1652"/>
        <item t="data" h="1" sd="1" m="1" x="729"/>
        <item t="data" h="1" sd="1" x="226"/>
        <item t="data" h="1" sd="1" x="61"/>
        <item t="data" h="1" sd="1" m="1" x="654"/>
        <item t="data" h="1" sd="1" m="1" x="6468"/>
        <item t="data" h="1" sd="1" m="1" x="6009"/>
        <item t="data" h="1" sd="1" m="1" x="519"/>
        <item t="data" h="1" sd="1" m="1" x="2027"/>
        <item t="data" h="1" sd="1" m="1" x="7190"/>
        <item t="data" h="1" sd="1" m="1" x="4163"/>
        <item t="data" h="1" sd="1" m="1" x="652"/>
        <item t="data" h="1" sd="1" m="1" x="1698"/>
        <item t="data" h="1" sd="1" m="1" x="2424"/>
        <item t="data" h="1" sd="1" m="1" x="1821"/>
        <item t="data" h="1" sd="1" m="1" x="5232"/>
        <item t="data" h="1" sd="1" m="1" x="7771"/>
        <item t="data" h="1" sd="1" m="1" x="1654"/>
        <item t="data" h="1" sd="1" m="1" x="1449"/>
        <item t="data" h="1" sd="1" m="1" x="4214"/>
        <item t="data" h="1" sd="1" m="1" x="1977"/>
        <item t="data" h="1" sd="1" m="1" x="1623"/>
        <item t="data" h="1" sd="1" x="67"/>
        <item t="data" h="1" sd="1" m="1" x="3111"/>
        <item t="data" h="1" sd="1" x="297"/>
        <item t="data" h="1" sd="1" x="408"/>
        <item t="data" h="1" sd="1" m="1" x="6885"/>
        <item t="data" h="1" sd="1" x="231"/>
        <item t="data" h="1" sd="1" m="1" x="600"/>
        <item t="data" h="1" sd="1" m="1" x="3536"/>
        <item t="data" h="1" sd="1" m="1" x="5432"/>
        <item t="data" h="1" sd="1" m="1" x="5699"/>
        <item t="data" h="1" sd="1" m="1" x="6145"/>
        <item t="data" h="1" sd="1" m="1" x="7977"/>
        <item t="data" h="1" sd="1" m="1" x="5328"/>
        <item t="data" h="1" sd="1" m="1" x="1556"/>
        <item t="data" h="1" sd="1" m="1" x="7040"/>
        <item t="data" h="1" sd="1" m="1" x="7012"/>
        <item t="data" h="1" sd="1" x="298"/>
        <item t="data" h="1" sd="1" m="1" x="4620"/>
        <item t="data" h="1" sd="1" m="1" x="5158"/>
        <item t="data" h="1" sd="1" m="1" x="3196"/>
        <item t="data" h="1" sd="1" m="1" x="4963"/>
        <item t="data" h="1" sd="1" m="1" x="476"/>
        <item t="data" h="1" sd="1" m="1" x="2306"/>
        <item t="data" h="1" sd="1" m="1" x="2359"/>
        <item t="data" h="1" sd="1" m="1" x="6247"/>
        <item t="data" h="1" sd="1" x="299"/>
        <item t="data" h="1" sd="1" m="1" x="1674"/>
        <item t="data" h="1" sd="1" m="1" x="7652"/>
        <item t="data" h="1" sd="1" m="1" x="5692"/>
        <item t="data" h="1" sd="1" m="1" x="7555"/>
        <item t="data" h="1" sd="1" m="1" x="1756"/>
        <item t="data" h="1" sd="1" m="1" x="7305"/>
        <item t="data" h="1" sd="1" m="1" x="7864"/>
        <item t="data" h="1" sd="1" m="1" x="1374"/>
        <item t="data" h="1" sd="1" m="1" x="1512"/>
        <item t="data" h="1" sd="1" x="174"/>
        <item t="data" h="1" sd="1" m="1" x="3703"/>
        <item t="data" h="1" sd="1" m="1" x="799"/>
        <item t="data" h="1" sd="1" m="1" x="7889"/>
        <item t="data" h="1" sd="1" x="225"/>
        <item t="data" h="1" sd="1" m="1" x="887"/>
        <item t="data" h="1" sd="1" x="210"/>
        <item t="data" h="1" sd="1" m="1" x="1786"/>
        <item t="data" h="1" sd="1" m="1" x="1877"/>
        <item t="data" h="1" sd="1" m="1" x="6550"/>
        <item t="data" h="1" sd="1" m="1" x="7857"/>
        <item t="data" h="1" sd="1" m="1" x="2874"/>
        <item t="data" h="1" sd="1" m="1" x="2812"/>
        <item t="data" h="1" sd="1" m="1" x="3146"/>
        <item t="data" h="1" sd="1" m="1" x="1752"/>
        <item t="data" h="1" sd="1" m="1" x="7321"/>
        <item t="data" h="1" sd="1" m="1" x="7023"/>
        <item t="data" h="1" sd="1" m="1" x="4268"/>
        <item t="data" h="1" sd="1" m="1" x="4308"/>
        <item t="data" h="1" sd="1" x="217"/>
        <item t="data" h="1" sd="1" m="1" x="7859"/>
        <item t="data" h="1" sd="1" m="1" x="7408"/>
        <item t="data" h="1" sd="1" m="1" x="5956"/>
        <item t="data" h="1" sd="1" m="1" x="1505"/>
        <item t="data" h="1" sd="1" m="1" x="6875"/>
        <item t="data" h="1" sd="1" m="1" x="1450"/>
        <item t="data" h="1" sd="1" m="1" x="5202"/>
        <item t="data" h="1" sd="1" m="1" x="2777"/>
        <item t="data" h="1" sd="1" m="1" x="7407"/>
        <item t="data" h="1" sd="1" m="1" x="3652"/>
        <item t="data" h="1" sd="1" x="218"/>
        <item t="data" h="1" sd="1" m="1" x="6607"/>
        <item t="data" h="1" sd="1" m="1" x="7385"/>
        <item t="data" h="1" sd="1" m="1" x="2697"/>
        <item t="data" h="1" sd="1" m="1" x="561"/>
        <item t="data" h="1" sd="1" m="1" x="533"/>
        <item t="data" h="1" sd="1" m="1" x="7862"/>
        <item t="data" h="1" sd="1" m="1" x="3514"/>
        <item t="data" h="1" sd="1" m="1" x="1909"/>
        <item t="data" h="1" sd="1" m="1" x="7275"/>
        <item t="data" h="1" sd="1" m="1" x="7149"/>
        <item t="data" h="1" sd="1" m="1" x="7655"/>
        <item t="data" h="1" sd="1" m="1" x="5101"/>
        <item t="data" h="1" sd="1" m="1" x="1709"/>
        <item t="data" h="1" sd="1" m="1" x="5010"/>
        <item t="data" h="1" sd="1" m="1" x="7150"/>
        <item t="data" h="1" sd="1" m="1" x="3209"/>
        <item t="data" h="1" sd="1" m="1" x="7196"/>
        <item t="data" h="1" sd="1" x="382"/>
        <item t="data" h="1" sd="1" m="1" x="1905"/>
        <item t="data" h="1" sd="1" m="1" x="7072"/>
        <item t="data" h="1" sd="1" m="1" x="6206"/>
        <item t="data" h="1" sd="1" m="1" x="6622"/>
        <item t="data" h="1" sd="1" m="1" x="7622"/>
        <item t="data" h="1" sd="1" m="1" x="4195"/>
        <item t="data" h="1" sd="1" m="1" x="7861"/>
        <item t="data" h="1" sd="1" m="1" x="1699"/>
        <item t="data" h="1" sd="1" m="1" x="3838"/>
        <item t="data" h="1" sd="1" m="1" x="500"/>
        <item t="data" h="1" sd="1" m="1" x="5203"/>
        <item t="data" h="1" sd="1" m="1" x="6353"/>
        <item t="data" h="1" sd="1" m="1" x="5469"/>
        <item t="data" h="1" sd="1" m="1" x="4143"/>
        <item t="data" h="1" sd="1" m="1" x="2041"/>
        <item t="data" h="1" sd="1" m="1" x="6582"/>
        <item t="data" h="1" sd="1" m="1" x="6790"/>
        <item t="data" h="1" sd="1" m="1" x="6360"/>
        <item t="data" h="1" sd="1" m="1" x="7833"/>
        <item t="data" h="1" sd="1" m="1" x="1632"/>
        <item t="data" h="1" sd="1" m="1" x="4954"/>
        <item t="data" h="1" sd="1" m="1" x="6958"/>
        <item t="data" h="1" sd="1" x="402"/>
        <item t="data" h="1" sd="1" m="1" x="3115"/>
        <item t="data" h="1" sd="1" x="252"/>
        <item t="data" h="1" sd="1" m="1" x="2978"/>
        <item t="data" h="1" sd="1" m="1" x="7831"/>
        <item t="data" h="1" sd="1" x="388"/>
        <item t="data" h="1" sd="1" m="1" x="7832"/>
        <item t="data" h="1" sd="1" m="1" x="3486"/>
        <item t="data" h="1" sd="1" m="1" x="2875"/>
        <item t="data" h="1" sd="1" m="1" x="2077"/>
        <item t="data" h="1" sd="1" m="1" x="2005"/>
        <item t="data" h="1" sd="1" m="1" x="5842"/>
        <item t="data" h="1" sd="1" m="1" x="7235"/>
        <item t="data" h="1" sd="1" m="1" x="7178"/>
        <item t="data" h="1" sd="1" m="1" x="7778"/>
        <item t="data" h="1" sd="1" m="1" x="7878"/>
        <item t="data" h="1" sd="1" m="1" x="5587"/>
        <item t="data" h="1" sd="1" m="1" x="6101"/>
        <item t="data" h="1" sd="1" m="1" x="7209"/>
        <item t="data" h="1" sd="1" m="1" x="4309"/>
        <item t="data" h="1" sd="1" m="1" x="6378"/>
        <item t="data" h="1" sd="1" m="1" x="6852"/>
        <item t="data" h="1" sd="1" m="1" x="6260"/>
        <item t="data" h="1" sd="1" m="1" x="5155"/>
        <item t="data" h="1" sd="1" m="1" x="7908"/>
        <item t="data" h="1" sd="1" m="1" x="4306"/>
        <item t="data" h="1" sd="1" x="378"/>
        <item t="data" h="1" sd="1" m="1" x="7489"/>
        <item t="data" h="1" sd="1" m="1" x="7870"/>
        <item t="data" h="1" sd="1" m="1" x="7505"/>
        <item t="data" h="1" sd="1" m="1" x="7360"/>
        <item t="data" h="1" sd="1" m="1" x="7787"/>
        <item t="data" h="1" sd="1" m="1" x="834"/>
        <item t="data" h="1" sd="1" m="1" x="4167"/>
        <item t="data" h="1" sd="1" m="1" x="7637"/>
        <item t="data" h="1" sd="1" m="1" x="7057"/>
        <item t="data" h="1" sd="1" m="1" x="6998"/>
        <item t="data" h="1" sd="1" m="1" x="4674"/>
        <item t="data" h="1" sd="1" m="1" x="1717"/>
        <item t="data" h="1" sd="1" m="1" x="7254"/>
        <item t="data" h="1" sd="1" m="1" x="5241"/>
        <item t="data" h="1" sd="1" m="1" x="6629"/>
        <item t="data" h="1" sd="1" m="1" x="4196"/>
        <item t="data" h="1" sd="1" m="1" x="909"/>
        <item t="data" h="1" sd="1" m="1" x="913"/>
        <item t="data" h="1" sd="1" x="253"/>
        <item t="data" h="1" sd="1" m="1" x="6532"/>
        <item t="data" h="1" sd="1" m="1" x="7285"/>
        <item t="data" h="1" sd="1" m="1" x="2778"/>
        <item t="data" h="1" sd="1" m="1" x="7343"/>
        <item t="data" h="1" sd="1" m="1" x="7981"/>
        <item t="data" h="1" sd="1" m="1" x="7519"/>
        <item t="data" h="1" sd="1" m="1" x="5860"/>
        <item t="data" h="1" sd="1" m="1" x="1562"/>
        <item t="data" h="1" sd="1" m="1" x="7654"/>
        <item t="data" h="1" sd="1" m="1" x="3194"/>
        <item t="data" h="1" sd="1" m="1" x="612"/>
        <item t="data" h="1" sd="1" m="1" x="2873"/>
        <item t="data" h="1" sd="1" m="1" x="3946"/>
        <item t="data" h="1" sd="1" m="1" x="7077"/>
        <item t="data" h="1" sd="1" x="264"/>
        <item t="data" h="1" sd="1" x="158"/>
        <item t="data" h="1" sd="1" m="1" x="544"/>
        <item t="data" h="1" sd="1" m="1" x="6833"/>
        <item t="data" h="1" sd="1" m="1" x="7271"/>
        <item t="data" h="1" sd="1" m="1" x="4704"/>
        <item t="data" h="1" sd="1" m="1" x="1298"/>
        <item t="data" h="1" sd="1" m="1" x="7589"/>
        <item t="data" h="1" sd="1" m="1" x="7093"/>
        <item t="data" h="1" sd="1" m="1" x="3208"/>
        <item t="data" h="1" sd="1" m="1" x="1605"/>
        <item t="data" h="1" sd="1" m="1" x="4643"/>
        <item t="data" h="1" sd="1" m="1" x="7998"/>
        <item t="data" h="1" sd="1" m="1" x="6229"/>
        <item t="data" h="1" sd="1" m="1" x="2479"/>
        <item t="data" h="1" sd="1" m="1" x="3600"/>
        <item t="data" h="1" sd="1" m="1" x="1657"/>
        <item t="data" h="1" sd="1" m="1" x="4254"/>
        <item t="data" h="1" sd="1" m="1" x="5719"/>
        <item t="data" h="1" sd="1" m="1" x="7268"/>
        <item t="data" h="1" sd="1" m="1" x="3096"/>
        <item t="data" h="1" sd="1" m="1" x="1837"/>
        <item t="data" h="1" sd="1" m="1" x="2582"/>
        <item t="data" h="1" sd="1" m="1" x="6744"/>
        <item t="data" h="1" sd="1" m="1" x="6929"/>
        <item t="data" h="1" sd="1" m="1" x="3587"/>
        <item t="data" h="1" sd="1" m="1" x="3277"/>
        <item t="data" h="1" sd="1" m="1" x="7581"/>
        <item t="data" h="1" sd="1" m="1" x="2000"/>
        <item t="data" h="1" sd="1" m="1" x="7179"/>
        <item t="data" h="1" sd="1" m="1" x="7071"/>
        <item t="data" h="1" sd="1" m="1" x="6589"/>
        <item t="data" h="1" sd="1" m="1" x="4307"/>
        <item t="data" h="1" sd="1" m="1" x="4243"/>
        <item t="data" h="1" sd="1" m="1" x="7919"/>
        <item t="data" h="1" sd="1" m="1" x="3507"/>
        <item t="data" h="1" sd="1" m="1" x="6441"/>
        <item t="data" h="1" sd="1" m="1" x="1577"/>
        <item t="data" h="1" sd="1" m="1" x="3501"/>
        <item t="data" h="1" sd="1" m="1" x="1696"/>
        <item t="data" h="1" sd="1" m="1" x="7409"/>
        <item t="data" h="1" sd="1" m="1" x="6064"/>
        <item t="data" h="1" sd="1" m="1" x="7970"/>
        <item t="data" h="1" sd="1" m="1" x="1811"/>
        <item t="data" h="1" sd="1" m="1" x="4005"/>
        <item t="data" h="1" sd="1" m="1" x="2322"/>
        <item t="data" h="1" sd="1" m="1" x="6800"/>
        <item t="data" h="1" sd="1" m="1" x="6288"/>
        <item t="data" h="1" sd="1" m="1" x="6975"/>
        <item t="data" h="1" sd="1" m="1" x="5186"/>
        <item t="data" h="1" sd="1" m="1" x="7860"/>
        <item t="data" h="1" sd="1" m="1" x="6449"/>
        <item t="data" h="1" sd="1" m="1" x="542"/>
        <item t="data" h="1" sd="1" m="1" x="6379"/>
        <item t="data" h="1" sd="1" m="1" x="1672"/>
        <item t="data" h="1" sd="1" m="1" x="583"/>
        <item t="data" h="1" sd="1" m="1" x="5295"/>
        <item t="data" h="1" sd="1" m="1" x="1805"/>
        <item t="data" h="1" sd="1" m="1" x="2870"/>
        <item t="data" h="1" sd="1" m="1" x="7132"/>
        <item t="data" h="1" sd="1" m="1" x="1359"/>
        <item t="data" h="1" sd="1" m="1" x="2556"/>
        <item t="data" h="1" sd="1" m="1" x="527"/>
        <item t="data" h="1" sd="1" m="1" x="5751"/>
        <item t="data" h="1" sd="1" m="1" x="3951"/>
        <item t="data" h="1" sd="1" m="1" x="7015"/>
        <item t="data" h="1" sd="1" m="1" x="5868"/>
        <item t="data" h="1" sd="1" m="1" x="4763"/>
        <item t="data" h="1" sd="1" m="1" x="1728"/>
        <item t="data" h="1" sd="1" m="1" x="1546"/>
        <item t="data" h="1" sd="1" m="1" x="2116"/>
        <item t="data" h="1" sd="1" m="1" x="6420"/>
        <item t="data" h="1" sd="1" m="1" x="2576"/>
        <item t="data" h="1" sd="1" m="1" x="1906"/>
        <item t="data" h="1" sd="1" m="1" x="1631"/>
        <item t="data" h="1" sd="1" m="1" x="6296"/>
        <item t="data" h="1" sd="1" m="1" x="4595"/>
        <item t="data" h="1" sd="1" m="1" x="7153"/>
        <item t="data" h="1" sd="1" m="1" x="5758"/>
        <item t="data" h="1" sd="1" m="1" x="6962"/>
        <item t="data" h="1" sd="1" m="1" x="7022"/>
        <item t="data" h="1" sd="1" m="1" x="4906"/>
        <item t="data" h="1" sd="1" m="1" x="6472"/>
        <item t="data" h="1" sd="1" m="1" x="2120"/>
        <item t="data" h="1" sd="1" m="1" x="2787"/>
        <item t="data" h="1" sd="1" m="1" x="2467"/>
        <item t="data" h="1" sd="1" m="1" x="4434"/>
        <item t="data" h="1" sd="1" m="1" x="1844"/>
        <item t="data" h="1" sd="1" m="1" x="3095"/>
        <item t="data" h="1" sd="1" m="1" x="4998"/>
        <item t="data" h="1" sd="1" m="1" x="5921"/>
        <item t="data" h="1" sd="1" m="1" x="6463"/>
        <item t="data" h="1" sd="1" m="1" x="7459"/>
        <item t="data" h="1" sd="1" m="1" x="6754"/>
        <item t="data" h="1" sd="1" m="1" x="6860"/>
        <item t="data" h="1" sd="1" m="1" x="5177"/>
        <item t="data" h="1" sd="1" m="1" x="4102"/>
        <item t="data" h="1" sd="1" m="1" x="1782"/>
        <item t="data" h="1" sd="1" m="1" x="6832"/>
        <item t="data" h="1" sd="1" m="1" x="4688"/>
        <item t="data" h="1" sd="1" m="1" x="6344"/>
        <item t="data" h="1" sd="1" m="1" x="6345"/>
        <item t="data" h="1" sd="1" m="1" x="3517"/>
        <item t="data" h="1" sd="1" m="1" x="2453"/>
        <item t="data" h="1" sd="1" m="1" x="3922"/>
        <item t="data" h="1" sd="1" m="1" x="4125"/>
        <item t="data" h="1" sd="1" m="1" x="7871"/>
        <item t="data" h="1" sd="1" m="1" x="5345"/>
        <item t="data" h="1" sd="1" m="1" x="3837"/>
        <item t="data" h="1" sd="1" m="1" x="3487"/>
        <item t="data" h="1" sd="1" m="1" x="5019"/>
        <item t="data" h="1" sd="1" m="1" x="5813"/>
        <item t="data" h="1" sd="1" m="1" x="2349"/>
        <item t="data" h="1" sd="1" m="1" x="2348"/>
        <item t="data" h="1" sd="1" m="1" x="3945"/>
        <item t="data" h="1" sd="1" m="1" x="6964"/>
        <item t="data" h="1" sd="1" m="1" x="535"/>
        <item t="data" h="1" sd="1" m="1" x="6895"/>
        <item t="data" h="1" sd="1" m="1" x="3800"/>
        <item t="data" h="1" sd="1" m="1" x="5922"/>
        <item t="data" h="1" sd="1" m="1" x="719"/>
        <item t="data" h="1" sd="1" m="1" x="638"/>
        <item t="data" h="1" sd="1" m="1" x="6389"/>
        <item t="data" h="1" sd="1" m="1" x="5245"/>
        <item t="data" h="1" sd="1" m="1" x="3653"/>
        <item t="data" h="1" sd="1" m="1" x="5298"/>
        <item t="data" h="1" sd="1" m="1" x="7629"/>
        <item t="data" h="1" sd="1" m="1" x="3221"/>
        <item t="data" h="1" sd="1" m="1" x="1482"/>
        <item t="data" h="1" sd="1" m="1" x="6595"/>
        <item t="data" h="1" sd="1" m="1" x="5422"/>
        <item t="data" h="1" sd="1" m="1" x="4425"/>
        <item t="data" h="1" sd="1" m="1" x="7825"/>
        <item t="data" h="1" sd="1" m="1" x="5360"/>
        <item t="data" h="1" sd="1" m="1" x="3407"/>
        <item t="data" h="1" sd="1" m="1" x="2771"/>
        <item t="data" h="1" sd="1" x="332"/>
        <item t="data" h="1" sd="1" m="1" x="3647"/>
        <item t="data" h="1" sd="1" m="1" x="6432"/>
        <item t="data" h="1" sd="1" m="1" x="3147"/>
        <item t="data" h="1" sd="1" m="1" x="2999"/>
        <item t="data" h="1" sd="1" m="1" x="4964"/>
        <item t="data" h="1" sd="1" m="1" x="3772"/>
        <item t="data" h="1" sd="1" m="1" x="7990"/>
        <item t="data" h="1" sd="1" m="1" x="4907"/>
        <item t="data" h="1" sd="1" m="1" x="5311"/>
        <item t="data" h="1" sd="1" m="1" x="6827"/>
        <item t="data" h="1" sd="1" m="1" x="464"/>
        <item t="data" h="1" sd="1" m="1" x="3193"/>
        <item t="data" h="1" sd="1" m="1" x="1597"/>
        <item t="data" h="1" sd="1" m="1" x="7980"/>
        <item t="data" h="1" sd="1" m="1" x="6580"/>
        <item t="data" h="1" sd="1" m="1" x="2788"/>
        <item t="data" h="1" sd="1" m="1" x="3938"/>
        <item t="data" h="1" sd="1" m="1" x="2337"/>
        <item t="data" h="1" sd="1" m="1" x="1697"/>
        <item t="data" h="1" sd="1" m="1" x="7430"/>
        <item t="data" h="1" sd="1" m="1" x="2981"/>
        <item t="data" h="1" sd="1" m="1" x="7988"/>
        <item t="data" h="1" sd="1" m="1" x="6837"/>
        <item t="data" h="1" sd="1" m="1" x="3003"/>
        <item t="data" h="1" sd="1" m="1" x="1070"/>
        <item t="data" h="1" sd="1" m="1" x="5589"/>
        <item t="data" h="1" sd="1" m="1" x="2065"/>
        <item t="data" h="1" sd="1" m="1" x="4209"/>
        <item t="data" h="1" sd="1" m="1" x="4970"/>
        <item t="data" h="1" sd="1" m="1" x="670"/>
        <item t="data" h="1" sd="1" x="381"/>
        <item t="data" h="1" sd="1" m="1" x="3331"/>
        <item t="data" h="1" sd="1" m="1" x="3455"/>
        <item t="data" h="1" sd="1" m="1" x="5934"/>
        <item t="data" h="1" sd="1" m="1" x="822"/>
        <item t="data" h="1" sd="1" m="1" x="4807"/>
        <item t="data" h="1" sd="1" m="1" x="4924"/>
        <item t="data" h="1" sd="1" m="1" x="2119"/>
        <item t="data" h="1" sd="1" m="1" x="7756"/>
        <item t="data" h="1" sd="1" m="1" x="1974"/>
        <item t="data" h="1" sd="1" m="1" x="7312"/>
        <item t="data" h="1" sd="1" m="1" x="7165"/>
        <item t="data" h="1" sd="1" m="1" x="5175"/>
        <item t="data" h="1" sd="1" m="1" x="1736"/>
        <item t="data" h="1" sd="1" m="1" x="6834"/>
        <item t="data" h="1" sd="1" m="1" x="4542"/>
        <item t="data" h="1" sd="1" m="1" x="3681"/>
        <item t="data" h="1" sd="1" m="1" x="4847"/>
        <item t="data" h="1" sd="1" m="1" x="6276"/>
        <item t="data" h="1" sd="1" m="1" x="6458"/>
        <item t="data" h="1" sd="1" m="1" x="645"/>
        <item t="data" h="1" sd="1" m="1" x="4677"/>
        <item t="data" h="1" sd="1" m="1" x="6769"/>
        <item t="data" h="1" sd="1" m="1" x="3345"/>
        <item t="data" h="1" sd="1" m="1" x="3522"/>
        <item t="data" h="1" sd="1" m="1" x="827"/>
        <item t="data" h="1" sd="1" m="1" x="7989"/>
        <item t="data" h="1" sd="1" m="1" x="5420"/>
        <item t="data" h="1" sd="1" m="1" x="2571"/>
        <item t="data" h="1" sd="1" m="1" x="6845"/>
        <item t="data" h="1" sd="1" m="1" x="5978"/>
        <item t="data" h="1" sd="1" m="1" x="4134"/>
        <item t="data" h="1" sd="1" m="1" x="6773"/>
        <item t="data" h="1" sd="1" x="398"/>
        <item t="data" h="1" sd="1" m="1" x="4739"/>
        <item t="data" h="1" sd="1" m="1" x="1182"/>
        <item t="data" h="1" sd="1" m="1" x="4895"/>
        <item t="data" h="1" sd="1" m="1" x="2118"/>
        <item t="data" h="1" sd="1" m="1" x="5924"/>
        <item t="data" h="1" sd="1" m="1" x="3831"/>
        <item t="data" h="1" sd="1" m="1" x="6982"/>
        <item t="data" h="1" sd="1" m="1" x="4135"/>
        <item t="data" h="1" sd="1" m="1" x="6251"/>
        <item t="data" h="1" sd="1" m="1" x="5012"/>
        <item t="data" h="1" sd="1" m="1" x="3521"/>
        <item t="data" h="1" sd="1" x="203"/>
        <item t="data" h="1" sd="1" m="1" x="633"/>
        <item t="data" h="1" sd="1" m="1" x="1122"/>
        <item t="data" h="1" sd="1" m="1" x="2245"/>
        <item t="data" h="1" sd="1" m="1" x="504"/>
        <item t="data" h="1" sd="1" m="1" x="1787"/>
        <item t="data" h="1" sd="1" m="1" x="4962"/>
        <item t="data" h="1" sd="1" m="1" x="2512"/>
        <item t="data" h="1" sd="1" m="1" x="4913"/>
        <item t="data" h="1" sd="1" m="1" x="6546"/>
        <item t="data" h="1" sd="1" m="1" x="6394"/>
        <item t="data" h="1" sd="1" m="1" x="1619"/>
        <item t="data" h="1" sd="1" m="1" x="6143"/>
        <item t="data" h="1" sd="1" m="1" x="7191"/>
        <item t="data" h="1" sd="1" m="1" x="3156"/>
        <item t="data" h="1" sd="1" m="1" x="7620"/>
        <item t="data" h="1" sd="1" m="1" x="3433"/>
        <item t="data" h="1" sd="1" m="1" x="546"/>
        <item t="data" h="1" sd="1" x="284"/>
        <item t="data" h="1" sd="1" m="1" x="2083"/>
        <item t="data" h="1" sd="1" m="1" x="6411"/>
        <item t="data" h="1" sd="1" m="1" x="6412"/>
        <item t="data" h="1" sd="1" m="1" x="6142"/>
        <item t="data" h="1" sd="1" m="1" x="6413"/>
        <item t="data" h="1" sd="1" m="1" x="6907"/>
        <item t="data" h="1" sd="1" m="1" x="4522"/>
        <item t="data" h="1" sd="1" m="1" x="3426"/>
        <item t="data" h="1" sd="1" m="1" x="1484"/>
        <item t="data" h="1" sd="1" x="289"/>
        <item t="data" h="1" sd="1" m="1" x="3810"/>
        <item t="data" h="1" sd="1" m="1" x="483"/>
        <item t="data" h="1" sd="1" x="267"/>
        <item t="data" h="1" sd="1" m="1" x="3792"/>
        <item t="data" h="1" sd="1" m="1" x="3242"/>
        <item t="data" h="1" sd="1" m="1" x="3804"/>
        <item t="data" h="1" sd="1" m="1" x="3077"/>
        <item t="data" h="1" sd="1" m="1" x="5926"/>
        <item t="data" h="1" sd="1" m="1" x="1567"/>
        <item t="data" h="1" sd="1" m="1" x="5256"/>
        <item t="data" h="1" sd="1" m="1" x="4248"/>
        <item t="data" h="1" sd="1" m="1" x="5386"/>
        <item t="data" h="1" sd="1" m="1" x="750"/>
        <item t="data" h="1" sd="1" m="1" x="6805"/>
        <item t="data" h="1" sd="1" m="1" x="7598"/>
        <item t="data" h="1" sd="1" m="1" x="5796"/>
        <item t="data" h="1" sd="1" m="1" x="1828"/>
        <item t="data" h="1" sd="1" m="1" x="1835"/>
        <item t="data" h="1" sd="1" m="1" x="7995"/>
        <item t="data" h="1" sd="1" m="1" x="3934"/>
        <item t="data" h="1" sd="1" x="50"/>
        <item t="data" h="1" sd="1" m="1" x="4818"/>
        <item t="data" h="1" sd="1" m="1" x="5745"/>
        <item t="data" h="1" sd="1" m="1" x="2842"/>
        <item t="data" h="1" sd="1" m="1" x="3291"/>
        <item t="data" h="1" sd="1" m="1" x="6175"/>
        <item t="data" h="1" sd="1" m="1" x="5185"/>
        <item t="data" h="1" sd="1" m="1" x="5184"/>
        <item t="data" h="1" sd="1" m="1" x="7775"/>
        <item t="data" h="1" sd="1" m="1" x="7302"/>
        <item t="data" h="1" sd="1" m="1" x="7999"/>
        <item t="data" h="1" sd="1" m="1" x="7705"/>
        <item t="data" h="1" sd="1" m="1" x="7893"/>
        <item t="data" h="1" sd="1" m="1" x="7830"/>
        <item t="data" h="1" sd="1" m="1" x="4779"/>
        <item t="data" h="1" sd="1" m="1" x="7909"/>
        <item t="data" h="1" sd="1" m="1" x="1110"/>
        <item t="data" h="1" sd="1" m="1" x="4745"/>
        <item t="data" h="1" sd="1" m="1" x="1272"/>
        <item t="data" h="1" sd="1" m="1" x="4742"/>
        <item t="data" h="1" sd="1" m="1" x="1081"/>
        <item t="data" h="1" sd="1" m="1" x="7774"/>
        <item t="data" h="1" sd="1" m="1" x="7973"/>
        <item t="data" h="1" sd="1" m="1" x="7865"/>
        <item t="data" h="1" sd="1" m="1" x="7874"/>
        <item t="data" h="1" sd="1" m="1" x="6829"/>
        <item t="data" h="1" sd="1" m="1" x="5884"/>
        <item t="data" h="1" sd="1" m="1" x="5927"/>
        <item t="data" h="1" sd="1" x="90"/>
        <item t="data" h="1" sd="1" m="1" x="6317"/>
        <item t="data" h="1" sd="1" m="1" x="1334"/>
        <item t="data" h="1" sd="1" m="1" x="893"/>
        <item t="data" h="1" sd="1" m="1" x="6186"/>
        <item t="data" h="1" sd="1" m="1" x="6330"/>
        <item t="data" h="1" sd="1" m="1" x="7515"/>
        <item t="data" h="1" sd="1" m="1" x="7967"/>
        <item t="data" h="1" sd="1" m="1" x="7773"/>
        <item t="data" h="1" sd="1" m="1" x="5183"/>
        <item t="data" h="1" sd="1" m="1" x="7868"/>
        <item t="data" h="1" sd="1" m="1" x="7869"/>
        <item t="data" h="1" sd="1" m="1" x="6236"/>
        <item t="data" h="1" sd="1" m="1" x="1669"/>
        <item t="data" h="1" sd="1" m="1" x="3921"/>
        <item t="data" h="1" sd="1" m="1" x="4908"/>
        <item t="data" h="1" sd="1" m="1" x="7779"/>
        <item t="data" h="1" sd="1" m="1" x="7906"/>
        <item t="data" h="1" sd="1" m="1" x="7772"/>
        <item t="data" h="1" sd="1" m="1" x="7533"/>
        <item t="data" h="1" sd="1" m="1" x="7948"/>
        <item t="data" h="1" sd="1" m="1" x="7737"/>
        <item t="data" h="1" sd="1" m="1" x="2765"/>
        <item t="data" h="1" sd="1" m="1" x="2764"/>
        <item t="data" h="1" sd="1" m="1" x="3434"/>
        <item t="data" h="1" sd="1" m="1" x="7867"/>
        <item t="data" h="1" sd="1" m="1" x="7978"/>
        <item t="data" h="1" sd="1" m="1" x="7982"/>
        <item t="data" h="1" sd="1" m="1" x="7983"/>
        <item t="data" h="1" sd="1" m="1" x="7984"/>
        <item t="data" h="1" sd="1" m="1" x="1628"/>
        <item t="data" h="1" sd="1" m="1" x="5585"/>
        <item t="data" h="1" sd="1" x="405"/>
        <item t="data" h="1" sd="1" m="1" x="6830"/>
        <item t="data" h="1" sd="1" m="1" x="1978"/>
        <item t="data" h="1" sd="1" m="1" x="7783"/>
        <item t="data" h="1" sd="1" m="1" x="7562"/>
        <item t="data" h="1" sd="1" m="1" x="7789"/>
        <item t="data" h="1" sd="1" m="1" x="7790"/>
        <item t="data" h="1" sd="1" m="1" x="7793"/>
        <item t="data" h="1" sd="1" m="1" x="7945"/>
        <item t="data" h="1" sd="1" m="1" x="875"/>
        <item t="data" h="1" sd="1" m="1" x="453"/>
        <item t="data" h="1" sd="1" m="1" x="7627"/>
        <item t="data" h="1" sd="1" m="1" x="7242"/>
        <item t="data" h="1" sd="1" m="1" x="721"/>
        <item t="data" h="1" sd="1" m="1" x="7807"/>
        <item t="data" h="1" sd="1" m="1" x="7966"/>
        <item t="data" h="1" sd="1" m="1" x="7972"/>
        <item t="data" h="1" sd="1" m="1" x="6828"/>
        <item t="data" h="1" sd="1" m="1" x="7841"/>
        <item t="data" h="1" sd="1" m="1" x="7872"/>
        <item t="data" h="1" sd="1" m="1" x="7876"/>
        <item t="data" h="1" sd="1" m="1" x="5613"/>
        <item t="data" h="1" sd="1" m="1" x="7769"/>
        <item t="data" h="1" sd="1" m="1" x="5760"/>
        <item t="data" h="1" sd="1" m="1" x="3895"/>
        <item t="data" h="1" sd="1" m="1" x="7891"/>
        <item t="data" h="1" sd="1" m="1" x="7322"/>
        <item t="data" h="1" sd="1" m="1" x="7791"/>
        <item t="data" h="1" sd="1" m="1" x="7942"/>
        <item t="data" h="1" sd="1" m="1" x="7736"/>
        <item t="data" h="1" sd="1" m="1" x="7798"/>
        <item t="data" h="1" sd="1" m="1" x="7949"/>
        <item t="data" h="1" sd="1" m="1" x="2678"/>
        <item t="data" h="1" sd="1" m="1" x="7806"/>
        <item t="data" h="1" sd="1" m="1" x="7822"/>
        <item t="data" h="1" sd="1" m="1" x="6388"/>
        <item t="data" h="1" sd="1" m="1" x="7823"/>
        <item t="data" h="1" sd="1" m="1" x="7964"/>
        <item t="data" h="1" sd="1" m="1" x="2794"/>
        <item t="data" h="1" sd="1" m="1" x="7768"/>
        <item t="data" h="1" sd="1" m="1" x="7971"/>
        <item t="data" h="1" sd="1" m="1" x="3673"/>
        <item t="data" h="1" sd="1" m="1" x="7843"/>
        <item t="data" h="1" sd="1" m="1" x="7846"/>
        <item t="data" h="1" sd="1" m="1" x="5675"/>
        <item t="data" h="1" sd="1" m="1" x="7976"/>
        <item t="data" h="1" sd="1" m="1" x="7875"/>
        <item t="data" h="1" sd="1" m="1" x="7993"/>
        <item t="data" h="1" sd="1" m="1" x="7992"/>
        <item t="data" h="1" sd="1" m="1" x="3515"/>
        <item t="data" h="1" sd="1" m="1" x="3870"/>
        <item t="data" h="1" sd="1" m="1" x="2982"/>
        <item t="data" h="1" sd="1" m="1" x="7888"/>
        <item t="data" h="1" sd="1" m="1" x="7887"/>
        <item t="data" h="1" sd="1" x="188"/>
        <item t="data" h="1" sd="1" m="1" x="7892"/>
        <item t="data" h="1" sd="1" m="1" x="7767"/>
        <item t="data" h="1" sd="1" m="1" x="7766"/>
        <item t="data" h="1" sd="1" m="1" x="7907"/>
        <item t="data" h="1" sd="1" m="1" x="7704"/>
        <item t="data" h="1" sd="1" m="1" x="6376"/>
        <item t="data" h="1" sd="1" m="1" x="7782"/>
        <item t="data" h="1" sd="1" m="1" x="7788"/>
        <item t="data" h="1" sd="1" m="1" x="7914"/>
        <item t="data" h="1" sd="1" m="1" x="7915"/>
        <item t="data" h="1" sd="1" m="1" x="7916"/>
        <item t="data" h="1" sd="1" m="1" x="7917"/>
        <item t="data" h="1" sd="1" m="1" x="7918"/>
        <item t="data" h="1" sd="1" m="1" x="6324"/>
        <item t="data" h="1" sd="1" m="1" x="7920"/>
        <item t="data" h="1" sd="1" m="1" x="7921"/>
        <item t="data" h="1" sd="1" m="1" x="7922"/>
        <item t="data" h="1" sd="1" m="1" x="7923"/>
        <item t="data" h="1" sd="1" m="1" x="7924"/>
        <item t="data" h="1" sd="1" m="1" x="1050"/>
        <item t="data" h="1" sd="1" m="1" x="7925"/>
        <item t="data" h="1" sd="1" m="1" x="7926"/>
        <item t="data" h="1" sd="1" m="1" x="7927"/>
        <item t="data" h="1" sd="1" m="1" x="7928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937"/>
        <item t="data" h="1" sd="1" m="1" x="7938"/>
        <item t="data" h="1" sd="1" m="1" x="7939"/>
        <item t="data" h="1" sd="1" m="1" x="7940"/>
        <item t="data" h="1" sd="1" m="1" x="7941"/>
        <item t="data" h="1" sd="1" m="1" x="7943"/>
        <item t="data" h="1" sd="1" m="1" x="7944"/>
        <item t="data" h="1" sd="1" m="1" x="5843"/>
        <item t="data" h="1" sd="1" m="1" x="7800"/>
        <item t="data" h="1" sd="1" m="1" x="7738"/>
        <item t="data" h="1" sd="1" m="1" x="7745"/>
        <item t="data" h="1" sd="1" m="1" x="7946"/>
        <item t="data" h="1" sd="1" m="1" x="7947"/>
        <item t="data" h="1" sd="1" m="1" x="6635"/>
        <item t="data" h="1" sd="1" m="1" x="3266"/>
        <item t="data" h="1" sd="1" m="1" x="7950"/>
        <item t="data" h="1" sd="1" m="1" x="7951"/>
        <item t="data" h="1" sd="1" m="1" x="7952"/>
        <item t="data" h="1" sd="1" m="1" x="7953"/>
        <item t="data" h="1" sd="1" m="1" x="7954"/>
        <item t="data" h="1" sd="1" m="1" x="7955"/>
        <item t="data" h="1" sd="1" m="1" x="7956"/>
        <item t="data" h="1" sd="1" m="1" x="2840"/>
        <item t="data" h="1" sd="1" m="1" x="7805"/>
        <item t="data" h="1" sd="1" m="1" x="7957"/>
        <item t="data" h="1" sd="1" m="1" x="7801"/>
        <item t="data" h="1" sd="1" m="1" x="7958"/>
        <item t="data" h="1" sd="1" m="1" x="7802"/>
        <item t="data" h="1" sd="1" m="1" x="7959"/>
        <item t="data" h="1" sd="1" m="1" x="7960"/>
        <item t="data" h="1" sd="1" m="1" x="7961"/>
        <item t="data" h="1" sd="1" m="1" x="7962"/>
        <item t="data" h="1" sd="1" m="1" x="7963"/>
        <item t="data" h="1" sd="1" m="1" x="7803"/>
        <item t="data" h="1" sd="1" m="1" x="7804"/>
        <item t="data" h="1" sd="1" m="1" x="7584"/>
        <item t="data" h="1" sd="1" m="1" x="5925"/>
        <item t="data" h="1" sd="1" m="1" x="5923"/>
        <item t="data" h="1" sd="1" m="1" x="7739"/>
        <item t="data" h="1" sd="1" m="1" x="5123"/>
        <item t="data" h="1" sd="1" m="1" x="7965"/>
        <item t="data" h="1" sd="1" m="1" x="7968"/>
        <item t="data" h="1" sd="1" m="1" x="7969"/>
        <item t="data" h="1" sd="1" m="1" x="3006"/>
        <item t="data" h="1" sd="1" m="1" x="7836"/>
        <item t="data" h="1" sd="1" m="1" x="7837"/>
        <item t="data" h="1" sd="1" m="1" x="7838"/>
        <item t="data" h="1" sd="1" m="1" x="7839"/>
        <item t="data" h="1" sd="1" m="1" x="6831"/>
        <item t="data" h="1" sd="1" m="1" x="7974"/>
        <item t="data" h="1" sd="1" m="1" x="7844"/>
        <item t="data" h="1" sd="1" m="1" x="7975"/>
        <item t="data" h="1" sd="1" m="1" x="7850"/>
        <item t="data" h="1" sd="1" m="1" x="7851"/>
        <item t="data" h="1" sd="1" m="1" x="7852"/>
        <item t="data" h="1" sd="1" m="1" x="7853"/>
        <item t="data" h="1" sd="1" m="1" x="7863"/>
        <item t="data" h="1" sd="1" m="1" x="7437"/>
        <item t="data" h="1" sd="1" m="1" x="7866"/>
        <item t="data" h="1" sd="1" m="1" x="7979"/>
        <item t="data" h="1" sd="1" m="1" x="7985"/>
        <item t="data" h="1" sd="1" m="1" x="7986"/>
        <item t="data" h="1" sd="1" m="1" x="7987"/>
        <item t="data" h="1" sd="1" m="1" x="7991"/>
        <item t="data" h="1" sd="1" m="1" x="5161"/>
        <item t="data" h="1" sd="1" m="1" x="7994"/>
        <item t="data" h="1" sd="1" m="1" x="7881"/>
        <item t="data" h="1" sd="1" m="1" x="6457"/>
        <item t="data" h="1" sd="1" m="1" x="7885"/>
        <item t="data" h="1" sd="1" m="1" x="7309"/>
        <item t="data" h="1" sd="1" m="1" x="5876"/>
        <item t="data" h="1" sd="1" m="1" x="7996"/>
        <item t="data" h="1" sd="1" m="1" x="7997"/>
        <item t="data" h="1" sd="1" m="1" x="715"/>
        <item t="data" h="1" sd="1" m="1" x="7894"/>
        <item t="data" h="1" sd="1" m="1" x="7895"/>
        <item t="data" h="1" sd="1" m="1" x="7899"/>
        <item t="data" h="1" sd="1" m="1" x="7905"/>
        <item t="data" h="1" sd="1" m="1" x="7901"/>
        <item t="data" h="1" sd="1" m="1" x="7902"/>
        <item t="data" h="1" sd="1" m="1" x="7903"/>
        <item t="data" h="1" sd="1" m="1" x="7904"/>
        <item t="data" h="1" sd="1" m="1" x="7614"/>
        <item t="data" h="1" sd="1" m="1" x="7471"/>
        <item t="data" h="1" sd="1" m="1" x="7912"/>
        <item t="data" h="1" sd="1" m="1" x="7913"/>
        <item t="data" h="1" sd="1" m="1" x="7752"/>
        <item t="data" h="1" sd="1" m="1" x="7780"/>
        <item t="data" h="1" sd="1" m="1" x="7781"/>
        <item t="data" h="1" sd="1" m="1" x="7335"/>
        <item t="data" h="1" sd="1" m="1" x="7784"/>
        <item t="data" h="1" sd="1" m="1" x="7785"/>
        <item t="data" h="1" sd="1" m="1" x="7786"/>
        <item t="data" h="1" sd="1" m="1" x="7770"/>
        <item t="data" h="1" sd="1" m="1" x="7792"/>
        <item t="data" h="1" sd="1" m="1" x="7750"/>
        <item t="data" h="1" sd="1" m="1" x="7795"/>
        <item t="data" h="1" sd="1" m="1" x="7796"/>
        <item t="data" h="1" sd="1" m="1" x="7797"/>
        <item t="data" h="1" sd="1" m="1" x="7749"/>
        <item t="data" h="1" sd="1" m="1" x="7799"/>
        <item t="data" h="1" sd="1" m="1" x="7765"/>
        <item t="data" h="1" sd="1" m="1" x="7808"/>
        <item t="data" h="1" sd="1" m="1" x="7809"/>
        <item t="data" h="1" sd="1" m="1" x="7810"/>
        <item t="data" h="1" sd="1" m="1" x="7811"/>
        <item t="data" h="1" sd="1" m="1" x="3602"/>
        <item t="data" h="1" sd="1" m="1" x="7812"/>
        <item t="data" h="1" sd="1" m="1" x="7813"/>
        <item t="data" h="1" sd="1" m="1" x="7814"/>
        <item t="data" h="1" sd="1" m="1" x="7815"/>
        <item t="data" h="1" sd="1" m="1" x="7816"/>
        <item t="data" h="1" sd="1" m="1" x="7817"/>
        <item t="data" h="1" sd="1" m="1" x="7818"/>
        <item t="data" h="1" sd="1" m="1" x="7819"/>
        <item t="data" h="1" sd="1" m="1" x="7820"/>
        <item t="data" h="1" sd="1" m="1" x="7757"/>
        <item t="data" h="1" sd="1" m="1" x="7821"/>
        <item t="data" h="1" sd="1" m="1" x="7824"/>
        <item t="data" h="1" sd="1" m="1" x="7776"/>
        <item t="data" h="1" sd="1" m="1" x="5564"/>
        <item t="data" h="1" sd="1" m="1" x="5565"/>
        <item t="data" h="1" sd="1" m="1" x="5563"/>
        <item t="data" h="1" sd="1" m="1" x="7826"/>
        <item t="data" h="1" sd="1" m="1" x="7827"/>
        <item t="data" h="1" sd="1" m="1" x="7828"/>
        <item t="data" h="1" sd="1" m="1" x="7829"/>
        <item t="data" h="1" sd="1" m="1" x="7759"/>
        <item t="data" h="1" sd="1" m="1" x="7758"/>
        <item t="data" h="1" sd="1" m="1" x="7762"/>
        <item t="data" h="1" sd="1" m="1" x="3010"/>
        <item t="data" h="1" sd="1" m="1" x="7834"/>
        <item t="data" h="1" sd="1" m="1" x="7748"/>
        <item t="data" h="1" sd="1" m="1" x="6017"/>
        <item t="data" h="1" sd="1" m="1" x="7835"/>
        <item t="data" h="1" sd="1" m="1" x="7840"/>
        <item t="data" h="1" sd="1" m="1" x="6381"/>
        <item t="data" h="1" sd="1" m="1" x="7842"/>
        <item t="data" h="1" sd="1" m="1" x="5182"/>
        <item t="data" h="1" sd="1" m="1" x="7292"/>
        <item t="data" h="1" sd="1" m="1" x="7845"/>
        <item t="data" h="1" sd="1" m="1" x="7847"/>
        <item t="data" h="1" sd="1" m="1" x="7848"/>
        <item t="data" h="1" sd="1" m="1" x="7849"/>
        <item t="data" h="1" sd="1" m="1" x="7854"/>
        <item t="data" h="1" sd="1" m="1" x="7855"/>
        <item t="data" h="1" sd="1" m="1" x="7856"/>
        <item t="data" h="1" sd="1" m="1" x="7601"/>
        <item t="data" h="1" sd="1" m="1" x="7858"/>
        <item t="data" h="1" sd="1" m="1" x="7603"/>
        <item t="data" h="1" sd="1" m="1" x="2072"/>
        <item t="data" h="1" sd="1" m="1" x="7873"/>
        <item t="data" h="1" sd="1" m="1" x="7877"/>
        <item t="data" h="1" sd="1" m="1" x="7879"/>
        <item t="data" h="1" sd="1" m="1" x="2713"/>
        <item t="data" h="1" sd="1" m="1" x="7880"/>
        <item t="data" h="1" sd="1" m="1" x="7420"/>
        <item t="data" h="1" sd="1" m="1" x="7882"/>
        <item t="data" h="1" sd="1" m="1" x="7883"/>
        <item t="data" h="1" sd="1" m="1" x="7764"/>
        <item t="data" h="1" sd="1" m="1" x="7763"/>
        <item t="data" h="1" sd="1" m="1" x="7686"/>
        <item t="data" h="1" sd="1" m="1" x="6114"/>
        <item t="data" h="1" sd="1" m="1" x="7307"/>
        <item t="data" h="1" sd="1" m="1" x="7884"/>
        <item t="data" h="1" sd="1" m="1" x="7886"/>
        <item t="data" h="1" sd="1" m="1" x="7304"/>
        <item t="data" h="1" sd="1" m="1" x="5877"/>
        <item t="data" h="1" sd="1" m="1" x="7890"/>
        <item t="data" h="1" sd="1" m="1" x="7609"/>
        <item t="data" h="1" sd="1" m="1" x="7610"/>
        <item t="data" h="1" sd="1" m="1" x="7751"/>
        <item t="data" h="1" sd="1" m="1" x="6961"/>
        <item t="data" h="1" sd="1" m="1" x="7896"/>
        <item t="data" h="1" sd="1" m="1" x="7897"/>
        <item t="data" h="1" sd="1" m="1" x="7898"/>
        <item t="data" h="1" sd="1" m="1" x="7440"/>
        <item t="data" h="1" sd="1" m="1" x="7900"/>
        <item t="data" h="1" sd="1" m="1" x="7458"/>
        <item t="data" h="1" sd="1" m="1" x="7561"/>
        <item t="data" h="1" sd="1" m="1" x="7560"/>
        <item t="data" h="1" sd="1" m="1" x="7910"/>
        <item t="data" h="1" sd="1" m="1" x="7911"/>
        <item t="data" h="1" sd="1" m="1" x="6609"/>
        <item t="data" h="1" sd="1" m="1" x="7333"/>
        <item t="data" h="1" sd="1" m="1" x="7728"/>
        <item t="data" h="1" sd="1" m="1" x="7717"/>
        <item t="data" h="1" sd="1" m="1" x="7718"/>
        <item t="data" h="1" sd="1" m="1" x="7231"/>
        <item t="data" h="1" sd="1" m="1" x="6488"/>
        <item t="data" h="1" sd="1" m="1" x="7735"/>
        <item t="data" h="1" sd="1" m="1" x="7761"/>
        <item t="data" h="1" sd="1" m="1" x="7726"/>
        <item t="data" h="1" sd="1" m="1" x="7746"/>
        <item t="data" h="1" sd="1" m="1" x="7479"/>
        <item t="data" h="1" sd="1" m="1" x="7727"/>
        <item t="data" h="1" sd="1" m="1" x="7721"/>
        <item t="data" h="1" sd="1" m="1" x="7723"/>
        <item t="data" h="1" sd="1" m="1" x="7747"/>
        <item t="data" h="1" sd="1" m="1" x="7733"/>
        <item t="data" h="1" sd="1" m="1" x="7643"/>
        <item t="data" h="1" sd="1" m="1" x="7644"/>
        <item t="data" h="1" sd="1" m="1" x="7729"/>
        <item t="data" h="1" sd="1" m="1" x="7719"/>
        <item t="data" h="1" sd="1" m="1" x="7640"/>
        <item t="data" h="1" sd="1" m="1" x="7722"/>
        <item t="data" h="1" sd="1" m="1" x="7724"/>
        <item t="data" h="1" sd="1" m="1" x="7760"/>
        <item t="data" h="1" sd="1" m="1" x="7659"/>
        <item t="data" h="1" sd="1" m="1" x="2463"/>
        <item t="data" h="1" sd="1" m="1" x="7599"/>
        <item t="data" h="1" sd="1" m="1" x="6956"/>
        <item t="data" h="1" sd="1" m="1" x="6957"/>
        <item t="data" h="1" sd="1" m="1" x="7660"/>
        <item t="data" h="1" sd="1" m="1" x="7661"/>
        <item t="data" h="1" sd="1" m="1" x="6963"/>
        <item t="data" h="1" sd="1" m="1" x="7665"/>
        <item t="data" h="1" sd="1" m="1" x="7734"/>
        <item t="data" h="1" sd="1" m="1" x="7725"/>
        <item t="data" h="1" sd="1" m="1" x="7741"/>
        <item t="data" h="1" sd="1" m="1" x="7720"/>
        <item t="data" h="1" sd="1" m="1" x="7743"/>
        <item t="data" h="1" sd="1" m="1" x="7742"/>
        <item t="data" h="1" sd="1" m="1" x="3456"/>
        <item t="data" h="1" sd="1" m="1" x="7676"/>
        <item t="data" h="1" sd="1" m="1" x="7675"/>
        <item t="data" h="1" sd="1" m="1" x="7677"/>
        <item t="data" h="1" sd="1" m="1" x="7558"/>
        <item t="data" h="1" sd="1" m="1" x="7740"/>
        <item t="data" h="1" sd="1" m="1" x="7732"/>
        <item t="data" h="1" sd="1" m="1" x="7777"/>
        <item t="data" h="1" sd="1" m="1" x="7682"/>
        <item t="data" h="1" sd="1" m="1" x="5732"/>
        <item t="data" h="1" sd="1" m="1" x="5733"/>
        <item t="data" h="1" sd="1" m="1" x="7194"/>
        <item t="data" h="1" sd="1" m="1" x="1720"/>
        <item t="data" h="1" sd="1" m="1" x="7687"/>
        <item t="data" h="1" sd="1" m="1" x="7753"/>
        <item t="data" h="1" sd="1" m="1" x="6212"/>
        <item t="data" h="1" sd="1" m="1" x="6113"/>
        <item t="data" h="1" sd="1" m="1" x="7185"/>
        <item t="data" h="1" sd="1" m="1" x="6959"/>
        <item t="data" h="1" sd="1" m="1" x="5797"/>
        <item t="data" h="1" sd="1" m="1" x="6960"/>
        <item t="data" h="1" sd="1" m="1" x="7690"/>
        <item t="data" h="1" sd="1" m="1" x="7691"/>
        <item t="data" h="1" sd="1" m="1" x="7692"/>
        <item t="data" h="1" sd="1" m="1" x="7694"/>
        <item t="data" h="1" sd="1" m="1" x="7695"/>
        <item t="data" h="1" sd="1" m="1" x="7453"/>
        <item t="data" h="1" sd="1" m="1" x="7700"/>
        <item t="data" h="1" sd="1" m="1" x="7701"/>
        <item t="data" h="1" sd="1" m="1" x="7702"/>
        <item t="data" h="1" sd="1" m="1" x="7703"/>
        <item t="data" h="1" sd="1" m="1" x="7559"/>
        <item t="data" h="1" sd="1" m="1" x="7755"/>
        <item t="data" h="1" sd="1" m="1" x="7754"/>
        <item t="data" h="1" sd="1" m="1" x="7706"/>
        <item t="data" h="1" sd="1" m="1" x="7707"/>
        <item t="data" h="1" sd="1" m="1" x="7708"/>
        <item t="data" h="1" sd="1" m="1" x="7731"/>
        <item t="data" h="1" sd="1" m="1" x="7730"/>
        <item t="data" h="1" sd="1" m="1" x="7744"/>
        <item t="data" h="1" sd="1" m="1" x="7710"/>
        <item t="data" h="1" sd="1" m="1" x="7712"/>
        <item t="data" h="1" sd="1" m="1" x="7713"/>
        <item t="data" h="1" sd="1" m="1" x="6618"/>
        <item t="data" h="1" sd="1" m="1" x="7714"/>
        <item t="data" h="1" sd="1" m="1" x="7715"/>
        <item t="data" h="1" sd="1" m="1" x="7467"/>
        <item t="data" h="1" sd="1" m="1" x="7474"/>
        <item t="data" h="1" sd="1" m="1" x="7711"/>
        <item t="data" h="1" sd="1" m="1" x="7616"/>
        <item t="data" h="1" sd="1" m="1" x="7617"/>
        <item t="data" h="1" sd="1" m="1" x="7618"/>
        <item t="data" h="1" sd="1" m="1" x="7619"/>
        <item t="data" h="1" sd="1" m="1" x="7621"/>
        <item t="data" h="1" sd="1" m="1" x="5523"/>
        <item t="data" h="1" sd="1" m="1" x="5524"/>
        <item t="data" h="1" sd="1" m="1" x="7623"/>
        <item t="data" h="1" sd="1" m="1" x="7624"/>
        <item t="data" h="1" sd="1" m="1" x="7625"/>
        <item t="data" h="1" sd="1" m="1" x="7626"/>
        <item t="data" h="1" sd="1" m="1" x="7628"/>
        <item t="data" h="1" sd="1" m="1" x="7577"/>
        <item t="data" h="1" sd="1" m="1" x="7578"/>
        <item t="data" h="1" sd="1" m="1" x="7630"/>
        <item t="data" h="1" sd="1" m="1" x="7631"/>
        <item t="data" h="1" sd="1" m="1" x="7632"/>
        <item t="data" h="1" sd="1" m="1" x="7633"/>
        <item t="data" h="1" sd="1" m="1" x="7344"/>
        <item t="data" h="1" sd="1" m="1" x="7244"/>
        <item t="data" h="1" sd="1" m="1" x="7634"/>
        <item t="data" h="1" sd="1" m="1" x="7635"/>
        <item t="data" h="1" sd="1" m="1" x="7636"/>
        <item t="data" h="1" sd="1" m="1" x="7638"/>
        <item t="data" h="1" sd="1" m="1" x="7639"/>
        <item t="data" h="1" sd="1" m="1" x="7243"/>
        <item t="data" h="1" sd="1" m="1" x="7641"/>
        <item t="data" h="1" sd="1" m="1" x="7642"/>
        <item t="data" h="1" sd="1" m="1" x="7645"/>
        <item t="data" h="1" sd="1" m="1" x="7646"/>
        <item t="data" h="1" sd="1" m="1" x="7647"/>
        <item t="data" h="1" sd="1" m="1" x="7573"/>
        <item t="data" h="1" sd="1" m="1" x="7574"/>
        <item t="data" h="1" sd="1" m="1" x="7648"/>
        <item t="data" h="1" sd="1" m="1" x="7245"/>
        <item t="data" h="1" sd="1" m="1" x="7649"/>
        <item t="data" h="1" sd="1" m="1" x="7650"/>
        <item t="data" h="1" sd="1" m="1" x="7651"/>
        <item t="data" h="1" sd="1" m="1" x="3090"/>
        <item t="data" h="1" sd="1" m="1" x="7653"/>
        <item t="data" h="1" sd="1" m="1" x="7656"/>
        <item t="data" h="1" sd="1" m="1" x="7657"/>
        <item t="data" h="1" sd="1" m="1" x="7658"/>
        <item t="data" h="1" sd="1" m="1" x="6969"/>
        <item t="data" h="1" sd="1" m="1" x="7662"/>
        <item t="data" h="1" sd="1" m="1" x="7663"/>
        <item t="data" h="1" sd="1" m="1" x="7664"/>
        <item t="data" h="1" sd="1" m="1" x="7402"/>
        <item t="data" h="1" sd="1" m="1" x="7556"/>
        <item t="data" h="1" sd="1" m="1" x="7666"/>
        <item t="data" h="1" sd="1" m="1" x="7667"/>
        <item t="data" h="1" sd="1" m="1" x="7668"/>
        <item t="data" h="1" sd="1" m="1" x="7669"/>
        <item t="data" h="1" sd="1" m="1" x="7670"/>
        <item t="data" h="1" sd="1" m="1" x="7671"/>
        <item t="data" h="1" sd="1" m="1" x="7672"/>
        <item t="data" h="1" sd="1" m="1" x="7673"/>
        <item t="data" h="1" sd="1" m="1" x="7674"/>
        <item t="data" h="1" sd="1" m="1" x="5685"/>
        <item t="data" h="1" sd="1" m="1" x="5686"/>
        <item t="data" h="1" sd="1" m="1" x="7600"/>
        <item t="data" h="1" sd="1" m="1" x="1969"/>
        <item t="data" h="1" sd="1" m="1" x="5586"/>
        <item t="data" h="1" sd="1" m="1" x="1868"/>
        <item t="data" h="1" sd="1" m="1" x="7678"/>
        <item t="data" h="1" sd="1" m="1" x="7679"/>
        <item t="data" h="1" sd="1" m="1" x="7680"/>
        <item t="data" h="1" sd="1" m="1" x="7681"/>
        <item t="data" h="1" sd="1" m="1" x="7606"/>
        <item t="data" h="1" sd="1" m="1" x="7416"/>
        <item t="data" h="1" sd="1" m="1" x="7419"/>
        <item t="data" h="1" sd="1" m="1" x="5730"/>
        <item t="data" h="1" sd="1" m="1" x="6669"/>
        <item t="data" h="1" sd="1" m="1" x="7683"/>
        <item t="data" h="1" sd="1" m="1" x="7684"/>
        <item t="data" h="1" sd="1" m="1" x="7685"/>
        <item t="data" h="1" sd="1" m="1" x="4867"/>
        <item t="data" h="1" sd="1" m="1" x="7303"/>
        <item t="data" h="1" sd="1" m="1" x="7557"/>
        <item t="data" h="1" sd="1" m="1" x="7186"/>
        <item t="data" h="1" sd="1" m="1" x="6208"/>
        <item t="data" h="1" sd="1" m="1" x="6112"/>
        <item t="data" h="1" sd="1" m="1" x="6418"/>
        <item t="data" h="1" sd="1" m="1" x="7313"/>
        <item t="data" h="1" sd="1" m="1" x="7688"/>
        <item t="data" h="1" sd="1" m="1" x="7689"/>
        <item t="data" h="1" sd="1" m="1" x="607"/>
        <item t="data" h="1" sd="1" x="394"/>
        <item t="data" h="1" sd="1" m="1" x="6973"/>
        <item t="data" h="1" sd="1" m="1" x="7693"/>
        <item t="data" h="1" sd="1" m="1" x="7696"/>
        <item t="data" h="1" sd="1" m="1" x="7613"/>
        <item t="data" h="1" sd="1" m="1" x="7697"/>
        <item t="data" h="1" sd="1" m="1" x="7698"/>
        <item t="data" h="1" sd="1" m="1" x="7699"/>
        <item t="data" h="1" sd="1" m="1" x="7325"/>
        <item t="data" h="1" sd="1" m="1" x="7709"/>
        <item t="data" h="1" sd="1" m="1" x="5547"/>
        <item t="data" h="1" sd="1" m="1" x="6029"/>
        <item t="data" h="1" sd="1" m="1" x="6030"/>
        <item t="data" h="1" sd="1" m="1" x="7716"/>
        <item t="data" h="1" sd="1" m="1" x="7563"/>
        <item t="data" h="1" sd="1" m="1" x="7564"/>
        <item t="data" h="1" sd="1" m="1" x="7337"/>
        <item t="data" h="1" sd="1" m="1" x="5180"/>
        <item t="data" h="1" sd="1" m="1" x="7565"/>
        <item t="data" h="1" sd="1" m="1" x="7566"/>
        <item t="data" h="1" sd="1" m="1" x="7567"/>
        <item t="data" h="1" sd="1" m="1" x="7568"/>
        <item t="data" h="1" sd="1" m="1" x="7569"/>
        <item t="data" h="1" sd="1" m="1" x="7570"/>
        <item t="data" h="1" sd="1" m="1" x="7571"/>
        <item t="data" h="1" sd="1" m="1" x="7246"/>
        <item t="data" h="1" sd="1" m="1" x="1518"/>
        <item t="data" h="1" sd="1" m="1" x="7572"/>
        <item t="data" h="1" sd="1" m="1" x="7575"/>
        <item t="data" h="1" sd="1" m="1" x="7576"/>
        <item t="data" h="1" sd="1" m="1" x="718"/>
        <item t="data" h="1" sd="1" m="1" x="7579"/>
        <item t="data" h="1" sd="1" m="1" x="7580"/>
        <item t="data" h="1" sd="1" m="1" x="7582"/>
        <item t="data" h="1" sd="1" m="1" x="7583"/>
        <item t="data" h="1" sd="1" m="1" x="7585"/>
        <item t="data" h="1" sd="1" m="1" x="7586"/>
        <item t="data" h="1" sd="1" m="1" x="7587"/>
        <item t="data" h="1" sd="1" m="1" x="7588"/>
        <item t="data" h="1" sd="1" m="1" x="4849"/>
        <item t="data" h="1" sd="1" m="1" x="7378"/>
        <item t="data" h="1" sd="1" m="1" x="7590"/>
        <item t="data" h="1" sd="1" m="1" x="7591"/>
        <item t="data" h="1" sd="1" m="1" x="7592"/>
        <item t="data" h="1" sd="1" m="1" x="7593"/>
        <item t="data" h="1" sd="1" m="1" x="7594"/>
        <item t="data" h="1" sd="1" m="1" x="7595"/>
        <item t="data" h="1" sd="1" m="1" x="7596"/>
        <item t="data" h="1" sd="1" m="1" x="7597"/>
        <item t="data" h="1" sd="1" m="1" x="5588"/>
        <item t="data" h="1" sd="1" m="1" x="6970"/>
        <item t="data" h="1" sd="1" m="1" x="4569"/>
        <item t="data" h="1" sd="1" m="1" x="7392"/>
        <item t="data" h="1" sd="1" m="1" x="7390"/>
        <item t="data" h="1" sd="1" m="1" x="7393"/>
        <item t="data" h="1" sd="1" m="1" x="7395"/>
        <item t="data" h="1" sd="1" m="1" x="7396"/>
        <item t="data" h="1" sd="1" m="1" x="4940"/>
        <item t="data" h="1" sd="1" m="1" x="5597"/>
        <item t="data" h="1" sd="1" m="1" x="7550"/>
        <item t="data" h="1" sd="1" m="1" x="7602"/>
        <item t="data" h="1" sd="1" m="1" x="7604"/>
        <item t="data" h="1" sd="1" m="1" x="7605"/>
        <item t="data" h="1" sd="1" m="1" x="7548"/>
        <item t="data" h="1" sd="1" m="1" x="7546"/>
        <item t="data" h="1" sd="1" m="1" x="7552"/>
        <item t="data" h="1" sd="1" m="1" x="7549"/>
        <item t="data" h="1" sd="1" m="1" x="7551"/>
        <item t="data" h="1" sd="1" x="371"/>
        <item t="data" h="1" sd="1" m="1" x="7413"/>
        <item t="data" h="1" sd="1" m="1" x="6900"/>
        <item t="data" h="1" sd="1" m="1" x="7415"/>
        <item t="data" h="1" sd="1" m="1" x="7417"/>
        <item t="data" h="1" sd="1" m="1" x="7547"/>
        <item t="data" h="1" sd="1" m="1" x="7424"/>
        <item t="data" h="1" sd="1" m="1" x="7607"/>
        <item t="data" h="1" sd="1" m="1" x="7481"/>
        <item t="data" h="1" sd="1" m="1" x="6127"/>
        <item t="data" h="1" sd="1" m="1" x="7187"/>
        <item t="data" h="1" sd="1" m="1" x="7553"/>
        <item t="data" h="1" sd="1" m="1" x="7192"/>
        <item t="data" h="1" sd="1" m="1" x="7431"/>
        <item t="data" h="1" sd="1" m="1" x="5774"/>
        <item t="data" h="1" sd="1" m="1" x="7608"/>
        <item t="data" h="1" sd="1" m="1" x="7611"/>
        <item t="data" h="1" sd="1" m="1" x="7612"/>
        <item t="data" h="1" sd="1" m="1" x="7442"/>
        <item t="data" h="1" sd="1" m="1" x="7443"/>
        <item t="data" h="1" sd="1" m="1" x="7444"/>
        <item t="data" h="1" sd="1" m="1" x="7445"/>
        <item t="data" h="1" sd="1" m="1" x="7449"/>
        <item t="data" h="1" sd="1" m="1" x="7450"/>
        <item t="data" h="1" sd="1" m="1" x="7454"/>
        <item t="data" h="1" sd="1" m="1" x="7545"/>
        <item t="data" h="1" sd="1" m="1" x="7554"/>
        <item t="data" h="1" sd="1" m="1" x="6295"/>
        <item t="data" h="1" sd="1" m="1" x="7615"/>
        <item t="data" h="1" sd="1" m="1" x="7461"/>
        <item t="data" h="1" sd="1" m="1" x="7473"/>
        <item t="data" h="1" sd="1" m="1" x="7544"/>
        <item t="data" h="1" sd="1" m="1" x="7472"/>
        <item t="data" h="1" sd="1" m="1" x="7465"/>
        <item t="data" h="1" sd="1" m="1" x="7466"/>
        <item t="data" h="1" sd="1" m="1" x="5834"/>
        <item t="data" h="1" sd="1" m="1" x="6286"/>
        <item t="data" h="1" sd="1" m="1" x="6016"/>
        <item t="data" h="1" sd="1" m="1" x="7470"/>
        <item t="data" h="1" sd="1" m="1" x="7527"/>
        <item t="data" h="1" sd="1" m="1" x="7342"/>
        <item t="data" h="1" sd="1" m="1" x="7341"/>
        <item t="data" h="1" sd="1" m="1" x="7478"/>
        <item t="data" h="1" sd="1" m="1" x="7338"/>
        <item t="data" h="1" sd="1" m="1" x="7339"/>
        <item t="data" h="1" sd="1" m="1" x="7340"/>
        <item t="data" h="1" sd="1" m="1" x="7537"/>
        <item t="data" h="1" sd="1" m="1" x="7482"/>
        <item t="data" h="1" sd="1" m="1" x="5484"/>
        <item t="data" h="1" sd="1" m="1" x="7534"/>
        <item t="data" h="1" sd="1" m="1" x="7543"/>
        <item t="data" h="1" sd="1" m="1" x="5772"/>
        <item t="data" h="1" sd="1" m="1" x="7353"/>
        <item t="data" h="1" sd="1" m="1" x="7485"/>
        <item t="data" h="1" sd="1" m="1" x="7484"/>
        <item t="data" h="1" sd="1" m="1" x="7483"/>
        <item t="data" h="1" sd="1" x="30"/>
        <item t="data" h="1" sd="1" m="1" x="7354"/>
        <item t="data" h="1" sd="1" m="1" x="7477"/>
        <item t="data" h="1" sd="1" m="1" x="7476"/>
        <item t="data" h="1" sd="1" m="1" x="7475"/>
        <item t="data" h="1" sd="1" m="1" x="7355"/>
        <item t="data" h="1" sd="1" m="1" x="7352"/>
        <item t="data" h="1" sd="1" m="1" x="7351"/>
        <item t="data" h="1" sd="1" m="1" x="3385"/>
        <item t="data" h="1" sd="1" m="1" x="7499"/>
        <item t="data" h="1" sd="1" m="1" x="7508"/>
        <item t="data" h="1" sd="1" m="1" x="7348"/>
        <item t="data" h="1" sd="1" m="1" x="7509"/>
        <item t="data" h="1" sd="1" m="1" x="7350"/>
        <item t="data" h="1" sd="1" m="1" x="6914"/>
        <item t="data" h="1" sd="1" m="1" x="7349"/>
        <item t="data" h="1" sd="1" m="1" x="7518"/>
        <item t="data" h="1" sd="1" m="1" x="7517"/>
        <item t="data" h="1" sd="1" m="1" x="7516"/>
        <item t="data" h="1" sd="1" m="1" x="7514"/>
        <item t="data" h="1" sd="1" m="1" x="7536"/>
        <item t="data" h="1" sd="1" m="1" x="7538"/>
        <item t="data" h="1" sd="1" m="1" x="7345"/>
        <item t="data" h="1" sd="1" m="1" x="7535"/>
        <item t="data" h="1" sd="1" m="1" x="7542"/>
        <item t="data" h="1" sd="1" m="1" x="7541"/>
        <item t="data" h="1" sd="1" m="1" x="7540"/>
        <item t="data" h="1" sd="1" m="1" x="7346"/>
        <item t="data" h="1" sd="1" m="1" x="7528"/>
        <item t="data" h="1" sd="1" m="1" x="7523"/>
        <item t="data" h="1" sd="1" m="1" x="7524"/>
        <item t="data" h="1" sd="1" m="1" x="7347"/>
        <item t="data" h="1" sd="1" m="1" x="7522"/>
        <item t="data" h="1" sd="1" m="1" x="7506"/>
        <item t="data" h="1" sd="1" m="1" x="7507"/>
        <item t="data" h="1" sd="1" m="1" x="7498"/>
        <item t="data" h="1" sd="1" m="1" x="7497"/>
        <item t="data" h="1" sd="1" m="1" x="7503"/>
        <item t="data" h="1" sd="1" m="1" x="7532"/>
        <item t="data" h="1" sd="1" m="1" x="7379"/>
        <item t="data" h="1" sd="1" m="1" x="7383"/>
        <item t="data" h="1" sd="1" m="1" x="505"/>
        <item t="data" h="1" sd="1" m="1" x="6835"/>
        <item t="data" h="1" sd="1" m="1" x="6540"/>
        <item t="data" h="1" sd="1" m="1" x="7513"/>
        <item t="data" h="1" sd="1" m="1" x="7512"/>
        <item t="data" h="1" sd="1" m="1" x="7394"/>
        <item t="data" h="1" sd="1" m="1" x="7387"/>
        <item t="data" h="1" sd="1" m="1" x="2049"/>
        <item t="data" h="1" sd="1" m="1" x="7388"/>
        <item t="data" h="1" sd="1" m="1" x="5590"/>
        <item t="data" h="1" sd="1" m="1" x="7495"/>
        <item t="data" h="1" sd="1" m="1" x="7401"/>
        <item t="data" h="1" sd="1" m="1" x="7400"/>
        <item t="data" h="1" sd="1" m="1" x="5616"/>
        <item t="data" h="1" sd="1" m="1" x="7531"/>
        <item t="data" h="1" sd="1" m="1" x="7530"/>
        <item t="data" h="1" sd="1" m="1" x="7529"/>
        <item t="data" h="1" sd="1" m="1" x="7490"/>
        <item t="data" h="1" sd="1" m="1" x="6494"/>
        <item t="data" h="1" sd="1" m="1" x="7406"/>
        <item t="data" h="1" sd="1" m="1" x="3410"/>
        <item t="data" h="1" sd="1" m="1" x="7487"/>
        <item t="data" h="1" sd="1" m="1" x="5704"/>
        <item t="data" h="1" sd="1" m="1" x="7526"/>
        <item t="data" h="1" sd="1" m="1" x="7510"/>
        <item t="data" h="1" sd="1" m="1" x="7488"/>
        <item t="data" h="1" sd="1" m="1" x="7525"/>
        <item t="data" h="1" sd="1" m="1" x="7496"/>
        <item t="data" h="1" sd="1" m="1" x="6613"/>
        <item t="data" h="1" sd="1" m="1" x="6590"/>
        <item t="data" h="1" sd="1" m="1" x="5722"/>
        <item t="data" h="1" sd="1" m="1" x="7414"/>
        <item t="data" h="1" sd="1" m="1" x="2010"/>
        <item t="data" h="1" sd="1" m="1" x="3954"/>
        <item t="data" h="1" sd="1" m="1" x="7422"/>
        <item t="data" h="1" sd="1" m="1" x="7520"/>
        <item t="data" h="1" sd="1" m="1" x="7418"/>
        <item t="data" h="1" sd="1" m="1" x="7421"/>
        <item t="data" h="1" sd="1" m="1" x="5736"/>
        <item t="data" h="1" sd="1" m="1" x="5735"/>
        <item t="data" h="1" sd="1" m="1" x="5005"/>
        <item t="data" h="1" sd="1" m="1" x="7428"/>
        <item t="data" h="1" sd="1" m="1" x="5744"/>
        <item t="data" h="1" sd="1" m="1" x="5965"/>
        <item t="data" h="1" sd="1" m="1" x="6417"/>
        <item t="data" h="1" sd="1" m="1" x="5006"/>
        <item t="data" h="1" sd="1" m="1" x="5007"/>
        <item t="data" h="1" sd="1" m="1" x="5008"/>
        <item t="data" h="1" sd="1" m="1" x="7193"/>
        <item t="data" h="1" sd="1" m="1" x="7539"/>
        <item t="data" h="1" sd="1" m="1" x="6745"/>
        <item t="data" h="1" sd="1" m="1" x="7432"/>
        <item t="data" h="1" sd="1" m="1" x="7315"/>
        <item t="data" h="1" sd="1" m="1" x="7433"/>
        <item t="data" h="1" sd="1" m="1" x="7434"/>
        <item t="data" h="1" sd="1" m="1" x="7435"/>
        <item t="data" h="1" sd="1" m="1" x="7511"/>
        <item t="data" h="1" sd="1" m="1" x="7436"/>
        <item t="data" h="1" sd="1" m="1" x="6972"/>
        <item t="data" h="1" sd="1" m="1" x="7480"/>
        <item t="data" h="1" sd="1" m="1" x="2568"/>
        <item t="data" h="1" sd="1" m="1" x="7504"/>
        <item t="data" h="1" sd="1" m="1" x="7492"/>
        <item t="data" h="1" sd="1" m="1" x="7491"/>
        <item t="data" h="1" sd="1" x="399"/>
        <item t="data" h="1" sd="1" m="1" x="7448"/>
        <item t="data" h="1" sd="1" m="1" x="7439"/>
        <item t="data" h="1" sd="1" m="1" x="7441"/>
        <item t="data" h="1" sd="1" m="1" x="7455"/>
        <item t="data" h="1" sd="1" m="1" x="7456"/>
        <item t="data" h="1" sd="1" m="1" x="7451"/>
        <item t="data" h="1" sd="1" m="1" x="7521"/>
        <item t="data" h="1" sd="1" m="1" x="7324"/>
        <item t="data" h="1" sd="1" m="1" x="7494"/>
        <item t="data" h="1" sd="1" m="1" x="7493"/>
        <item t="data" h="1" sd="1" m="1" x="5952"/>
        <item t="data" h="1" sd="1" m="1" x="7502"/>
        <item t="data" h="1" sd="1" m="1" x="7469"/>
        <item t="data" h="1" sd="1" m="1" x="7501"/>
        <item t="data" h="1" sd="1" m="1" x="7463"/>
        <item t="data" h="1" sd="1" m="1" x="7464"/>
        <item t="data" h="1" sd="1" m="1" x="6270"/>
        <item t="data" h="1" sd="1" m="1" x="7500"/>
        <item t="data" h="1" sd="1" m="1" x="7462"/>
        <item t="data" h="1" sd="1" m="1" x="3841"/>
        <item t="data" h="1" sd="1" m="1" x="7336"/>
        <item t="data" h="1" sd="1" m="1" x="5840"/>
        <item t="data" h="1" sd="1" m="1" x="5841"/>
        <item t="data" h="1" sd="1" m="1" x="7356"/>
        <item t="data" h="1" sd="1" m="1" x="7357"/>
        <item t="data" h="1" sd="1" m="1" x="7358"/>
        <item t="data" h="1" sd="1" m="1" x="7359"/>
        <item t="data" h="1" sd="1" m="1" x="7361"/>
        <item t="data" h="1" sd="1" m="1" x="7362"/>
        <item t="data" h="1" sd="1" m="1" x="7363"/>
        <item t="data" h="1" sd="1" m="1" x="7364"/>
        <item t="data" h="1" sd="1" m="1" x="7365"/>
        <item t="data" h="1" sd="1" m="1" x="7366"/>
        <item t="data" h="1" sd="1" m="1" x="7367"/>
        <item t="data" h="1" sd="1" m="1" x="7368"/>
        <item t="data" h="1" sd="1" m="1" x="7369"/>
        <item t="data" h="1" sd="1" m="1" x="7370"/>
        <item t="data" h="1" sd="1" m="1" x="7371"/>
        <item t="data" h="1" sd="1" m="1" x="7372"/>
        <item t="data" h="1" sd="1" m="1" x="7373"/>
        <item t="data" h="1" sd="1" m="1" x="7374"/>
        <item t="data" h="1" sd="1" m="1" x="7375"/>
        <item t="data" h="1" sd="1" m="1" x="7376"/>
        <item t="data" h="1" sd="1" m="1" x="7003"/>
        <item t="data" h="1" sd="1" m="1" x="7377"/>
        <item t="data" h="1" sd="1" m="1" x="7273"/>
        <item t="data" h="1" sd="1" m="1" x="7274"/>
        <item t="data" h="1" sd="1" m="1" x="7380"/>
        <item t="data" h="1" sd="1" m="1" x="7381"/>
        <item t="data" h="1" sd="1" m="1" x="7382"/>
        <item t="data" h="1" sd="1" m="1" x="7384"/>
        <item t="data" h="1" sd="1" m="1" x="7386"/>
        <item t="data" h="1" sd="1" m="1" x="6544"/>
        <item t="data" h="1" sd="1" m="1" x="6543"/>
        <item t="data" h="1" sd="1" m="1" x="7281"/>
        <item t="data" h="1" sd="1" m="1" x="7282"/>
        <item t="data" h="1" sd="1" m="1" x="7280"/>
        <item t="data" h="1" sd="1" m="1" x="4990"/>
        <item t="data" h="1" sd="1" m="1" x="7287"/>
        <item t="data" h="1" sd="1" m="1" x="6836"/>
        <item t="data" h="1" sd="1" m="1" x="4989"/>
        <item t="data" h="1" sd="1" m="1" x="3485"/>
        <item t="data" h="1" sd="1" m="1" x="6971"/>
        <item t="data" h="1" sd="1" m="1" x="6974"/>
        <item t="data" h="1" sd="1" m="1" x="7389"/>
        <item t="data" h="1" sd="1" m="1" x="7391"/>
        <item t="data" h="1" sd="1" m="1" x="7288"/>
        <item t="data" h="1" sd="1" m="1" x="4946"/>
        <item t="data" h="1" sd="1" m="1" x="4949"/>
        <item t="data" h="1" sd="1" m="1" x="4948"/>
        <item t="data" h="1" sd="1" m="1" x="7397"/>
        <item t="data" h="1" sd="1" m="1" x="7398"/>
        <item t="data" h="1" sd="1" m="1" x="6965"/>
        <item t="data" h="1" sd="1" m="1" x="5596"/>
        <item t="data" h="1" sd="1" m="1" x="7399"/>
        <item t="data" h="1" sd="1" m="1" x="3605"/>
        <item t="data" h="1" sd="1" m="1" x="6966"/>
        <item t="data" h="1" sd="1" m="1" x="6967"/>
        <item t="data" h="1" sd="1" m="1" x="7291"/>
        <item t="data" h="1" sd="1" m="1" x="5659"/>
        <item t="data" h="1" sd="1" m="1" x="5658"/>
        <item t="data" h="1" sd="1" m="1" x="5650"/>
        <item t="data" h="1" sd="1" m="1" x="5656"/>
        <item t="data" h="1" sd="1" m="1" x="5657"/>
        <item t="data" h="1" sd="1" m="1" x="5644"/>
        <item t="data" h="1" sd="1" m="1" x="5645"/>
        <item t="data" h="1" sd="1" m="1" x="5670"/>
        <item t="data" h="1" sd="1" m="1" x="5662"/>
        <item t="data" h="1" sd="1" m="1" x="5663"/>
        <item t="data" h="1" sd="1" m="1" x="5661"/>
        <item t="data" h="1" sd="1" m="1" x="5664"/>
        <item t="data" h="1" sd="1" m="1" x="5665"/>
        <item t="data" h="1" sd="1" m="1" x="5660"/>
        <item t="data" h="1" sd="1" m="1" x="5625"/>
        <item t="data" h="1" sd="1" m="1" x="5629"/>
        <item t="data" h="1" sd="1" m="1" x="5626"/>
        <item t="data" h="1" sd="1" m="1" x="5627"/>
        <item t="data" h="1" sd="1" m="1" x="5628"/>
        <item t="data" h="1" sd="1" m="1" x="5630"/>
        <item t="data" h="1" sd="1" m="1" x="5631"/>
        <item t="data" h="1" sd="1" m="1" x="5632"/>
        <item t="data" h="1" sd="1" m="1" x="6968"/>
        <item t="data" h="1" sd="1" m="1" x="7403"/>
        <item t="data" h="1" sd="1" m="1" x="7404"/>
        <item t="data" h="1" sd="1" m="1" x="7405"/>
        <item t="data" h="1" sd="1" m="1" x="5703"/>
        <item t="data" h="1" sd="1" m="1" x="7410"/>
        <item t="data" h="1" sd="1" m="1" x="7411"/>
        <item t="data" h="1" sd="1" m="1" x="7412"/>
        <item t="data" h="1" sd="1" m="1" x="5721"/>
        <item t="data" h="1" sd="1" m="1" x="6409"/>
        <item t="data" h="1" sd="1" m="1" x="6410"/>
        <item t="data" h="1" sd="1" m="1" x="7423"/>
        <item t="data" h="1" sd="1" m="1" x="7425"/>
        <item t="data" h="1" sd="1" m="1" x="7301"/>
        <item t="data" h="1" sd="1" m="1" x="7426"/>
        <item t="data" h="1" sd="1" m="1" x="7427"/>
        <item t="data" h="1" sd="1" m="1" x="5734"/>
        <item t="data" h="1" sd="1" m="1" x="5958"/>
        <item t="data" h="1" sd="1" m="1" x="7429"/>
        <item t="data" h="1" sd="1" m="1" x="6211"/>
        <item t="data" h="1" sd="1" m="1" x="6116"/>
        <item t="data" h="1" sd="1" m="1" x="7308"/>
        <item t="data" h="1" sd="1" m="1" x="7188"/>
        <item t="data" h="1" sd="1" m="1" x="7189"/>
        <item t="data" h="1" sd="1" m="1" x="6746"/>
        <item t="data" h="1" sd="1" m="1" x="7438"/>
        <item t="data" h="1" sd="1" m="1" x="7446"/>
        <item t="data" h="1" sd="1" m="1" x="7447"/>
        <item t="data" h="1" sd="1" m="1" x="7452"/>
        <item t="data" h="1" sd="1" m="1" x="7457"/>
        <item t="data" h="1" sd="1" m="1" x="6012"/>
        <item t="data" h="1" sd="1" m="1" x="1836"/>
        <item t="data" h="1" sd="1" m="1" x="7323"/>
        <item t="data" h="1" sd="1" m="1" x="7327"/>
        <item t="data" h="1" sd="1" m="1" x="7460"/>
        <item t="data" h="1" sd="1" m="1" x="6675"/>
        <item t="data" h="1" sd="1" m="1" x="7468"/>
        <item t="data" h="1" sd="1" m="1" x="7215"/>
        <item t="data" h="1" sd="1" m="1" x="7222"/>
        <item t="data" h="1" sd="1" m="1" x="7223"/>
        <item t="data" h="1" sd="1" m="1" x="7224"/>
        <item t="data" h="1" sd="1" m="1" x="7225"/>
        <item t="data" h="1" sd="1" m="1" x="7226"/>
        <item t="data" h="1" sd="1" m="1" x="7227"/>
        <item t="data" h="1" sd="1" m="1" x="1453"/>
        <item t="data" h="1" sd="1" m="1" x="7228"/>
        <item t="data" h="1" sd="1" m="1" x="7229"/>
        <item t="data" h="1" sd="1" m="1" x="7230"/>
        <item t="data" h="1" sd="1" m="1" x="7232"/>
        <item t="data" h="1" sd="1" m="1" x="7233"/>
        <item t="data" h="1" sd="1" m="1" x="7234"/>
        <item t="data" h="1" sd="1" m="1" x="7236"/>
        <item t="data" h="1" sd="1" m="1" x="7237"/>
        <item t="data" h="1" sd="1" m="1" x="6861"/>
        <item t="data" h="1" sd="1" m="1" x="7238"/>
        <item t="data" h="1" sd="1" m="1" x="7239"/>
        <item t="data" h="1" sd="1" m="1" x="7240"/>
        <item t="data" h="1" sd="1" m="1" x="7241"/>
        <item t="data" h="1" sd="1" m="1" x="7247"/>
        <item t="data" h="1" sd="1" m="1" x="7248"/>
        <item t="data" h="1" sd="1" m="1" x="7249"/>
        <item t="data" h="1" sd="1" m="1" x="7250"/>
        <item t="data" h="1" sd="1" m="1" x="7251"/>
        <item t="data" h="1" sd="1" m="1" x="7252"/>
        <item t="data" h="1" sd="1" m="1" x="7253"/>
        <item t="data" h="1" sd="1" m="1" x="7255"/>
        <item t="data" h="1" sd="1" m="1" x="7256"/>
        <item t="data" h="1" sd="1" m="1" x="7257"/>
        <item t="data" h="1" sd="1" m="1" x="7258"/>
        <item t="data" h="1" sd="1" m="1" x="7259"/>
        <item t="data" h="1" sd="1" m="1" x="7260"/>
        <item t="data" h="1" sd="1" m="1" x="7261"/>
        <item t="data" h="1" sd="1" m="1" x="7262"/>
        <item t="data" h="1" sd="1" m="1" x="7263"/>
        <item t="data" h="1" sd="1" m="1" x="7264"/>
        <item t="data" h="1" sd="1" m="1" x="7265"/>
        <item t="data" h="1" sd="1" m="1" x="7266"/>
        <item t="data" h="1" sd="1" m="1" x="7267"/>
        <item t="data" h="1" sd="1" m="1" x="7269"/>
        <item t="data" h="1" sd="1" m="1" x="7270"/>
        <item t="data" h="1" sd="1" m="1" x="7272"/>
        <item t="data" h="1" sd="1" m="1" x="7276"/>
        <item t="data" h="1" sd="1" m="1" x="5395"/>
        <item t="data" h="1" sd="1" m="1" x="7277"/>
        <item t="data" h="1" sd="1" m="1" x="7278"/>
        <item t="data" h="1" sd="1" m="1" x="7279"/>
        <item t="data" h="1" sd="1" m="1" x="7283"/>
        <item t="data" h="1" sd="1" m="1" x="7284"/>
        <item t="data" h="1" sd="1" m="1" x="7286"/>
        <item t="data" h="1" sd="1" m="1" x="6983"/>
        <item t="data" h="1" sd="1" m="1" x="7154"/>
        <item t="data" h="1" sd="1" m="1" x="6542"/>
        <item t="data" h="1" sd="1" m="1" x="7156"/>
        <item t="data" h="1" sd="1" m="1" x="7289"/>
        <item t="data" h="1" sd="1" m="1" x="7290"/>
        <item t="data" h="1" sd="1" m="1" x="6541"/>
        <item t="data" h="1" sd="1" m="1" x="6977"/>
        <item t="data" h="1" sd="1" m="1" x="6978"/>
        <item t="data" h="1" sd="1" m="1" x="6979"/>
        <item t="data" h="1" sd="1" m="1" x="6980"/>
        <item t="data" h="1" sd="1" m="1" x="7158"/>
        <item t="data" h="1" sd="1" m="1" x="7159"/>
        <item t="data" h="1" sd="1" m="1" x="6981"/>
        <item t="data" h="1" sd="1" m="1" x="5623"/>
        <item t="data" h="1" sd="1" m="1" x="5624"/>
        <item t="data" h="1" sd="1" m="1" x="5620"/>
        <item t="data" h="1" sd="1" m="1" x="5621"/>
        <item t="data" h="1" sd="1" m="1" x="5622"/>
        <item t="data" h="1" sd="1" m="1" x="7293"/>
        <item t="data" h="1" sd="1" m="1" x="7294"/>
        <item t="data" h="1" sd="1" m="1" x="6747"/>
        <item t="data" h="1" sd="1" m="1" x="7295"/>
        <item t="data" h="1" sd="1" m="1" x="7296"/>
        <item t="data" h="1" sd="1" m="1" x="7297"/>
        <item t="data" h="1" sd="1" m="1" x="2506"/>
        <item t="data" h="1" sd="1" m="1" x="7298"/>
        <item t="data" h="1" sd="1" m="1" x="7299"/>
        <item t="data" h="1" sd="1" m="1" x="5702"/>
        <item t="data" h="1" sd="1" m="1" x="3256"/>
        <item t="data" h="1" sd="1" m="1" x="7173"/>
        <item t="data" h="1" sd="1" m="1" x="7176"/>
        <item t="data" h="1" sd="1" m="1" x="7300"/>
        <item t="data" h="1" sd="1" m="1" x="6847"/>
        <item t="data" h="1" sd="1" m="1" x="497"/>
        <item t="data" h="1" sd="1" m="1" x="3265"/>
        <item t="data" h="1" sd="1" m="1" x="7181"/>
        <item t="data" h="1" sd="1" m="1" x="7182"/>
        <item t="data" h="1" sd="1" m="1" x="7183"/>
        <item t="data" h="1" sd="1" m="1" x="7184"/>
        <item t="data" h="1" sd="1" m="1" x="7306"/>
        <item t="data" h="1" sd="1" m="1" x="6241"/>
        <item t="data" h="1" sd="1" m="1" x="7310"/>
        <item t="data" h="1" sd="1" m="1" x="7311"/>
        <item t="data" h="1" sd="1" m="1" x="7314"/>
        <item t="data" h="1" sd="1" m="1" x="7316"/>
        <item t="data" h="1" sd="1" m="1" x="7318"/>
        <item t="data" h="1" sd="1" m="1" x="7319"/>
        <item t="data" h="1" sd="1" m="1" x="7320"/>
        <item t="data" h="1" sd="1" m="1" x="1711"/>
        <item t="data" h="1" sd="1" m="1" x="7208"/>
        <item t="data" h="1" sd="1" m="1" x="6996"/>
        <item t="data" h="1" sd="1" m="1" x="7210"/>
        <item t="data" h="1" sd="1" m="1" x="1634"/>
        <item t="data" h="1" sd="1" m="1" x="5181"/>
        <item t="data" h="1" sd="1" m="1" x="6013"/>
        <item t="data" h="1" sd="1" m="1" x="7328"/>
        <item t="data" h="1" sd="1" m="1" x="7329"/>
        <item t="data" h="1" sd="1" m="1" x="7330"/>
        <item t="data" h="1" sd="1" m="1" x="7331"/>
        <item t="data" h="1" sd="1" m="1" x="7332"/>
        <item t="data" h="1" sd="1" m="1" x="6267"/>
        <item t="data" h="1" sd="1" m="1" x="7221"/>
        <item t="data" h="1" sd="1" m="1" x="5835"/>
        <item t="data" h="1" sd="1" m="1" x="7214"/>
        <item t="data" h="1" sd="1" m="1" x="6991"/>
        <item t="data" h="1" sd="1" m="1" x="7220"/>
        <item t="data" h="1" sd="1" m="1" x="7216"/>
        <item t="data" h="1" sd="1" m="1" x="6506"/>
        <item t="data" h="1" sd="1" m="1" x="6507"/>
        <item t="data" h="1" sd="1" m="1" x="7007"/>
        <item t="data" h="1" sd="1" m="1" x="7090"/>
        <item t="data" h="1" sd="1" m="1" x="5156"/>
        <item t="data" h="1" sd="1" m="1" x="7091"/>
        <item t="data" h="1" sd="1" m="1" x="7092"/>
        <item t="data" h="1" sd="1" m="1" x="7094"/>
        <item t="data" h="1" sd="1" m="1" x="7095"/>
        <item t="data" h="1" sd="1" m="1" x="7096"/>
        <item t="data" h="1" sd="1" m="1" x="7097"/>
        <item t="data" h="1" sd="1" m="1" x="7098"/>
        <item t="data" h="1" sd="1" m="1" x="7099"/>
        <item t="data" h="1" sd="1" m="1" x="7100"/>
        <item t="data" h="1" sd="1" m="1" x="7101"/>
        <item t="data" h="1" sd="1" m="1" x="7102"/>
        <item t="data" h="1" sd="1" m="1" x="7103"/>
        <item t="data" h="1" sd="1" m="1" x="5512"/>
        <item t="data" h="1" sd="1" m="1" x="6755"/>
        <item t="data" h="1" sd="1" m="1" x="7104"/>
        <item t="data" h="1" sd="1" m="1" x="7105"/>
        <item t="data" h="1" sd="1" m="1" x="7106"/>
        <item t="data" h="1" sd="1" m="1" x="7107"/>
        <item t="data" h="1" sd="1" m="1" x="6428"/>
        <item t="data" h="1" sd="1" m="1" x="6429"/>
        <item t="data" h="1" sd="1" m="1" x="6183"/>
        <item t="data" h="1" sd="1" m="1" x="7108"/>
        <item t="data" h="1" sd="1" m="1" x="6843"/>
        <item t="data" h="1" sd="1" m="1" x="7109"/>
        <item t="data" h="1" sd="1" m="1" x="7110"/>
        <item t="data" h="1" sd="1" m="1" x="6863"/>
        <item t="data" h="1" sd="1" m="1" x="7111"/>
        <item t="data" h="1" sd="1" m="1" x="7112"/>
        <item t="data" h="1" sd="1" m="1" x="7113"/>
        <item t="data" h="1" sd="1" m="1" x="7114"/>
        <item t="data" h="1" sd="1" m="1" x="6760"/>
        <item t="data" h="1" sd="1" m="1" x="7115"/>
        <item t="data" h="1" sd="1" m="1" x="7116"/>
        <item t="data" h="1" sd="1" m="1" x="7117"/>
        <item t="data" h="1" sd="1" m="1" x="7118"/>
        <item t="data" h="1" sd="1" m="1" x="7119"/>
        <item t="data" h="1" sd="1" m="1" x="7120"/>
        <item t="data" h="1" sd="1" m="1" x="7121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129"/>
        <item t="data" h="1" sd="1" m="1" x="7130"/>
        <item t="data" h="1" sd="1" m="1" x="7131"/>
        <item t="data" h="1" sd="1" m="1" x="7133"/>
        <item t="data" h="1" sd="1" m="1" x="7134"/>
        <item t="data" h="1" sd="1" m="1" x="7000"/>
        <item t="data" h="1" sd="1" m="1" x="7135"/>
        <item t="data" h="1" sd="1" m="1" x="7136"/>
        <item t="data" h="1" sd="1" m="1" x="7001"/>
        <item t="data" h="1" sd="1" m="1" x="7137"/>
        <item t="data" h="1" sd="1" m="1" x="7138"/>
        <item t="data" h="1" sd="1" m="1" x="7139"/>
        <item t="data" h="1" sd="1" x="312"/>
        <item t="data" h="1" sd="1" m="1" x="7005"/>
        <item t="data" h="1" sd="1" m="1" x="7004"/>
        <item t="data" h="1" sd="1" m="1" x="7140"/>
        <item t="data" h="1" sd="1" m="1" x="582"/>
        <item t="data" h="1" sd="1" m="1" x="7141"/>
        <item t="data" h="1" sd="1" m="1" x="7142"/>
        <item t="data" h="1" sd="1" m="1" x="6838"/>
        <item t="data" h="1" sd="1" m="1" x="7143"/>
        <item t="data" h="1" sd="1" m="1" x="7144"/>
        <item t="data" h="1" sd="1" m="1" x="7145"/>
        <item t="data" h="1" sd="1" m="1" x="7146"/>
        <item t="data" h="1" sd="1" m="1" x="5571"/>
        <item t="data" h="1" sd="1" m="1" x="5570"/>
        <item t="data" h="1" sd="1" m="1" x="5569"/>
        <item t="data" h="1" sd="1" m="1" x="7006"/>
        <item t="data" h="1" sd="1" m="1" x="7147"/>
        <item t="data" h="1" sd="1" m="1" x="7148"/>
        <item t="data" h="1" sd="1" m="1" x="5575"/>
        <item t="data" h="1" sd="1" m="1" x="7151"/>
        <item t="data" h="1" sd="1" m="1" x="7152"/>
        <item t="data" h="1" sd="1" m="1" x="6844"/>
        <item t="data" h="1" sd="1" m="1" x="7155"/>
        <item t="data" h="1" sd="1" m="1" x="5858"/>
        <item t="data" h="1" sd="1" m="1" x="7157"/>
        <item t="data" h="1" sd="1" m="1" x="4947"/>
        <item t="data" h="1" sd="1" m="1" x="7160"/>
        <item t="data" h="1" sd="1" m="1" x="7161"/>
        <item t="data" h="1" sd="1" m="1" x="7162"/>
        <item t="data" h="1" sd="1" m="1" x="7163"/>
        <item t="data" h="1" sd="1" m="1" x="7164"/>
        <item t="data" h="1" sd="1" m="1" x="6853"/>
        <item t="data" h="1" sd="1" m="1" x="4679"/>
        <item t="data" h="1" sd="1" m="1" x="7166"/>
        <item t="data" h="1" sd="1" m="1" x="7167"/>
        <item t="data" h="1" sd="1" m="1" x="5667"/>
        <item t="data" h="1" sd="1" m="1" x="5651"/>
        <item t="data" h="1" sd="1" m="1" x="5652"/>
        <item t="data" h="1" sd="1" m="1" x="7168"/>
        <item t="data" h="1" sd="1" m="1" x="6839"/>
        <item t="data" h="1" sd="1" m="1" x="7169"/>
        <item t="data" h="1" sd="1" m="1" x="6976"/>
        <item t="data" h="1" sd="1" m="1" x="7170"/>
        <item t="data" h="1" sd="1" m="1" x="6545"/>
        <item t="data" h="1" sd="1" m="1" x="7171"/>
        <item t="data" h="1" sd="1" m="1" x="7172"/>
        <item t="data" h="1" sd="1" m="1" x="6758"/>
        <item t="data" h="1" sd="1" m="1" x="7008"/>
        <item t="data" h="1" sd="1" m="1" x="7174"/>
        <item t="data" h="1" sd="1" m="1" x="7175"/>
        <item t="data" h="1" sd="1" m="1" x="7177"/>
        <item t="data" h="1" sd="1" m="1" x="6846"/>
        <item t="data" h="1" sd="1" m="1" x="6464"/>
        <item t="data" h="1" sd="1" m="1" x="5731"/>
        <item t="data" h="1" sd="1" m="1" x="7180"/>
        <item t="data" h="1" sd="1" m="1" x="7195"/>
        <item t="data" h="1" sd="1" m="1" x="6416"/>
        <item t="data" h="1" sd="1" m="1" x="7197"/>
        <item t="data" h="1" sd="1" m="1" x="5157"/>
        <item t="data" h="1" sd="1" m="1" x="7198"/>
        <item t="data" h="1" sd="1" m="1" x="6984"/>
        <item t="data" h="1" sd="1" m="1" x="7199"/>
        <item t="data" h="1" sd="1" m="1" x="6985"/>
        <item t="data" h="1" sd="1" m="1" x="6986"/>
        <item t="data" h="1" sd="1" m="1" x="6023"/>
        <item t="data" h="1" sd="1" m="1" x="7200"/>
        <item t="data" h="1" sd="1" m="1" x="7201"/>
        <item t="data" h="1" sd="1" m="1" x="7202"/>
        <item t="data" h="1" sd="1" m="1" x="7203"/>
        <item t="data" h="1" sd="1" m="1" x="7204"/>
        <item t="data" h="1" sd="1" m="1" x="7205"/>
        <item t="data" h="1" sd="1" m="1" x="1028"/>
        <item t="data" h="1" sd="1" m="1" x="7206"/>
        <item t="data" h="1" sd="1" m="1" x="7207"/>
        <item t="data" h="1" sd="1" m="1" x="7211"/>
        <item t="data" h="1" sd="1" m="1" x="7212"/>
        <item t="data" h="1" sd="1" m="1" x="6987"/>
        <item t="data" h="1" sd="1" m="1" x="6850"/>
        <item t="data" h="1" sd="1" m="1" x="7213"/>
        <item t="data" h="1" sd="1" m="1" x="1816"/>
        <item t="data" h="1" sd="1" m="1" x="6849"/>
        <item t="data" h="1" sd="1" m="1" x="6848"/>
        <item t="data" h="1" sd="1" m="1" x="6495"/>
        <item t="data" h="1" sd="1" m="1" x="6496"/>
        <item t="data" h="1" sd="1" m="1" x="6990"/>
        <item t="data" h="1" sd="1" m="1" x="6025"/>
        <item t="data" h="1" sd="1" m="1" x="6018"/>
        <item t="data" h="1" sd="1" m="1" x="7217"/>
        <item t="data" h="1" sd="1" m="1" x="7218"/>
        <item t="data" h="1" sd="1" m="1" x="7219"/>
        <item t="data" h="1" sd="1" m="1" x="2098"/>
        <item t="data" h="1" sd="1" m="1" x="6459"/>
        <item t="data" h="1" sd="1" m="1" x="4967"/>
        <item t="data" h="1" sd="1" m="1" x="6213"/>
        <item t="data" h="1" sd="1" m="1" x="6122"/>
        <item t="data" h="1" sd="1" m="1" x="6841"/>
        <item t="data" h="1" sd="1" m="1" x="6123"/>
        <item t="data" h="1" sd="1" m="1" x="6559"/>
        <item t="data" h="1" sd="1" m="1" x="6124"/>
        <item t="data" h="1" sd="1" m="1" x="6988"/>
        <item t="data" h="1" sd="1" m="1" x="6989"/>
        <item t="data" h="1" sd="1" m="1" x="6992"/>
        <item t="data" h="1" sd="1" m="1" x="6993"/>
        <item t="data" h="1" sd="1" m="1" x="6994"/>
        <item t="data" h="1" sd="1" m="1" x="6995"/>
        <item t="data" h="1" sd="1" m="1" x="6855"/>
        <item t="data" h="1" sd="1" m="1" x="6316"/>
        <item t="data" h="1" sd="1" m="1" x="5087"/>
        <item t="data" h="1" sd="1" m="1" x="5747"/>
        <item t="data" h="1" sd="1" m="1" x="5742"/>
        <item t="data" h="1" sd="1" m="1" x="5746"/>
        <item t="data" h="1" sd="1" m="1" x="6997"/>
        <item t="data" h="1" sd="1" m="1" x="6999"/>
        <item t="data" h="1" sd="1" m="1" x="5741"/>
        <item t="data" h="1" sd="1" m="1" x="6705"/>
        <item t="data" h="1" sd="1" m="1" x="6867"/>
        <item t="data" h="1" sd="1" m="1" x="6866"/>
        <item t="data" h="1" sd="1" m="1" x="7002"/>
        <item t="data" h="1" sd="1" m="1" x="5172"/>
        <item t="data" h="1" sd="1" m="1" x="6210"/>
        <item t="data" h="1" sd="1" m="1" x="6209"/>
        <item t="data" h="1" sd="1" m="1" x="6442"/>
        <item t="data" h="1" sd="1" m="1" x="7009"/>
        <item t="data" h="1" sd="1" m="1" x="7010"/>
        <item t="data" h="1" sd="1" m="1" x="7011"/>
        <item t="data" h="1" sd="1" m="1" x="1822"/>
        <item t="data" h="1" sd="1" m="1" x="7013"/>
        <item t="data" h="1" sd="1" m="1" x="7014"/>
        <item t="data" h="1" sd="1" m="1" x="7016"/>
        <item t="data" h="1" sd="1" m="1" x="7017"/>
        <item t="data" h="1" sd="1" m="1" x="6548"/>
        <item t="data" h="1" sd="1" m="1" x="7018"/>
        <item t="data" h="1" sd="1" m="1" x="5562"/>
        <item t="data" h="1" sd="1" m="1" x="7019"/>
        <item t="data" h="1" sd="1" m="1" x="7020"/>
        <item t="data" h="1" sd="1" m="1" x="6840"/>
        <item t="data" h="1" sd="1" m="1" x="7021"/>
        <item t="data" h="1" sd="1" m="1" x="7024"/>
        <item t="data" h="1" sd="1" m="1" x="2863"/>
        <item t="data" h="1" sd="1" m="1" x="7025"/>
        <item t="data" h="1" sd="1" m="1" x="6551"/>
        <item t="data" h="1" sd="1" m="1" x="6552"/>
        <item t="data" h="1" sd="1" m="1" x="6553"/>
        <item t="data" h="1" sd="1" m="1" x="6554"/>
        <item t="data" h="1" sd="1" m="1" x="7026"/>
        <item t="data" h="1" sd="1" m="1" x="6556"/>
        <item t="data" h="1" sd="1" m="1" x="7027"/>
        <item t="data" h="1" sd="1" m="1" x="7028"/>
        <item t="data" h="1" sd="1" m="1" x="6842"/>
        <item t="data" h="1" sd="1" m="1" x="6557"/>
        <item t="data" h="1" sd="1" m="1" x="6558"/>
        <item t="data" h="1" sd="1" m="1" x="7029"/>
        <item t="data" h="1" sd="1" m="1" x="7030"/>
        <item t="data" h="1" sd="1" m="1" x="6752"/>
        <item t="data" h="1" sd="1" m="1" x="6753"/>
        <item t="data" h="1" sd="1" m="1" x="6771"/>
        <item t="data" h="1" sd="1" m="1" x="7031"/>
        <item t="data" h="1" sd="1" m="1" x="4991"/>
        <item t="data" h="1" sd="1" m="1" x="7032"/>
        <item t="data" h="1" sd="1" m="1" x="7033"/>
        <item t="data" h="1" sd="1" m="1" x="6414"/>
        <item t="data" h="1" sd="1" m="1" x="7034"/>
        <item t="data" h="1" sd="1" m="1" x="7035"/>
        <item t="data" h="1" sd="1" m="1" x="7036"/>
        <item t="data" h="1" sd="1" m="1" x="7037"/>
        <item t="data" h="1" sd="1" m="1" x="7038"/>
        <item t="data" h="1" sd="1" m="1" x="5401"/>
        <item t="data" h="1" sd="1" m="1" x="7039"/>
        <item t="data" h="1" sd="1" m="1" x="7041"/>
        <item t="data" h="1" sd="1" m="1" x="7042"/>
        <item t="data" h="1" sd="1" m="1" x="7043"/>
        <item t="data" h="1" sd="1" m="1" x="7044"/>
        <item t="data" h="1" sd="1" m="1" x="7045"/>
        <item t="data" h="1" sd="1" m="1" x="5970"/>
        <item t="data" h="1" sd="1" m="1" x="7046"/>
        <item t="data" h="1" sd="1" m="1" x="7047"/>
        <item t="data" h="1" sd="1" m="1" x="7048"/>
        <item t="data" h="1" sd="1" m="1" x="6868"/>
        <item t="data" h="1" sd="1" m="1" x="7049"/>
        <item t="data" h="1" sd="1" m="1" x="7050"/>
        <item t="data" h="1" sd="1" m="1" x="7051"/>
        <item t="data" h="1" sd="1" m="1" x="7052"/>
        <item t="data" h="1" sd="1" m="1" x="7053"/>
        <item t="data" h="1" sd="1" m="1" x="6750"/>
        <item t="data" h="1" sd="1" m="1" x="7054"/>
        <item t="data" h="1" sd="1" m="1" x="6854"/>
        <item t="data" h="1" sd="1" m="1" x="6857"/>
        <item t="data" h="1" sd="1" m="1" x="6856"/>
        <item t="data" h="1" sd="1" m="1" x="6757"/>
        <item t="data" h="1" sd="1" m="1" x="6859"/>
        <item t="data" h="1" sd="1" m="1" x="5672"/>
        <item t="data" h="1" sd="1" m="1" x="5567"/>
        <item t="data" h="1" sd="1" m="1" x="5566"/>
        <item t="data" h="1" sd="1" m="1" x="5771"/>
        <item t="data" h="1" sd="1" m="1" x="6862"/>
        <item t="data" h="1" sd="1" m="1" x="7055"/>
        <item t="data" h="1" sd="1" m="1" x="5617"/>
        <item t="data" h="1" sd="1" m="1" x="5618"/>
        <item t="data" h="1" sd="1" m="1" x="6173"/>
        <item t="data" h="1" sd="1" m="1" x="7056"/>
        <item t="data" h="1" sd="1" m="1" x="7058"/>
        <item t="data" h="1" sd="1" m="1" x="2676"/>
        <item t="data" h="1" sd="1" m="1" x="7059"/>
        <item t="data" h="1" sd="1" m="1" x="5619"/>
        <item t="data" h="1" sd="1" m="1" x="6337"/>
        <item t="data" h="1" sd="1" m="1" x="7060"/>
        <item t="data" h="1" sd="1" m="1" x="6513"/>
        <item t="data" h="1" sd="1" m="1" x="5752"/>
        <item t="data" h="1" sd="1" m="1" x="7061"/>
        <item t="data" h="1" sd="1" m="1" x="6346"/>
        <item t="data" h="1" sd="1" m="1" x="6347"/>
        <item t="data" h="1" sd="1" m="1" x="6348"/>
        <item t="data" h="1" sd="1" m="1" x="6350"/>
        <item t="data" h="1" sd="1" m="1" x="6351"/>
        <item t="data" h="1" sd="1" m="1" x="7062"/>
        <item t="data" h="1" sd="1" m="1" x="7063"/>
        <item t="data" h="1" sd="1" m="1" x="6354"/>
        <item t="data" h="1" sd="1" m="1" x="6359"/>
        <item t="data" h="1" sd="1" m="1" x="6357"/>
        <item t="data" h="1" sd="1" m="1" x="6358"/>
        <item t="data" h="1" sd="1" m="1" x="6355"/>
        <item t="data" h="1" sd="1" m="1" x="6356"/>
        <item t="data" h="1" sd="1" m="1" x="7064"/>
        <item t="data" h="1" sd="1" m="1" x="6761"/>
        <item t="data" h="1" sd="1" m="1" x="864"/>
        <item t="data" h="1" sd="1" m="1" x="7065"/>
        <item t="data" h="1" sd="1" m="1" x="7066"/>
        <item t="data" h="1" sd="1" m="1" x="7067"/>
        <item t="data" h="1" sd="1" m="1" x="7068"/>
        <item t="data" h="1" sd="1" m="1" x="6865"/>
        <item t="data" h="1" sd="1" m="1" x="6864"/>
        <item t="data" h="1" sd="1" m="1" x="7069"/>
        <item t="data" h="1" sd="1" m="1" x="6374"/>
        <item t="data" h="1" sd="1" m="1" x="7070"/>
        <item t="data" h="1" sd="1" m="1" x="6570"/>
        <item t="data" h="1" sd="1" m="1" x="6572"/>
        <item t="data" h="1" sd="1" m="1" x="6571"/>
        <item t="data" h="1" sd="1" m="1" x="6953"/>
        <item t="data" h="1" sd="1" m="1" x="1706"/>
        <item t="data" h="1" sd="1" m="1" x="5873"/>
        <item t="data" h="1" sd="1" m="1" x="7073"/>
        <item t="data" h="1" sd="1" m="1" x="7074"/>
        <item t="data" h="1" sd="1" m="1" x="7075"/>
        <item t="data" h="1" sd="1" m="1" x="7076"/>
        <item t="data" h="1" sd="1" m="1" x="1305"/>
        <item t="data" h="1" sd="1" m="1" x="7078"/>
        <item t="data" h="1" sd="1" m="1" x="5684"/>
        <item t="data" h="1" sd="1" m="1" x="7079"/>
        <item t="data" h="1" sd="1" m="1" x="7080"/>
        <item t="data" h="1" sd="1" m="1" x="7081"/>
        <item t="data" h="1" sd="1" m="1" x="7082"/>
        <item t="data" h="1" sd="1" m="1" x="7083"/>
        <item t="data" h="1" sd="1" m="1" x="7084"/>
        <item t="data" h="1" sd="1" m="1" x="6943"/>
        <item t="data" h="1" sd="1" m="1" x="7085"/>
        <item t="data" h="1" sd="1" m="1" x="7086"/>
        <item t="data" h="1" sd="1" m="1" x="7087"/>
        <item t="data" h="1" sd="1" m="1" x="7088"/>
        <item t="data" h="1" sd="1" m="1" x="1082"/>
        <item t="data" h="1" sd="1" m="1" x="7089"/>
        <item t="data" h="1" sd="1" m="1" x="5319"/>
        <item t="data" h="1" sd="1" m="1" x="6858"/>
        <item t="data" h="1" sd="1" m="1" x="6869"/>
        <item t="data" h="1" sd="1" m="1" x="6870"/>
        <item t="data" h="1" sd="1" m="1" x="4923"/>
        <item t="data" h="1" sd="1" m="1" x="6871"/>
        <item t="data" h="1" sd="1" m="1" x="6872"/>
        <item t="data" h="1" sd="1" m="1" x="6873"/>
        <item t="data" h="1" sd="1" m="1" x="6748"/>
        <item t="data" h="1" sd="1" m="1" x="6874"/>
        <item t="data" h="1" sd="1" m="1" x="6706"/>
        <item t="data" h="1" sd="1" m="1" x="4968"/>
        <item t="data" h="1" sd="1" m="1" x="6876"/>
        <item t="data" h="1" sd="1" m="1" x="6877"/>
        <item t="data" h="1" sd="1" m="1" x="6878"/>
        <item t="data" h="1" sd="1" m="1" x="6879"/>
        <item t="data" h="1" sd="1" m="1" x="6455"/>
        <item t="data" h="1" sd="1" m="1" x="6881"/>
        <item t="data" h="1" sd="1" m="1" x="6882"/>
        <item t="data" h="1" sd="1" m="1" x="6883"/>
        <item t="data" h="1" sd="1" m="1" x="6884"/>
        <item t="data" h="1" sd="1" m="1" x="6886"/>
        <item t="data" h="1" sd="1" m="1" x="6749"/>
        <item t="data" h="1" sd="1" m="1" x="6779"/>
        <item t="data" h="1" sd="1" m="1" x="6560"/>
        <item t="data" h="1" sd="1" m="1" x="6887"/>
        <item t="data" h="1" sd="1" m="1" x="6888"/>
        <item t="data" h="1" sd="1" m="1" x="6889"/>
        <item t="data" h="1" sd="1" m="1" x="6890"/>
        <item t="data" h="1" sd="1" m="1" x="6891"/>
        <item t="data" h="1" sd="1" m="1" x="6892"/>
        <item t="data" h="1" sd="1" m="1" x="6893"/>
        <item t="data" h="1" sd="1" m="1" x="1903"/>
        <item t="data" h="1" sd="1" m="1" x="4496"/>
        <item t="data" h="1" sd="1" m="1" x="6894"/>
        <item t="data" h="1" sd="1" m="1" x="6561"/>
        <item t="data" h="1" sd="1" m="1" x="6896"/>
        <item t="data" h="1" sd="1" m="1" x="4999"/>
        <item t="data" h="1" sd="1" m="1" x="6897"/>
        <item t="data" h="1" sd="1" m="1" x="1892"/>
        <item t="data" h="1" sd="1" x="168"/>
        <item t="data" h="1" sd="1" m="1" x="6898"/>
        <item t="data" h="1" sd="1" m="1" x="6899"/>
        <item t="data" h="1" sd="1" m="1" x="6751"/>
        <item t="data" h="1" sd="1" m="1" x="5461"/>
        <item t="data" h="1" sd="1" m="1" x="5995"/>
        <item t="data" h="1" sd="1" m="1" x="6473"/>
        <item t="data" h="1" sd="1" m="1" x="6901"/>
        <item t="data" h="1" sd="1" m="1" x="6902"/>
        <item t="data" h="1" sd="1" m="1" x="6903"/>
        <item t="data" h="1" sd="1" m="1" x="6904"/>
        <item t="data" h="1" sd="1" m="1" x="1923"/>
        <item t="data" h="1" sd="1" m="1" x="6905"/>
        <item t="data" h="1" sd="1" m="1" x="6568"/>
        <item t="data" h="1" sd="1" m="1" x="3955"/>
        <item t="data" h="1" sd="1" m="1" x="5887"/>
        <item t="data" h="1" sd="1" m="1" x="6906"/>
        <item t="data" h="1" sd="1" m="1" x="5695"/>
        <item t="data" h="1" sd="1" m="1" x="6908"/>
        <item t="data" h="1" sd="1" m="1" x="6756"/>
        <item t="data" h="1" sd="1" m="1" x="6909"/>
        <item t="data" h="1" sd="1" m="1" x="6910"/>
        <item t="data" h="1" sd="1" m="1" x="5682"/>
        <item t="data" h="1" sd="1" m="1" x="5683"/>
        <item t="data" h="1" sd="1" m="1" x="6911"/>
        <item t="data" h="1" sd="1" m="1" x="6912"/>
        <item t="data" h="1" sd="1" m="1" x="6913"/>
        <item t="data" h="1" sd="1" m="1" x="6915"/>
        <item t="data" h="1" sd="1" m="1" x="6916"/>
        <item t="data" h="1" sd="1" m="1" x="958"/>
        <item t="data" h="1" sd="1" m="1" x="6759"/>
        <item t="data" h="1" sd="1" m="1" x="6917"/>
        <item t="data" h="1" sd="1" m="1" x="6918"/>
        <item t="data" h="1" sd="1" m="1" x="6919"/>
        <item t="data" h="1" sd="1" m="1" x="5096"/>
        <item t="data" h="1" sd="1" m="1" x="6920"/>
        <item t="data" h="1" sd="1" m="1" x="6921"/>
        <item t="data" h="1" sd="1" m="1" x="6922"/>
        <item t="data" h="1" sd="1" m="1" x="6923"/>
        <item t="data" h="1" sd="1" m="1" x="6924"/>
        <item t="data" h="1" sd="1" m="1" x="6925"/>
        <item t="data" h="1" sd="1" m="1" x="6926"/>
        <item t="data" h="1" sd="1" m="1" x="6927"/>
        <item t="data" h="1" sd="1" m="1" x="5122"/>
        <item t="data" h="1" sd="1" m="1" x="5612"/>
        <item t="data" h="1" sd="1" m="1" x="5826"/>
        <item t="data" h="1" sd="1" m="1" x="6928"/>
        <item t="data" h="1" sd="1" m="1" x="5149"/>
        <item t="data" h="1" sd="1" m="1" x="6930"/>
        <item t="data" h="1" sd="1" m="1" x="6931"/>
        <item t="data" h="1" sd="1" m="1" x="6932"/>
        <item t="data" h="1" sd="1" m="1" x="6933"/>
        <item t="data" h="1" sd="1" m="1" x="6934"/>
        <item t="data" h="1" sd="1" m="1" x="6935"/>
        <item t="data" h="1" sd="1" m="1" x="6936"/>
        <item t="data" h="1" sd="1" m="1" x="6937"/>
        <item t="data" h="1" sd="1" m="1" x="6762"/>
        <item t="data" h="1" sd="1" m="1" x="6938"/>
        <item t="data" h="1" sd="1" m="1" x="6767"/>
        <item t="data" h="1" sd="1" m="1" x="6939"/>
        <item t="data" h="1" sd="1" m="1" x="6940"/>
        <item t="data" h="1" sd="1" m="1" x="6763"/>
        <item t="data" h="1" sd="1" m="1" x="6941"/>
        <item t="data" h="1" sd="1" m="1" x="6942"/>
        <item t="data" h="1" sd="1" m="1" x="6764"/>
        <item t="data" h="1" sd="1" x="220"/>
        <item t="data" h="1" sd="1" m="1" x="6765"/>
        <item t="data" h="1" sd="1" m="1" x="6766"/>
        <item t="data" h="1" sd="1" m="1" x="6768"/>
        <item t="data" h="1" sd="1" m="1" x="5174"/>
        <item t="data" h="1" sd="1" m="1" x="6770"/>
        <item t="data" h="1" sd="1" m="1" x="6944"/>
        <item t="data" h="1" sd="1" m="1" x="6945"/>
        <item t="data" h="1" sd="1" m="1" x="6946"/>
        <item t="data" h="1" sd="1" m="1" x="6947"/>
        <item t="data" h="1" sd="1" m="1" x="6948"/>
        <item t="data" h="1" sd="1" m="1" x="6949"/>
        <item t="data" h="1" sd="1" m="1" x="6950"/>
        <item t="data" h="1" sd="1" m="1" x="6951"/>
        <item t="data" h="1" sd="1" m="1" x="6952"/>
        <item t="data" h="1" sd="1" m="1" x="6772"/>
        <item t="data" h="1" sd="1" m="1" x="6954"/>
        <item t="data" h="1" sd="1" m="1" x="1161"/>
        <item t="data" h="1" sd="1" m="1" x="6955"/>
        <item t="data" h="1" sd="1" m="1" x="6825"/>
        <item t="data" h="1" sd="1" m="1" x="4955"/>
        <item t="data" h="1" sd="1" m="1" x="6710"/>
        <item t="data" h="1" sd="1" m="1" x="6221"/>
        <item t="data" h="1" sd="1" m="1" x="6549"/>
        <item t="data" h="1" sd="1" m="1" x="6451"/>
        <item t="data" h="1" sd="1" m="1" x="572"/>
        <item t="data" h="1" sd="1" m="1" x="6605"/>
        <item t="data" h="1" sd="1" m="1" x="6774"/>
        <item t="data" h="1" sd="1" m="1" x="4972"/>
        <item t="data" h="1" sd="1" m="1" x="6555"/>
        <item t="data" h="1" sd="1" m="1" x="6244"/>
        <item t="data" h="1" sd="1" m="1" x="6775"/>
        <item t="data" h="1" sd="1" m="1" x="6776"/>
        <item t="data" h="1" sd="1" m="1" x="6778"/>
        <item t="data" h="1" sd="1" m="1" x="6780"/>
        <item t="data" h="1" sd="1" m="1" x="6781"/>
        <item t="data" h="1" sd="1" m="1" x="6712"/>
        <item t="data" h="1" sd="1" m="1" x="6713"/>
        <item t="data" h="1" sd="1" m="1" x="6782"/>
        <item t="data" h="1" sd="1" m="1" x="3160"/>
        <item t="data" h="1" sd="1" m="1" x="6562"/>
        <item t="data" h="1" sd="1" m="1" x="6563"/>
        <item t="data" h="1" sd="1" m="1" x="6259"/>
        <item t="data" h="1" sd="1" m="1" x="6783"/>
        <item t="data" h="1" sd="1" m="1" x="5447"/>
        <item t="data" h="1" sd="1" m="1" x="6565"/>
        <item t="data" h="1" sd="1" m="1" x="6784"/>
        <item t="data" h="1" sd="1" m="1" x="6566"/>
        <item t="data" h="1" sd="1" m="1" x="6567"/>
        <item t="data" h="1" sd="1" m="1" x="6614"/>
        <item t="data" h="1" sd="1" m="1" x="6475"/>
        <item t="data" h="1" sd="1" m="1" x="6476"/>
        <item t="data" h="1" sd="1" m="1" x="6477"/>
        <item t="data" h="1" sd="1" m="1" x="6707"/>
        <item t="data" h="1" sd="1" m="1" x="6625"/>
        <item t="data" h="1" sd="1" m="1" x="5058"/>
        <item t="data" h="1" sd="1" m="1" x="6569"/>
        <item t="data" h="1" sd="1" m="1" x="6628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6791"/>
        <item t="data" h="1" sd="1" m="1" x="6792"/>
        <item t="data" h="1" sd="1" m="1" x="6793"/>
        <item t="data" h="1" sd="1" m="1" x="6794"/>
        <item t="data" h="1" sd="1" m="1" x="5693"/>
        <item t="data" h="1" sd="1" m="1" x="6795"/>
        <item t="data" h="1" sd="1" m="1" x="6796"/>
        <item t="data" h="1" sd="1" m="1" x="6797"/>
        <item t="data" h="1" sd="1" m="1" x="6798"/>
        <item t="data" h="1" sd="1" m="1" x="6799"/>
        <item t="data" h="1" sd="1" m="1" x="6801"/>
        <item t="data" h="1" sd="1" m="1" x="6802"/>
        <item t="data" h="1" sd="1" m="1" x="6708"/>
        <item t="data" h="1" sd="1" m="1" x="6803"/>
        <item t="data" h="1" sd="1" m="1" x="6720"/>
        <item t="data" h="1" sd="1" m="1" x="5580"/>
        <item t="data" h="1" sd="1" m="1" x="6804"/>
        <item t="data" h="1" sd="1" m="1" x="6721"/>
        <item t="data" h="1" sd="1" m="1" x="6806"/>
        <item t="data" h="1" sd="1" m="1" x="6807"/>
        <item t="data" h="1" sd="1" m="1" x="6352"/>
        <item t="data" h="1" sd="1" m="1" x="6808"/>
        <item t="data" h="1" sd="1" m="1" x="6809"/>
        <item t="data" h="1" sd="1" m="1" x="6423"/>
        <item t="data" h="1" sd="1" m="1" x="6810"/>
        <item t="data" h="1" sd="1" m="1" x="6811"/>
        <item t="data" h="1" sd="1" m="1" x="4012"/>
        <item t="data" h="1" sd="1" m="1" x="6812"/>
        <item t="data" h="1" sd="1" m="1" x="6813"/>
        <item t="data" h="1" sd="1" m="1" x="6814"/>
        <item t="data" h="1" sd="1" m="1" x="6815"/>
        <item t="data" h="1" sd="1" m="1" x="6816"/>
        <item t="data" h="1" sd="1" m="1" x="6817"/>
        <item t="data" h="1" sd="1" m="1" x="6818"/>
        <item t="data" h="1" sd="1" m="1" x="6819"/>
        <item t="data" h="1" sd="1" m="1" x="6820"/>
        <item t="data" h="1" sd="1" m="1" x="6821"/>
        <item t="data" h="1" sd="1" m="1" x="6822"/>
        <item t="data" h="1" sd="1" m="1" x="6823"/>
        <item t="data" h="1" sd="1" m="1" x="6824"/>
        <item t="data" h="1" sd="1" m="1" x="6826"/>
        <item t="data" h="1" sd="1" m="1" x="6573"/>
        <item t="data" h="1" sd="1" m="1" x="6332"/>
        <item t="data" h="1" sd="1" m="1" x="6709"/>
        <item t="data" h="1" sd="1" m="1" x="6443"/>
        <item t="data" h="1" sd="1" m="1" x="6574"/>
        <item t="data" h="1" sd="1" m="1" x="6575"/>
        <item t="data" h="1" sd="1" m="1" x="2776"/>
        <item t="data" h="1" sd="1" m="1" x="6576"/>
        <item t="data" h="1" sd="1" m="1" x="4295"/>
        <item t="data" h="1" sd="1" m="1" x="5828"/>
        <item t="data" h="1" sd="1" m="1" x="6447"/>
        <item t="data" h="1" sd="1" m="1" x="6581"/>
        <item t="data" h="1" sd="1" m="1" x="5593"/>
        <item t="data" h="1" sd="1" m="1" x="5594"/>
        <item t="data" h="1" sd="1" m="1" x="5595"/>
        <item t="data" h="1" sd="1" m="1" x="4969"/>
        <item t="data" h="1" sd="1" m="1" x="6604"/>
        <item t="data" h="1" sd="1" m="1" x="5574"/>
        <item t="data" h="1" sd="1" m="1" x="6606"/>
        <item t="data" h="1" sd="1" m="1" x="6711"/>
        <item t="data" h="1" sd="1" m="1" x="6588"/>
        <item t="data" h="1" sd="1" m="1" x="1777"/>
        <item t="data" h="1" sd="1" m="1" x="6462"/>
        <item t="data" h="1" sd="1" m="1" x="6599"/>
        <item t="data" h="1" sd="1" m="1" x="6596"/>
        <item t="data" h="1" sd="1" m="1" x="6597"/>
        <item t="data" h="1" sd="1" m="1" x="6598"/>
        <item t="data" h="1" sd="1" m="1" x="4367"/>
        <item t="data" h="1" sd="1" m="1" x="2894"/>
        <item t="data" h="1" sd="1" m="1" x="6600"/>
        <item t="data" h="1" sd="1" m="1" x="6601"/>
        <item t="data" h="1" sd="1" m="1" x="6602"/>
        <item t="data" h="1" sd="1" m="1" x="6610"/>
        <item t="data" h="1" sd="1" m="1" x="6612"/>
        <item t="data" h="1" sd="1" m="1" x="6615"/>
        <item t="data" h="1" sd="1" m="1" x="3754"/>
        <item t="data" h="1" sd="1" m="1" x="6616"/>
        <item t="data" h="1" sd="1" m="1" x="6617"/>
        <item t="data" h="1" sd="1" m="1" x="6619"/>
        <item t="data" h="1" sd="1" m="1" x="6479"/>
        <item t="data" h="1" sd="1" m="1" x="6621"/>
        <item t="data" h="1" sd="1" m="1" x="6714"/>
        <item t="data" h="1" sd="1" m="1" x="6626"/>
        <item t="data" h="1" sd="1" m="1" x="6685"/>
        <item t="data" h="1" sd="1" m="1" x="3893"/>
        <item t="data" h="1" sd="1" m="1" x="6632"/>
        <item t="data" h="1" sd="1" m="1" x="6630"/>
        <item t="data" h="1" sd="1" m="1" x="6631"/>
        <item t="data" h="1" sd="1" m="1" x="6633"/>
        <item t="data" h="1" sd="1" m="1" x="6715"/>
        <item t="data" h="1" sd="1" m="1" x="5691"/>
        <item t="data" h="1" sd="1" m="1" x="6634"/>
        <item t="data" h="1" sd="1" m="1" x="3214"/>
        <item t="data" h="1" sd="1" m="1" x="6716"/>
        <item t="data" h="1" sd="1" m="1" x="6717"/>
        <item t="data" h="1" sd="1" m="1" x="6489"/>
        <item t="data" h="1" sd="1" m="1" x="6070"/>
        <item t="data" h="1" sd="1" m="1" x="6718"/>
        <item t="data" h="1" sd="1" m="1" x="6719"/>
        <item t="data" h="1" sd="1" m="1" x="5655"/>
        <item t="data" h="1" sd="1" m="1" x="5654"/>
        <item t="data" h="1" sd="1" m="1" x="6722"/>
        <item t="data" h="1" sd="1" m="1" x="6723"/>
        <item t="data" h="1" sd="1" m="1" x="6724"/>
        <item t="data" h="1" sd="1" m="1" x="6725"/>
        <item t="data" h="1" sd="1" m="1" x="6726"/>
        <item t="data" h="1" sd="1" m="1" x="6727"/>
        <item t="data" h="1" sd="1" m="1" x="6728"/>
        <item t="data" h="1" sd="1" m="1" x="6729"/>
        <item t="data" h="1" sd="1" m="1" x="6730"/>
        <item t="data" h="1" sd="1" m="1" x="5687"/>
        <item t="data" h="1" sd="1" m="1" x="5688"/>
        <item t="data" h="1" sd="1" m="1" x="5707"/>
        <item t="data" h="1" sd="1" m="1" x="6731"/>
        <item t="data" h="1" sd="1" m="1" x="6732"/>
        <item t="data" h="1" sd="1" m="1" x="6733"/>
        <item t="data" h="1" sd="1" m="1" x="6659"/>
        <item t="data" h="1" sd="1" m="1" x="6734"/>
        <item t="data" h="1" sd="1" m="1" x="6735"/>
        <item t="data" h="1" sd="1" m="1" x="6736"/>
        <item t="data" h="1" sd="1" m="1" x="6737"/>
        <item t="data" h="1" sd="1" m="1" x="6738"/>
        <item t="data" h="1" sd="1" m="1" x="6739"/>
        <item t="data" h="1" sd="1" m="1" x="6740"/>
        <item t="data" h="1" sd="1" m="1" x="6741"/>
        <item t="data" h="1" sd="1" m="1" x="5178"/>
        <item t="data" h="1" sd="1" m="1" x="6539"/>
        <item t="data" h="1" sd="1" m="1" x="6742"/>
        <item t="data" h="1" sd="1" m="1" x="6743"/>
        <item t="data" h="1" sd="1" m="1" x="4218"/>
        <item t="data" h="1" sd="1" m="1" x="6577"/>
        <item t="data" h="1" sd="1" m="1" x="6578"/>
        <item t="data" h="1" sd="1" m="1" x="6579"/>
        <item t="data" h="1" sd="1" m="1" x="6583"/>
        <item t="data" h="1" sd="1" m="1" x="4216"/>
        <item t="data" h="1" sd="1" m="1" x="6584"/>
        <item t="data" h="1" sd="1" m="1" x="6585"/>
        <item t="data" h="1" sd="1" m="1" x="6586"/>
        <item t="data" h="1" sd="1" m="1" x="6587"/>
        <item t="data" h="1" sd="1" m="1" x="6471"/>
        <item t="data" h="1" sd="1" m="1" x="6591"/>
        <item t="data" h="1" sd="1" m="1" x="6592"/>
        <item t="data" h="1" sd="1" m="1" x="6408"/>
        <item t="data" h="1" sd="1" m="1" x="6593"/>
        <item t="data" h="1" sd="1" m="1" x="6465"/>
        <item t="data" h="1" sd="1" m="1" x="6603"/>
        <item t="data" h="1" sd="1" m="1" x="6608"/>
        <item t="data" h="1" sd="1" m="1" x="6611"/>
        <item t="data" h="1" sd="1" m="1" x="6620"/>
        <item t="data" h="1" sd="1" m="1" x="6248"/>
        <item t="data" h="1" sd="1" m="1" x="6623"/>
        <item t="data" h="1" sd="1" m="1" x="5963"/>
        <item t="data" h="1" sd="1" m="1" x="6624"/>
        <item t="data" h="1" sd="1" m="1" x="6627"/>
        <item t="data" h="1" sd="1" m="1" x="5526"/>
        <item t="data" h="1" sd="1" m="1" x="5208"/>
        <item t="data" h="1" sd="1" m="1" x="6483"/>
        <item t="data" h="1" sd="1" m="1" x="6636"/>
        <item t="data" h="1" sd="1" m="1" x="6637"/>
        <item t="data" h="1" sd="1" m="1" x="6638"/>
        <item t="data" h="1" sd="1" m="1" x="6639"/>
        <item t="data" h="1" sd="1" m="1" x="6640"/>
        <item t="data" h="1" sd="1" m="1" x="6498"/>
        <item t="data" h="1" sd="1" m="1" x="6641"/>
        <item t="data" h="1" sd="1" m="1" x="6642"/>
        <item t="data" h="1" sd="1" m="1" x="6643"/>
        <item t="data" h="1" sd="1" m="1" x="6644"/>
        <item t="data" h="1" sd="1" m="1" x="6645"/>
        <item t="data" h="1" sd="1" m="1" x="5815"/>
        <item t="data" h="1" sd="1" m="1" x="5749"/>
        <item t="data" h="1" sd="1" m="1" x="6646"/>
        <item t="data" h="1" sd="1" m="1" x="6647"/>
        <item t="data" h="1" sd="1" m="1" x="6648"/>
        <item t="data" h="1" sd="1" m="1" x="5510"/>
        <item t="data" h="1" sd="1" m="1" x="6649"/>
        <item t="data" h="1" sd="1" m="1" x="6650"/>
        <item t="data" h="1" sd="1" m="1" x="6651"/>
        <item t="data" h="1" sd="1" m="1" x="6652"/>
        <item t="data" h="1" sd="1" m="1" x="6653"/>
        <item t="data" h="1" sd="1" m="1" x="6654"/>
        <item t="data" h="1" sd="1" m="1" x="6655"/>
        <item t="data" h="1" sd="1" m="1" x="5361"/>
        <item t="data" h="1" sd="1" m="1" x="1151"/>
        <item t="data" h="1" sd="1" m="1" x="6656"/>
        <item t="data" h="1" sd="1" m="1" x="6657"/>
        <item t="data" h="1" sd="1" m="1" x="6658"/>
        <item t="data" h="1" sd="1" m="1" x="6660"/>
        <item t="data" h="1" sd="1" m="1" x="6661"/>
        <item t="data" h="1" sd="1" m="1" x="6662"/>
        <item t="data" h="1" sd="1" m="1" x="6663"/>
        <item t="data" h="1" sd="1" m="1" x="515"/>
        <item t="data" h="1" sd="1" m="1" x="5408"/>
        <item t="data" h="1" sd="1" m="1" x="6664"/>
        <item t="data" h="1" sd="1" m="1" x="5163"/>
        <item t="data" h="1" sd="1" m="1" x="1476"/>
        <item t="data" h="1" sd="1" m="1" x="6665"/>
        <item t="data" h="1" sd="1" m="1" x="6666"/>
        <item t="data" h="1" sd="1" m="1" x="6667"/>
        <item t="data" h="1" sd="1" m="1" x="6668"/>
        <item t="data" h="1" sd="1" m="1" x="3919"/>
        <item t="data" h="1" sd="1" m="1" x="6670"/>
        <item t="data" h="1" sd="1" m="1" x="6671"/>
        <item t="data" h="1" sd="1" m="1" x="6672"/>
        <item t="data" h="1" sd="1" m="1" x="6673"/>
        <item t="data" h="1" sd="1" m="1" x="3463"/>
        <item t="data" h="1" sd="1" m="1" x="6674"/>
        <item t="data" h="1" sd="1" m="1" x="6031"/>
        <item t="data" h="1" sd="1" m="1" x="6676"/>
        <item t="data" h="1" sd="1" m="1" x="6677"/>
        <item t="data" h="1" sd="1" m="1" x="6678"/>
        <item t="data" h="1" sd="1" m="1" x="6679"/>
        <item t="data" h="1" sd="1" m="1" x="6680"/>
        <item t="data" h="1" sd="1" m="1" x="6681"/>
        <item t="data" h="1" sd="1" m="1" x="6682"/>
        <item t="data" h="1" sd="1" m="1" x="6683"/>
        <item t="data" h="1" sd="1" m="1" x="6684"/>
        <item t="data" h="1" sd="1" m="1" x="6686"/>
        <item t="data" h="1" sd="1" m="1" x="6687"/>
        <item t="data" h="1" sd="1" m="1" x="6688"/>
        <item t="data" h="1" sd="1" m="1" x="6689"/>
        <item t="data" h="1" sd="1" m="1" x="6690"/>
        <item t="data" h="1" sd="1" m="1" x="6691"/>
        <item t="data" h="1" sd="1" m="1" x="6692"/>
        <item t="data" h="1" sd="1" m="1" x="6693"/>
        <item t="data" h="1" sd="1" m="1" x="3864"/>
        <item t="data" h="1" sd="1" m="1" x="6694"/>
        <item t="data" h="1" sd="1" m="1" x="6695"/>
        <item t="data" h="1" sd="1" m="1" x="6696"/>
        <item t="data" h="1" sd="1" m="1" x="6697"/>
        <item t="data" h="1" sd="1" m="1" x="5756"/>
        <item t="data" h="1" sd="1" m="1" x="5757"/>
        <item t="data" h="1" sd="1" m="1" x="6698"/>
        <item t="data" h="1" sd="1" m="1" x="5739"/>
        <item t="data" h="1" sd="1" m="1" x="5754"/>
        <item t="data" h="1" sd="1" m="1" x="6339"/>
        <item t="data" h="1" sd="1" m="1" x="5777"/>
        <item t="data" h="1" sd="1" m="1" x="5800"/>
        <item t="data" h="1" sd="1" m="1" x="5690"/>
        <item t="data" h="1" sd="1" m="1" x="6699"/>
        <item t="data" h="1" sd="1" m="1" x="4892"/>
        <item t="data" h="1" sd="1" m="1" x="6700"/>
        <item t="data" h="1" sd="1" m="1" x="6701"/>
        <item t="data" h="1" sd="1" m="1" x="6702"/>
        <item t="data" h="1" sd="1" m="1" x="6703"/>
        <item t="data" h="1" sd="1" m="1" x="5468"/>
        <item t="data" h="1" sd="1" m="1" x="6704"/>
        <item t="data" h="1" sd="1" m="1" x="6383"/>
        <item t="data" h="1" sd="1" m="1" x="6214"/>
        <item t="data" h="1" sd="1" m="1" x="6444"/>
        <item t="data" h="1" sd="1" m="1" x="6445"/>
        <item t="data" h="1" sd="1" m="1" x="6446"/>
        <item t="data" h="1" sd="1" m="1" x="6218"/>
        <item t="data" h="1" sd="1" m="1" x="6385"/>
        <item t="data" h="1" sd="1" m="1" x="6386"/>
        <item t="data" h="1" sd="1" m="1" x="6220"/>
        <item t="data" h="1" sd="1" m="1" x="2683"/>
        <item t="data" h="1" sd="1" m="1" x="6448"/>
        <item t="data" h="1" sd="1" m="1" x="2809"/>
        <item t="data" h="1" sd="1" m="1" x="6232"/>
        <item t="data" h="1" sd="1" m="1" x="5317"/>
        <item t="data" h="1" sd="1" m="1" x="4800"/>
        <item t="data" h="1" sd="1" m="1" x="6450"/>
        <item t="data" h="1" sd="1" m="1" x="6078"/>
        <item t="data" h="1" sd="1" m="1" x="4573"/>
        <item t="data" h="1" sd="1" m="1" x="3199"/>
        <item t="data" h="1" sd="1" m="1" x="2461"/>
        <item t="data" h="1" sd="1" m="1" x="6452"/>
        <item t="data" h="1" sd="1" m="1" x="4220"/>
        <item t="data" h="1" sd="1" m="1" x="6382"/>
        <item t="data" h="1" sd="1" m="1" x="6453"/>
        <item t="data" h="1" sd="1" m="1" x="6454"/>
        <item t="data" h="1" sd="1" m="1" x="6456"/>
        <item t="data" h="1" sd="1" m="1" x="6390"/>
        <item t="data" h="1" sd="1" m="1" x="6391"/>
        <item t="data" h="1" sd="1" m="1" x="6392"/>
        <item t="data" h="1" sd="1" m="1" x="6393"/>
        <item t="data" h="1" sd="1" m="1" x="6243"/>
        <item t="data" h="1" sd="1" m="1" x="5964"/>
        <item t="data" h="1" sd="1" m="1" x="6246"/>
        <item t="data" h="1" sd="1" m="1" x="6460"/>
        <item t="data" h="1" sd="1" m="1" x="651"/>
        <item t="data" h="1" sd="1" m="1" x="6089"/>
        <item t="data" h="1" sd="1" m="1" x="6397"/>
        <item t="data" h="1" sd="1" m="1" x="6088"/>
        <item t="data" h="1" sd="1" m="1" x="6384"/>
        <item t="data" h="1" sd="1" m="1" x="6249"/>
        <item t="data" h="1" sd="1" m="1" x="6399"/>
        <item t="data" h="1" sd="1" m="1" x="6257"/>
        <item t="data" h="1" sd="1" m="1" x="6254"/>
        <item t="data" h="1" sd="1" m="1" x="6255"/>
        <item t="data" h="1" sd="1" m="1" x="3123"/>
        <item t="data" h="1" sd="1" m="1" x="6461"/>
        <item t="data" h="1" sd="1" m="1" x="6466"/>
        <item t="data" h="1" sd="1" m="1" x="6467"/>
        <item t="data" h="1" sd="1" m="1" x="6469"/>
        <item t="data" h="1" sd="1" m="1" x="4221"/>
        <item t="data" h="1" sd="1" m="1" x="6400"/>
        <item t="data" h="1" sd="1" m="1" x="6470"/>
        <item t="data" h="1" sd="1" m="1" x="6134"/>
        <item t="data" h="1" sd="1" m="1" x="5929"/>
        <item t="data" h="1" sd="1" m="1" x="6415"/>
        <item t="data" h="1" sd="1" m="1" x="772"/>
        <item t="data" h="1" sd="1" m="1" x="5020"/>
        <item t="data" h="1" sd="1" m="1" x="6266"/>
        <item t="data" h="1" sd="1" m="1" x="6269"/>
        <item t="data" h="1" sd="1" m="1" x="6272"/>
        <item t="data" h="1" sd="1" m="1" x="5991"/>
        <item t="data" h="1" sd="1" m="1" x="6273"/>
        <item t="data" h="1" sd="1" m="1" x="6474"/>
        <item t="data" h="1" sd="1" m="1" x="6478"/>
        <item t="data" h="1" sd="1" m="1" x="6480"/>
        <item t="data" h="1" sd="1" m="1" x="5584"/>
        <item t="data" h="1" sd="1" m="1" x="6010"/>
        <item t="data" h="1" sd="1" m="1" x="6277"/>
        <item t="data" h="1" sd="1" m="1" x="6293"/>
        <item t="data" h="1" sd="1" m="1" x="6291"/>
        <item t="data" h="1" sd="1" m="1" x="6481"/>
        <item t="data" h="1" sd="1" m="1" x="6292"/>
        <item t="data" h="1" sd="1" m="1" x="6289"/>
        <item t="data" h="1" sd="1" m="1" x="5389"/>
        <item t="data" h="1" sd="1" m="1" x="5816"/>
        <item t="data" h="1" sd="1" m="1" x="5823"/>
        <item t="data" h="1" sd="1" m="1" x="5824"/>
        <item t="data" h="1" sd="1" m="1" x="5817"/>
        <item t="data" h="1" sd="1" m="1" x="5818"/>
        <item t="data" h="1" sd="1" m="1" x="5819"/>
        <item t="data" h="1" sd="1" m="1" x="6482"/>
        <item t="data" h="1" sd="1" m="1" x="6307"/>
        <item t="data" h="1" sd="1" m="1" x="5939"/>
        <item t="data" h="1" sd="1" m="1" x="6484"/>
        <item t="data" h="1" sd="1" m="1" x="6485"/>
        <item t="data" h="1" sd="1" m="1" x="6486"/>
        <item t="data" h="1" sd="1" m="1" x="6487"/>
        <item t="data" h="1" sd="1" m="1" x="6490"/>
        <item t="data" h="1" sd="1" m="1" x="6491"/>
        <item t="data" h="1" sd="1" m="1" x="6492"/>
        <item t="data" h="1" sd="1" m="1" x="5789"/>
        <item t="data" h="1" sd="1" m="1" x="6493"/>
        <item t="data" h="1" sd="1" m="1" x="6422"/>
        <item t="data" h="1" sd="1" m="1" x="5647"/>
        <item t="data" h="1" sd="1" m="1" x="5822"/>
        <item t="data" h="1" sd="1" m="1" x="5825"/>
        <item t="data" h="1" sd="1" m="1" x="588"/>
        <item t="data" h="1" sd="1" m="1" x="6497"/>
        <item t="data" h="1" sd="1" m="1" x="5827"/>
        <item t="data" h="1" sd="1" m="1" x="6499"/>
        <item t="data" h="1" sd="1" m="1" x="5516"/>
        <item t="data" h="1" sd="1" m="1" x="6500"/>
        <item t="data" h="1" sd="1" m="1" x="6501"/>
        <item t="data" h="1" sd="1" m="1" x="6502"/>
        <item t="data" h="1" sd="1" m="1" x="6503"/>
        <item t="data" h="1" sd="1" m="1" x="847"/>
        <item t="data" h="1" sd="1" m="1" x="6504"/>
        <item t="data" h="1" sd="1" m="1" x="6080"/>
        <item t="data" h="1" sd="1" m="1" x="6505"/>
        <item t="data" h="1" sd="1" m="1" x="1947"/>
        <item t="data" h="1" sd="1" m="1" x="6508"/>
        <item t="data" h="1" sd="1" m="1" x="5084"/>
        <item t="data" h="1" sd="1" m="1" x="6509"/>
        <item t="data" h="1" sd="1" m="1" x="6510"/>
        <item t="data" h="1" sd="1" m="1" x="5766"/>
        <item t="data" h="1" sd="1" m="1" x="6511"/>
        <item t="data" h="1" sd="1" m="1" x="6512"/>
        <item t="data" h="1" sd="1" m="1" x="5775"/>
        <item t="data" h="1" sd="1" m="1" x="5755"/>
        <item t="data" h="1" sd="1" m="1" x="6090"/>
        <item t="data" h="1" sd="1" m="1" x="6514"/>
        <item t="data" h="1" sd="1" m="1" x="5753"/>
        <item t="data" h="1" sd="1" m="1" x="6091"/>
        <item t="data" h="1" sd="1" m="1" x="6340"/>
        <item t="data" h="1" sd="1" m="1" x="6515"/>
        <item t="data" h="1" sd="1" m="1" x="5968"/>
        <item t="data" h="1" sd="1" m="1" x="6516"/>
        <item t="data" h="1" sd="1" m="1" x="5778"/>
        <item t="data" h="1" sd="1" m="1" x="6517"/>
        <item t="data" h="1" sd="1" m="1" x="6518"/>
        <item t="data" h="1" sd="1" m="1" x="6519"/>
        <item t="data" h="1" sd="1" m="1" x="6520"/>
        <item t="data" h="1" sd="1" m="1" x="5649"/>
        <item t="data" h="1" sd="1" m="1" x="6521"/>
        <item t="data" h="1" sd="1" m="1" x="5809"/>
        <item t="data" h="1" sd="1" m="1" x="4872"/>
        <item t="data" h="1" sd="1" m="1" x="4873"/>
        <item t="data" h="1" sd="1" m="1" x="5764"/>
        <item t="data" h="1" sd="1" m="1" x="5761"/>
        <item t="data" h="1" sd="1" m="1" x="6522"/>
        <item t="data" h="1" sd="1" m="1" x="6523"/>
        <item t="data" h="1" sd="1" m="1" x="5525"/>
        <item t="data" h="1" sd="1" m="1" x="5648"/>
        <item t="data" h="1" sd="1" m="1" x="5467"/>
        <item t="data" h="1" sd="1" m="1" x="6437"/>
        <item t="data" h="1" sd="1" m="1" x="6524"/>
        <item t="data" h="1" sd="1" m="1" x="6074"/>
        <item t="data" h="1" sd="1" m="1" x="5705"/>
        <item t="data" h="1" sd="1" m="1" x="6525"/>
        <item t="data" h="1" sd="1" m="1" x="6526"/>
        <item t="data" h="1" sd="1" m="1" x="6527"/>
        <item t="data" h="1" sd="1" m="1" x="5415"/>
        <item t="data" h="1" sd="1" m="1" x="6528"/>
        <item t="data" h="1" sd="1" m="1" x="6529"/>
        <item t="data" h="1" sd="1" m="1" x="6530"/>
        <item t="data" h="1" sd="1" m="1" x="6531"/>
        <item t="data" h="1" sd="1" m="1" x="5689"/>
        <item t="data" h="1" sd="1" m="1" x="6533"/>
        <item t="data" h="1" sd="1" m="1" x="6534"/>
        <item t="data" h="1" sd="1" m="1" x="6535"/>
        <item t="data" h="1" sd="1" m="1" x="6536"/>
        <item t="data" h="1" sd="1" m="1" x="6537"/>
        <item t="data" h="1" sd="1" m="1" x="5681"/>
        <item t="data" h="1" sd="1" m="1" x="6538"/>
        <item t="data" h="1" sd="1" m="1" x="4222"/>
        <item t="data" h="1" sd="1" m="1" x="5646"/>
        <item t="data" h="1" sd="1" m="1" x="6201"/>
        <item t="data" h="1" sd="1" m="1" x="6072"/>
        <item t="data" h="1" sd="1" m="1" x="6207"/>
        <item t="data" h="1" sd="1" m="1" x="6073"/>
        <item t="data" h="1" sd="1" m="1" x="6071"/>
        <item t="data" h="1" sd="1" m="1" x="5190"/>
        <item t="data" h="1" sd="1" m="1" x="6217"/>
        <item t="data" h="1" sd="1" m="1" x="6108"/>
        <item t="data" h="1" sd="1" m="1" x="6219"/>
        <item t="data" h="1" sd="1" m="1" x="4219"/>
        <item t="data" h="1" sd="1" m="1" x="6387"/>
        <item t="data" h="1" sd="1" m="1" x="6223"/>
        <item t="data" h="1" sd="1" m="1" x="6222"/>
        <item t="data" h="1" sd="1" m="1" x="6231"/>
        <item t="data" h="1" sd="1" m="1" x="6233"/>
        <item t="data" h="1" sd="1" m="1" x="2039"/>
        <item t="data" h="1" sd="1" m="1" x="6238"/>
        <item t="data" h="1" sd="1" m="1" x="6239"/>
        <item t="data" h="1" sd="1" m="1" x="1372"/>
        <item t="data" h="1" sd="1" m="1" x="5393"/>
        <item t="data" h="1" sd="1" m="1" x="4910"/>
        <item t="data" h="1" sd="1" m="1" x="4657"/>
        <item t="data" h="1" sd="1" m="1" x="6240"/>
        <item t="data" h="1" sd="1" m="1" x="6245"/>
        <item t="data" h="1" sd="1" m="1" x="6120"/>
        <item t="data" h="1" sd="1" m="1" x="6121"/>
        <item t="data" h="1" sd="1" m="1" x="6395"/>
        <item t="data" h="1" sd="1" m="1" x="6396"/>
        <item t="data" h="1" sd="1" m="1" x="3833"/>
        <item t="data" h="1" sd="1" m="1" x="6398"/>
        <item t="data" h="1" sd="1" m="1" x="6138"/>
        <item t="data" h="1" sd="1" m="1" x="6401"/>
        <item t="data" h="1" sd="1" m="1" x="6402"/>
        <item t="data" h="1" sd="1" m="1" x="6403"/>
        <item t="data" h="1" sd="1" m="1" x="6404"/>
        <item t="data" h="1" sd="1" m="1" x="5398"/>
        <item t="data" h="1" sd="1" m="1" x="6252"/>
        <item t="data" h="1" sd="1" m="1" x="6253"/>
        <item t="data" h="1" sd="1" m="1" x="6405"/>
        <item t="data" h="1" sd="1" m="1" x="6406"/>
        <item t="data" h="1" sd="1" m="1" x="6407"/>
        <item t="data" h="1" sd="1" m="1" x="6256"/>
        <item t="data" h="1" sd="1" m="1" x="4656"/>
        <item t="data" h="1" sd="1" m="1" x="6264"/>
        <item t="data" h="1" sd="1" m="1" x="3518"/>
        <item t="data" h="1" sd="1" m="1" x="6261"/>
        <item t="data" h="1" sd="1" m="1" x="4230"/>
        <item t="data" h="1" sd="1" m="1" x="6263"/>
        <item t="data" h="1" sd="1" m="1" x="4802"/>
        <item t="data" h="1" sd="1" m="1" x="6271"/>
        <item t="data" h="1" sd="1" m="1" x="5882"/>
        <item t="data" h="1" sd="1" m="1" x="6274"/>
        <item t="data" h="1" sd="1" m="1" x="539"/>
        <item t="data" h="1" sd="1" m="1" x="6280"/>
        <item t="data" h="1" sd="1" m="1" x="6281"/>
        <item t="data" h="1" sd="1" m="1" x="6020"/>
        <item t="data" h="1" sd="1" m="1" x="4819"/>
        <item t="data" h="1" sd="1" m="1" x="6008"/>
        <item t="data" h="1" sd="1" m="1" x="6298"/>
        <item t="data" h="1" sd="1" m="1" x="6299"/>
        <item t="data" h="1" sd="1" m="1" x="6290"/>
        <item t="data" h="1" sd="1" m="1" x="4233"/>
        <item t="data" h="1" sd="1" m="1" x="6301"/>
        <item t="data" h="1" sd="1" m="1" x="6302"/>
        <item t="data" h="1" sd="1" m="1" x="6303"/>
        <item t="data" h="1" sd="1" m="1" x="6304"/>
        <item t="data" h="1" sd="1" m="1" x="6305"/>
        <item t="data" h="1" sd="1" m="1" x="6312"/>
        <item t="data" h="1" sd="1" m="1" x="6315"/>
        <item t="data" h="1" sd="1" m="1" x="6419"/>
        <item t="data" h="1" sd="1" m="1" x="6308"/>
        <item t="data" h="1" sd="1" m="1" x="6421"/>
        <item t="data" h="1" sd="1" m="1" x="4835"/>
        <item t="data" h="1" sd="1" m="1" x="6334"/>
        <item t="data" h="1" sd="1" m="1" x="6424"/>
        <item t="data" h="1" sd="1" m="1" x="5614"/>
        <item t="data" h="1" sd="1" m="1" x="6425"/>
        <item t="data" h="1" sd="1" m="1" x="6320"/>
        <item t="data" h="1" sd="1" m="1" x="6426"/>
        <item t="data" h="1" sd="1" m="1" x="6323"/>
        <item t="data" h="1" sd="1" m="1" x="6427"/>
        <item t="data" h="1" sd="1" m="1" x="5669"/>
        <item t="data" h="1" sd="1" m="1" x="6430"/>
        <item t="data" h="1" sd="1" m="1" x="6431"/>
        <item t="data" h="1" sd="1" m="1" x="5641"/>
        <item t="data" h="1" sd="1" m="1" x="6433"/>
        <item t="data" h="1" sd="1" m="1" x="5668"/>
        <item t="data" h="1" sd="1" m="1" x="6434"/>
        <item t="data" h="1" sd="1" m="1" x="5634"/>
        <item t="data" h="1" sd="1" m="1" x="6435"/>
        <item t="data" h="1" sd="1" m="1" x="6436"/>
        <item t="data" h="1" sd="1" m="1" x="5636"/>
        <item t="data" h="1" sd="1" m="1" x="5639"/>
        <item t="data" h="1" sd="1" m="1" x="5642"/>
        <item t="data" h="1" sd="1" m="1" x="5640"/>
        <item t="data" h="1" sd="1" m="1" x="5643"/>
        <item t="data" h="1" sd="1" m="1" x="5635"/>
        <item t="data" h="1" sd="1" m="1" x="5638"/>
        <item t="data" h="1" sd="1" m="1" x="5637"/>
        <item t="data" h="1" sd="1" m="1" x="6011"/>
        <item t="data" h="1" sd="1" m="1" x="6369"/>
        <item t="data" h="1" sd="1" m="1" x="6438"/>
        <item t="data" h="1" sd="1" m="1" x="6371"/>
        <item t="data" h="1" sd="1" m="1" x="6366"/>
        <item t="data" h="1" sd="1" m="1" x="6191"/>
        <item t="data" h="1" sd="1" m="1" x="6363"/>
        <item t="data" h="1" sd="1" m="1" x="5633"/>
        <item t="data" h="1" sd="1" m="1" x="6439"/>
        <item t="data" h="1" sd="1" m="1" x="6440"/>
        <item t="data" h="1" sd="1" m="1" x="6380"/>
        <item t="data" h="1" sd="1" m="1" x="6215"/>
        <item t="data" h="1" sd="1" m="1" x="6216"/>
        <item t="data" h="1" sd="1" m="1" x="5413"/>
        <item t="data" h="1" sd="1" m="1" x="5412"/>
        <item t="data" h="1" sd="1" m="1" x="6224"/>
        <item t="data" h="1" sd="1" m="1" x="6225"/>
        <item t="data" h="1" sd="1" m="1" x="6226"/>
        <item t="data" h="1" sd="1" m="1" x="6227"/>
        <item t="data" h="1" sd="1" m="1" x="6228"/>
        <item t="data" h="1" sd="1" m="1" x="4943"/>
        <item t="data" h="1" sd="1" m="1" x="5941"/>
        <item t="data" h="1" sd="1" m="1" x="6230"/>
        <item t="data" h="1" sd="1" m="1" x="6234"/>
        <item t="data" h="1" sd="1" m="1" x="6235"/>
        <item t="data" h="1" sd="1" m="1" x="6237"/>
        <item t="data" h="1" sd="1" m="1" x="4225"/>
        <item t="data" h="1" sd="1" m="1" x="4226"/>
        <item t="data" h="1" sd="1" m="1" x="3198"/>
        <item t="data" h="1" sd="1" m="1" x="6118"/>
        <item t="data" h="1" sd="1" m="1" x="6242"/>
        <item t="data" h="1" sd="1" m="1" x="525"/>
        <item t="data" h="1" sd="1" m="1" x="3022"/>
        <item t="data" h="1" sd="1" m="1" x="6250"/>
        <item t="data" h="1" sd="1" m="1" x="6140"/>
        <item t="data" h="1" sd="1" m="1" x="6258"/>
        <item t="data" h="1" sd="1" m="1" x="6262"/>
        <item t="data" h="1" sd="1" m="1" x="6265"/>
        <item t="data" h="1" sd="1" m="1" x="6268"/>
        <item t="data" h="1" sd="1" m="1" x="1474"/>
        <item t="data" h="1" sd="1" m="1" x="6144"/>
        <item t="data" h="1" sd="1" m="1" x="472"/>
        <item t="data" h="1" sd="1" m="1" x="6275"/>
        <item t="data" h="1" sd="1" m="1" x="6278"/>
        <item t="data" h="1" sd="1" m="1" x="6279"/>
        <item t="data" h="1" sd="1" m="1" x="6148"/>
        <item t="data" h="1" sd="1" m="1" x="6282"/>
        <item t="data" h="1" sd="1" m="1" x="6283"/>
        <item t="data" h="1" sd="1" m="1" x="6149"/>
        <item t="data" h="1" sd="1" m="1" x="6284"/>
        <item t="data" h="1" sd="1" m="1" x="6285"/>
        <item t="data" h="1" sd="1" m="1" x="6147"/>
        <item t="data" h="1" sd="1" m="1" x="6287"/>
        <item t="data" h="1" sd="1" m="1" x="6294"/>
        <item t="data" h="1" sd="1" m="1" x="6297"/>
        <item t="data" h="1" sd="1" m="1" x="6300"/>
        <item t="data" h="1" sd="1" m="1" x="5794"/>
        <item t="data" h="1" sd="1" m="1" x="5959"/>
        <item t="data" h="1" sd="1" m="1" x="6306"/>
        <item t="data" h="1" sd="1" m="1" x="6158"/>
        <item t="data" h="1" sd="1" m="1" x="6309"/>
        <item t="data" h="1" sd="1" m="1" x="6310"/>
        <item t="data" h="1" sd="1" m="1" x="6311"/>
        <item t="data" h="1" sd="1" m="1" x="6313"/>
        <item t="data" h="1" sd="1" m="1" x="6314"/>
        <item t="data" h="1" sd="1" m="1" x="6318"/>
        <item t="data" h="1" sd="1" m="1" x="6319"/>
        <item t="data" h="1" sd="1" m="1" x="6321"/>
        <item t="data" h="1" sd="1" m="1" x="6322"/>
        <item t="data" h="1" sd="1" m="1" x="6168"/>
        <item t="data" h="1" sd="1" m="1" x="6325"/>
        <item t="data" h="1" sd="1" m="1" x="6326"/>
        <item t="data" h="1" sd="1" m="1" x="6327"/>
        <item t="data" h="1" sd="1" m="1" x="6328"/>
        <item t="data" h="1" sd="1" m="1" x="6329"/>
        <item t="data" h="1" sd="1" m="1" x="5666"/>
        <item t="data" h="1" sd="1" m="1" x="6176"/>
        <item t="data" h="1" sd="1" m="1" x="6331"/>
        <item t="data" h="1" sd="1" m="1" x="5697"/>
        <item t="data" h="1" sd="1" m="1" x="5486"/>
        <item t="data" h="1" sd="1" m="1" x="5769"/>
        <item t="data" h="1" sd="1" m="1" x="6333"/>
        <item t="data" h="1" sd="1" m="1" x="5750"/>
        <item t="data" h="1" sd="1" m="1" x="4859"/>
        <item t="data" h="1" sd="1" m="1" x="6335"/>
        <item t="data" h="1" sd="1" m="1" x="5743"/>
        <item t="data" h="1" sd="1" m="1" x="4860"/>
        <item t="data" h="1" sd="1" m="1" x="5740"/>
        <item t="data" h="1" sd="1" m="1" x="6336"/>
        <item t="data" h="1" sd="1" m="1" x="6338"/>
        <item t="data" h="1" sd="1" m="1" x="6341"/>
        <item t="data" h="1" sd="1" m="1" x="6342"/>
        <item t="data" h="1" sd="1" m="1" x="6343"/>
        <item t="data" h="1" sd="1" m="1" x="6349"/>
        <item t="data" h="1" sd="1" m="1" x="6184"/>
        <item t="data" h="1" sd="1" m="1" x="6361"/>
        <item t="data" h="1" sd="1" m="1" x="6197"/>
        <item t="data" h="1" sd="1" m="1" x="6362"/>
        <item t="data" h="1" sd="1" m="1" x="697"/>
        <item t="data" h="1" sd="1" m="1" x="6364"/>
        <item t="data" h="1" sd="1" m="1" x="6365"/>
        <item t="data" h="1" sd="1" m="1" x="6367"/>
        <item t="data" h="1" sd="1" m="1" x="6368"/>
        <item t="data" h="1" sd="1" m="1" x="6370"/>
        <item t="data" h="1" sd="1" m="1" x="6199"/>
        <item t="data" h="1" sd="1" m="1" x="6372"/>
        <item t="data" h="1" sd="1" m="1" x="6373"/>
        <item t="data" h="1" sd="1" m="1" x="6375"/>
        <item t="data" h="1" sd="1" m="1" x="6377"/>
        <item t="data" h="1" sd="1" m="1" x="4232"/>
        <item t="data" h="1" sd="1" m="1" x="6104"/>
        <item t="data" h="1" sd="1" m="1" x="6105"/>
        <item t="data" h="1" sd="1" m="1" x="6106"/>
        <item t="data" h="1" sd="1" m="1" x="6107"/>
        <item t="data" h="1" sd="1" m="1" x="5946"/>
        <item t="data" h="1" sd="1" m="1" x="5947"/>
        <item t="data" h="1" sd="1" m="1" x="4660"/>
        <item t="data" h="1" sd="1" m="1" x="5192"/>
        <item t="data" h="1" sd="1" m="1" x="6109"/>
        <item t="data" h="1" sd="1" m="1" x="6110"/>
        <item t="data" h="1" sd="1" m="1" x="4223"/>
        <item t="data" h="1" sd="1" m="1" x="5936"/>
        <item t="data" h="1" sd="1" m="1" x="5402"/>
        <item t="data" h="1" sd="1" m="1" x="4224"/>
        <item t="data" h="1" sd="1" m="1" x="2692"/>
        <item t="data" h="1" sd="1" m="1" x="534"/>
        <item t="data" h="1" sd="1" m="1" x="6111"/>
        <item t="data" h="1" sd="1" m="1" x="4658"/>
        <item t="data" h="1" sd="1" m="1" x="6115"/>
        <item t="data" h="1" sd="1" m="1" x="6117"/>
        <item t="data" h="1" sd="1" m="1" x="6119"/>
        <item t="data" h="1" sd="1" m="1" x="6125"/>
        <item t="data" h="1" sd="1" m="1" x="6126"/>
        <item t="data" h="1" sd="1" m="1" x="5875"/>
        <item t="data" h="1" sd="1" m="1" x="4228"/>
        <item t="data" h="1" sd="1" m="1" x="4227"/>
        <item t="data" h="1" sd="1" m="1" x="6128"/>
        <item t="data" h="1" sd="1" m="1" x="6129"/>
        <item t="data" h="1" sd="1" m="1" x="6130"/>
        <item t="data" h="1" sd="1" m="1" x="6131"/>
        <item t="data" h="1" sd="1" m="1" x="6132"/>
        <item t="data" h="1" sd="1" m="1" x="5200"/>
        <item t="data" h="1" sd="1" m="1" x="6133"/>
        <item t="data" h="1" sd="1" m="1" x="4986"/>
        <item t="data" h="1" sd="1" m="1" x="6135"/>
        <item t="data" h="1" sd="1" m="1" x="6136"/>
        <item t="data" h="1" sd="1" m="1" x="6137"/>
        <item t="data" h="1" sd="1" m="1" x="6139"/>
        <item t="data" h="1" sd="1" m="1" x="5399"/>
        <item t="data" h="1" sd="1" m="1" x="5954"/>
        <item t="data" h="1" sd="1" m="1" x="5955"/>
        <item t="data" h="1" sd="1" m="1" x="4659"/>
        <item t="data" h="1" sd="1" m="1" x="5957"/>
        <item t="data" h="1" sd="1" m="1" x="4527"/>
        <item t="data" h="1" sd="1" m="1" x="4229"/>
        <item t="data" h="1" sd="1" m="1" x="4529"/>
        <item t="data" h="1" sd="1" m="1" x="4528"/>
        <item t="data" h="1" sd="1" m="1" x="6141"/>
        <item t="data" h="1" sd="1" x="369"/>
        <item t="data" h="1" sd="1" m="1" x="4231"/>
        <item t="data" h="1" sd="1" m="1" x="5933"/>
        <item t="data" h="1" sd="1" m="1" x="6146"/>
        <item t="data" h="1" sd="1" m="1" x="3523"/>
        <item t="data" h="1" sd="1" m="1" x="518"/>
        <item t="data" h="1" sd="1" m="1" x="5987"/>
        <item t="data" h="1" sd="1" m="1" x="5997"/>
        <item t="data" h="1" sd="1" m="1" x="5998"/>
        <item t="data" h="1" sd="1" m="1" x="5986"/>
        <item t="data" h="1" sd="1" m="1" x="5988"/>
        <item t="data" h="1" sd="1" m="1" x="5989"/>
        <item t="data" h="1" sd="1" m="1" x="5990"/>
        <item t="data" h="1" sd="1" m="1" x="5453"/>
        <item t="data" h="1" sd="1" m="1" x="4037"/>
        <item t="data" h="1" sd="1" m="1" x="5205"/>
        <item t="data" h="1" sd="1" m="1" x="5206"/>
        <item t="data" h="1" sd="1" m="1" x="6026"/>
        <item t="data" h="1" sd="1" m="1" x="6027"/>
        <item t="data" h="1" sd="1" m="1" x="6150"/>
        <item t="data" h="1" sd="1" m="1" x="6151"/>
        <item t="data" h="1" sd="1" m="1" x="6152"/>
        <item t="data" h="1" sd="1" m="1" x="5985"/>
        <item t="data" h="1" sd="1" m="1" x="6153"/>
        <item t="data" h="1" sd="1" m="1" x="5974"/>
        <item t="data" h="1" sd="1" m="1" x="5984"/>
        <item t="data" h="1" sd="1" m="1" x="5979"/>
        <item t="data" h="1" sd="1" m="1" x="4234"/>
        <item t="data" h="1" sd="1" m="1" x="6154"/>
        <item t="data" h="1" sd="1" m="1" x="6155"/>
        <item t="data" h="1" sd="1" m="1" x="6156"/>
        <item t="data" h="1" sd="1" m="1" x="6157"/>
        <item t="data" h="1" sd="1" m="1" x="6159"/>
        <item t="data" h="1" sd="1" m="1" x="6160"/>
        <item t="data" h="1" sd="1" m="1" x="5911"/>
        <item t="data" h="1" sd="1" m="1" x="5912"/>
        <item t="data" h="1" sd="1" m="1" x="3224"/>
        <item t="data" h="1" sd="1" m="1" x="6161"/>
        <item t="data" h="1" sd="1" m="1" x="6162"/>
        <item t="data" h="1" sd="1" m="1" x="6163"/>
        <item t="data" h="1" sd="1" m="1" x="6164"/>
        <item t="data" h="1" sd="1" m="1" x="5759"/>
        <item t="data" h="1" sd="1" m="1" x="6165"/>
        <item t="data" h="1" sd="1" m="1" x="5226"/>
        <item t="data" h="1" sd="1" m="1" x="6166"/>
        <item t="data" h="1" sd="1" m="1" x="6167"/>
        <item t="data" h="1" sd="1" m="1" x="6169"/>
        <item t="data" h="1" sd="1" m="1" x="6170"/>
        <item t="data" h="1" sd="1" m="1" x="6171"/>
        <item t="data" h="1" sd="1" m="1" x="6172"/>
        <item t="data" h="1" sd="1" m="1" x="6081"/>
        <item t="data" h="1" sd="1" m="1" x="6174"/>
        <item t="data" h="1" sd="1" m="1" x="5738"/>
        <item t="data" h="1" sd="1" m="1" x="6177"/>
        <item t="data" h="1" sd="1" m="1" x="6178"/>
        <item t="data" h="1" sd="1" m="1" x="5768"/>
        <item t="data" h="1" sd="1" m="1" x="6179"/>
        <item t="data" h="1" sd="1" m="1" x="5779"/>
        <item t="data" h="1" sd="1" m="1" x="5780"/>
        <item t="data" h="1" sd="1" m="1" x="5767"/>
        <item t="data" h="1" sd="1" m="1" x="6095"/>
        <item t="data" h="1" sd="1" m="1" x="6180"/>
        <item t="data" h="1" sd="1" m="1" x="4837"/>
        <item t="data" h="1" sd="1" m="1" x="4838"/>
        <item t="data" h="1" sd="1" m="1" x="6000"/>
        <item t="data" h="1" sd="1" m="1" x="6098"/>
        <item t="data" h="1" sd="1" m="1" x="5762"/>
        <item t="data" h="1" sd="1" m="1" x="5791"/>
        <item t="data" h="1" sd="1" m="1" x="5792"/>
        <item t="data" h="1" sd="1" m="1" x="6181"/>
        <item t="data" h="1" sd="1" m="1" x="3076"/>
        <item t="data" h="1" sd="1" m="1" x="6182"/>
        <item t="data" h="1" sd="1" m="1" x="6185"/>
        <item t="data" h="1" sd="1" m="1" x="6187"/>
        <item t="data" h="1" sd="1" m="1" x="6188"/>
        <item t="data" h="1" sd="1" m="1" x="6189"/>
        <item t="data" h="1" sd="1" m="1" x="6190"/>
        <item t="data" h="1" sd="1" m="1" x="6192"/>
        <item t="data" h="1" sd="1" m="1" x="6193"/>
        <item t="data" h="1" sd="1" m="1" x="6194"/>
        <item t="data" h="1" sd="1" m="1" x="6195"/>
        <item t="data" h="1" sd="1" m="1" x="6196"/>
        <item t="data" h="1" sd="1" m="1" x="6198"/>
        <item t="data" h="1" sd="1" m="1" x="6200"/>
        <item t="data" h="1" sd="1" m="1" x="5572"/>
        <item t="data" h="1" sd="1" m="1" x="5573"/>
        <item t="data" h="1" sd="1" m="1" x="5821"/>
        <item t="data" h="1" sd="1" m="1" x="6202"/>
        <item t="data" h="1" sd="1" m="1" x="6203"/>
        <item t="data" h="1" sd="1" m="1" x="6204"/>
        <item t="data" h="1" sd="1" m="1" x="6205"/>
        <item t="data" h="1" sd="1" m="1" x="2560"/>
        <item t="data" h="1" sd="1" m="1" x="3816"/>
        <item t="data" h="1" sd="1" m="1" x="4905"/>
        <item t="data" h="1" sd="1" m="1" x="5321"/>
        <item t="data" h="1" sd="1" m="1" x="4246"/>
        <item t="data" h="1" sd="1" m="1" x="5378"/>
        <item t="data" h="1" sd="1" m="1" x="6032"/>
        <item t="data" h="1" sd="1" m="1" x="6033"/>
        <item t="data" h="1" sd="1" m="1" x="6034"/>
        <item t="data" h="1" sd="1" m="1" x="6035"/>
        <item t="data" h="1" sd="1" m="1" x="5465"/>
        <item t="data" h="1" sd="1" m="1" x="6036"/>
        <item t="data" h="1" sd="1" m="1" x="3175"/>
        <item t="data" h="1" sd="1" m="1" x="5193"/>
        <item t="data" h="1" sd="1" m="1" x="6037"/>
        <item t="data" h="1" sd="1" m="1" x="6038"/>
        <item t="data" h="1" sd="1" m="1" x="5518"/>
        <item t="data" h="1" sd="1" m="1" x="5519"/>
        <item t="data" h="1" sd="1" m="1" x="6039"/>
        <item t="data" h="1" sd="1" m="1" x="6040"/>
        <item t="data" h="1" sd="1" m="1" x="866"/>
        <item t="data" h="1" sd="1" m="1" x="6041"/>
        <item t="data" h="1" sd="1" m="1" x="6042"/>
        <item t="data" h="1" sd="1" m="1" x="6043"/>
        <item t="data" h="1" sd="1" m="1" x="6044"/>
        <item t="data" h="1" sd="1" m="1" x="6045"/>
        <item t="data" h="1" sd="1" m="1" x="6046"/>
        <item t="data" h="1" sd="1" m="1" x="6047"/>
        <item t="data" h="1" sd="1" m="1" x="6048"/>
        <item t="data" h="1" sd="1" m="1" x="6049"/>
        <item t="data" h="1" sd="1" m="1" x="6050"/>
        <item t="data" h="1" sd="1" m="1" x="6051"/>
        <item t="data" h="1" sd="1" m="1" x="6052"/>
        <item t="data" h="1" sd="1" m="1" x="6053"/>
        <item t="data" h="1" sd="1" m="1" x="5916"/>
        <item t="data" h="1" sd="1" m="1" x="5917"/>
        <item t="data" h="1" sd="1" m="1" x="6054"/>
        <item t="data" h="1" sd="1" m="1" x="6055"/>
        <item t="data" h="1" sd="1" m="1" x="6056"/>
        <item t="data" h="1" sd="1" m="1" x="6057"/>
        <item t="data" h="1" sd="1" m="1" x="6058"/>
        <item t="data" h="1" sd="1" m="1" x="6059"/>
        <item t="data" h="1" sd="1" m="1" x="6060"/>
        <item t="data" h="1" sd="1" m="1" x="6061"/>
        <item t="data" h="1" sd="1" m="1" x="6062"/>
        <item t="data" h="1" sd="1" m="1" x="6063"/>
        <item t="data" h="1" sd="1" m="1" x="6065"/>
        <item t="data" h="1" sd="1" m="1" x="6066"/>
        <item t="data" h="1" sd="1" m="1" x="6067"/>
        <item t="data" h="1" sd="1" m="1" x="6068"/>
        <item t="data" h="1" sd="1" m="1" x="3359"/>
        <item t="data" h="1" sd="1" m="1" x="5920"/>
        <item t="data" h="1" sd="1" m="1" x="6069"/>
        <item t="data" h="1" sd="1" m="1" x="5856"/>
        <item t="data" h="1" sd="1" m="1" x="6075"/>
        <item t="data" h="1" sd="1" m="1" x="4662"/>
        <item t="data" h="1" sd="1" m="1" x="6076"/>
        <item t="data" h="1" sd="1" m="1" x="6077"/>
        <item t="data" h="1" sd="1" m="1" x="4304"/>
        <item t="data" h="1" sd="1" m="1" x="4661"/>
        <item t="data" h="1" sd="1" m="1" x="5201"/>
        <item t="data" h="1" sd="1" m="1" x="5931"/>
        <item t="data" h="1" sd="1" m="1" x="5318"/>
        <item t="data" h="1" sd="1" m="1" x="5060"/>
        <item t="data" h="1" sd="1" m="1" x="6079"/>
        <item t="data" h="1" sd="1" m="1" x="5347"/>
        <item t="data" h="1" sd="1" m="1" x="5671"/>
        <item t="data" h="1" sd="1" m="1" x="5944"/>
        <item t="data" h="1" sd="1" m="1" x="5942"/>
        <item t="data" h="1" sd="1" m="1" x="5943"/>
        <item t="data" h="1" sd="1" m="1" x="5701"/>
        <item t="data" h="1" sd="1" m="1" x="6082"/>
        <item t="data" h="1" sd="1" m="1" x="6083"/>
        <item t="data" h="1" sd="1" m="1" x="6084"/>
        <item t="data" h="1" sd="1" m="1" x="5421"/>
        <item t="data" h="1" sd="1" m="1" x="5951"/>
        <item t="data" h="1" sd="1" m="1" x="4993"/>
        <item t="data" h="1" sd="1" m="1" x="5950"/>
        <item t="data" h="1" sd="1" m="1" x="5728"/>
        <item t="data" h="1" sd="1" m="1" x="1625"/>
        <item t="data" h="1" sd="1" m="1" x="4244"/>
        <item t="data" h="1" sd="1" m="1" x="4663"/>
        <item t="data" h="1" sd="1" m="1" x="6085"/>
        <item t="data" h="1" sd="1" m="1" x="5737"/>
        <item t="data" h="1" sd="1" m="1" x="5962"/>
        <item t="data" h="1" sd="1" m="1" x="5863"/>
        <item t="data" h="1" sd="1" m="1" x="5961"/>
        <item t="data" h="1" sd="1" m="1" x="5781"/>
        <item t="data" h="1" sd="1" m="1" x="6086"/>
        <item t="data" h="1" sd="1" m="1" x="5770"/>
        <item t="data" h="1" sd="1" m="1" x="5776"/>
        <item t="data" h="1" sd="1" m="1" x="6087"/>
        <item t="data" h="1" sd="1" m="1" x="4240"/>
        <item t="data" h="1" sd="1" m="1" x="5966"/>
        <item t="data" h="1" sd="1" m="1" x="4241"/>
        <item t="data" h="1" sd="1" m="1" x="5874"/>
        <item t="data" h="1" sd="1" m="1" x="5783"/>
        <item t="data" h="1" sd="1" m="1" x="5784"/>
        <item t="data" h="1" sd="1" m="1" x="6092"/>
        <item t="data" h="1" sd="1" m="1" x="6093"/>
        <item t="data" h="1" sd="1" m="1" x="6094"/>
        <item t="data" h="1" sd="1" m="1" x="6096"/>
        <item t="data" h="1" sd="1" m="1" x="6097"/>
        <item t="data" h="1" sd="1" m="1" x="5969"/>
        <item t="data" h="1" sd="1" m="1" x="5438"/>
        <item t="data" h="1" sd="1" m="1" x="5439"/>
        <item t="data" h="1" sd="1" m="1" x="5795"/>
        <item t="data" h="1" sd="1" m="1" x="501"/>
        <item t="data" h="1" sd="1" m="1" x="4664"/>
        <item t="data" h="1" sd="1" m="1" x="5883"/>
        <item t="data" h="1" sd="1" m="1" x="5975"/>
        <item t="data" h="1" sd="1" m="1" x="5976"/>
        <item t="data" h="1" sd="1" m="1" x="5977"/>
        <item t="data" h="1" sd="1" m="1" x="5808"/>
        <item t="data" h="1" sd="1" m="1" x="5996"/>
        <item t="data" h="1" sd="1" m="1" x="6099"/>
        <item t="data" h="1" sd="1" m="1" x="5820"/>
        <item t="data" h="1" sd="1" m="1" x="6006"/>
        <item t="data" h="1" sd="1" m="1" x="6007"/>
        <item t="data" h="1" sd="1" m="1" x="1646"/>
        <item t="data" h="1" sd="1" m="1" x="6100"/>
        <item t="data" h="1" sd="1" m="1" x="6102"/>
        <item t="data" h="1" sd="1" m="1" x="5886"/>
        <item t="data" h="1" sd="1" m="1" x="6028"/>
        <item t="data" h="1" sd="1" m="1" x="5889"/>
        <item t="data" h="1" sd="1" m="1" x="6019"/>
        <item t="data" h="1" sd="1" m="1" x="6103"/>
        <item t="data" h="1" sd="1" m="1" x="4247"/>
        <item t="data" h="1" sd="1" m="1" x="5462"/>
        <item t="data" h="1" sd="1" m="1" x="5892"/>
        <item t="data" h="1" sd="1" m="1" x="5893"/>
        <item t="data" h="1" sd="1" m="1" x="5894"/>
        <item t="data" h="1" sd="1" m="1" x="5480"/>
        <item t="data" h="1" sd="1" m="1" x="5466"/>
        <item t="data" h="1" sd="1" m="1" x="5477"/>
        <item t="data" h="1" sd="1" m="1" x="5479"/>
        <item t="data" h="1" sd="1" m="1" x="5478"/>
        <item t="data" h="1" sd="1" m="1" x="3965"/>
        <item t="data" h="1" sd="1" m="1" x="5476"/>
        <item t="data" h="1" sd="1" m="1" x="3964"/>
        <item t="data" h="1" sd="1" m="1" x="5470"/>
        <item t="data" h="1" sd="1" m="1" x="3966"/>
        <item t="data" h="1" sd="1" m="1" x="5475"/>
        <item t="data" h="1" sd="1" m="1" x="5472"/>
        <item t="data" h="1" sd="1" m="1" x="5473"/>
        <item t="data" h="1" sd="1" m="1" x="5471"/>
        <item t="data" h="1" sd="1" m="1" x="5474"/>
        <item t="data" h="1" sd="1" m="1" x="5488"/>
        <item t="data" h="1" sd="1" m="1" x="5494"/>
        <item t="data" h="1" sd="1" m="1" x="5483"/>
        <item t="data" h="1" sd="1" m="1" x="5490"/>
        <item t="data" h="1" sd="1" m="1" x="5487"/>
        <item t="data" h="1" sd="1" m="1" x="5492"/>
        <item t="data" h="1" sd="1" m="1" x="5496"/>
        <item t="data" h="1" sd="1" m="1" x="5489"/>
        <item t="data" h="1" sd="1" m="1" x="5491"/>
        <item t="data" h="1" sd="1" m="1" x="5504"/>
        <item t="data" h="1" sd="1" m="1" x="5498"/>
        <item t="data" h="1" sd="1" m="1" x="5499"/>
        <item t="data" h="1" sd="1" m="1" x="5497"/>
        <item t="data" h="1" sd="1" m="1" x="5502"/>
        <item t="data" h="1" sd="1" m="1" x="5503"/>
        <item t="data" h="1" sd="1" m="1" x="5495"/>
        <item t="data" h="1" sd="1" m="1" x="5481"/>
        <item t="data" h="1" sd="1" m="1" x="5482"/>
        <item t="data" h="1" sd="1" m="1" x="5501"/>
        <item t="data" h="1" sd="1" m="1" x="5500"/>
        <item t="data" h="1" sd="1" m="1" x="5493"/>
        <item t="data" h="1" sd="1" m="1" x="5485"/>
        <item t="data" h="1" sd="1" m="1" x="5509"/>
        <item t="data" h="1" sd="1" m="1" x="5508"/>
        <item t="data" h="1" sd="1" m="1" x="5194"/>
        <item t="data" h="1" sd="1" m="1" x="5895"/>
        <item t="data" h="1" sd="1" m="1" x="5511"/>
        <item t="data" h="1" sd="1" m="1" x="5896"/>
        <item t="data" h="1" sd="1" m="1" x="5515"/>
        <item t="data" h="1" sd="1" m="1" x="5514"/>
        <item t="data" h="1" sd="1" m="1" x="5897"/>
        <item t="data" h="1" sd="1" m="1" x="5521"/>
        <item t="data" h="1" sd="1" m="1" x="5522"/>
        <item t="data" h="1" sd="1" m="1" x="4804"/>
        <item t="data" h="1" sd="1" m="1" x="5898"/>
        <item t="data" h="1" sd="1" m="1" x="5899"/>
        <item t="data" h="1" sd="1" m="1" x="5900"/>
        <item t="data" h="1" sd="1" m="1" x="5901"/>
        <item t="data" h="1" sd="1" m="1" x="5902"/>
        <item t="data" h="1" sd="1" m="1" x="5903"/>
        <item t="data" h="1" sd="1" m="1" x="5904"/>
        <item t="data" h="1" sd="1" m="1" x="5905"/>
        <item t="data" h="1" sd="1" m="1" x="5906"/>
        <item t="data" h="1" sd="1" m="1" x="5907"/>
        <item t="data" h="1" sd="1" m="1" x="5855"/>
        <item t="data" h="1" sd="1" m="1" x="5908"/>
        <item t="data" h="1" sd="1" m="1" x="2146"/>
        <item t="data" h="1" sd="1" m="1" x="5909"/>
        <item t="data" h="1" sd="1" m="1" x="1011"/>
        <item t="data" h="1" sd="1" m="1" x="5910"/>
        <item t="data" h="1" sd="1" m="1" x="5913"/>
        <item t="data" h="1" sd="1" m="1" x="5914"/>
        <item t="data" h="1" sd="1" m="1" x="5915"/>
        <item t="data" h="1" sd="1" m="1" x="5918"/>
        <item t="data" h="1" sd="1" m="1" x="5919"/>
        <item t="data" h="1" sd="1" m="1" x="4250"/>
        <item t="data" h="1" sd="1" m="1" x="4249"/>
        <item t="data" h="1" sd="1" m="1" x="5568"/>
        <item t="data" h="1" sd="1" m="1" x="5121"/>
        <item t="data" h="1" sd="1" m="1" x="5928"/>
        <item t="data" h="1" sd="1" m="1" x="5148"/>
        <item t="data" h="1" sd="1" m="1" x="5577"/>
        <item t="data" h="1" sd="1" m="1" x="4423"/>
        <item t="data" h="1" sd="1" m="1" x="5930"/>
        <item t="data" h="1" sd="1" m="1" x="4242"/>
        <item t="data" h="1" sd="1" m="1" x="5932"/>
        <item t="data" h="1" sd="1" m="1" x="5935"/>
        <item t="data" h="1" sd="1" m="1" x="5592"/>
        <item t="data" h="1" sd="1" m="1" x="5406"/>
        <item t="data" h="1" sd="1" m="1" x="5937"/>
        <item t="data" h="1" sd="1" m="1" x="5405"/>
        <item t="data" h="1" sd="1" m="1" x="5611"/>
        <item t="data" h="1" sd="1" m="1" x="5653"/>
        <item t="data" h="1" sd="1" m="1" x="5299"/>
        <item t="data" h="1" sd="1" m="1" x="5300"/>
        <item t="data" h="1" sd="1" m="1" x="5677"/>
        <item t="data" h="1" sd="1" m="1" x="5938"/>
        <item t="data" h="1" sd="1" m="1" x="620"/>
        <item t="data" h="1" sd="1" m="1" x="5940"/>
        <item t="data" h="1" sd="1" m="1" x="5696"/>
        <item t="data" h="1" sd="1" m="1" x="5414"/>
        <item t="data" h="1" sd="1" m="1" x="1607"/>
        <item t="data" h="1" sd="1" m="1" x="2641"/>
        <item t="data" h="1" sd="1" m="1" x="4255"/>
        <item t="data" h="1" sd="1" m="1" x="4673"/>
        <item t="data" h="1" sd="1" m="1" x="5945"/>
        <item t="data" h="1" sd="1" m="1" x="5948"/>
        <item t="data" h="1" sd="1" m="1" x="5949"/>
        <item t="data" h="1" sd="1" m="1" x="5708"/>
        <item t="data" h="1" sd="1" m="1" x="5709"/>
        <item t="data" h="1" sd="1" m="1" x="5710"/>
        <item t="data" h="1" sd="1" m="1" x="4051"/>
        <item t="data" h="1" sd="1" m="1" x="5141"/>
        <item t="data" h="1" sd="1" m="1" x="5718"/>
        <item t="data" h="1" sd="1" m="1" x="5711"/>
        <item t="data" h="1" sd="1" m="1" x="5712"/>
        <item t="data" h="1" sd="1" m="1" x="5953"/>
        <item t="data" h="1" sd="1" m="1" x="4245"/>
        <item t="data" h="1" sd="1" m="1" x="5424"/>
        <item t="data" h="1" sd="1" m="1" x="5866"/>
        <item t="data" h="1" sd="1" m="1" x="5960"/>
        <item t="data" h="1" sd="1" m="1" x="5748"/>
        <item t="data" h="1" sd="1" m="1" x="5763"/>
        <item t="data" h="1" sd="1" m="1" x="4236"/>
        <item t="data" h="1" sd="1" m="1" x="4237"/>
        <item t="data" h="1" sd="1" m="1" x="4238"/>
        <item t="data" h="1" sd="1" m="1" x="4239"/>
        <item t="data" h="1" sd="1" m="1" x="4251"/>
        <item t="data" h="1" sd="1" m="1" x="4911"/>
        <item t="data" h="1" sd="1" m="1" x="4912"/>
        <item t="data" h="1" sd="1" m="1" x="4813"/>
        <item t="data" h="1" sd="1" m="1" x="5870"/>
        <item t="data" h="1" sd="1" m="1" x="5967"/>
        <item t="data" h="1" sd="1" m="1" x="5871"/>
        <item t="data" h="1" sd="1" m="1" x="5872"/>
        <item t="data" h="1" sd="1" m="1" x="5248"/>
        <item t="data" h="1" sd="1" m="1" x="5773"/>
        <item t="data" h="1" sd="1" m="1" x="5785"/>
        <item t="data" h="1" sd="1" m="1" x="5788"/>
        <item t="data" h="1" sd="1" m="1" x="5444"/>
        <item t="data" h="1" sd="1" m="1" x="5971"/>
        <item t="data" h="1" sd="1" m="1" x="5972"/>
        <item t="data" h="1" sd="1" m="1" x="5973"/>
        <item t="data" h="1" sd="1" m="1" x="5980"/>
        <item t="data" h="1" sd="1" m="1" x="5981"/>
        <item t="data" h="1" sd="1" m="1" x="5982"/>
        <item t="data" h="1" sd="1" m="1" x="5983"/>
        <item t="data" h="1" sd="1" m="1" x="5880"/>
        <item t="data" h="1" sd="1" m="1" x="5992"/>
        <item t="data" h="1" sd="1" m="1" x="5993"/>
        <item t="data" h="1" sd="1" m="1" x="5994"/>
        <item t="data" h="1" sd="1" m="1" x="5999"/>
        <item t="data" h="1" sd="1" m="1" x="6001"/>
        <item t="data" h="1" sd="1" m="1" x="6002"/>
        <item t="data" h="1" sd="1" m="1" x="1387"/>
        <item t="data" h="1" sd="1" m="1" x="6003"/>
        <item t="data" h="1" sd="1" m="1" x="6004"/>
        <item t="data" h="1" sd="1" m="1" x="6005"/>
        <item t="data" h="1" sd="1" m="1" x="6014"/>
        <item t="data" h="1" sd="1" m="1" x="5885"/>
        <item t="data" h="1" sd="1" m="1" x="6015"/>
        <item t="data" h="1" sd="1" m="1" x="5888"/>
        <item t="data" h="1" sd="1" m="1" x="4671"/>
        <item t="data" h="1" sd="1" m="1" x="6021"/>
        <item t="data" h="1" sd="1" m="1" x="6022"/>
        <item t="data" h="1" sd="1" m="1" x="6024"/>
        <item t="data" h="1" sd="1" m="1" x="5052"/>
        <item t="data" h="1" sd="1" m="1" x="4554"/>
        <item t="data" h="1" sd="1" m="1" x="5463"/>
        <item t="data" h="1" sd="1" m="1" x="5836"/>
        <item t="data" h="1" sd="1" m="1" x="5837"/>
        <item t="data" h="1" sd="1" m="1" x="5838"/>
        <item t="data" h="1" sd="1" m="1" x="5839"/>
        <item t="data" h="1" sd="1" m="1" x="5382"/>
        <item t="data" h="1" sd="1" m="1" x="5195"/>
        <item t="data" h="1" sd="1" m="1" x="5844"/>
        <item t="data" h="1" sd="1" m="1" x="4803"/>
        <item t="data" h="1" sd="1" m="1" x="4531"/>
        <item t="data" h="1" sd="1" m="1" x="4532"/>
        <item t="data" h="1" sd="1" m="1" x="5845"/>
        <item t="data" h="1" sd="1" m="1" x="4866"/>
        <item t="data" h="1" sd="1" m="1" x="5520"/>
        <item t="data" h="1" sd="1" m="1" x="3634"/>
        <item t="data" h="1" sd="1" m="1" x="5846"/>
        <item t="data" h="1" sd="1" m="1" x="5847"/>
        <item t="data" h="1" sd="1" m="1" x="5848"/>
        <item t="data" h="1" sd="1" m="1" x="5557"/>
        <item t="data" h="1" sd="1" m="1" x="5849"/>
        <item t="data" h="1" sd="1" m="1" x="5850"/>
        <item t="data" h="1" sd="1" m="1" x="5851"/>
        <item t="data" h="1" sd="1" m="1" x="5530"/>
        <item t="data" h="1" sd="1" m="1" x="5531"/>
        <item t="data" h="1" sd="1" m="1" x="5532"/>
        <item t="data" h="1" sd="1" m="1" x="5556"/>
        <item t="data" h="1" sd="1" m="1" x="5537"/>
        <item t="data" h="1" sd="1" m="1" x="5555"/>
        <item t="data" h="1" sd="1" m="1" x="1231"/>
        <item t="data" h="1" sd="1" m="1" x="5554"/>
        <item t="data" h="1" sd="1" m="1" x="5558"/>
        <item t="data" h="1" sd="1" m="1" x="5559"/>
        <item t="data" h="1" sd="1" m="1" x="5538"/>
        <item t="data" h="1" sd="1" m="1" x="5852"/>
        <item t="data" h="1" sd="1" m="1" x="5853"/>
        <item t="data" h="1" sd="1" m="1" x="5854"/>
        <item t="data" h="1" sd="1" x="37"/>
        <item t="data" h="1" sd="1" m="1" x="5546"/>
        <item t="data" h="1" sd="1" m="1" x="5543"/>
        <item t="data" h="1" sd="1" m="1" x="5544"/>
        <item t="data" h="1" sd="1" m="1" x="5545"/>
        <item t="data" h="1" sd="1" m="1" x="5539"/>
        <item t="data" h="1" sd="1" m="1" x="5540"/>
        <item t="data" h="1" sd="1" m="1" x="5541"/>
        <item t="data" h="1" sd="1" m="1" x="5542"/>
        <item t="data" h="1" sd="1" m="1" x="5548"/>
        <item t="data" h="1" sd="1" m="1" x="4253"/>
        <item t="data" h="1" sd="1" m="1" x="5857"/>
        <item t="data" h="1" sd="1" m="1" x="5578"/>
        <item t="data" h="1" sd="1" m="1" x="5038"/>
        <item t="data" h="1" sd="1" m="1" x="5581"/>
        <item t="data" h="1" sd="1" m="1" x="5582"/>
        <item t="data" h="1" sd="1" m="1" x="5859"/>
        <item t="data" h="1" sd="1" m="1" x="5591"/>
        <item t="data" h="1" sd="1" m="1" x="2448"/>
        <item t="data" h="1" sd="1" m="1" x="5404"/>
        <item t="data" h="1" sd="1" x="263"/>
        <item t="data" h="1" sd="1" m="1" x="5598"/>
        <item t="data" h="1" sd="1" m="1" x="5599"/>
        <item t="data" h="1" sd="1" m="1" x="5600"/>
        <item t="data" h="1" sd="1" m="1" x="5601"/>
        <item t="data" h="1" sd="1" m="1" x="5602"/>
        <item t="data" h="1" sd="1" m="1" x="5610"/>
        <item t="data" h="1" sd="1" m="1" x="5609"/>
        <item t="data" h="1" sd="1" m="1" x="5606"/>
        <item t="data" h="1" sd="1" m="1" x="5607"/>
        <item t="data" h="1" sd="1" m="1" x="5608"/>
        <item t="data" h="1" sd="1" m="1" x="5604"/>
        <item t="data" h="1" sd="1" m="1" x="5605"/>
        <item t="data" h="1" sd="1" m="1" x="3103"/>
        <item t="data" h="1" sd="1" m="1" x="5301"/>
        <item t="data" h="1" sd="1" m="1" x="4530"/>
        <item t="data" h="1" sd="1" m="1" x="5694"/>
        <item t="data" h="1" sd="1" m="1" x="5713"/>
        <item t="data" h="1" sd="1" m="1" x="5861"/>
        <item t="data" h="1" sd="1" m="1" x="5727"/>
        <item t="data" h="1" sd="1" m="1" x="1614"/>
        <item t="data" h="1" sd="1" m="1" x="5862"/>
        <item t="data" h="1" sd="1" m="1" x="1613"/>
        <item t="data" h="1" sd="1" m="1" x="5729"/>
        <item t="data" h="1" sd="1" m="1" x="5864"/>
        <item t="data" h="1" sd="1" m="1" x="5865"/>
        <item t="data" h="1" sd="1" m="1" x="5867"/>
        <item t="data" h="1" sd="1" m="1" x="5869"/>
        <item t="data" h="1" sd="1" m="1" x="5786"/>
        <item t="data" h="1" sd="1" m="1" x="5787"/>
        <item t="data" h="1" sd="1" m="1" x="5442"/>
        <item t="data" h="1" sd="1" m="1" x="5793"/>
        <item t="data" h="1" sd="1" m="1" x="1810"/>
        <item t="data" h="1" sd="1" m="1" x="4670"/>
        <item t="data" h="1" sd="1" m="1" x="5878"/>
        <item t="data" h="1" sd="1" m="1" x="5807"/>
        <item t="data" h="1" sd="1" m="1" x="5879"/>
        <item t="data" h="1" sd="1" m="1" x="3268"/>
        <item t="data" h="1" sd="1" m="1" x="5881"/>
        <item t="data" h="1" sd="1" m="1" x="4210"/>
        <item t="data" h="1" sd="1" m="1" x="5204"/>
        <item t="data" h="1" sd="1" m="1" x="5814"/>
        <item t="data" h="1" sd="1" m="1" x="2888"/>
        <item t="data" h="1" sd="1" m="1" x="4672"/>
        <item t="data" h="1" sd="1" m="1" x="4212"/>
        <item t="data" h="1" sd="1" m="1" x="2122"/>
        <item t="data" h="1" sd="1" m="1" x="2736"/>
        <item t="data" h="1" sd="1" m="1" x="5890"/>
        <item t="data" h="1" sd="1" m="1" x="5891"/>
        <item t="data" h="1" sd="1" m="1" x="5460"/>
        <item t="data" h="1" sd="1" m="1" x="5464"/>
        <item t="data" h="1" sd="1" m="1" x="5505"/>
        <item t="data" h="1" sd="1" m="1" x="5506"/>
        <item t="data" h="1" sd="1" m="1" x="5507"/>
        <item t="data" h="1" sd="1" m="1" x="5513"/>
        <item t="data" h="1" sd="1" m="1" x="5517"/>
        <item t="data" h="1" sd="1" m="1" x="5527"/>
        <item t="data" h="1" sd="1" m="1" x="5528"/>
        <item t="data" h="1" sd="1" m="1" x="5529"/>
        <item t="data" h="1" sd="1" m="1" x="4832"/>
        <item t="data" h="1" sd="1" m="1" x="3876"/>
        <item t="data" h="1" sd="1" m="1" x="4830"/>
        <item t="data" h="1" sd="1" m="1" x="4831"/>
        <item t="data" h="1" sd="1" m="1" x="5533"/>
        <item t="data" h="1" sd="1" m="1" x="5534"/>
        <item t="data" h="1" sd="1" m="1" x="5535"/>
        <item t="data" h="1" sd="1" m="1" x="5536"/>
        <item t="data" h="1" sd="1" m="1" x="5549"/>
        <item t="data" h="1" sd="1" m="1" x="5550"/>
        <item t="data" h="1" sd="1" m="1" x="5551"/>
        <item t="data" h="1" sd="1" m="1" x="5552"/>
        <item t="data" h="1" sd="1" m="1" x="5553"/>
        <item t="data" h="1" sd="1" m="1" x="5560"/>
        <item t="data" h="1" sd="1" m="1" x="5561"/>
        <item t="data" h="1" sd="1" m="1" x="5576"/>
        <item t="data" h="1" sd="1" m="1" x="2696"/>
        <item t="data" h="1" sd="1" m="1" x="3351"/>
        <item t="data" h="1" sd="1" m="1" x="1876"/>
        <item t="data" h="1" sd="1" m="1" x="4992"/>
        <item t="data" h="1" sd="1" m="1" x="2605"/>
        <item t="data" h="1" sd="1" m="1" x="5579"/>
        <item t="data" h="1" sd="1" m="1" x="5583"/>
        <item t="data" h="1" sd="1" m="1" x="5454"/>
        <item t="data" h="1" sd="1" m="1" x="4981"/>
        <item t="data" h="1" sd="1" m="1" x="5403"/>
        <item t="data" h="1" sd="1" m="1" x="5407"/>
        <item t="data" h="1" sd="1" m="1" x="5603"/>
        <item t="data" h="1" sd="1" m="1" x="5615"/>
        <item t="data" h="1" sd="1" m="1" x="1612"/>
        <item t="data" h="1" sd="1" m="1" x="1611"/>
        <item t="data" h="1" sd="1" m="1" x="5410"/>
        <item t="data" h="1" sd="1" m="1" x="5673"/>
        <item t="data" h="1" sd="1" m="1" x="5674"/>
        <item t="data" h="1" sd="1" m="1" x="5676"/>
        <item t="data" h="1" sd="1" m="1" x="5191"/>
        <item t="data" h="1" sd="1" m="1" x="5678"/>
        <item t="data" h="1" sd="1" m="1" x="5679"/>
        <item t="data" h="1" sd="1" m="1" x="5680"/>
        <item t="data" h="1" sd="1" m="1" x="5313"/>
        <item t="data" h="1" sd="1" m="1" x="5698"/>
        <item t="data" h="1" sd="1" m="1" x="5700"/>
        <item t="data" h="1" sd="1" m="1" x="5706"/>
        <item t="data" h="1" sd="1" m="1" x="5120"/>
        <item t="data" h="1" sd="1" m="1" x="5714"/>
        <item t="data" h="1" sd="1" m="1" x="5715"/>
        <item t="data" h="1" sd="1" m="1" x="5716"/>
        <item t="data" h="1" sd="1" m="1" x="5717"/>
        <item t="data" h="1" sd="1" m="1" x="5720"/>
        <item t="data" h="1" sd="1" m="1" x="5723"/>
        <item t="data" h="1" sd="1" m="1" x="5724"/>
        <item t="data" h="1" sd="1" m="1" x="5725"/>
        <item t="data" h="1" sd="1" m="1" x="5726"/>
        <item t="data" h="1" sd="1" m="1" x="5257"/>
        <item t="data" h="1" sd="1" m="1" x="4534"/>
        <item t="data" h="1" sd="1" m="1" x="4982"/>
        <item t="data" h="1" sd="1" m="1" x="4235"/>
        <item t="data" h="1" sd="1" m="1" x="5765"/>
        <item t="data" h="1" sd="1" m="1" x="5782"/>
        <item t="data" h="1" sd="1" m="1" x="5330"/>
        <item t="data" h="1" sd="1" m="1" x="5375"/>
        <item t="data" h="1" sd="1" m="1" x="5790"/>
        <item t="data" h="1" sd="1" m="1" x="5443"/>
        <item t="data" h="1" sd="1" m="1" x="5446"/>
        <item t="data" h="1" sd="1" m="1" x="1377"/>
        <item t="data" h="1" sd="1" m="1" x="1610"/>
        <item t="data" h="1" sd="1" m="1" x="5033"/>
        <item t="data" h="1" sd="1" m="1" x="4936"/>
        <item t="data" h="1" sd="1" m="1" x="5798"/>
        <item t="data" h="1" sd="1" m="1" x="5799"/>
        <item t="data" h="1" sd="1" m="1" x="5801"/>
        <item t="data" h="1" sd="1" m="1" x="5802"/>
        <item t="data" h="1" sd="1" m="1" x="1304"/>
        <item t="data" h="1" sd="1" m="1" x="5062"/>
        <item t="data" h="1" sd="1" m="1" x="5803"/>
        <item t="data" h="1" sd="1" m="1" x="5804"/>
        <item t="data" h="1" sd="1" m="1" x="5805"/>
        <item t="data" h="1" sd="1" m="1" x="5806"/>
        <item t="data" h="1" sd="1" m="1" x="3541"/>
        <item t="data" h="1" sd="1" m="1" x="5810"/>
        <item t="data" h="1" sd="1" m="1" x="1803"/>
        <item t="data" h="1" sd="1" m="1" x="5811"/>
        <item t="data" h="1" sd="1" m="1" x="5056"/>
        <item t="data" h="1" sd="1" m="1" x="5812"/>
        <item t="data" h="1" sd="1" m="1" x="3443"/>
        <item t="data" h="1" sd="1" m="1" x="4371"/>
        <item t="data" h="1" sd="1" m="1" x="3246"/>
        <item t="data" h="1" sd="1" m="1" x="2277"/>
        <item t="data" h="1" sd="1" m="1" x="2909"/>
        <item t="data" h="1" sd="1" m="1" x="2096"/>
        <item t="data" h="1" sd="1" m="1" x="3445"/>
        <item t="data" h="1" sd="1" m="1" x="5216"/>
        <item t="data" h="1" sd="1" m="1" x="5829"/>
        <item t="data" h="1" sd="1" m="1" x="5830"/>
        <item t="data" h="1" sd="1" m="1" x="2480"/>
        <item t="data" h="1" sd="1" m="1" x="5831"/>
        <item t="data" h="1" sd="1" m="1" x="5832"/>
        <item t="data" h="1" sd="1" m="1" x="5833"/>
        <item t="data" h="1" sd="1" m="1" x="5379"/>
        <item t="data" h="1" sd="1" m="1" x="5380"/>
        <item t="data" h="1" sd="1" m="1" x="5381"/>
        <item t="data" h="1" sd="1" m="1" x="5383"/>
        <item t="data" h="1" sd="1" m="1" x="5384"/>
        <item t="data" h="1" sd="1" m="1" x="5323"/>
        <item t="data" h="1" sd="1" m="1" x="4776"/>
        <item t="data" h="1" sd="1" m="1" x="5385"/>
        <item t="data" h="1" sd="1" m="1" x="5387"/>
        <item t="data" h="1" sd="1" m="1" x="5388"/>
        <item t="data" h="1" sd="1" m="1" x="5390"/>
        <item t="data" h="1" sd="1" m="1" x="5391"/>
        <item t="data" h="1" sd="1" m="1" x="5333"/>
        <item t="data" h="1" sd="1" m="1" x="5392"/>
        <item t="data" h="1" sd="1" m="1" x="4131"/>
        <item t="data" h="1" sd="1" m="1" x="3204"/>
        <item t="data" h="1" sd="1" m="1" x="5394"/>
        <item t="data" h="1" sd="1" m="1" x="3201"/>
        <item t="data" h="1" sd="1" m="1" x="5326"/>
        <item t="data" h="1" sd="1" m="1" x="4021"/>
        <item t="data" h="1" sd="1" m="1" x="5325"/>
        <item t="data" h="1" sd="1" m="1" x="5252"/>
        <item t="data" h="1" sd="1" m="1" x="5396"/>
        <item t="data" h="1" sd="1" m="1" x="5251"/>
        <item t="data" h="1" sd="1" m="1" x="5250"/>
        <item t="data" h="1" sd="1" m="1" x="5397"/>
        <item t="data" h="1" sd="1" m="1" x="4754"/>
        <item t="data" h="1" sd="1" m="1" x="3900"/>
        <item t="data" h="1" sd="1" m="1" x="3901"/>
        <item t="data" h="1" sd="1" m="1" x="3902"/>
        <item t="data" h="1" sd="1" m="1" x="1973"/>
        <item t="data" h="1" sd="1" m="1" x="4372"/>
        <item t="data" h="1" sd="1" m="1" x="5400"/>
        <item t="data" h="1" sd="1" m="1" x="5106"/>
        <item t="data" h="1" sd="1" m="1" x="5078"/>
        <item t="data" h="1" sd="1" m="1" x="5079"/>
        <item t="data" h="1" sd="1" m="1" x="5409"/>
        <item t="data" h="1" sd="1" m="1" x="4472"/>
        <item t="data" h="1" sd="1" m="1" x="4473"/>
        <item t="data" h="1" sd="1" m="1" x="4474"/>
        <item t="data" h="1" sd="1" m="1" x="4475"/>
        <item t="data" h="1" sd="1" m="1" x="5150"/>
        <item t="data" h="1" sd="1" m="1" x="5112"/>
        <item t="data" h="1" sd="1" m="1" x="4914"/>
        <item t="data" h="1" sd="1" m="1" x="5108"/>
        <item t="data" h="1" sd="1" m="1" x="4256"/>
        <item t="data" h="1" sd="1" m="1" x="594"/>
        <item t="data" h="1" sd="1" m="1" x="1617"/>
        <item t="data" h="1" sd="1" m="1" x="5307"/>
        <item t="data" h="1" sd="1" m="1" x="4916"/>
        <item t="data" h="1" sd="1" m="1" x="5411"/>
        <item t="data" h="1" sd="1" m="1" x="5308"/>
        <item t="data" h="1" sd="1" m="1" x="5309"/>
        <item t="data" h="1" sd="1" m="1" x="5136"/>
        <item t="data" h="1" sd="1" m="1" x="1609"/>
        <item t="data" h="1" sd="1" m="1" x="1615"/>
        <item t="data" h="1" sd="1" m="1" x="4796"/>
        <item t="data" h="1" sd="1" m="1" x="5416"/>
        <item t="data" h="1" sd="1" m="1" x="5417"/>
        <item t="data" h="1" sd="1" m="1" x="5418"/>
        <item t="data" h="1" sd="1" m="1" x="2936"/>
        <item t="data" h="1" sd="1" m="1" x="5419"/>
        <item t="data" h="1" sd="1" m="1" x="5423"/>
        <item t="data" h="1" sd="1" m="1" x="4667"/>
        <item t="data" h="1" sd="1" m="1" x="4669"/>
        <item t="data" h="1" sd="1" m="1" x="4666"/>
        <item t="data" h="1" sd="1" m="1" x="4668"/>
        <item t="data" h="1" sd="1" m="1" x="4533"/>
        <item t="data" h="1" sd="1" m="1" x="4665"/>
        <item t="data" h="1" sd="1" m="1" x="1618"/>
        <item t="data" h="1" sd="1" m="1" x="3933"/>
        <item t="data" h="1" sd="1" m="1" x="5009"/>
        <item t="data" h="1" sd="1" m="1" x="4810"/>
        <item t="data" h="1" sd="1" m="1" x="4811"/>
        <item t="data" h="1" sd="1" m="1" x="4812"/>
        <item t="data" h="1" sd="1" m="1" x="5129"/>
        <item t="data" h="1" sd="1" m="1" x="5425"/>
        <item t="data" h="1" sd="1" m="1" x="5426"/>
        <item t="data" h="1" sd="1" m="1" x="5427"/>
        <item t="data" h="1" sd="1" m="1" x="5428"/>
        <item t="data" h="1" sd="1" m="1" x="5429"/>
        <item t="data" h="1" sd="1" m="1" x="3283"/>
        <item t="data" h="1" sd="1" m="1" x="3284"/>
        <item t="data" h="1" sd="1" m="1" x="3688"/>
        <item t="data" h="1" sd="1" m="1" x="4257"/>
        <item t="data" h="1" sd="1" m="1" x="5430"/>
        <item t="data" h="1" sd="1" m="1" x="5431"/>
        <item t="data" h="1" sd="1" m="1" x="5246"/>
        <item t="data" h="1" sd="1" m="1" x="5433"/>
        <item t="data" h="1" sd="1" m="1" x="5434"/>
        <item t="data" h="1" sd="1" m="1" x="601"/>
        <item t="data" h="1" sd="1" m="1" x="5435"/>
        <item t="data" h="1" sd="1" m="1" x="5138"/>
        <item t="data" h="1" sd="1" m="1" x="5137"/>
        <item t="data" h="1" sd="1" m="1" x="5436"/>
        <item t="data" h="1" sd="1" m="1" x="5437"/>
        <item t="data" h="1" sd="1" m="1" x="5377"/>
        <item t="data" h="1" sd="1" m="1" x="5440"/>
        <item t="data" h="1" sd="1" m="1" x="5441"/>
        <item t="data" h="1" sd="1" m="1" x="5024"/>
        <item t="data" h="1" sd="1" m="1" x="5025"/>
        <item t="data" h="1" sd="1" m="1" x="5015"/>
        <item t="data" h="1" sd="1" m="1" x="5342"/>
        <item t="data" h="1" sd="1" m="1" x="5016"/>
        <item t="data" h="1" sd="1" m="1" x="5448"/>
        <item t="data" h="1" sd="1" m="1" x="5449"/>
        <item t="data" h="1" sd="1" m="1" x="5451"/>
        <item t="data" h="1" sd="1" m="1" x="4884"/>
        <item t="data" h="1" sd="1" m="1" x="4879"/>
        <item t="data" h="1" sd="1" m="1" x="5455"/>
        <item t="data" h="1" sd="1" m="1" x="5456"/>
        <item t="data" h="1" sd="1" m="1" x="5047"/>
        <item t="data" h="1" sd="1" m="1" x="5261"/>
        <item t="data" h="1" sd="1" m="1" x="5260"/>
        <item t="data" h="1" sd="1" m="1" x="5281"/>
        <item t="data" h="1" sd="1" m="1" x="5457"/>
        <item t="data" h="1" sd="1" m="1" x="2029"/>
        <item t="data" h="1" sd="1" m="1" x="5458"/>
        <item t="data" h="1" sd="1" m="1" x="5459"/>
        <item t="data" h="1" sd="1" m="1" x="4536"/>
        <item t="data" h="1" sd="1" m="1" x="5302"/>
        <item t="data" h="1" sd="1" m="1" x="5303"/>
        <item t="data" h="1" sd="1" m="1" x="5304"/>
        <item t="data" h="1" sd="1" m="1" x="5305"/>
        <item t="data" h="1" sd="1" m="1" x="5306"/>
        <item t="data" h="1" sd="1" m="1" x="4697"/>
        <item t="data" h="1" sd="1" m="1" x="4929"/>
        <item t="data" h="1" sd="1" m="1" x="4930"/>
        <item t="data" h="1" sd="1" m="1" x="4939"/>
        <item t="data" h="1" sd="1" m="1" x="5196"/>
        <item t="data" h="1" sd="1" m="1" x="5310"/>
        <item t="data" h="1" sd="1" m="1" x="4941"/>
        <item t="data" h="1" sd="1" m="1" x="2008"/>
        <item t="data" h="1" sd="1" m="1" x="5312"/>
        <item t="data" h="1" sd="1" m="1" x="5197"/>
        <item t="data" h="1" sd="1" m="1" x="5314"/>
        <item t="data" h="1" sd="1" m="1" x="5315"/>
        <item t="data" h="1" sd="1" m="1" x="5316"/>
        <item t="data" h="1" sd="1" m="1" x="5320"/>
        <item t="data" h="1" sd="1" m="1" x="4977"/>
        <item t="data" h="1" sd="1" m="1" x="4978"/>
        <item t="data" h="1" sd="1" m="1" x="4130"/>
        <item t="data" h="1" sd="1" m="1" x="5324"/>
        <item t="data" h="1" sd="1" m="1" x="3903"/>
        <item t="data" h="1" sd="1" m="1" x="5253"/>
        <item t="data" h="1" sd="1" m="1" x="4994"/>
        <item t="data" h="1" sd="1" m="1" x="5327"/>
        <item t="data" h="1" sd="1" m="1" x="4689"/>
        <item t="data" h="1" sd="1" m="1" x="4690"/>
        <item t="data" h="1" sd="1" m="1" x="4691"/>
        <item t="data" h="1" sd="1" m="1" x="5244"/>
        <item t="data" h="1" sd="1" m="1" x="5249"/>
        <item t="data" h="1" sd="1" m="1" x="5011"/>
        <item t="data" h="1" sd="1" m="1" x="5023"/>
        <item t="data" h="1" sd="1" m="1" x="5014"/>
        <item t="data" h="1" sd="1" m="1" x="2897"/>
        <item t="data" h="1" sd="1" m="1" x="4424"/>
        <item t="data" h="1" sd="1" m="1" x="5032"/>
        <item t="data" h="1" sd="1" m="1" x="2273"/>
        <item t="data" h="1" sd="1" m="1" x="5040"/>
        <item t="data" h="1" sd="1" m="1" x="3731"/>
        <item t="data" h="1" sd="1" m="1" x="5048"/>
        <item t="data" h="1" sd="1" m="1" x="1999"/>
        <item t="data" h="1" sd="1" m="1" x="2913"/>
        <item t="data" h="1" sd="1" m="1" x="5329"/>
        <item t="data" h="1" sd="1" m="1" x="4701"/>
        <item t="data" h="1" sd="1" m="1" x="5331"/>
        <item t="data" h="1" sd="1" m="1" x="5332"/>
        <item t="data" h="1" sd="1" m="1" x="4824"/>
        <item t="data" h="1" sd="1" m="1" x="5265"/>
        <item t="data" h="1" sd="1" m="1" x="5334"/>
        <item t="data" h="1" sd="1" m="1" x="5335"/>
        <item t="data" h="1" sd="1" m="1" x="5336"/>
        <item t="data" h="1" sd="1" m="1" x="5337"/>
        <item t="data" h="1" sd="1" m="1" x="5338"/>
        <item t="data" h="1" sd="1" m="1" x="5264"/>
        <item t="data" h="1" sd="1" m="1" x="5339"/>
        <item t="data" h="1" sd="1" m="1" x="5340"/>
        <item t="data" h="1" sd="1" m="1" x="5341"/>
        <item t="data" h="1" sd="1" m="1" x="5343"/>
        <item t="data" h="1" sd="1" m="1" x="5217"/>
        <item t="data" h="1" sd="1" m="1" x="5344"/>
        <item t="data" h="1" sd="1" m="1" x="5346"/>
        <item t="data" h="1" sd="1" m="1" x="4846"/>
        <item t="data" h="1" sd="1" m="1" x="5348"/>
        <item t="data" h="1" sd="1" m="1" x="5349"/>
        <item t="data" h="1" sd="1" m="1" x="5350"/>
        <item t="data" h="1" sd="1" m="1" x="5107"/>
        <item t="data" h="1" sd="1" m="1" x="5351"/>
        <item t="data" h="1" sd="1" m="1" x="5352"/>
        <item t="data" h="1" sd="1" m="1" x="5353"/>
        <item t="data" h="1" sd="1" m="1" x="5354"/>
        <item t="data" h="1" sd="1" m="1" x="5355"/>
        <item t="data" h="1" sd="1" m="1" x="5100"/>
        <item t="data" h="1" sd="1" m="1" x="5356"/>
        <item t="data" h="1" sd="1" m="1" x="2684"/>
        <item t="data" h="1" sd="1" m="1" x="5231"/>
        <item t="data" h="1" sd="1" m="1" x="4874"/>
        <item t="data" h="1" sd="1" m="1" x="4875"/>
        <item t="data" h="1" sd="1" m="1" x="5357"/>
        <item t="data" h="1" sd="1" m="1" x="5358"/>
        <item t="data" h="1" sd="1" m="1" x="4893"/>
        <item t="data" h="1" sd="1" m="1" x="5359"/>
        <item t="data" h="1" sd="1" m="1" x="5362"/>
        <item t="data" h="1" sd="1" m="1" x="5363"/>
        <item t="data" h="1" sd="1" m="1" x="5364"/>
        <item t="data" h="1" sd="1" m="1" x="776"/>
        <item t="data" h="1" sd="1" m="1" x="5365"/>
        <item t="data" h="1" sd="1" m="1" x="5366"/>
        <item t="data" h="1" sd="1" m="1" x="5367"/>
        <item t="data" h="1" sd="1" m="1" x="5368"/>
        <item t="data" h="1" sd="1" m="1" x="5369"/>
        <item t="data" h="1" sd="1" m="1" x="5370"/>
        <item t="data" h="1" sd="1" m="1" x="5371"/>
        <item t="data" h="1" sd="1" m="1" x="5372"/>
        <item t="data" h="1" sd="1" m="1" x="5373"/>
        <item t="data" h="1" sd="1" m="1" x="5374"/>
        <item t="data" h="1" sd="1" m="1" x="618"/>
        <item t="data" h="1" sd="1" m="1" x="1824"/>
        <item t="data" h="1" sd="1" m="1" x="5376"/>
        <item t="data" h="1" sd="1" m="1" x="2987"/>
        <item t="data" h="1" sd="1" m="1" x="4917"/>
        <item t="data" h="1" sd="1" m="1" x="1970"/>
        <item t="data" h="1" sd="1" m="1" x="4932"/>
        <item t="data" h="1" sd="1" m="1" x="3628"/>
        <item t="data" h="1" sd="1" m="1" x="4945"/>
        <item t="data" h="1" sd="1" m="1" x="4953"/>
        <item t="data" h="1" sd="1" m="1" x="5242"/>
        <item t="data" h="1" sd="1" m="1" x="5243"/>
        <item t="data" h="1" sd="1" m="1" x="5198"/>
        <item t="data" h="1" sd="1" m="1" x="4539"/>
        <item t="data" h="1" sd="1" m="1" x="4540"/>
        <item t="data" h="1" sd="1" m="1" x="4979"/>
        <item t="data" h="1" sd="1" m="1" x="4974"/>
        <item t="data" h="1" sd="1" m="1" x="4975"/>
        <item t="data" h="1" sd="1" m="1" x="4976"/>
        <item t="data" h="1" sd="1" m="1" x="4162"/>
        <item t="data" h="1" sd="1" m="1" x="4675"/>
        <item t="data" h="1" sd="1" m="1" x="5199"/>
        <item t="data" h="1" sd="1" m="1" x="4676"/>
        <item t="data" h="1" sd="1" m="1" x="4678"/>
        <item t="data" h="1" sd="1" m="1" x="5254"/>
        <item t="data" h="1" sd="1" m="1" x="4985"/>
        <item t="data" h="1" sd="1" m="1" x="4984"/>
        <item t="data" h="1" sd="1" m="1" x="5255"/>
        <item t="data" h="1" sd="1" m="1" x="4758"/>
        <item t="data" h="1" sd="1" m="1" x="4995"/>
        <item t="data" h="1" sd="1" m="1" x="4683"/>
        <item t="data" h="1" sd="1" m="1" x="5001"/>
        <item t="data" h="1" sd="1" m="1" x="1627"/>
        <item t="data" h="1" sd="1" m="1" x="1626"/>
        <item t="data" h="1" sd="1" m="1" x="5002"/>
        <item t="data" h="1" sd="1" m="1" x="4694"/>
        <item t="data" h="1" sd="1" m="1" x="4693"/>
        <item t="data" h="1" sd="1" m="1" x="4687"/>
        <item t="data" h="1" sd="1" m="1" x="4692"/>
        <item t="data" h="1" sd="1" m="1" x="5004"/>
        <item t="data" h="1" sd="1" m="1" x="5258"/>
        <item t="data" h="1" sd="1" m="1" x="5027"/>
        <item t="data" h="1" sd="1" m="1" x="5026"/>
        <item t="data" h="1" sd="1" m="1" x="4696"/>
        <item t="data" h="1" sd="1" m="1" x="2727"/>
        <item t="data" h="1" sd="1" m="1" x="5021"/>
        <item t="data" h="1" sd="1" m="1" x="5018"/>
        <item t="data" h="1" sd="1" m="1" x="5022"/>
        <item t="data" h="1" sd="1" m="1" x="2594"/>
        <item t="data" h="1" sd="1" m="1" x="5034"/>
        <item t="data" h="1" sd="1" m="1" x="5035"/>
        <item t="data" h="1" sd="1" m="1" x="5036"/>
        <item t="data" h="1" sd="1" m="1" x="2256"/>
        <item t="data" h="1" sd="1" m="1" x="5041"/>
        <item t="data" h="1" sd="1" m="1" x="4318"/>
        <item t="data" h="1" sd="1" m="1" x="5042"/>
        <item t="data" h="1" sd="1" m="1" x="5043"/>
        <item t="data" h="1" sd="1" m="1" x="5044"/>
        <item t="data" h="1" sd="1" m="1" x="5045"/>
        <item t="data" h="1" sd="1" m="1" x="4549"/>
        <item t="data" h="1" sd="1" m="1" x="5259"/>
        <item t="data" h="1" sd="1" m="1" x="3752"/>
        <item t="data" h="1" sd="1" m="1" x="5049"/>
        <item t="data" h="1" sd="1" m="1" x="4699"/>
        <item t="data" h="1" sd="1" m="1" x="3490"/>
        <item t="data" h="1" sd="1" m="1" x="4276"/>
        <item t="data" h="1" sd="1" m="1" x="2934"/>
        <item t="data" h="1" sd="1" m="1" x="2734"/>
        <item t="data" h="1" sd="1" m="1" x="5053"/>
        <item t="data" h="1" sd="1" m="1" x="5057"/>
        <item t="data" h="1" sd="1" m="1" x="4821"/>
        <item t="data" h="1" sd="1" m="1" x="4822"/>
        <item t="data" h="1" sd="1" m="1" x="5064"/>
        <item t="data" h="1" sd="1" m="1" x="5065"/>
        <item t="data" h="1" sd="1" m="1" x="5066"/>
        <item t="data" h="1" sd="1" m="1" x="5067"/>
        <item t="data" h="1" sd="1" m="1" x="5075"/>
        <item t="data" h="1" sd="1" m="1" x="4262"/>
        <item t="data" h="1" sd="1" m="1" x="4263"/>
        <item t="data" h="1" sd="1" m="1" x="4264"/>
        <item t="data" h="1" sd="1" m="1" x="4440"/>
        <item t="data" h="1" sd="1" m="1" x="5211"/>
        <item t="data" h="1" sd="1" m="1" x="5262"/>
        <item t="data" h="1" sd="1" m="1" x="5212"/>
        <item t="data" h="1" sd="1" m="1" x="5263"/>
        <item t="data" h="1" sd="1" m="1" x="4427"/>
        <item t="data" h="1" sd="1" m="1" x="5133"/>
        <item t="data" h="1" sd="1" m="1" x="5266"/>
        <item t="data" h="1" sd="1" m="1" x="5267"/>
        <item t="data" h="1" sd="1" m="1" x="5127"/>
        <item t="data" h="1" sd="1" m="1" x="5128"/>
        <item t="data" h="1" sd="1" m="1" x="2945"/>
        <item t="data" h="1" sd="1" m="1" x="5268"/>
        <item t="data" h="1" sd="1" m="1" x="5269"/>
        <item t="data" h="1" sd="1" m="1" x="5270"/>
        <item t="data" h="1" sd="1" m="1" x="5271"/>
        <item t="data" h="1" sd="1" m="1" x="5272"/>
        <item t="data" h="1" sd="1" m="1" x="5273"/>
        <item t="data" h="1" sd="1" m="1" x="5274"/>
        <item t="data" h="1" sd="1" m="1" x="5275"/>
        <item t="data" h="1" sd="1" m="1" x="5276"/>
        <item t="data" h="1" sd="1" m="1" x="5277"/>
        <item t="data" h="1" sd="1" m="1" x="5278"/>
        <item t="data" h="1" sd="1" m="1" x="5088"/>
        <item t="data" h="1" sd="1" m="1" x="5279"/>
        <item t="data" h="1" sd="1" m="1" x="5280"/>
        <item t="data" h="1" sd="1" m="1" x="5119"/>
        <item t="data" h="1" sd="1" m="1" x="4842"/>
        <item t="data" h="1" sd="1" m="1" x="4843"/>
        <item t="data" h="1" sd="1" m="1" x="5144"/>
        <item t="data" h="1" sd="1" m="1" x="5143"/>
        <item t="data" h="1" sd="1" m="1" x="5282"/>
        <item t="data" h="1" sd="1" m="1" x="5283"/>
        <item t="data" h="1" sd="1" m="1" x="4881"/>
        <item t="data" h="1" sd="1" m="1" x="4882"/>
        <item t="data" h="1" sd="1" m="1" x="5284"/>
        <item t="data" h="1" sd="1" m="1" x="5285"/>
        <item t="data" h="1" sd="1" m="1" x="2069"/>
        <item t="data" h="1" sd="1" m="1" x="4898"/>
        <item t="data" h="1" sd="1" m="1" x="5286"/>
        <item t="data" h="1" sd="1" m="1" x="5287"/>
        <item t="data" h="1" sd="1" m="1" x="2854"/>
        <item t="data" h="1" sd="1" m="1" x="5288"/>
        <item t="data" h="1" sd="1" m="1" x="5289"/>
        <item t="data" h="1" sd="1" m="1" x="5290"/>
        <item t="data" h="1" sd="1" m="1" x="5291"/>
        <item t="data" h="1" sd="1" m="1" x="5292"/>
        <item t="data" h="1" sd="1" m="1" x="5293"/>
        <item t="data" h="1" sd="1" m="1" x="5294"/>
        <item t="data" h="1" sd="1" m="1" x="5296"/>
        <item t="data" h="1" sd="1" m="1" x="5297"/>
        <item t="data" h="1" sd="1" m="1" x="4903"/>
        <item t="data" h="1" sd="1" m="1" x="4902"/>
        <item t="data" h="1" sd="1" m="1" x="3960"/>
        <item t="data" h="1" sd="1" m="1" x="5189"/>
        <item t="data" h="1" sd="1" m="1" x="4927"/>
        <item t="data" h="1" sd="1" m="1" x="4928"/>
        <item t="data" h="1" sd="1" m="1" x="4920"/>
        <item t="data" h="1" sd="1" m="1" x="4921"/>
        <item t="data" h="1" sd="1" m="1" x="4922"/>
        <item t="data" h="1" sd="1" m="1" x="4938"/>
        <item t="data" h="1" sd="1" m="1" x="4933"/>
        <item t="data" h="1" sd="1" m="1" x="4817"/>
        <item t="data" h="1" sd="1" m="1" x="4944"/>
        <item t="data" h="1" sd="1" m="1" x="2965"/>
        <item t="data" h="1" sd="1" m="1" x="4961"/>
        <item t="data" h="1" sd="1" m="1" x="4980"/>
        <item t="data" h="1" sd="1" m="1" x="4166"/>
        <item t="data" h="1" sd="1" m="1" x="4997"/>
        <item t="data" h="1" sd="1" m="1" x="4682"/>
        <item t="data" h="1" sd="1" m="1" x="1753"/>
        <item t="data" h="1" sd="1" x="130"/>
        <item t="data" h="1" sd="1" m="1" x="5003"/>
        <item t="data" h="1" sd="1" m="1" x="4695"/>
        <item t="data" h="1" sd="1" m="1" x="4680"/>
        <item t="data" h="1" sd="1" m="1" x="4983"/>
        <item t="data" h="1" sd="1" m="1" x="5029"/>
        <item t="data" h="1" sd="1" m="1" x="5030"/>
        <item t="data" h="1" sd="1" m="1" x="865"/>
        <item t="data" h="1" sd="1" m="1" x="5017"/>
        <item t="data" h="1" sd="1" m="1" x="5031"/>
        <item t="data" h="1" sd="1" m="1" x="5037"/>
        <item t="data" h="1" sd="1" m="1" x="4935"/>
        <item t="data" h="1" sd="1" m="1" x="4548"/>
        <item t="data" h="1" sd="1" m="1" x="3450"/>
        <item t="data" h="1" sd="1" m="1" x="5059"/>
        <item t="data" h="1" sd="1" m="1" x="4698"/>
        <item t="data" h="1" sd="1" m="1" x="5054"/>
        <item t="data" h="1" sd="1" m="1" x="5055"/>
        <item t="data" h="1" sd="1" m="1" x="3753"/>
        <item t="data" h="1" sd="1" m="1" x="5071"/>
        <item t="data" h="1" sd="1" m="1" x="5072"/>
        <item t="data" h="1" sd="1" m="1" x="5074"/>
        <item t="data" h="1" sd="1" m="1" x="5070"/>
        <item t="data" h="1" sd="1" m="1" x="5061"/>
        <item t="data" h="1" sd="1" m="1" x="5076"/>
        <item t="data" h="1" sd="1" m="1" x="5209"/>
        <item t="data" h="1" sd="1" m="1" x="5210"/>
        <item t="data" h="1" sd="1" m="1" x="5213"/>
        <item t="data" h="1" sd="1" m="1" x="5214"/>
        <item t="data" h="1" sd="1" m="1" x="5215"/>
        <item t="data" h="1" sd="1" m="1" x="5218"/>
        <item t="data" h="1" sd="1" m="1" x="5219"/>
        <item t="data" h="1" sd="1" m="1" x="5220"/>
        <item t="data" h="1" sd="1" m="1" x="5221"/>
        <item t="data" h="1" sd="1" m="1" x="5222"/>
        <item t="data" h="1" sd="1" m="1" x="5223"/>
        <item t="data" h="1" sd="1" m="1" x="5224"/>
        <item t="data" h="1" sd="1" m="1" x="5225"/>
        <item t="data" h="1" sd="1" m="1" x="5098"/>
        <item t="data" h="1" sd="1" m="1" x="5227"/>
        <item t="data" h="1" sd="1" m="1" x="5228"/>
        <item t="data" h="1" sd="1" m="1" x="5229"/>
        <item t="data" h="1" sd="1" m="1" x="4458"/>
        <item t="data" h="1" sd="1" m="1" x="5230"/>
        <item t="data" h="1" sd="1" m="1" x="4853"/>
        <item t="data" h="1" sd="1" m="1" x="4877"/>
        <item t="data" h="1" sd="1" m="1" x="4880"/>
        <item t="data" h="1" sd="1" m="1" x="5233"/>
        <item t="data" h="1" sd="1" m="1" x="5234"/>
        <item t="data" h="1" sd="1" m="1" x="5235"/>
        <item t="data" h="1" sd="1" m="1" x="5236"/>
        <item t="data" h="1" sd="1" m="1" x="5237"/>
        <item t="data" h="1" sd="1" m="1" x="5238"/>
        <item t="data" h="1" sd="1" m="1" x="5239"/>
        <item t="data" h="1" sd="1" m="1" x="5240"/>
        <item t="data" h="1" sd="1" m="1" x="5173"/>
        <item t="data" h="1" sd="1" m="1" x="3134"/>
        <item t="data" h="1" sd="1" m="1" x="4909"/>
        <item t="data" h="1" sd="1" m="1" x="4915"/>
        <item t="data" h="1" sd="1" m="1" x="4535"/>
        <item t="data" h="1" sd="1" m="1" x="4918"/>
        <item t="data" h="1" sd="1" m="1" x="4919"/>
        <item t="data" h="1" sd="1" m="1" x="4925"/>
        <item t="data" h="1" sd="1" m="1" x="4926"/>
        <item t="data" h="1" sd="1" m="1" x="4476"/>
        <item t="data" h="1" sd="1" m="1" x="4931"/>
        <item t="data" h="1" sd="1" m="1" x="4934"/>
        <item t="data" h="1" sd="1" m="1" x="4937"/>
        <item t="data" h="1" sd="1" m="1" x="4942"/>
        <item t="data" h="1" sd="1" m="1" x="4950"/>
        <item t="data" h="1" sd="1" m="1" x="4951"/>
        <item t="data" h="1" sd="1" m="1" x="4952"/>
        <item t="data" h="1" sd="1" m="1" x="4956"/>
        <item t="data" h="1" sd="1" m="1" x="4957"/>
        <item t="data" h="1" sd="1" m="1" x="4958"/>
        <item t="data" h="1" sd="1" m="1" x="4959"/>
        <item t="data" h="1" sd="1" m="1" x="4960"/>
        <item t="data" h="1" sd="1" m="1" x="4801"/>
        <item t="data" h="1" sd="1" m="1" x="4965"/>
        <item t="data" h="1" sd="1" m="1" x="4966"/>
        <item t="data" h="1" sd="1" m="1" x="4971"/>
        <item t="data" h="1" sd="1" m="1" x="4973"/>
        <item t="data" h="1" sd="1" m="1" x="4164"/>
        <item t="data" h="1" sd="1" m="1" x="4541"/>
        <item t="data" h="1" sd="1" m="1" x="4816"/>
        <item t="data" h="1" sd="1" m="1" x="4805"/>
        <item t="data" h="1" sd="1" m="1" x="4987"/>
        <item t="data" h="1" sd="1" m="1" x="4988"/>
        <item t="data" h="1" sd="1" m="1" x="3693"/>
        <item t="data" h="1" sd="1" m="1" x="4996"/>
        <item t="data" h="1" sd="1" m="1" x="4706"/>
        <item t="data" h="1" sd="1" m="1" x="4684"/>
        <item t="data" h="1" sd="1" m="1" x="4685"/>
        <item t="data" h="1" sd="1" m="1" x="4686"/>
        <item t="data" h="1" sd="1" m="1" x="3249"/>
        <item t="data" h="1" sd="1" m="1" x="4707"/>
        <item t="data" h="1" sd="1" m="1" x="4545"/>
        <item t="data" h="1" sd="1" m="1" x="3692"/>
        <item t="data" h="1" sd="1" m="1" x="5013"/>
        <item t="data" h="1" sd="1" m="1" x="5028"/>
        <item t="data" h="1" sd="1" m="1" x="5039"/>
        <item t="data" h="1" sd="1" m="1" x="2490"/>
        <item t="data" h="1" sd="1" m="1" x="4197"/>
        <item t="data" h="1" sd="1" m="1" x="4199"/>
        <item t="data" h="1" sd="1" m="1" x="4201"/>
        <item t="data" h="1" sd="1" m="1" x="4261"/>
        <item t="data" h="1" sd="1" m="1" x="5046"/>
        <item t="data" h="1" sd="1" m="1" x="4202"/>
        <item t="data" h="1" sd="1" m="1" x="1622"/>
        <item t="data" h="1" sd="1" m="1" x="5050"/>
        <item t="data" h="1" sd="1" m="1" x="5051"/>
        <item t="data" h="1" sd="1" m="1" x="1846"/>
        <item t="data" h="1" sd="1" m="1" x="1644"/>
        <item t="data" h="1" sd="1" m="1" x="1633"/>
        <item t="data" h="1" sd="1" m="1" x="1595"/>
        <item t="data" h="1" sd="1" m="1" x="1636"/>
        <item t="data" h="1" sd="1" m="1" x="4426"/>
        <item t="data" h="1" sd="1" m="1" x="5063"/>
        <item t="data" h="1" sd="1" m="1" x="5068"/>
        <item t="data" h="1" sd="1" m="1" x="5069"/>
        <item t="data" h="1" sd="1" m="1" x="5073"/>
        <item t="data" h="1" sd="1" m="1" x="5077"/>
        <item t="data" h="1" sd="1" m="1" x="5080"/>
        <item t="data" h="1" sd="1" m="1" x="5081"/>
        <item t="data" h="1" sd="1" m="1" x="4719"/>
        <item t="data" h="1" sd="1" m="1" x="4720"/>
        <item t="data" h="1" sd="1" m="1" x="4718"/>
        <item t="data" h="1" sd="1" m="1" x="5082"/>
        <item t="data" h="1" sd="1" m="1" x="5083"/>
        <item t="data" h="1" sd="1" m="1" x="5085"/>
        <item t="data" h="1" sd="1" m="1" x="5086"/>
        <item t="data" h="1" sd="1" m="1" x="5089"/>
        <item t="data" h="1" sd="1" m="1" x="5090"/>
        <item t="data" h="1" sd="1" m="1" x="5091"/>
        <item t="data" h="1" sd="1" m="1" x="5092"/>
        <item t="data" h="1" sd="1" m="1" x="5093"/>
        <item t="data" h="1" sd="1" m="1" x="5094"/>
        <item t="data" h="1" sd="1" m="1" x="5095"/>
        <item t="data" h="1" sd="1" m="1" x="5097"/>
        <item t="data" h="1" sd="1" m="1" x="5099"/>
        <item t="data" h="1" sd="1" m="1" x="5102"/>
        <item t="data" h="1" sd="1" m="1" x="5103"/>
        <item t="data" h="1" sd="1" m="1" x="5104"/>
        <item t="data" h="1" sd="1" m="1" x="5105"/>
        <item t="data" h="1" sd="1" m="1" x="4728"/>
        <item t="data" h="1" sd="1" m="1" x="5109"/>
        <item t="data" h="1" sd="1" m="1" x="5110"/>
        <item t="data" h="1" sd="1" m="1" x="5111"/>
        <item t="data" h="1" sd="1" m="1" x="4726"/>
        <item t="data" h="1" sd="1" m="1" x="4727"/>
        <item t="data" h="1" sd="1" m="1" x="5113"/>
        <item t="data" h="1" sd="1" m="1" x="5114"/>
        <item t="data" h="1" sd="1" m="1" x="4729"/>
        <item t="data" h="1" sd="1" m="1" x="5115"/>
        <item t="data" h="1" sd="1" m="1" x="5116"/>
        <item t="data" h="1" sd="1" m="1" x="5117"/>
        <item t="data" h="1" sd="1" m="1" x="5118"/>
        <item t="data" h="1" sd="1" m="1" x="4265"/>
        <item t="data" h="1" sd="1" m="1" x="5124"/>
        <item t="data" h="1" sd="1" m="1" x="5125"/>
        <item t="data" h="1" sd="1" m="1" x="5126"/>
        <item t="data" h="1" sd="1" m="1" x="4058"/>
        <item t="data" h="1" sd="1" m="1" x="5130"/>
        <item t="data" h="1" sd="1" m="1" x="5131"/>
        <item t="data" h="1" sd="1" m="1" x="5132"/>
        <item t="data" h="1" sd="1" m="1" x="5134"/>
        <item t="data" h="1" sd="1" m="1" x="5135"/>
        <item t="data" h="1" sd="1" m="1" x="4329"/>
        <item t="data" h="1" sd="1" m="1" x="4841"/>
        <item t="data" h="1" sd="1" m="1" x="5139"/>
        <item t="data" h="1" sd="1" m="1" x="4845"/>
        <item t="data" h="1" sd="1" m="1" x="5140"/>
        <item t="data" h="1" sd="1" m="1" x="5142"/>
        <item t="data" h="1" sd="1" m="1" x="5145"/>
        <item t="data" h="1" sd="1" m="1" x="4871"/>
        <item t="data" h="1" sd="1" m="1" x="4878"/>
        <item t="data" h="1" sd="1" m="1" x="5146"/>
        <item t="data" h="1" sd="1" m="1" x="5147"/>
        <item t="data" h="1" sd="1" m="1" x="4292"/>
        <item t="data" h="1" sd="1" m="1" x="4876"/>
        <item t="data" h="1" sd="1" m="1" x="4482"/>
        <item t="data" h="1" sd="1" m="1" x="4734"/>
        <item t="data" h="1" sd="1" m="1" x="4733"/>
        <item t="data" h="1" sd="1" m="1" x="4885"/>
        <item t="data" h="1" sd="1" m="1" x="5151"/>
        <item t="data" h="1" sd="1" m="1" x="4890"/>
        <item t="data" h="1" sd="1" m="1" x="5152"/>
        <item t="data" h="1" sd="1" m="1" x="4736"/>
        <item t="data" h="1" sd="1" m="1" x="4735"/>
        <item t="data" h="1" sd="1" m="1" x="5153"/>
        <item t="data" h="1" sd="1" m="1" x="5154"/>
        <item t="data" h="1" sd="1" m="1" x="4737"/>
        <item t="data" h="1" sd="1" m="1" x="1624"/>
        <item t="data" h="1" sd="1" m="1" x="4894"/>
        <item t="data" h="1" sd="1" m="1" x="4897"/>
        <item t="data" h="1" sd="1" m="1" x="5159"/>
        <item t="data" h="1" sd="1" m="1" x="3991"/>
        <item t="data" h="1" sd="1" m="1" x="5160"/>
        <item t="data" h="1" sd="1" m="1" x="5162"/>
        <item t="data" h="1" sd="1" m="1" x="5164"/>
        <item t="data" h="1" sd="1" m="1" x="5165"/>
        <item t="data" h="1" sd="1" m="1" x="5166"/>
        <item t="data" h="1" sd="1" m="1" x="5167"/>
        <item t="data" h="1" sd="1" m="1" x="5168"/>
        <item t="data" h="1" sd="1" m="1" x="5169"/>
        <item t="data" h="1" sd="1" m="1" x="5170"/>
        <item t="data" h="1" sd="1" m="1" x="5171"/>
        <item t="data" h="1" sd="1" m="1" x="5176"/>
        <item t="data" h="1" sd="1" m="1" x="4904"/>
        <item t="data" h="1" sd="1" m="1" x="5179"/>
        <item t="data" h="1" sd="1" m="1" x="1553"/>
        <item t="data" h="1" sd="1" m="1" x="4749"/>
        <item t="data" h="1" sd="1" m="1" x="5187"/>
        <item t="data" h="1" sd="1" m="1" x="5188"/>
        <item t="data" h="1" sd="1" m="1" x="1645"/>
        <item t="data" h="1" sd="1" m="1" x="3060"/>
        <item t="data" h="1" sd="1" m="1" x="4159"/>
        <item t="data" h="1" sd="1" m="1" x="4557"/>
        <item t="data" h="1" sd="1" m="1" x="4558"/>
        <item t="data" h="1" sd="1" m="1" x="4797"/>
        <item t="data" h="1" sd="1" m="1" x="4703"/>
        <item t="data" h="1" sd="1" m="1" x="4562"/>
        <item t="data" h="1" sd="1" m="1" x="4537"/>
        <item t="data" h="1" sd="1" m="1" x="4538"/>
        <item t="data" h="1" sd="1" m="1" x="4798"/>
        <item t="data" h="1" sd="1" m="1" x="4799"/>
        <item t="data" h="1" sd="1" m="1" x="3287"/>
        <item t="data" h="1" sd="1" m="1" x="3422"/>
        <item t="data" h="1" sd="1" m="1" x="3288"/>
        <item t="data" h="1" sd="1" m="1" x="4806"/>
        <item t="data" h="1" sd="1" m="1" x="4808"/>
        <item t="data" h="1" sd="1" m="1" x="4809"/>
        <item t="data" h="1" sd="1" m="1" x="3280"/>
        <item t="data" h="1" sd="1" m="1" x="4814"/>
        <item t="data" h="1" sd="1" m="1" x="4815"/>
        <item t="data" h="1" sd="1" m="1" x="4258"/>
        <item t="data" h="1" sd="1" m="1" x="3348"/>
        <item t="data" h="1" sd="1" m="1" x="4543"/>
        <item t="data" h="1" sd="1" m="1" x="4544"/>
        <item t="data" h="1" sd="1" m="1" x="3437"/>
        <item t="data" h="1" sd="1" m="1" x="4578"/>
        <item t="data" h="1" sd="1" m="1" x="4708"/>
        <item t="data" h="1" sd="1" m="1" x="4710"/>
        <item t="data" h="1" sd="1" m="1" x="4709"/>
        <item t="data" h="1" sd="1" m="1" x="4711"/>
        <item t="data" h="1" sd="1" m="1" x="4584"/>
        <item t="data" h="1" sd="1" m="1" x="4547"/>
        <item t="data" h="1" sd="1" m="1" x="4546"/>
        <item t="data" h="1" sd="1" m="1" x="1641"/>
        <item t="data" h="1" sd="1" m="1" x="1643"/>
        <item t="data" h="1" sd="1" m="1" x="4820"/>
        <item t="data" h="1" sd="1" m="1" x="4713"/>
        <item t="data" h="1" sd="1" m="1" x="4211"/>
        <item t="data" h="1" sd="1" m="1" x="3465"/>
        <item t="data" h="1" sd="1" m="1" x="4550"/>
        <item t="data" h="1" sd="1" m="1" x="4551"/>
        <item t="data" h="1" sd="1" m="1" x="3726"/>
        <item t="data" h="1" sd="1" m="1" x="4593"/>
        <item t="data" h="1" sd="1" m="1" x="4590"/>
        <item t="data" h="1" sd="1" m="1" x="4591"/>
        <item t="data" h="1" sd="1" m="1" x="1637"/>
        <item t="data" h="1" sd="1" m="1" x="4597"/>
        <item t="data" h="1" sd="1" m="1" x="4823"/>
        <item t="data" h="1" sd="1" m="1" x="4384"/>
        <item t="data" h="1" sd="1" m="1" x="4825"/>
        <item t="data" h="1" sd="1" m="1" x="4826"/>
        <item t="data" h="1" sd="1" m="1" x="4827"/>
        <item t="data" h="1" sd="1" m="1" x="4828"/>
        <item t="data" h="1" sd="1" m="1" x="3503"/>
        <item t="data" h="1" sd="1" m="1" x="4829"/>
        <item t="data" h="1" sd="1" m="1" x="4833"/>
        <item t="data" h="1" sd="1" m="1" x="4834"/>
        <item t="data" h="1" sd="1" m="1" x="4836"/>
        <item t="data" h="1" sd="1" m="1" x="4839"/>
        <item t="data" h="1" sd="1" m="1" x="4840"/>
        <item t="data" h="1" sd="1" m="1" x="4844"/>
        <item t="data" h="1" sd="1" m="1" x="4848"/>
        <item t="data" h="1" sd="1" m="1" x="462"/>
        <item t="data" h="1" sd="1" m="1" x="2492"/>
        <item t="data" h="1" sd="1" m="1" x="4850"/>
        <item t="data" h="1" sd="1" m="1" x="4851"/>
        <item t="data" h="1" sd="1" m="1" x="4852"/>
        <item t="data" h="1" sd="1" m="1" x="4854"/>
        <item t="data" h="1" sd="1" m="1" x="4855"/>
        <item t="data" h="1" sd="1" m="1" x="4856"/>
        <item t="data" h="1" sd="1" m="1" x="4857"/>
        <item t="data" h="1" sd="1" m="1" x="4858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868"/>
        <item t="data" h="1" sd="1" m="1" x="4869"/>
        <item t="data" h="1" sd="1" m="1" x="4870"/>
        <item t="data" h="1" sd="1" m="1" x="4883"/>
        <item t="data" h="1" sd="1" m="1" x="4732"/>
        <item t="data" h="1" sd="1" m="1" x="4886"/>
        <item t="data" h="1" sd="1" m="1" x="4887"/>
        <item t="data" h="1" sd="1" m="1" x="4888"/>
        <item t="data" h="1" sd="1" m="1" x="4889"/>
        <item t="data" h="1" sd="1" m="1" x="4891"/>
        <item t="data" h="1" sd="1" m="1" x="4899"/>
        <item t="data" h="1" sd="1" m="1" x="4900"/>
        <item t="data" h="1" sd="1" m="1" x="4740"/>
        <item t="data" h="1" sd="1" m="1" x="4901"/>
        <item t="data" h="1" sd="1" m="1" x="4016"/>
        <item t="data" h="1" sd="1" m="1" x="3222"/>
        <item t="data" h="1" sd="1" m="1" x="1664"/>
        <item t="data" h="1" sd="1" m="1" x="4556"/>
        <item t="data" h="1" sd="1" m="1" x="4702"/>
        <item t="data" h="1" sd="1" m="1" x="4564"/>
        <item t="data" h="1" sd="1" m="1" x="4572"/>
        <item t="data" h="1" sd="1" m="1" x="2004"/>
        <item t="data" h="1" sd="1" m="1" x="4259"/>
        <item t="data" h="1" sd="1" m="1" x="4260"/>
        <item t="data" h="1" sd="1" m="1" x="3289"/>
        <item t="data" h="1" sd="1" m="1" x="950"/>
        <item t="data" h="1" sd="1" m="1" x="3282"/>
        <item t="data" h="1" sd="1" m="1" x="3290"/>
        <item t="data" h="1" sd="1" m="1" x="3285"/>
        <item t="data" h="1" sd="1" m="1" x="3286"/>
        <item t="data" h="1" sd="1" m="1" x="1784"/>
        <item t="data" h="1" sd="1" m="1" x="4705"/>
        <item t="data" h="1" sd="1" m="1" x="1544"/>
        <item t="data" h="1" sd="1" m="1" x="3694"/>
        <item t="data" h="1" sd="1" m="1" x="4577"/>
        <item t="data" h="1" sd="1" m="1" x="2001"/>
        <item t="data" h="1" sd="1" m="1" x="3247"/>
        <item t="data" h="1" sd="1" m="1" x="1639"/>
        <item t="data" h="1" sd="1" m="1" x="1647"/>
        <item t="data" h="1" sd="1" m="1" x="4576"/>
        <item t="data" h="1" sd="1" m="1" x="1640"/>
        <item t="data" h="1" sd="1" m="1" x="4712"/>
        <item t="data" h="1" sd="1" m="1" x="4585"/>
        <item t="data" h="1" sd="1" m="1" x="4586"/>
        <item t="data" h="1" sd="1" m="1" x="2003"/>
        <item t="data" h="1" sd="1" m="1" x="1596"/>
        <item t="data" h="1" sd="1" m="1" x="1675"/>
        <item t="data" h="1" sd="1" m="1" x="4592"/>
        <item t="data" h="1" sd="1" m="1" x="1638"/>
        <item t="data" h="1" sd="1" m="1" x="4714"/>
        <item t="data" h="1" sd="1" m="1" x="4715"/>
        <item t="data" h="1" sd="1" m="1" x="4716"/>
        <item t="data" h="1" sd="1" m="1" x="4717"/>
        <item t="data" h="1" sd="1" m="1" x="3625"/>
        <item t="data" h="1" sd="1" m="1" x="4721"/>
        <item t="data" h="1" sd="1" m="1" x="4722"/>
        <item t="data" h="1" sd="1" m="1" x="4723"/>
        <item t="data" h="1" sd="1" m="1" x="4724"/>
        <item t="data" h="1" sd="1" m="1" x="1314"/>
        <item t="data" h="1" sd="1" m="1" x="4725"/>
        <item t="data" h="1" sd="1" m="1" x="4730"/>
        <item t="data" h="1" sd="1" m="1" x="4731"/>
        <item t="data" h="1" sd="1" m="1" x="4738"/>
        <item t="data" h="1" sd="1" m="1" x="4741"/>
        <item t="data" h="1" sd="1" m="1" x="4743"/>
        <item t="data" h="1" sd="1" m="1" x="4744"/>
        <item t="data" h="1" sd="1" m="1" x="4746"/>
        <item t="data" h="1" sd="1" m="1" x="4747"/>
        <item t="data" h="1" sd="1" m="1" x="4748"/>
        <item t="data" h="1" sd="1" m="1" x="1140"/>
        <item t="data" h="1" sd="1" m="1" x="4488"/>
        <item t="data" h="1" sd="1" m="1" x="4152"/>
        <item t="data" h="1" sd="1" m="1" x="3700"/>
        <item t="data" h="1" sd="1" m="1" x="4555"/>
        <item t="data" h="1" sd="1" m="1" x="4559"/>
        <item t="data" h="1" sd="1" m="1" x="4560"/>
        <item t="data" h="1" sd="1" m="1" x="4561"/>
        <item t="data" h="1" sd="1" m="1" x="1665"/>
        <item t="data" h="1" sd="1" m="1" x="2473"/>
        <item t="data" h="1" sd="1" m="1" x="3220"/>
        <item t="data" h="1" sd="1" m="1" x="4567"/>
        <item t="data" h="1" sd="1" m="1" x="4571"/>
        <item t="data" h="1" sd="1" m="1" x="2127"/>
        <item t="data" h="1" sd="1" m="1" x="4750"/>
        <item t="data" h="1" sd="1" m="1" x="4139"/>
        <item t="data" h="1" sd="1" m="1" x="3910"/>
        <item t="data" h="1" sd="1" m="1" x="4568"/>
        <item t="data" h="1" sd="1" m="1" x="4751"/>
        <item t="data" h="1" sd="1" m="1" x="3908"/>
        <item t="data" h="1" sd="1" m="1" x="4752"/>
        <item t="data" h="1" sd="1" m="1" x="3904"/>
        <item t="data" h="1" sd="1" m="1" x="3200"/>
        <item t="data" h="1" sd="1" m="1" x="4753"/>
        <item t="data" h="1" sd="1" m="1" x="841"/>
        <item t="data" h="1" sd="1" m="1" x="4020"/>
        <item t="data" h="1" sd="1" m="1" x="4755"/>
        <item t="data" h="1" sd="1" m="1" x="4756"/>
        <item t="data" h="1" sd="1" m="1" x="4757"/>
        <item t="data" h="1" sd="1" m="1" x="4759"/>
        <item t="data" h="1" sd="1" m="1" x="4138"/>
        <item t="data" h="1" sd="1" m="1" x="1653"/>
        <item t="data" h="1" sd="1" m="1" x="4147"/>
        <item t="data" h="1" sd="1" m="1" x="4137"/>
        <item t="data" h="1" sd="1" m="1" x="3278"/>
        <item t="data" h="1" sd="1" m="1" x="3279"/>
        <item t="data" h="1" sd="1" m="1" x="4570"/>
        <item t="data" h="1" sd="1" m="1" x="4760"/>
        <item t="data" h="1" sd="1" m="1" x="4579"/>
        <item t="data" h="1" sd="1" m="1" x="4761"/>
        <item t="data" h="1" sd="1" m="1" x="3262"/>
        <item t="data" h="1" sd="1" m="1" x="3263"/>
        <item t="data" h="1" sd="1" m="1" x="4574"/>
        <item t="data" h="1" sd="1" m="1" x="3261"/>
        <item t="data" h="1" sd="1" m="1" x="4762"/>
        <item t="data" h="1" sd="1" m="1" x="4583"/>
        <item t="data" h="1" sd="1" m="1" x="4764"/>
        <item t="data" h="1" sd="1" m="1" x="3542"/>
        <item t="data" h="1" sd="1" m="1" x="3733"/>
        <item t="data" h="1" sd="1" m="1" x="4588"/>
        <item t="data" h="1" sd="1" m="1" x="4587"/>
        <item t="data" h="1" sd="1" m="1" x="4580"/>
        <item t="data" h="1" sd="1" m="1" x="4192"/>
        <item t="data" h="1" sd="1" m="1" x="4608"/>
        <item t="data" h="1" sd="1" m="1" x="4765"/>
        <item t="data" h="1" sd="1" m="1" x="4766"/>
        <item t="data" h="1" sd="1" m="1" x="4767"/>
        <item t="data" h="1" sd="1" m="1" x="4768"/>
        <item t="data" h="1" sd="1" m="1" x="4769"/>
        <item t="data" h="1" sd="1" m="1" x="4770"/>
        <item t="data" h="1" sd="1" m="1" x="4771"/>
        <item t="data" h="1" sd="1" m="1" x="4772"/>
        <item t="data" h="1" sd="1" m="1" x="4773"/>
        <item t="data" h="1" sd="1" m="1" x="4774"/>
        <item t="data" h="1" sd="1" m="1" x="4775"/>
        <item t="data" h="1" sd="1" m="1" x="4777"/>
        <item t="data" h="1" sd="1" m="1" x="4778"/>
        <item t="data" h="1" sd="1" m="1" x="4780"/>
        <item t="data" h="1" sd="1" m="1" x="4288"/>
        <item t="data" h="1" sd="1" m="1" x="4781"/>
        <item t="data" h="1" sd="1" m="1" x="4782"/>
        <item t="data" h="1" sd="1" m="1" x="4783"/>
        <item t="data" h="1" sd="1" m="1" x="4784"/>
        <item t="data" h="1" sd="1" m="1" x="4785"/>
        <item t="data" h="1" sd="1" m="1" x="4786"/>
        <item t="data" h="1" sd="1" m="1" x="4787"/>
        <item t="data" h="1" sd="1" m="1" x="4788"/>
        <item t="data" h="1" sd="1" m="1" x="4789"/>
        <item t="data" h="1" sd="1" m="1" x="4790"/>
        <item t="data" h="1" sd="1" m="1" x="4791"/>
        <item t="data" h="1" sd="1" m="1" x="4521"/>
        <item t="data" h="1" sd="1" m="1" x="4792"/>
        <item t="data" h="1" sd="1" m="1" x="4793"/>
        <item t="data" h="1" sd="1" m="1" x="4489"/>
        <item t="data" h="1" sd="1" m="1" x="4794"/>
        <item t="data" h="1" sd="1" m="1" x="4795"/>
        <item t="data" h="1" sd="1" m="1" x="4609"/>
        <item t="data" h="1" sd="1" m="1" x="4552"/>
        <item t="data" h="1" sd="1" m="1" x="4553"/>
        <item t="data" h="1" sd="1" m="1" x="4563"/>
        <item t="data" h="1" sd="1" m="1" x="4565"/>
        <item t="data" h="1" sd="1" m="1" x="1671"/>
        <item t="data" h="1" sd="1" m="1" x="4566"/>
        <item t="data" h="1" sd="1" m="1" x="4141"/>
        <item t="data" h="1" sd="1" m="1" x="4140"/>
        <item t="data" h="1" sd="1" m="1" x="3540"/>
        <item t="data" h="1" sd="1" m="1" x="3281"/>
        <item t="data" h="1" sd="1" m="1" x="3689"/>
        <item t="data" h="1" sd="1" m="1" x="4153"/>
        <item t="data" h="1" sd="1" m="1" x="1649"/>
        <item t="data" h="1" sd="1" m="1" x="3203"/>
        <item t="data" h="1" sd="1" m="1" x="2391"/>
        <item t="data" h="1" sd="1" m="1" x="3264"/>
        <item t="data" h="1" sd="1" m="1" x="3254"/>
        <item t="data" h="1" sd="1" m="1" x="4575"/>
        <item t="data" h="1" sd="1" m="1" x="2025"/>
        <item t="data" h="1" sd="1" m="1" x="4581"/>
        <item t="data" h="1" sd="1" m="1" x="4582"/>
        <item t="data" h="1" sd="1" m="1" x="4589"/>
        <item t="data" h="1" sd="1" m="1" x="4281"/>
        <item t="data" h="1" sd="1" m="1" x="4594"/>
        <item t="data" h="1" sd="1" m="1" x="4596"/>
        <item t="data" h="1" sd="1" m="1" x="4184"/>
        <item t="data" h="1" sd="1" m="1" x="3767"/>
        <item t="data" h="1" sd="1" m="1" x="4285"/>
        <item t="data" h="1" sd="1" m="1" x="4598"/>
        <item t="data" h="1" sd="1" m="1" x="4599"/>
        <item t="data" h="1" sd="1" m="1" x="4600"/>
        <item t="data" h="1" sd="1" m="1" x="4601"/>
        <item t="data" h="1" sd="1" m="1" x="4602"/>
        <item t="data" h="1" sd="1" m="1" x="4603"/>
        <item t="data" h="1" sd="1" m="1" x="4604"/>
        <item t="data" h="1" sd="1" m="1" x="4198"/>
        <item t="data" h="1" sd="1" m="1" x="4605"/>
        <item t="data" h="1" sd="1" m="1" x="4606"/>
        <item t="data" h="1" sd="1" m="1" x="4607"/>
        <item t="data" h="1" sd="1" m="1" x="4029"/>
        <item t="data" h="1" sd="1" m="1" x="498"/>
        <item t="data" h="1" sd="1" m="1" x="3651"/>
        <item t="data" h="1" sd="1" m="1" x="4610"/>
        <item t="data" h="1" sd="1" m="1" x="4611"/>
        <item t="data" h="1" sd="1" m="1" x="4612"/>
        <item t="data" h="1" sd="1" m="1" x="3233"/>
        <item t="data" h="1" sd="1" m="1" x="4614"/>
        <item t="data" h="1" sd="1" m="1" x="4615"/>
        <item t="data" h="1" sd="1" m="1" x="4616"/>
        <item t="data" h="1" sd="1" m="1" x="4617"/>
        <item t="data" h="1" sd="1" m="1" x="1681"/>
        <item t="data" h="1" sd="1" m="1" x="650"/>
        <item t="data" h="1" sd="1" m="1" x="4618"/>
        <item t="data" h="1" sd="1" m="1" x="4619"/>
        <item t="data" h="1" sd="1" m="1" x="4621"/>
        <item t="data" h="1" sd="1" m="1" x="4622"/>
        <item t="data" h="1" sd="1" m="1" x="3191"/>
        <item t="data" h="1" sd="1" m="1" x="4351"/>
        <item t="data" h="1" sd="1" m="1" x="4623"/>
        <item t="data" h="1" sd="1" m="1" x="4428"/>
        <item t="data" h="1" sd="1" m="1" x="3300"/>
        <item t="data" h="1" sd="1" m="1" x="4624"/>
        <item t="data" h="1" sd="1" m="1" x="4625"/>
        <item t="data" h="1" sd="1" m="1" x="4626"/>
        <item t="data" h="1" sd="1" m="1" x="3259"/>
        <item t="data" h="1" sd="1" m="1" x="1710"/>
        <item t="data" h="1" sd="1" x="334"/>
        <item t="data" h="1" sd="1" m="1" x="4627"/>
        <item t="data" h="1" sd="1" m="1" x="4628"/>
        <item t="data" h="1" sd="1" m="1" x="4629"/>
        <item t="data" h="1" sd="1" m="1" x="4630"/>
        <item t="data" h="1" sd="1" m="1" x="4631"/>
        <item t="data" h="1" sd="1" m="1" x="4632"/>
        <item t="data" h="1" sd="1" m="1" x="4429"/>
        <item t="data" h="1" sd="1" m="1" x="3950"/>
        <item t="data" h="1" sd="1" m="1" x="2926"/>
        <item t="data" h="1" sd="1" m="1" x="4206"/>
        <item t="data" h="1" sd="1" m="1" x="3737"/>
        <item t="data" h="1" sd="1" m="1" x="4633"/>
        <item t="data" h="1" sd="1" m="1" x="4634"/>
        <item t="data" h="1" sd="1" m="1" x="4635"/>
        <item t="data" h="1" sd="1" m="1" x="3539"/>
        <item t="data" h="1" sd="1" m="1" x="4636"/>
        <item t="data" h="1" sd="1" m="1" x="3535"/>
        <item t="data" h="1" sd="1" m="1" x="4637"/>
        <item t="data" h="1" sd="1" m="1" x="4282"/>
        <item t="data" h="1" sd="1" m="1" x="4091"/>
        <item t="data" h="1" sd="1" m="1" x="4638"/>
        <item t="data" h="1" sd="1" m="1" x="4284"/>
        <item t="data" h="1" sd="1" m="1" x="4639"/>
        <item t="data" h="1" sd="1" m="1" x="4640"/>
        <item t="data" h="1" sd="1" m="1" x="4479"/>
        <item t="data" h="1" sd="1" m="1" x="4641"/>
        <item t="data" h="1" sd="1" m="1" x="4642"/>
        <item t="data" h="1" sd="1" m="1" x="4644"/>
        <item t="data" h="1" sd="1" m="1" x="4645"/>
        <item t="data" h="1" sd="1" m="1" x="4478"/>
        <item t="data" h="1" sd="1" m="1" x="4286"/>
        <item t="data" h="1" sd="1" m="1" x="4646"/>
        <item t="data" h="1" sd="1" m="1" x="4283"/>
        <item t="data" h="1" sd="1" m="1" x="4481"/>
        <item t="data" h="1" sd="1" m="1" x="4150"/>
        <item t="data" h="1" sd="1" m="1" x="4647"/>
        <item t="data" h="1" sd="1" m="1" x="4483"/>
        <item t="data" h="1" sd="1" m="1" x="4484"/>
        <item t="data" h="1" sd="1" m="1" x="4290"/>
        <item t="data" h="1" sd="1" m="1" x="4648"/>
        <item t="data" h="1" sd="1" m="1" x="4291"/>
        <item t="data" h="1" sd="1" m="1" x="4293"/>
        <item t="data" h="1" sd="1" m="1" x="4063"/>
        <item t="data" h="1" sd="1" m="1" x="4294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252"/>
        <item t="data" h="1" sd="1" m="1" x="3130"/>
        <item t="data" h="1" sd="1" m="1" x="3905"/>
        <item t="data" h="1" sd="1" m="1" x="3898"/>
        <item t="data" h="1" sd="1" m="1" x="4477"/>
        <item t="data" h="1" sd="1" m="1" x="1679"/>
        <item t="data" h="1" sd="1" m="1" x="3258"/>
        <item t="data" h="1" sd="1" m="1" x="3257"/>
        <item t="data" h="1" sd="1" m="1" x="4274"/>
        <item t="data" h="1" sd="1" m="1" x="4275"/>
        <item t="data" h="1" sd="1" m="1" x="4277"/>
        <item t="data" h="1" sd="1" m="1" x="4431"/>
        <item t="data" h="1" sd="1" m="1" x="4033"/>
        <item t="data" h="1" sd="1" m="1" x="4287"/>
        <item t="data" h="1" sd="1" m="1" x="4480"/>
        <item t="data" h="1" sd="1" m="1" x="4485"/>
        <item t="data" h="1" sd="1" m="1" x="4486"/>
        <item t="data" h="1" sd="1" m="1" x="4487"/>
        <item t="data" h="1" sd="1" m="1" x="3219"/>
        <item t="data" h="1" sd="1" m="1" x="2643"/>
        <item t="data" h="1" sd="1" m="1" x="2507"/>
        <item t="data" h="1" sd="1" m="1" x="4296"/>
        <item t="data" h="1" sd="1" m="1" x="4266"/>
        <item t="data" h="1" sd="1" m="1" x="4160"/>
        <item t="data" h="1" sd="1" m="1" x="3498"/>
        <item t="data" h="1" sd="1" m="1" x="4267"/>
        <item t="data" h="1" sd="1" m="1" x="1667"/>
        <item t="data" h="1" sd="1" m="1" x="2379"/>
        <item t="data" h="1" sd="1" m="1" x="4490"/>
        <item t="data" h="1" sd="1" m="1" x="4491"/>
        <item t="data" h="1" sd="1" x="114"/>
        <item t="data" h="1" sd="1" m="1" x="4492"/>
        <item t="data" h="1" sd="1" m="1" x="3494"/>
        <item t="data" h="1" sd="1" m="1" x="3495"/>
        <item t="data" h="1" sd="1" m="1" x="3496"/>
        <item t="data" h="1" sd="1" m="1" x="3493"/>
        <item t="data" h="1" sd="1" m="1" x="4493"/>
        <item t="data" h="1" sd="1" m="1" x="2952"/>
        <item t="data" h="1" sd="1" m="1" x="4310"/>
        <item t="data" h="1" sd="1" m="1" x="3649"/>
        <item t="data" h="1" sd="1" m="1" x="3301"/>
        <item t="data" h="1" sd="1" m="1" x="3302"/>
        <item t="data" h="1" sd="1" m="1" x="4494"/>
        <item t="data" h="1" sd="1" m="1" x="2254"/>
        <item t="data" h="1" sd="1" m="1" x="3906"/>
        <item t="data" h="1" sd="1" m="1" x="3907"/>
        <item t="data" h="1" sd="1" m="1" x="4495"/>
        <item t="data" h="1" sd="1" m="1" x="3304"/>
        <item t="data" h="1" sd="1" m="1" x="4270"/>
        <item t="data" h="1" sd="1" m="1" x="3251"/>
        <item t="data" h="1" sd="1" m="1" x="3260"/>
        <item t="data" h="1" sd="1" m="1" x="3680"/>
        <item t="data" h="1" sd="1" m="1" x="3760"/>
        <item t="data" h="1" sd="1" m="1" x="4314"/>
        <item t="data" h="1" sd="1" m="1" x="4316"/>
        <item t="data" h="1" sd="1" m="1" x="4269"/>
        <item t="data" h="1" sd="1" m="1" x="4271"/>
        <item t="data" h="1" sd="1" m="1" x="3740"/>
        <item t="data" h="1" sd="1" m="1" x="3755"/>
        <item t="data" h="1" sd="1" m="1" x="4272"/>
        <item t="data" h="1" sd="1" m="1" x="3087"/>
        <item t="data" h="1" sd="1" m="1" x="4273"/>
        <item t="data" h="1" sd="1" m="1" x="4278"/>
        <item t="data" h="1" sd="1" m="1" x="4208"/>
        <item t="data" h="1" sd="1" m="1" x="4279"/>
        <item t="data" h="1" sd="1" m="1" x="4280"/>
        <item t="data" h="1" sd="1" m="1" x="4319"/>
        <item t="data" h="1" sd="1" m="1" x="4320"/>
        <item t="data" h="1" sd="1" m="1" x="3715"/>
        <item t="data" h="1" sd="1" m="1" x="4322"/>
        <item t="data" h="1" sd="1" m="1" x="1680"/>
        <item t="data" h="1" sd="1" m="1" x="4207"/>
        <item t="data" h="1" sd="1" m="1" x="1662"/>
        <item t="data" h="1" sd="1" m="1" x="4437"/>
        <item t="data" h="1" sd="1" m="1" x="4438"/>
        <item t="data" h="1" sd="1" m="1" x="4439"/>
        <item t="data" h="1" sd="1" m="1" x="3488"/>
        <item t="data" h="1" sd="1" m="1" x="4497"/>
        <item t="data" h="1" sd="1" m="1" x="4327"/>
        <item t="data" h="1" sd="1" m="1" x="4430"/>
        <item t="data" h="1" sd="1" m="1" x="4498"/>
        <item t="data" h="1" sd="1" m="1" x="4499"/>
        <item t="data" h="1" sd="1" m="1" x="4500"/>
        <item t="data" h="1" sd="1" m="1" x="4501"/>
        <item t="data" h="1" sd="1" m="1" x="4502"/>
        <item t="data" h="1" sd="1" m="1" x="4325"/>
        <item t="data" h="1" sd="1" m="1" x="4503"/>
        <item t="data" h="1" sd="1" m="1" x="4504"/>
        <item t="data" h="1" sd="1" m="1" x="4505"/>
        <item t="data" h="1" sd="1" m="1" x="4506"/>
        <item t="data" h="1" sd="1" m="1" x="4507"/>
        <item t="data" h="1" sd="1" m="1" x="4508"/>
        <item t="data" h="1" sd="1" m="1" x="4509"/>
        <item t="data" h="1" sd="1" m="1" x="4510"/>
        <item t="data" h="1" sd="1" m="1" x="4511"/>
        <item t="data" h="1" sd="1" m="1" x="4328"/>
        <item t="data" h="1" sd="1" m="1" x="4512"/>
        <item t="data" h="1" sd="1" m="1" x="4448"/>
        <item t="data" h="1" sd="1" m="1" x="4289"/>
        <item t="data" h="1" sd="1" m="1" x="4330"/>
        <item t="data" h="1" sd="1" m="1" x="4449"/>
        <item t="data" h="1" sd="1" m="1" x="4333"/>
        <item t="data" h="1" sd="1" m="1" x="4334"/>
        <item t="data" h="1" sd="1" m="1" x="4513"/>
        <item t="data" h="1" sd="1" m="1" x="4337"/>
        <item t="data" h="1" sd="1" m="1" x="4338"/>
        <item t="data" h="1" sd="1" m="1" x="4514"/>
        <item t="data" h="1" sd="1" m="1" x="4515"/>
        <item t="data" h="1" sd="1" m="1" x="4516"/>
        <item t="data" h="1" sd="1" m="1" x="4517"/>
        <item t="data" h="1" sd="1" m="1" x="4518"/>
        <item t="data" h="1" sd="1" m="1" x="4519"/>
        <item t="data" h="1" sd="1" m="1" x="4520"/>
        <item t="data" h="1" sd="1" m="1" x="4523"/>
        <item t="data" h="1" sd="1" m="1" x="4524"/>
        <item t="data" h="1" sd="1" m="1" x="4525"/>
        <item t="data" h="1" sd="1" m="1" x="1677"/>
        <item t="data" h="1" sd="1" m="1" x="4168"/>
        <item t="data" h="1" sd="1" m="1" x="4340"/>
        <item t="data" h="1" sd="1" m="1" x="3303"/>
        <item t="data" h="1" sd="1" m="1" x="4526"/>
        <item t="data" h="1" sd="1" m="1" x="4341"/>
        <item t="data" h="1" sd="1" m="1" x="2985"/>
        <item t="data" h="1" sd="1" m="1" x="4300"/>
        <item t="data" h="1" sd="1" m="1" x="3104"/>
        <item t="data" h="1" sd="1" m="1" x="2320"/>
        <item t="data" h="1" sd="1" m="1" x="4302"/>
        <item t="data" h="1" sd="1" m="1" x="2449"/>
        <item t="data" h="1" sd="1" m="1" x="2450"/>
        <item t="data" h="1" sd="1" m="1" x="4432"/>
        <item t="data" h="1" sd="1" m="1" x="4433"/>
        <item t="data" h="1" sd="1" m="1" x="3497"/>
        <item t="data" h="1" sd="1" m="1" x="3395"/>
        <item t="data" h="1" sd="1" m="1" x="3031"/>
        <item t="data" h="1" sd="1" m="1" x="4305"/>
        <item t="data" h="1" sd="1" x="243"/>
        <item t="data" h="1" sd="1" m="1" x="4435"/>
        <item t="data" h="1" sd="1" m="1" x="4436"/>
        <item t="data" h="1" sd="1" m="1" x="3202"/>
        <item t="data" h="1" sd="1" m="1" x="4311"/>
        <item t="data" h="1" sd="1" m="1" x="4312"/>
        <item t="data" h="1" sd="1" m="1" x="4313"/>
        <item t="data" h="1" sd="1" m="1" x="2002"/>
        <item t="data" h="1" sd="1" m="1" x="4315"/>
        <item t="data" h="1" sd="1" m="1" x="1658"/>
        <item t="data" h="1" sd="1" m="1" x="4324"/>
        <item t="data" h="1" sd="1" m="1" x="4326"/>
        <item t="data" h="1" sd="1" m="1" x="4441"/>
        <item t="data" h="1" sd="1" m="1" x="4442"/>
        <item t="data" h="1" sd="1" m="1" x="4443"/>
        <item t="data" h="1" sd="1" m="1" x="4444"/>
        <item t="data" h="1" sd="1" m="1" x="4445"/>
        <item t="data" h="1" sd="1" m="1" x="4446"/>
        <item t="data" h="1" sd="1" m="1" x="4447"/>
        <item t="data" h="1" sd="1" m="1" x="4331"/>
        <item t="data" h="1" sd="1" m="1" x="4332"/>
        <item t="data" h="1" sd="1" m="1" x="4339"/>
        <item t="data" h="1" sd="1" m="1" x="4450"/>
        <item t="data" h="1" sd="1" m="1" x="4451"/>
        <item t="data" h="1" sd="1" m="1" x="4452"/>
        <item t="data" h="1" sd="1" m="1" x="4453"/>
        <item t="data" h="1" sd="1" m="1" x="3197"/>
        <item t="data" h="1" sd="1" m="1" x="3550"/>
        <item t="data" h="1" sd="1" m="1" x="3089"/>
        <item t="data" h="1" sd="1" m="1" x="4173"/>
        <item t="data" h="1" sd="1" m="1" x="4172"/>
        <item t="data" h="1" sd="1" m="1" x="4297"/>
        <item t="data" h="1" sd="1" m="1" x="4298"/>
        <item t="data" h="1" sd="1" m="1" x="4299"/>
        <item t="data" h="1" sd="1" m="1" x="4301"/>
        <item t="data" h="1" sd="1" m="1" x="4303"/>
        <item t="data" h="1" sd="1" m="1" x="4454"/>
        <item t="data" h="1" sd="1" m="1" x="3675"/>
        <item t="data" h="1" sd="1" m="1" x="4317"/>
        <item t="data" h="1" sd="1" m="1" x="3738"/>
        <item t="data" h="1" sd="1" m="1" x="3739"/>
        <item t="data" h="1" sd="1" x="431"/>
        <item t="data" h="1" sd="1" x="432"/>
        <item t="data" h="1" sd="1" m="1" x="3336"/>
        <item t="data" h="1" sd="1" m="1" x="2730"/>
        <item t="data" h="1" sd="1" m="1" x="4321"/>
        <item t="data" h="1" sd="1" m="1" x="4323"/>
        <item t="data" h="1" sd="1" m="1" x="3952"/>
        <item t="data" h="1" sd="1" m="1" x="4455"/>
        <item t="data" h="1" sd="1" m="1" x="4456"/>
        <item t="data" h="1" sd="1" m="1" x="4457"/>
        <item t="data" h="1" sd="1" m="1" x="4459"/>
        <item t="data" h="1" sd="1" m="1" x="4460"/>
        <item t="data" h="1" sd="1" m="1" x="3216"/>
        <item t="data" h="1" sd="1" m="1" x="4461"/>
        <item t="data" h="1" sd="1" m="1" x="4462"/>
        <item t="data" h="1" sd="1" m="1" x="4463"/>
        <item t="data" h="1" sd="1" m="1" x="3981"/>
        <item t="data" h="1" sd="1" m="1" x="3953"/>
        <item t="data" h="1" sd="1" m="1" x="4464"/>
        <item t="data" h="1" sd="1" m="1" x="4465"/>
        <item t="data" h="1" sd="1" m="1" x="4466"/>
        <item t="data" h="1" sd="1" m="1" x="4335"/>
        <item t="data" h="1" sd="1" m="1" x="4467"/>
        <item t="data" h="1" sd="1" m="1" x="4336"/>
        <item t="data" h="1" sd="1" m="1" x="4468"/>
        <item t="data" h="1" sd="1" m="1" x="4200"/>
        <item t="data" h="1" sd="1" m="1" x="3215"/>
        <item t="data" h="1" sd="1" m="1" x="4469"/>
        <item t="data" h="1" sd="1" m="1" x="4470"/>
        <item t="data" h="1" sd="1" m="1" x="3213"/>
        <item t="data" h="1" sd="1" m="1" x="4471"/>
        <item t="data" h="1" sd="1" m="1" x="3094"/>
        <item t="data" h="1" sd="1" m="1" x="4215"/>
        <item t="data" h="1" sd="1" m="1" x="4217"/>
        <item t="data" h="1" sd="1" m="1" x="4342"/>
        <item t="data" h="1" sd="1" m="1" x="4343"/>
        <item t="data" h="1" sd="1" m="1" x="1506"/>
        <item t="data" h="1" sd="1" m="1" x="4344"/>
        <item t="data" h="1" sd="1" m="1" x="4345"/>
        <item t="data" h="1" sd="1" m="1" x="4346"/>
        <item t="data" h="1" sd="1" m="1" x="2319"/>
        <item t="data" h="1" sd="1" m="1" x="3554"/>
        <item t="data" h="1" sd="1" m="1" x="4347"/>
        <item t="data" h="1" sd="1" m="1" x="4348"/>
        <item t="data" h="1" sd="1" m="1" x="4349"/>
        <item t="data" h="1" sd="1" m="1" x="4350"/>
        <item t="data" h="1" sd="1" m="1" x="2951"/>
        <item t="data" h="1" sd="1" m="1" x="3174"/>
        <item t="data" h="1" sd="1" m="1" x="1650"/>
        <item t="data" h="1" sd="1" m="1" x="3585"/>
        <item t="data" h="1" sd="1" m="1" x="3190"/>
        <item t="data" h="1" sd="1" m="1" x="3817"/>
        <item t="data" h="1" sd="1" m="1" x="4352"/>
        <item t="data" h="1" sd="1" m="1" x="4353"/>
        <item t="data" h="1" sd="1" m="1" x="4354"/>
        <item t="data" h="1" sd="1" m="1" x="4355"/>
        <item t="data" h="1" sd="1" m="1" x="4132"/>
        <item t="data" h="1" sd="1" m="1" x="4133"/>
        <item t="data" h="1" sd="1" m="1" x="4356"/>
        <item t="data" h="1" sd="1" m="1" x="4357"/>
        <item t="data" h="1" sd="1" m="1" x="4358"/>
        <item t="data" h="1" sd="1" m="1" x="4359"/>
        <item t="data" h="1" sd="1" m="1" x="4360"/>
        <item t="data" h="1" sd="1" m="1" x="4361"/>
        <item t="data" h="1" sd="1" m="1" x="1655"/>
        <item t="data" h="1" sd="1" m="1" x="4362"/>
        <item t="data" h="1" sd="1" m="1" x="3252"/>
        <item t="data" h="1" sd="1" m="1" x="3253"/>
        <item t="data" h="1" sd="1" m="1" x="3255"/>
        <item t="data" h="1" sd="1" m="1" x="3248"/>
        <item t="data" h="1" sd="1" m="1" x="4081"/>
        <item t="data" h="1" sd="1" m="1" x="4363"/>
        <item t="data" h="1" sd="1" m="1" x="4364"/>
        <item t="data" h="1" sd="1" m="1" x="4365"/>
        <item t="data" h="1" sd="1" m="1" x="4181"/>
        <item t="data" h="1" sd="1" m="1" x="3529"/>
        <item t="data" h="1" sd="1" m="1" x="4366"/>
        <item t="data" h="1" sd="1" m="1" x="4368"/>
        <item t="data" h="1" sd="1" m="1" x="4369"/>
        <item t="data" h="1" sd="1" m="1" x="4370"/>
        <item t="data" h="1" sd="1" m="1" x="3758"/>
        <item t="data" h="1" sd="1" m="1" x="4373"/>
        <item t="data" h="1" sd="1" m="1" x="4374"/>
        <item t="data" h="1" sd="1" m="1" x="4375"/>
        <item t="data" h="1" sd="1" m="1" x="1660"/>
        <item t="data" h="1" sd="1" m="1" x="4205"/>
        <item t="data" h="1" sd="1" m="1" x="4376"/>
        <item t="data" h="1" sd="1" m="1" x="3530"/>
        <item t="data" h="1" sd="1" m="1" x="4377"/>
        <item t="data" h="1" sd="1" m="1" x="4378"/>
        <item t="data" h="1" sd="1" m="1" x="3948"/>
        <item t="data" h="1" sd="1" m="1" x="4379"/>
        <item t="data" h="1" sd="1" m="1" x="2088"/>
        <item t="data" h="1" sd="1" m="1" x="4380"/>
        <item t="data" h="1" sd="1" m="1" x="4381"/>
        <item t="data" h="1" sd="1" m="1" x="4382"/>
        <item t="data" h="1" sd="1" m="1" x="4383"/>
        <item t="data" h="1" sd="1" m="1" x="4385"/>
        <item t="data" h="1" sd="1" m="1" x="4386"/>
        <item t="data" h="1" sd="1" m="1" x="4387"/>
        <item t="data" h="1" sd="1" m="1" x="4388"/>
        <item t="data" h="1" sd="1" m="1" x="4389"/>
        <item t="data" h="1" sd="1" m="1" x="3983"/>
        <item t="data" h="1" sd="1" m="1" x="4390"/>
        <item t="data" h="1" sd="1" m="1" x="4391"/>
        <item t="data" h="1" sd="1" m="1" x="4392"/>
        <item t="data" h="1" sd="1" m="1" x="4393"/>
        <item t="data" h="1" sd="1" m="1" x="4036"/>
        <item t="data" h="1" sd="1" m="1" x="4394"/>
        <item t="data" h="1" sd="1" m="1" x="4395"/>
        <item t="data" h="1" sd="1" m="1" x="4396"/>
        <item t="data" h="1" sd="1" m="1" x="4397"/>
        <item t="data" h="1" sd="1" m="1" x="4398"/>
        <item t="data" h="1" sd="1" m="1" x="4399"/>
        <item t="data" h="1" sd="1" m="1" x="3963"/>
        <item t="data" h="1" sd="1" m="1" x="4400"/>
        <item t="data" h="1" sd="1" m="1" x="4401"/>
        <item t="data" h="1" sd="1" m="1" x="4402"/>
        <item t="data" h="1" sd="1" m="1" x="4403"/>
        <item t="data" h="1" sd="1" m="1" x="4404"/>
        <item t="data" h="1" sd="1" m="1" x="4405"/>
        <item t="data" h="1" sd="1" m="1" x="4406"/>
        <item t="data" h="1" sd="1" m="1" x="4407"/>
        <item t="data" h="1" sd="1" m="1" x="4408"/>
        <item t="data" h="1" sd="1" m="1" x="4409"/>
        <item t="data" h="1" sd="1" m="1" x="4410"/>
        <item t="data" h="1" sd="1" m="1" x="4411"/>
        <item t="data" h="1" sd="1" m="1" x="4412"/>
        <item t="data" h="1" sd="1" m="1" x="4413"/>
        <item t="data" h="1" sd="1" m="1" x="4414"/>
        <item t="data" h="1" sd="1" m="1" x="4415"/>
        <item t="data" h="1" sd="1" m="1" x="4416"/>
        <item t="data" h="1" sd="1" m="1" x="4417"/>
        <item t="data" h="1" sd="1" m="1" x="4418"/>
        <item t="data" h="1" sd="1" m="1" x="4034"/>
        <item t="data" h="1" sd="1" m="1" x="4035"/>
        <item t="data" h="1" sd="1" m="1" x="4419"/>
        <item t="data" h="1" sd="1" m="1" x="4420"/>
        <item t="data" h="1" sd="1" m="1" x="4421"/>
        <item t="data" h="1" sd="1" m="1" x="4422"/>
        <item t="data" h="1" sd="1" m="1" x="4156"/>
        <item t="data" h="1" sd="1" m="1" x="4117"/>
        <item t="data" h="1" sd="1" m="1" x="4118"/>
        <item t="data" h="1" sd="1" m="1" x="4119"/>
        <item t="data" h="1" sd="1" m="1" x="4120"/>
        <item t="data" h="1" sd="1" m="1" x="4121"/>
        <item t="data" h="1" sd="1" m="1" x="4122"/>
        <item t="data" h="1" sd="1" m="1" x="4123"/>
        <item t="data" h="1" sd="1" m="1" x="4124"/>
        <item t="data" h="1" sd="1" m="1" x="3985"/>
        <item t="data" h="1" sd="1" m="1" x="3982"/>
        <item t="data" h="1" sd="1" m="1" x="3986"/>
        <item t="data" h="1" sd="1" m="1" x="3980"/>
        <item t="data" h="1" sd="1" m="1" x="4126"/>
        <item t="data" h="1" sd="1" m="1" x="4127"/>
        <item t="data" h="1" sd="1" m="1" x="4128"/>
        <item t="data" h="1" sd="1" m="1" x="4129"/>
        <item t="data" h="1" sd="1" m="1" x="3997"/>
        <item t="data" h="1" sd="1" m="1" x="3999"/>
        <item t="data" h="1" sd="1" m="1" x="3882"/>
        <item t="data" h="1" sd="1" m="1" x="4000"/>
        <item t="data" h="1" sd="1" m="1" x="4001"/>
        <item t="data" h="1" sd="1" m="1" x="3998"/>
        <item t="data" h="1" sd="1" m="1" x="3873"/>
        <item t="data" h="1" sd="1" m="1" x="3874"/>
        <item t="data" h="1" sd="1" m="1" x="3875"/>
        <item t="data" h="1" sd="1" m="1" x="3871"/>
        <item t="data" h="1" sd="1" m="1" x="4007"/>
        <item t="data" h="1" sd="1" m="1" x="4010"/>
        <item t="data" h="1" sd="1" m="1" x="4008"/>
        <item t="data" h="1" sd="1" m="1" x="3996"/>
        <item t="data" h="1" sd="1" m="1" x="3872"/>
        <item t="data" h="1" sd="1" m="1" x="4003"/>
        <item t="data" h="1" sd="1" m="1" x="4004"/>
        <item t="data" h="1" sd="1" m="1" x="4002"/>
        <item t="data" h="1" sd="1" m="1" x="4009"/>
        <item t="data" h="1" sd="1" m="1" x="4011"/>
        <item t="data" h="1" sd="1" m="1" x="3987"/>
        <item t="data" h="1" sd="1" m="1" x="4013"/>
        <item t="data" h="1" sd="1" m="1" x="4014"/>
        <item t="data" h="1" sd="1" m="1" x="4017"/>
        <item t="data" h="1" sd="1" m="1" x="4018"/>
        <item t="data" h="1" sd="1" m="1" x="3819"/>
        <item t="data" h="1" sd="1" m="1" x="3899"/>
        <item t="data" h="1" sd="1" m="1" x="4136"/>
        <item t="data" h="1" sd="1" m="1" x="4142"/>
        <item t="data" h="1" sd="1" m="1" x="4144"/>
        <item t="data" h="1" sd="1" m="1" x="4027"/>
        <item t="data" h="1" sd="1" m="1" x="4145"/>
        <item t="data" h="1" sd="1" m="1" x="4028"/>
        <item t="data" h="1" sd="1" m="1" x="4146"/>
        <item t="data" h="1" sd="1" m="1" x="4148"/>
        <item t="data" h="1" sd="1" m="1" x="3491"/>
        <item t="data" h="1" sd="1" m="1" x="3394"/>
        <item t="data" h="1" sd="1" m="1" x="3913"/>
        <item t="data" h="1" sd="1" m="1" x="3914"/>
        <item t="data" h="1" sd="1" m="1" x="3915"/>
        <item t="data" h="1" sd="1" m="1" x="3917"/>
        <item t="data" h="1" sd="1" m="1" x="4149"/>
        <item t="data" h="1" sd="1" m="1" x="4151"/>
        <item t="data" h="1" sd="1" m="1" x="1496"/>
        <item t="data" h="1" sd="1" m="1" x="3618"/>
        <item t="data" h="1" sd="1" m="1" x="2977"/>
        <item t="data" h="1" sd="1" m="1" x="2980"/>
        <item t="data" h="1" sd="1" m="1" x="4154"/>
        <item t="data" h="1" sd="1" m="1" x="2979"/>
        <item t="data" h="1" sd="1" m="1" x="4032"/>
        <item t="data" h="1" sd="1" m="1" x="4155"/>
        <item t="data" h="1" sd="1" m="1" x="4038"/>
        <item t="data" h="1" sd="1" m="1" x="4043"/>
        <item t="data" h="1" sd="1" m="1" x="4157"/>
        <item t="data" h="1" sd="1" m="1" x="4158"/>
        <item t="data" h="1" sd="1" m="1" x="2637"/>
        <item t="data" h="1" sd="1" m="1" x="4161"/>
        <item t="data" h="1" sd="1" m="1" x="4165"/>
        <item t="data" h="1" sd="1" m="1" x="2988"/>
        <item t="data" h="1" sd="1" m="1" x="3929"/>
        <item t="data" h="1" sd="1" m="1" x="3662"/>
        <item t="data" h="1" sd="1" m="1" x="4053"/>
        <item t="data" h="1" sd="1" m="1" x="4054"/>
        <item t="data" h="1" sd="1" m="1" x="4055"/>
        <item t="data" h="1" sd="1" m="1" x="4049"/>
        <item t="data" h="1" sd="1" m="1" x="4048"/>
        <item t="data" h="1" sd="1" m="1" x="4064"/>
        <item t="data" h="1" sd="1" m="1" x="4065"/>
        <item t="data" h="1" sd="1" m="1" x="3843"/>
        <item t="data" h="1" sd="1" m="1" x="4066"/>
        <item t="data" h="1" sd="1" m="1" x="4067"/>
        <item t="data" h="1" sd="1" m="1" x="4068"/>
        <item t="data" h="1" sd="1" m="1" x="4069"/>
        <item t="data" h="1" sd="1" m="1" x="4044"/>
        <item t="data" h="1" sd="1" m="1" x="4046"/>
        <item t="data" h="1" sd="1" m="1" x="4047"/>
        <item t="data" h="1" sd="1" m="1" x="4045"/>
        <item t="data" h="1" sd="1" m="1" x="4052"/>
        <item t="data" h="1" sd="1" m="1" x="3669"/>
        <item t="data" h="1" sd="1" m="1" x="3670"/>
        <item t="data" h="1" sd="1" m="1" x="3668"/>
        <item t="data" h="1" sd="1" m="1" x="3666"/>
        <item t="data" h="1" sd="1" m="1" x="3667"/>
        <item t="data" h="1" sd="1" x="427"/>
        <item t="data" h="1" sd="1" m="1" x="3671"/>
        <item t="data" h="1" sd="1" m="1" x="3672"/>
        <item t="data" h="1" sd="1" m="1" x="4073"/>
        <item t="data" h="1" sd="1" m="1" x="4074"/>
        <item t="data" h="1" sd="1" m="1" x="4078"/>
        <item t="data" h="1" sd="1" m="1" x="4076"/>
        <item t="data" h="1" sd="1" m="1" x="4077"/>
        <item t="data" h="1" sd="1" m="1" x="4079"/>
        <item t="data" h="1" sd="1" m="1" x="4075"/>
        <item t="data" h="1" sd="1" m="1" x="4056"/>
        <item t="data" h="1" sd="1" m="1" x="4057"/>
        <item t="data" h="1" sd="1" m="1" x="3656"/>
        <item t="data" h="1" sd="1" m="1" x="3657"/>
        <item t="data" h="1" sd="1" m="1" x="3658"/>
        <item t="data" h="1" sd="1" m="1" x="3659"/>
        <item t="data" h="1" sd="1" m="1" x="3660"/>
        <item t="data" h="1" sd="1" m="1" x="4060"/>
        <item t="data" h="1" sd="1" m="1" x="4059"/>
        <item t="data" h="1" sd="1" m="1" x="4061"/>
        <item t="data" h="1" sd="1" m="1" x="4062"/>
        <item t="data" h="1" sd="1" m="1" x="3511"/>
        <item t="data" h="1" sd="1" m="1" x="3930"/>
        <item t="data" h="1" sd="1" m="1" x="3132"/>
        <item t="data" h="1" sd="1" m="1" x="4169"/>
        <item t="data" h="1" sd="1" m="1" x="4080"/>
        <item t="data" h="1" sd="1" m="1" x="4170"/>
        <item t="data" h="1" sd="1" m="1" x="3931"/>
        <item t="data" h="1" sd="1" m="1" x="3932"/>
        <item t="data" h="1" sd="1" m="1" x="4171"/>
        <item t="data" h="1" sd="1" m="1" x="4103"/>
        <item t="data" h="1" sd="1" m="1" x="4174"/>
        <item t="data" h="1" sd="1" m="1" x="4104"/>
        <item t="data" h="1" sd="1" m="1" x="2356"/>
        <item t="data" h="1" sd="1" m="1" x="4175"/>
        <item t="data" h="1" sd="1" m="1" x="4176"/>
        <item t="data" h="1" sd="1" m="1" x="3940"/>
        <item t="data" h="1" sd="1" m="1" x="3939"/>
        <item t="data" h="1" sd="1" m="1" x="3941"/>
        <item t="data" h="1" sd="1" m="1" x="4082"/>
        <item t="data" h="1" sd="1" m="1" x="4083"/>
        <item t="data" h="1" sd="1" m="1" x="3937"/>
        <item t="data" h="1" sd="1" m="1" x="4084"/>
        <item t="data" h="1" sd="1" m="1" x="4177"/>
        <item t="data" h="1" sd="1" m="1" x="4087"/>
        <item t="data" h="1" sd="1" m="1" x="4088"/>
        <item t="data" h="1" sd="1" m="1" x="4089"/>
        <item t="data" h="1" sd="1" m="1" x="4090"/>
        <item t="data" h="1" sd="1" m="1" x="3295"/>
        <item t="data" h="1" sd="1" m="1" x="3296"/>
        <item t="data" h="1" sd="1" m="1" x="3297"/>
        <item t="data" h="1" sd="1" m="1" x="4098"/>
        <item t="data" h="1" sd="1" m="1" x="3298"/>
        <item t="data" h="1" sd="1" m="1" x="3299"/>
        <item t="data" h="1" sd="1" m="1" x="4097"/>
        <item t="data" h="1" sd="1" m="1" x="3293"/>
        <item t="data" h="1" sd="1" m="1" x="3294"/>
        <item t="data" h="1" sd="1" m="1" x="4085"/>
        <item t="data" h="1" sd="1" m="1" x="4086"/>
        <item t="data" h="1" sd="1" m="1" x="4092"/>
        <item t="data" h="1" sd="1" m="1" x="4093"/>
        <item t="data" h="1" sd="1" m="1" x="4094"/>
        <item t="data" h="1" sd="1" m="1" x="4096"/>
        <item t="data" h="1" sd="1" m="1" x="4095"/>
        <item t="data" h="1" sd="1" m="1" x="3292"/>
        <item t="data" h="1" sd="1" m="1" x="4178"/>
        <item t="data" h="1" sd="1" m="1" x="4179"/>
        <item t="data" h="1" sd="1" m="1" x="4180"/>
        <item t="data" h="1" sd="1" m="1" x="3527"/>
        <item t="data" h="1" sd="1" m="1" x="4183"/>
        <item t="data" h="1" sd="1" m="1" x="4111"/>
        <item t="data" h="1" sd="1" m="1" x="4112"/>
        <item t="data" h="1" sd="1" m="1" x="4185"/>
        <item t="data" h="1" sd="1" m="1" x="4186"/>
        <item t="data" h="1" sd="1" m="1" x="4187"/>
        <item t="data" h="1" sd="1" m="1" x="4188"/>
        <item t="data" h="1" sd="1" m="1" x="3949"/>
        <item t="data" h="1" sd="1" m="1" x="4189"/>
        <item t="data" h="1" sd="1" m="1" x="4190"/>
        <item t="data" h="1" sd="1" m="1" x="4191"/>
        <item t="data" h="1" sd="1" m="1" x="4193"/>
        <item t="data" h="1" sd="1" m="1" x="4194"/>
        <item t="data" h="1" sd="1" m="1" x="4203"/>
        <item t="data" h="1" sd="1" m="1" x="4204"/>
        <item t="data" h="1" sd="1" m="1" x="4114"/>
        <item t="data" h="1" sd="1" m="1" x="4115"/>
        <item t="data" h="1" sd="1" m="1" x="4116"/>
        <item t="data" h="1" sd="1" x="357"/>
        <item t="data" h="1" sd="1" m="1" x="2274"/>
        <item t="data" h="1" sd="1" m="1" x="4213"/>
        <item t="data" h="1" sd="1" m="1" x="3959"/>
        <item t="data" h="1" sd="1" m="1" x="3961"/>
        <item t="data" h="1" sd="1" m="1" x="3856"/>
        <item t="data" h="1" sd="1" m="1" x="3962"/>
        <item t="data" h="1" sd="1" m="1" x="3967"/>
        <item t="data" h="1" sd="1" m="1" x="3968"/>
        <item t="data" h="1" sd="1" m="1" x="3969"/>
        <item t="data" h="1" sd="1" m="1" x="3970"/>
        <item t="data" h="1" sd="1" m="1" x="3971"/>
        <item t="data" h="1" sd="1" m="1" x="3972"/>
        <item t="data" h="1" sd="1" m="1" x="3973"/>
        <item t="data" h="1" sd="1" m="1" x="3974"/>
        <item t="data" h="1" sd="1" m="1" x="3975"/>
        <item t="data" h="1" sd="1" m="1" x="3976"/>
        <item t="data" h="1" sd="1" m="1" x="3977"/>
        <item t="data" h="1" sd="1" m="1" x="3978"/>
        <item t="data" h="1" sd="1" m="1" x="3551"/>
        <item t="data" h="1" sd="1" m="1" x="3979"/>
        <item t="data" h="1" sd="1" m="1" x="3177"/>
        <item t="data" h="1" sd="1" m="1" x="3412"/>
        <item t="data" h="1" sd="1" m="1" x="3858"/>
        <item t="data" h="1" sd="1" m="1" x="3555"/>
        <item t="data" h="1" sd="1" m="1" x="3984"/>
        <item t="data" h="1" sd="1" m="1" x="3988"/>
        <item t="data" h="1" sd="1" m="1" x="3865"/>
        <item t="data" h="1" sd="1" m="1" x="3989"/>
        <item t="data" h="1" sd="1" m="1" x="3990"/>
        <item t="data" h="1" sd="1" m="1" x="3786"/>
        <item t="data" h="1" sd="1" m="1" x="3785"/>
        <item t="data" h="1" sd="1" m="1" x="3866"/>
        <item t="data" h="1" sd="1" m="1" x="3799"/>
        <item t="data" h="1" sd="1" m="1" x="3992"/>
        <item t="data" h="1" sd="1" m="1" x="3869"/>
        <item t="data" h="1" sd="1" m="1" x="3993"/>
        <item t="data" h="1" sd="1" m="1" x="3994"/>
        <item t="data" h="1" sd="1" m="1" x="3995"/>
        <item t="data" h="1" sd="1" m="1" x="3867"/>
        <item t="data" h="1" sd="1" m="1" x="3877"/>
        <item t="data" h="1" sd="1" m="1" x="3878"/>
        <item t="data" h="1" sd="1" m="1" x="3879"/>
        <item t="data" h="1" sd="1" m="1" x="3880"/>
        <item t="data" h="1" sd="1" m="1" x="3881"/>
        <item t="data" h="1" sd="1" m="1" x="4006"/>
        <item t="data" h="1" sd="1" m="1" x="3868"/>
        <item t="data" h="1" sd="1" m="1" x="1651"/>
        <item t="data" h="1" sd="1" x="201"/>
        <item t="data" h="1" sd="1" m="1" x="3584"/>
        <item t="data" h="1" sd="1" m="1" x="4015"/>
        <item t="data" h="1" sd="1" m="1" x="1707"/>
        <item t="data" h="1" sd="1" m="1" x="4019"/>
        <item t="data" h="1" sd="1" m="1" x="3818"/>
        <item t="data" h="1" sd="1" m="1" x="2460"/>
        <item t="data" h="1" sd="1" m="1" x="3820"/>
        <item t="data" h="1" sd="1" m="1" x="3821"/>
        <item t="data" h="1" sd="1" m="1" x="3207"/>
        <item t="data" h="1" sd="1" m="1" x="4022"/>
        <item t="data" h="1" sd="1" m="1" x="4023"/>
        <item t="data" h="1" sd="1" m="1" x="4024"/>
        <item t="data" h="1" sd="1" m="1" x="4025"/>
        <item t="data" h="1" sd="1" m="1" x="4026"/>
        <item t="data" h="1" sd="1" m="1" x="3502"/>
        <item t="data" h="1" sd="1" m="1" x="3912"/>
        <item t="data" h="1" sd="1" m="1" x="3596"/>
        <item t="data" h="1" sd="1" m="1" x="3599"/>
        <item t="data" h="1" sd="1" m="1" x="3492"/>
        <item t="data" h="1" sd="1" m="1" x="3609"/>
        <item t="data" h="1" sd="1" m="1" x="3603"/>
        <item t="data" h="1" sd="1" m="1" x="4030"/>
        <item t="data" h="1" sd="1" m="1" x="4031"/>
        <item t="data" h="1" sd="1" m="1" x="3918"/>
        <item t="data" h="1" sd="1" m="1" x="4039"/>
        <item t="data" h="1" sd="1" m="1" x="4040"/>
        <item t="data" h="1" sd="1" m="1" x="4041"/>
        <item t="data" h="1" sd="1" m="1" x="4042"/>
        <item t="data" h="1" sd="1" m="1" x="3923"/>
        <item t="data" h="1" sd="1" m="1" x="3107"/>
        <item t="data" h="1" sd="1" m="1" x="3645"/>
        <item t="data" h="1" sd="1" m="1" x="3630"/>
        <item t="data" h="1" sd="1" m="1" x="2045"/>
        <item t="data" h="1" sd="1" m="1" x="3927"/>
        <item t="data" h="1" sd="1" m="1" x="3644"/>
        <item t="data" h="1" sd="1" m="1" x="3116"/>
        <item t="data" h="1" sd="1" m="1" x="3650"/>
        <item t="data" h="1" sd="1" m="1" x="4050"/>
        <item t="data" h="1" sd="1" m="1" x="3654"/>
        <item t="data" h="1" sd="1" m="1" x="3655"/>
        <item t="data" h="1" sd="1" m="1" x="3663"/>
        <item t="data" h="1" sd="1" m="1" x="3664"/>
        <item t="data" h="1" sd="1" m="1" x="4070"/>
        <item t="data" h="1" sd="1" m="1" x="4071"/>
        <item t="data" h="1" sd="1" m="1" x="4072"/>
        <item t="data" h="1" sd="1" m="1" x="3665"/>
        <item t="data" h="1" sd="1" m="1" x="3462"/>
        <item t="data" h="1" sd="1" m="1" x="3679"/>
        <item t="data" h="1" sd="1" m="1" x="3270"/>
        <item t="data" h="1" sd="1" m="1" x="3936"/>
        <item t="data" h="1" sd="1" m="1" x="2375"/>
        <item t="data" h="1" sd="1" m="1" x="4099"/>
        <item t="data" h="1" sd="1" m="1" x="4100"/>
        <item t="data" h="1" sd="1" m="1" x="4101"/>
        <item t="data" h="1" sd="1" m="1" x="4106"/>
        <item t="data" h="1" sd="1" m="1" x="4107"/>
        <item t="data" h="1" sd="1" m="1" x="4108"/>
        <item t="data" h="1" sd="1" m="1" x="4109"/>
        <item t="data" h="1" sd="1" m="1" x="4110"/>
        <item t="data" h="1" sd="1" m="1" x="3699"/>
        <item t="data" h="1" sd="1" m="1" x="3698"/>
        <item t="data" h="1" sd="1" m="1" x="3942"/>
        <item t="data" h="1" sd="1" m="1" x="3947"/>
        <item t="data" h="1" sd="1" m="1" x="3710"/>
        <item t="data" h="1" sd="1" m="1" x="3534"/>
        <item t="data" h="1" sd="1" m="1" x="3722"/>
        <item t="data" h="1" sd="1" m="1" x="3719"/>
        <item t="data" h="1" sd="1" m="1" x="3720"/>
        <item t="data" h="1" sd="1" m="1" x="3732"/>
        <item t="data" h="1" sd="1" m="1" x="4113"/>
        <item t="data" h="1" sd="1" m="1" x="1661"/>
        <item t="data" h="1" sd="1" m="1" x="3744"/>
        <item t="data" h="1" sd="1" m="1" x="3742"/>
        <item t="data" h="1" sd="1" m="1" x="3957"/>
        <item t="data" h="1" sd="1" m="1" x="3958"/>
        <item t="data" h="1" sd="1" m="1" x="3748"/>
        <item t="data" h="1" sd="1" m="1" x="2489"/>
        <item t="data" h="1" sd="1" m="1" x="3749"/>
        <item t="data" h="1" sd="1" m="1" x="3442"/>
        <item t="data" h="1" sd="1" m="1" x="3750"/>
        <item t="data" h="1" sd="1" m="1" x="3842"/>
        <item t="data" h="1" sd="1" m="1" x="3844"/>
        <item t="data" h="1" sd="1" m="1" x="3845"/>
        <item t="data" h="1" sd="1" m="1" x="3846"/>
        <item t="data" h="1" sd="1" m="1" x="3847"/>
        <item t="data" h="1" sd="1" m="1" x="3848"/>
        <item t="data" h="1" sd="1" m="1" x="883"/>
        <item t="data" h="1" sd="1" m="1" x="3546"/>
        <item t="data" h="1" sd="1" m="1" x="3849"/>
        <item t="data" h="1" sd="1" m="1" x="3850"/>
        <item t="data" h="1" sd="1" m="1" x="3851"/>
        <item t="data" h="1" sd="1" m="1" x="3852"/>
        <item t="data" h="1" sd="1" m="1" x="3853"/>
        <item t="data" h="1" sd="1" m="1" x="3854"/>
        <item t="data" h="1" sd="1" m="1" x="3855"/>
        <item t="data" h="1" sd="1" m="1" x="3857"/>
        <item t="data" h="1" sd="1" m="1" x="3859"/>
        <item t="data" h="1" sd="1" m="1" x="3765"/>
        <item t="data" h="1" sd="1" m="1" x="2128"/>
        <item t="data" h="1" sd="1" m="1" x="3860"/>
        <item t="data" h="1" sd="1" m="1" x="3861"/>
        <item t="data" h="1" sd="1" m="1" x="3862"/>
        <item t="data" h="1" sd="1" m="1" x="3863"/>
        <item t="data" h="1" sd="1" m="1" x="3883"/>
        <item t="data" h="1" sd="1" m="1" x="3807"/>
        <item t="data" h="1" sd="1" m="1" x="3805"/>
        <item t="data" h="1" sd="1" m="1" x="3806"/>
        <item t="data" h="1" sd="1" m="1" x="3789"/>
        <item t="data" h="1" sd="1" m="1" x="3884"/>
        <item t="data" h="1" sd="1" m="1" x="3790"/>
        <item t="data" h="1" sd="1" m="1" x="3791"/>
        <item t="data" h="1" sd="1" m="1" x="3793"/>
        <item t="data" h="1" sd="1" m="1" x="3794"/>
        <item t="data" h="1" sd="1" m="1" x="3885"/>
        <item t="data" h="1" sd="1" m="1" x="3795"/>
        <item t="data" h="1" sd="1" m="1" x="3796"/>
        <item t="data" h="1" sd="1" m="1" x="3797"/>
        <item t="data" h="1" sd="1" m="1" x="3798"/>
        <item t="data" h="1" sd="1" m="1" x="3886"/>
        <item t="data" h="1" sd="1" m="1" x="3887"/>
        <item t="data" h="1" sd="1" m="1" x="3801"/>
        <item t="data" h="1" sd="1" m="1" x="3888"/>
        <item t="data" h="1" sd="1" m="1" x="3802"/>
        <item t="data" h="1" sd="1" m="1" x="3889"/>
        <item t="data" h="1" sd="1" m="1" x="3803"/>
        <item t="data" h="1" sd="1" m="1" x="3890"/>
        <item t="data" h="1" sd="1" m="1" x="3787"/>
        <item t="data" h="1" sd="1" m="1" x="3891"/>
        <item t="data" h="1" sd="1" m="1" x="3788"/>
        <item t="data" h="1" sd="1" m="1" x="3892"/>
        <item t="data" h="1" sd="1" m="1" x="3894"/>
        <item t="data" h="1" sd="1" m="1" x="1855"/>
        <item t="data" h="1" sd="1" m="1" x="3589"/>
        <item t="data" h="1" sd="1" m="1" x="3591"/>
        <item t="data" h="1" sd="1" m="1" x="3592"/>
        <item t="data" h="1" sd="1" m="1" x="3896"/>
        <item t="data" h="1" sd="1" m="1" x="3897"/>
        <item t="data" h="1" sd="1" m="1" x="3909"/>
        <item t="data" h="1" sd="1" m="1" x="3911"/>
        <item t="data" h="1" sd="1" m="1" x="3594"/>
        <item t="data" h="1" sd="1" m="1" x="3212"/>
        <item t="data" h="1" sd="1" m="1" x="3916"/>
        <item t="data" h="1" sd="1" m="1" x="1690"/>
        <item t="data" h="1" sd="1" m="1" x="1691"/>
        <item t="data" h="1" sd="1" m="1" x="3610"/>
        <item t="data" h="1" sd="1" m="1" x="3608"/>
        <item t="data" h="1" sd="1" m="1" x="3827"/>
        <item t="data" h="1" sd="1" m="1" x="3920"/>
        <item t="data" h="1" sd="1" m="1" x="3924"/>
        <item t="data" h="1" sd="1" m="1" x="3925"/>
        <item t="data" h="1" sd="1" m="1" x="3631"/>
        <item t="data" h="1" sd="1" m="1" x="3643"/>
        <item t="data" h="1" sd="1" m="1" x="3642"/>
        <item t="data" h="1" sd="1" m="1" x="3109"/>
        <item t="data" h="1" sd="1" m="1" x="2986"/>
        <item t="data" h="1" sd="1" m="1" x="461"/>
        <item t="data" h="1" sd="1" m="1" x="3928"/>
        <item t="data" h="1" sd="1" m="1" x="3661"/>
        <item t="data" h="1" sd="1" m="1" x="3677"/>
        <item t="data" h="1" sd="1" m="1" x="3678"/>
        <item t="data" h="1" sd="1" m="1" x="3519"/>
        <item t="data" h="1" sd="1" m="1" x="3683"/>
        <item t="data" h="1" sd="1" m="1" x="1767"/>
        <item t="data" h="1" sd="1" m="1" x="3312"/>
        <item t="data" h="1" sd="1" m="1" x="3686"/>
        <item t="data" h="1" sd="1" m="1" x="3935"/>
        <item t="data" h="1" sd="1" m="1" x="3617"/>
        <item t="data" h="1" sd="1" m="1" x="3697"/>
        <item t="data" h="1" sd="1" m="1" x="3696"/>
        <item t="data" h="1" sd="1" m="1" x="3943"/>
        <item t="data" h="1" sd="1" m="1" x="3944"/>
        <item t="data" h="1" sd="1" m="1" x="3705"/>
        <item t="data" h="1" sd="1" m="1" x="3706"/>
        <item t="data" h="1" sd="1" m="1" x="3721"/>
        <item t="data" h="1" sd="1" m="1" x="3716"/>
        <item t="data" h="1" sd="1" m="1" x="3717"/>
        <item t="data" h="1" sd="1" m="1" x="3729"/>
        <item t="data" h="1" sd="1" m="1" x="3730"/>
        <item t="data" h="1" sd="1" m="1" x="3151"/>
        <item t="data" h="1" sd="1" m="1" x="1733"/>
        <item t="data" h="1" sd="1" m="1" x="3956"/>
        <item t="data" h="1" sd="1" m="1" x="3745"/>
        <item t="data" h="1" sd="1" m="1" x="3746"/>
        <item t="data" h="1" sd="1" m="1" x="2940"/>
        <item t="data" h="1" sd="1" m="1" x="3756"/>
        <item t="data" h="1" sd="1" m="1" x="3757"/>
        <item t="data" h="1" sd="1" m="1" x="3759"/>
        <item t="data" h="1" sd="1" m="1" x="3005"/>
        <item t="data" h="1" sd="1" m="1" x="3764"/>
        <item t="data" h="1" sd="1" m="1" x="3556"/>
        <item t="data" h="1" sd="1" m="1" x="3552"/>
        <item t="data" h="1" sd="1" m="1" x="3766"/>
        <item t="data" h="1" sd="1" m="1" x="3553"/>
        <item t="data" h="1" sd="1" m="1" x="3768"/>
        <item t="data" h="1" sd="1" m="1" x="3769"/>
        <item t="data" h="1" sd="1" m="1" x="3770"/>
        <item t="data" h="1" sd="1" m="1" x="3771"/>
        <item t="data" h="1" sd="1" m="1" x="3773"/>
        <item t="data" h="1" sd="1" m="1" x="3774"/>
        <item t="data" h="1" sd="1" m="1" x="3775"/>
        <item t="data" h="1" sd="1" m="1" x="3776"/>
        <item t="data" h="1" sd="1" m="1" x="3777"/>
        <item t="data" h="1" sd="1" m="1" x="3778"/>
        <item t="data" h="1" sd="1" m="1" x="3779"/>
        <item t="data" h="1" sd="1" m="1" x="3561"/>
        <item t="data" h="1" sd="1" m="1" x="3780"/>
        <item t="data" h="1" sd="1" m="1" x="3781"/>
        <item t="data" h="1" sd="1" m="1" x="3782"/>
        <item t="data" h="1" sd="1" m="1" x="3783"/>
        <item t="data" h="1" sd="1" m="1" x="3784"/>
        <item t="data" h="1" sd="1" m="1" x="3808"/>
        <item t="data" h="1" sd="1" m="1" x="3809"/>
        <item t="data" h="1" sd="1" m="1" x="3811"/>
        <item t="data" h="1" sd="1" m="1" x="3812"/>
        <item t="data" h="1" sd="1" m="1" x="3813"/>
        <item t="data" h="1" sd="1" m="1" x="3814"/>
        <item t="data" h="1" sd="1" m="1" x="3815"/>
        <item t="data" h="1" sd="1" m="1" x="3590"/>
        <item t="data" h="1" sd="1" m="1" x="3079"/>
        <item t="data" h="1" sd="1" m="1" x="3822"/>
        <item t="data" h="1" sd="1" m="1" x="3823"/>
        <item t="data" h="1" sd="1" m="1" x="3824"/>
        <item t="data" h="1" sd="1" m="1" x="3825"/>
        <item t="data" h="1" sd="1" m="1" x="3595"/>
        <item t="data" h="1" sd="1" m="1" x="3597"/>
        <item t="data" h="1" sd="1" m="1" x="3604"/>
        <item t="data" h="1" sd="1" m="1" x="3612"/>
        <item t="data" h="1" sd="1" m="1" x="3611"/>
        <item t="data" h="1" sd="1" m="1" x="3826"/>
        <item t="data" h="1" sd="1" m="1" x="3619"/>
        <item t="data" h="1" sd="1" m="1" x="3828"/>
        <item t="data" h="1" sd="1" m="1" x="3829"/>
        <item t="data" h="1" sd="1" m="1" x="3830"/>
        <item t="data" h="1" sd="1" m="1" x="3832"/>
        <item t="data" h="1" sd="1" m="1" x="3834"/>
        <item t="data" h="1" sd="1" m="1" x="3835"/>
        <item t="data" h="1" sd="1" m="1" x="3836"/>
        <item t="data" h="1" sd="1" m="1" x="3632"/>
        <item t="data" h="1" sd="1" m="1" x="3633"/>
        <item t="data" h="1" sd="1" m="1" x="3638"/>
        <item t="data" h="1" sd="1" m="1" x="3639"/>
        <item t="data" h="1" sd="1" m="1" x="3640"/>
        <item t="data" h="1" sd="1" m="1" x="3641"/>
        <item t="data" h="1" sd="1" m="1" x="3505"/>
        <item t="data" h="1" sd="1" m="1" x="3646"/>
        <item t="data" h="1" sd="1" m="1" x="3674"/>
        <item t="data" h="1" sd="1" m="1" x="1755"/>
        <item t="data" h="1" sd="1" m="1" x="3269"/>
        <item t="data" h="1" sd="1" m="1" x="3516"/>
        <item t="data" h="1" sd="1" m="1" x="1749"/>
        <item t="data" h="1" sd="1" m="1" x="1750"/>
        <item t="data" h="1" sd="1" m="1" x="3520"/>
        <item t="data" h="1" sd="1" x="269"/>
        <item t="data" h="1" sd="1" m="1" x="3691"/>
        <item t="data" h="1" sd="1" m="1" x="3427"/>
        <item t="data" h="1" sd="1" m="1" x="3685"/>
        <item t="data" h="1" sd="1" m="1" x="3687"/>
        <item t="data" h="1" sd="1" m="1" x="3839"/>
        <item t="data" h="1" sd="1" m="1" x="3695"/>
        <item t="data" h="1" sd="1" m="1" x="3840"/>
        <item t="data" h="1" sd="1" m="1" x="3702"/>
        <item t="data" h="1" sd="1" m="1" x="3708"/>
        <item t="data" h="1" sd="1" m="1" x="3709"/>
        <item t="data" h="1" sd="1" m="1" x="3718"/>
        <item t="data" h="1" sd="1" m="1" x="3727"/>
        <item t="data" h="1" sd="1" m="1" x="3728"/>
        <item t="data" h="1" sd="1" m="1" x="3332"/>
        <item t="data" h="1" sd="1" m="1" x="1731"/>
        <item t="data" h="1" sd="1" m="1" x="1732"/>
        <item t="data" h="1" sd="1" m="1" x="3735"/>
        <item t="data" h="1" sd="1" m="1" x="3741"/>
        <item t="data" h="1" sd="1" m="1" x="3743"/>
        <item t="data" h="1" sd="1" m="1" x="3747"/>
        <item t="data" h="1" sd="1" m="1" x="3751"/>
        <item t="data" h="1" sd="1" m="1" x="2085"/>
        <item t="data" h="1" sd="1" m="1" x="3545"/>
        <item t="data" h="1" sd="1" m="1" x="3547"/>
        <item t="data" h="1" sd="1" m="1" x="3548"/>
        <item t="data" h="1" sd="1" m="1" x="3549"/>
        <item t="data" h="1" sd="1" m="1" x="3557"/>
        <item t="data" h="1" sd="1" m="1" x="3558"/>
        <item t="data" h="1" sd="1" m="1" x="3559"/>
        <item t="data" h="1" sd="1" m="1" x="3560"/>
        <item t="data" h="1" sd="1" m="1" x="3562"/>
        <item t="data" h="1" sd="1" m="1" x="1051"/>
        <item t="data" h="1" sd="1" m="1" x="3563"/>
        <item t="data" h="1" sd="1" m="1" x="3564"/>
        <item t="data" h="1" sd="1" m="1" x="3565"/>
        <item t="data" h="1" sd="1" m="1" x="3566"/>
        <item t="data" h="1" sd="1" m="1" x="3567"/>
        <item t="data" h="1" sd="1" m="1" x="3568"/>
        <item t="data" h="1" sd="1" m="1" x="3569"/>
        <item t="data" h="1" sd="1" m="1" x="1406"/>
        <item t="data" h="1" sd="1" m="1" x="3570"/>
        <item t="data" h="1" sd="1" m="1" x="3571"/>
        <item t="data" h="1" sd="1" m="1" x="3572"/>
        <item t="data" h="1" sd="1" m="1" x="3573"/>
        <item t="data" h="1" sd="1" m="1" x="3574"/>
        <item t="data" h="1" sd="1" m="1" x="3575"/>
        <item t="data" h="1" sd="1" m="1" x="3576"/>
        <item t="data" h="1" sd="1" m="1" x="3577"/>
        <item t="data" h="1" sd="1" m="1" x="3578"/>
        <item t="data" h="1" sd="1" m="1" x="3579"/>
        <item t="data" h="1" sd="1" m="1" x="3580"/>
        <item t="data" h="1" sd="1" m="1" x="3581"/>
        <item t="data" h="1" sd="1" m="1" x="3582"/>
        <item t="data" h="1" sd="1" m="1" x="3583"/>
        <item t="data" h="1" sd="1" m="1" x="3588"/>
        <item t="data" h="1" sd="1" m="1" x="3206"/>
        <item t="data" h="1" sd="1" m="1" x="2380"/>
        <item t="data" h="1" sd="1" m="1" x="3593"/>
        <item t="data" h="1" sd="1" m="1" x="3598"/>
        <item t="data" h="1" sd="1" m="1" x="3601"/>
        <item t="data" h="1" sd="1" m="1" x="529"/>
        <item t="data" h="1" sd="1" m="1" x="3606"/>
        <item t="data" h="1" sd="1" m="1" x="3607"/>
        <item t="data" h="1" sd="1" m="1" x="3613"/>
        <item t="data" h="1" sd="1" m="1" x="3614"/>
        <item t="data" h="1" sd="1" m="1" x="3615"/>
        <item t="data" h="1" sd="1" m="1" x="1693"/>
        <item t="data" h="1" sd="1" m="1" x="3616"/>
        <item t="data" h="1" sd="1" m="1" x="2021"/>
        <item t="data" h="1" sd="1" m="1" x="3620"/>
        <item t="data" h="1" sd="1" m="1" x="3621"/>
        <item t="data" h="1" sd="1" m="1" x="3622"/>
        <item t="data" h="1" sd="1" m="1" x="3623"/>
        <item t="data" h="1" sd="1" m="1" x="3624"/>
        <item t="data" h="1" sd="1" m="1" x="3626"/>
        <item t="data" h="1" sd="1" m="1" x="3627"/>
        <item t="data" h="1" sd="1" x="230"/>
        <item t="data" h="1" sd="1" m="1" x="3629"/>
        <item t="data" h="1" sd="1" m="1" x="3108"/>
        <item t="data" h="1" sd="1" m="1" x="3635"/>
        <item t="data" h="1" sd="1" m="1" x="3636"/>
        <item t="data" h="1" sd="1" m="1" x="3637"/>
        <item t="data" h="1" sd="1" m="1" x="3676"/>
        <item t="data" h="1" sd="1" m="1" x="1748"/>
        <item t="data" h="1" sd="1" m="1" x="1751"/>
        <item t="data" h="1" sd="1" m="1" x="3682"/>
        <item t="data" h="1" sd="1" m="1" x="3684"/>
        <item t="data" h="1" sd="1" m="1" x="2336"/>
        <item t="data" h="1" sd="1" m="1" x="3311"/>
        <item t="data" h="1" sd="1" m="1" x="3690"/>
        <item t="data" h="1" sd="1" m="1" x="3701"/>
        <item t="data" h="1" sd="1" m="1" x="3707"/>
        <item t="data" h="1" sd="1" m="1" x="3533"/>
        <item t="data" h="1" sd="1" m="1" x="3711"/>
        <item t="data" h="1" sd="1" m="1" x="3712"/>
        <item t="data" h="1" sd="1" m="1" x="3713"/>
        <item t="data" h="1" sd="1" m="1" x="3714"/>
        <item t="data" h="1" sd="1" m="1" x="3723"/>
        <item t="data" h="1" sd="1" m="1" x="3724"/>
        <item t="data" h="1" sd="1" m="1" x="3725"/>
        <item t="data" h="1" sd="1" m="1" x="2919"/>
        <item t="data" h="1" sd="1" m="1" x="2920"/>
        <item t="data" h="1" sd="1" m="1" x="3734"/>
        <item t="data" h="1" sd="1" m="1" x="3150"/>
        <item t="data" h="1" sd="1" m="1" x="2573"/>
        <item t="data" h="1" sd="1" m="1" x="3736"/>
        <item t="data" h="1" sd="1" m="1" x="3761"/>
        <item t="data" h="1" sd="1" m="1" x="3762"/>
        <item t="data" h="1" sd="1" m="1" x="3763"/>
        <item t="data" h="1" sd="1" m="1" x="1747"/>
        <item t="data" h="1" sd="1" m="1" x="3466"/>
        <item t="data" h="1" sd="1" m="1" x="3467"/>
        <item t="data" h="1" sd="1" m="1" x="3169"/>
        <item t="data" h="1" sd="1" m="1" x="3468"/>
        <item t="data" h="1" sd="1" m="1" x="3469"/>
        <item t="data" h="1" sd="1" m="1" x="3470"/>
        <item t="data" h="1" sd="1" m="1" x="3471"/>
        <item t="data" h="1" sd="1" m="1" x="3472"/>
        <item t="data" h="1" sd="1" m="1" x="3346"/>
        <item t="data" h="1" sd="1" m="1" x="3473"/>
        <item t="data" h="1" sd="1" m="1" x="3474"/>
        <item t="data" h="1" sd="1" m="1" x="3475"/>
        <item t="data" h="1" sd="1" m="1" x="3476"/>
        <item t="data" h="1" sd="1" m="1" x="3477"/>
        <item t="data" h="1" sd="1" m="1" x="3478"/>
        <item t="data" h="1" sd="1" m="1" x="3479"/>
        <item t="data" h="1" sd="1" m="1" x="1041"/>
        <item t="data" h="1" sd="1" m="1" x="3187"/>
        <item t="data" h="1" sd="1" m="1" x="3480"/>
        <item t="data" h="1" sd="1" m="1" x="3481"/>
        <item t="data" h="1" sd="1" m="1" x="3482"/>
        <item t="data" h="1" sd="1" m="1" x="3483"/>
        <item t="data" h="1" sd="1" m="1" x="3484"/>
        <item t="data" h="1" sd="1" m="1" x="3375"/>
        <item t="data" h="1" sd="1" m="1" x="3376"/>
        <item t="data" h="1" sd="1" m="1" x="3377"/>
        <item t="data" h="1" sd="1" m="1" x="3074"/>
        <item t="data" h="1" sd="1" m="1" x="3078"/>
        <item t="data" h="1" sd="1" m="1" x="3081"/>
        <item t="data" h="1" sd="1" m="1" x="3379"/>
        <item t="data" h="1" sd="1" m="1" x="3084"/>
        <item t="data" h="1" sd="1" m="1" x="1705"/>
        <item t="data" h="1" sd="1" m="1" x="1456"/>
        <item t="data" h="1" sd="1" m="1" x="3393"/>
        <item t="data" h="1" sd="1" m="1" x="3489"/>
        <item t="data" h="1" sd="1" m="1" x="1694"/>
        <item t="data" h="1" sd="1" m="1" x="1695"/>
        <item t="data" h="1" sd="1" m="1" x="3397"/>
        <item t="data" h="1" sd="1" m="1" x="2597"/>
        <item t="data" h="1" sd="1" m="1" x="1703"/>
        <item t="data" h="1" sd="1" m="1" x="3499"/>
        <item t="data" h="1" sd="1" m="1" x="3500"/>
        <item t="data" h="1" sd="1" m="1" x="3504"/>
        <item t="data" h="1" sd="1" m="1" x="3506"/>
        <item t="data" h="1" sd="1" m="1" x="3414"/>
        <item t="data" h="1" sd="1" m="1" x="800"/>
        <item t="data" h="1" sd="1" m="1" x="3240"/>
        <item t="data" h="1" sd="1" m="1" x="3241"/>
        <item t="data" h="1" sd="1" m="1" x="3234"/>
        <item t="data" h="1" sd="1" m="1" x="3235"/>
        <item t="data" h="1" sd="1" m="1" x="3236"/>
        <item t="data" h="1" sd="1" m="1" x="3237"/>
        <item t="data" h="1" sd="1" m="1" x="3112"/>
        <item t="data" h="1" sd="1" m="1" x="3113"/>
        <item t="data" h="1" sd="1" m="1" x="3508"/>
        <item t="data" h="1" sd="1" m="1" x="3509"/>
        <item t="data" h="1" sd="1" m="1" x="3510"/>
        <item t="data" h="1" sd="1" m="1" x="1713"/>
        <item t="data" h="1" sd="1" m="1" x="3512"/>
        <item t="data" h="1" sd="1" m="1" x="3513"/>
        <item t="data" h="1" sd="1" m="1" x="2009"/>
        <item t="data" h="1" sd="1" m="1" x="2725"/>
        <item t="data" h="1" sd="1" m="1" x="1714"/>
        <item t="data" h="1" sd="1" m="1" x="3524"/>
        <item t="data" h="1" sd="1" m="1" x="3428"/>
        <item t="data" h="1" sd="1" m="1" x="3429"/>
        <item t="data" h="1" sd="1" m="1" x="3430"/>
        <item t="data" h="1" sd="1" m="1" x="3431"/>
        <item t="data" h="1" sd="1" m="1" x="3305"/>
        <item t="data" h="1" sd="1" m="1" x="3306"/>
        <item t="data" h="1" sd="1" m="1" x="3423"/>
        <item t="data" h="1" sd="1" m="1" x="3307"/>
        <item t="data" h="1" sd="1" m="1" x="3525"/>
        <item t="data" h="1" sd="1" m="1" x="3421"/>
        <item t="data" h="1" sd="1" m="1" x="3420"/>
        <item t="data" h="1" sd="1" m="1" x="2390"/>
        <item t="data" h="1" sd="1" m="1" x="3526"/>
        <item t="data" h="1" sd="1" m="1" x="3528"/>
        <item t="data" h="1" sd="1" m="1" x="3531"/>
        <item t="data" h="1" sd="1" m="1" x="3532"/>
        <item t="data" h="1" sd="1" m="1" x="1743"/>
        <item t="data" h="1" sd="1" m="1" x="3537"/>
        <item t="data" h="1" sd="1" m="1" x="3538"/>
        <item t="data" h="1" sd="1" m="1" x="3441"/>
        <item t="data" h="1" sd="1" m="1" x="3439"/>
        <item t="data" h="1" sd="1" m="1" x="3444"/>
        <item t="data" h="1" sd="1" m="1" x="3446"/>
        <item t="data" h="1" sd="1" m="1" x="2921"/>
        <item t="data" h="1" sd="1" m="1" x="2922"/>
        <item t="data" h="1" sd="1" m="1" x="2315"/>
        <item t="data" h="1" sd="1" m="1" x="2923"/>
        <item t="data" h="1" sd="1" m="1" x="2924"/>
        <item t="data" h="1" sd="1" m="1" x="3149"/>
        <item t="data" h="1" sd="1" m="1" x="3148"/>
        <item t="data" h="1" sd="1" m="1" x="3157"/>
        <item t="data" h="1" sd="1" m="1" x="1586"/>
        <item t="data" h="1" sd="1" m="1" x="3543"/>
        <item t="data" h="1" sd="1" m="1" x="2726"/>
        <item t="data" h="1" sd="1" m="1" x="3544"/>
        <item t="data" h="1" sd="1" m="1" x="3168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028"/>
        <item t="data" h="1" sd="1" m="1" x="3342"/>
        <item t="data" h="1" sd="1" m="1" x="3343"/>
        <item t="data" h="1" sd="1" m="1" x="3344"/>
        <item t="data" h="1" sd="1" m="1" x="3347"/>
        <item t="data" h="1" sd="1" m="1" x="3034"/>
        <item t="data" h="1" sd="1" m="1" x="3173"/>
        <item t="data" h="1" sd="1" m="1" x="3349"/>
        <item t="data" h="1" sd="1" m="1" x="3350"/>
        <item t="data" h="1" sd="1" m="1" x="3352"/>
        <item t="data" h="1" sd="1" m="1" x="2962"/>
        <item t="data" h="1" sd="1" m="1" x="3353"/>
        <item t="data" h="1" sd="1" m="1" x="3354"/>
        <item t="data" h="1" sd="1" m="1" x="1351"/>
        <item t="data" h="1" sd="1" m="1" x="3355"/>
        <item t="data" h="1" sd="1" m="1" x="3356"/>
        <item t="data" h="1" sd="1" m="1" x="3357"/>
        <item t="data" h="1" sd="1" m="1" x="3358"/>
        <item t="data" h="1" sd="1" m="1" x="3360"/>
        <item t="data" h="1" sd="1" m="1" x="3361"/>
        <item t="data" h="1" sd="1" m="1" x="3362"/>
        <item t="data" h="1" sd="1" m="1" x="3363"/>
        <item t="data" h="1" sd="1" m="1" x="3364"/>
        <item t="data" h="1" sd="1" m="1" x="3365"/>
        <item t="data" h="1" sd="1" m="1" x="3059"/>
        <item t="data" h="1" sd="1" m="1" x="3366"/>
        <item t="data" h="1" sd="1" m="1" x="3367"/>
        <item t="data" h="1" sd="1" m="1" x="3368"/>
        <item t="data" h="1" sd="1" m="1" x="3369"/>
        <item t="data" h="1" sd="1" m="1" x="3370"/>
        <item t="data" h="1" sd="1" m="1" x="3371"/>
        <item t="data" h="1" sd="1" m="1" x="3372"/>
        <item t="data" h="1" sd="1" m="1" x="3373"/>
        <item t="data" h="1" sd="1" m="1" x="3374"/>
        <item t="data" h="1" sd="1" m="1" x="3195"/>
        <item t="data" h="1" sd="1" m="1" x="3378"/>
        <item t="data" h="1" sd="1" m="1" x="3380"/>
        <item t="data" h="1" sd="1" m="1" x="3381"/>
        <item t="data" h="1" sd="1" m="1" x="3382"/>
        <item t="data" h="1" sd="1" m="1" x="3383"/>
        <item t="data" h="1" sd="1" m="1" x="3384"/>
        <item t="data" h="1" sd="1" m="1" x="1508"/>
        <item t="data" h="1" sd="1" m="1" x="3386"/>
        <item t="data" h="1" sd="1" m="1" x="3387"/>
        <item t="data" h="1" sd="1" m="1" x="3388"/>
        <item t="data" h="1" sd="1" m="1" x="3389"/>
        <item t="data" h="1" sd="1" m="1" x="3390"/>
        <item t="data" h="1" sd="1" m="1" x="3391"/>
        <item t="data" h="1" sd="1" m="1" x="3392"/>
        <item t="data" h="1" sd="1" m="1" x="3396"/>
        <item t="data" h="1" sd="1" m="1" x="1689"/>
        <item t="data" h="1" sd="1" m="1" x="3098"/>
        <item t="data" h="1" sd="1" m="1" x="3218"/>
        <item t="data" h="1" sd="1" m="1" x="3398"/>
        <item t="data" h="1" sd="1" m="1" x="3399"/>
        <item t="data" h="1" sd="1" m="1" x="3400"/>
        <item t="data" h="1" sd="1" m="1" x="3401"/>
        <item t="data" h="1" sd="1" m="1" x="3402"/>
        <item t="data" h="1" sd="1" m="1" x="3403"/>
        <item t="data" h="1" sd="1" m="1" x="3404"/>
        <item t="data" h="1" sd="1" m="1" x="3405"/>
        <item t="data" h="1" sd="1" m="1" x="3406"/>
        <item t="data" h="1" sd="1" m="1" x="3408"/>
        <item t="data" h="1" sd="1" m="1" x="3409"/>
        <item t="data" h="1" sd="1" m="1" x="3411"/>
        <item t="data" h="1" sd="1" m="1" x="3413"/>
        <item t="data" h="1" sd="1" m="1" x="3232"/>
        <item t="data" h="1" sd="1" m="1" x="3238"/>
        <item t="data" h="1" sd="1" m="1" x="3239"/>
        <item t="data" h="1" sd="1" m="1" x="1685"/>
        <item t="data" h="1" sd="1" m="1" x="3415"/>
        <item t="data" h="1" sd="1" m="1" x="3416"/>
        <item t="data" h="1" sd="1" m="1" x="3267"/>
        <item t="data" h="1" sd="1" m="1" x="3417"/>
        <item t="data" h="1" sd="1" m="1" x="3418"/>
        <item t="data" h="1" sd="1" m="1" x="3419"/>
        <item t="data" h="1" sd="1" m="1" x="3127"/>
        <item t="data" h="1" sd="1" m="1" x="2347"/>
        <item t="data" h="1" sd="1" m="1" x="3309"/>
        <item t="data" h="1" sd="1" m="1" x="3308"/>
        <item t="data" h="1" sd="1" m="1" x="3424"/>
        <item t="data" h="1" sd="1" m="1" x="3425"/>
        <item t="data" h="1" sd="1" m="1" x="3432"/>
        <item t="data" h="1" sd="1" m="1" x="3319"/>
        <item t="data" h="1" sd="1" m="1" x="3314"/>
        <item t="data" h="1" sd="1" m="1" x="3318"/>
        <item t="data" h="1" sd="1" m="1" x="3315"/>
        <item t="data" h="1" sd="1" m="1" x="3316"/>
        <item t="data" h="1" sd="1" m="1" x="3317"/>
        <item t="data" h="1" sd="1" m="1" x="3320"/>
        <item t="data" h="1" sd="1" m="1" x="2904"/>
        <item t="data" h="1" sd="1" m="1" x="3435"/>
        <item t="data" h="1" sd="1" m="1" x="3436"/>
        <item t="data" h="1" sd="1" m="1" x="3438"/>
        <item t="data" h="1" sd="1" m="1" x="3440"/>
        <item t="data" h="1" sd="1" m="1" x="3447"/>
        <item t="data" h="1" sd="1" m="1" x="3448"/>
        <item t="data" h="1" sd="1" m="1" x="3449"/>
        <item t="data" h="1" sd="1" m="1" x="3451"/>
        <item t="data" h="1" sd="1" m="1" x="3452"/>
        <item t="data" h="1" sd="1" x="438"/>
        <item t="data" h="1" sd="1" x="436"/>
        <item t="data" h="1" sd="1" m="1" x="3159"/>
        <item t="data" h="1" sd="1" m="1" x="3453"/>
        <item t="data" h="1" sd="1" m="1" x="3454"/>
        <item t="data" h="1" sd="1" m="1" x="1737"/>
        <item t="data" h="1" sd="1" m="1" x="1738"/>
        <item t="data" h="1" sd="1" m="1" x="1740"/>
        <item t="data" h="1" sd="1" m="1" x="1741"/>
        <item t="data" h="1" sd="1" m="1" x="1739"/>
        <item t="data" h="1" sd="1" m="1" x="1742"/>
        <item t="data" h="1" sd="1" m="1" x="3457"/>
        <item t="data" h="1" sd="1" m="1" x="3458"/>
        <item t="data" h="1" sd="1" m="1" x="3459"/>
        <item t="data" h="1" sd="1" m="1" x="3460"/>
        <item t="data" h="1" sd="1" m="1" x="3335"/>
        <item t="data" h="1" sd="1" m="1" x="3000"/>
        <item t="data" h="1" sd="1" m="1" x="3002"/>
        <item t="data" h="1" sd="1" m="1" x="3461"/>
        <item t="data" h="1" sd="1" m="1" x="3464"/>
        <item t="data" h="1" sd="1" m="1" x="3007"/>
        <item t="data" h="1" sd="1" m="1" x="3166"/>
        <item t="data" h="1" sd="1" m="1" x="3167"/>
        <item t="data" h="1" sd="1" m="1" x="3170"/>
        <item t="data" h="1" sd="1" m="1" x="3171"/>
        <item t="data" h="1" sd="1" m="1" x="3172"/>
        <item t="data" h="1" sd="1" m="1" x="3176"/>
        <item t="data" h="1" sd="1" m="1" x="3178"/>
        <item t="data" h="1" sd="1" m="1" x="3033"/>
        <item t="data" h="1" sd="1" m="1" x="3032"/>
        <item t="data" h="1" sd="1" m="1" x="2956"/>
        <item t="data" h="1" sd="1" m="1" x="3179"/>
        <item t="data" h="1" sd="1" m="1" x="3180"/>
        <item t="data" h="1" sd="1" m="1" x="3181"/>
        <item t="data" h="1" sd="1" m="1" x="3182"/>
        <item t="data" h="1" sd="1" m="1" x="3183"/>
        <item t="data" h="1" sd="1" m="1" x="2759"/>
        <item t="data" h="1" sd="1" m="1" x="3184"/>
        <item t="data" h="1" sd="1" m="1" x="3185"/>
        <item t="data" h="1" sd="1" m="1" x="3186"/>
        <item t="data" h="1" sd="1" m="1" x="3188"/>
        <item t="data" h="1" sd="1" m="1" x="3189"/>
        <item t="data" h="1" sd="1" m="1" x="3192"/>
        <item t="data" h="1" sd="1" m="1" x="3205"/>
        <item t="data" h="1" sd="1" m="1" x="3210"/>
        <item t="data" h="1" sd="1" m="1" x="3211"/>
        <item t="data" h="1" sd="1" m="1" x="2723"/>
        <item t="data" h="1" sd="1" m="1" x="1702"/>
        <item t="data" h="1" sd="1" m="1" x="3091"/>
        <item t="data" h="1" sd="1" m="1" x="3217"/>
        <item t="data" h="1" sd="1" m="1" x="3099"/>
        <item t="data" h="1" sd="1" m="1" x="2976"/>
        <item t="data" h="1" sd="1" m="1" x="3223"/>
        <item t="data" h="1" sd="1" m="1" x="3225"/>
        <item t="data" h="1" sd="1" m="1" x="3226"/>
        <item t="data" h="1" sd="1" m="1" x="3227"/>
        <item t="data" h="1" sd="1" m="1" x="3228"/>
        <item t="data" h="1" sd="1" m="1" x="3229"/>
        <item t="data" h="1" sd="1" m="1" x="3230"/>
        <item t="data" h="1" sd="1" m="1" x="3231"/>
        <item t="data" h="1" sd="1" m="1" x="3117"/>
        <item t="data" h="1" sd="1" m="1" x="3243"/>
        <item t="data" h="1" sd="1" m="1" x="3244"/>
        <item t="data" h="1" sd="1" m="1" x="3245"/>
        <item t="data" h="1" sd="1" m="1" x="1712"/>
        <item t="data" h="1" sd="1" m="1" x="3271"/>
        <item t="data" h="1" sd="1" m="1" x="3124"/>
        <item t="data" h="1" sd="1" m="1" x="2255"/>
        <item t="data" h="1" sd="1" m="1" x="3272"/>
        <item t="data" h="1" sd="1" m="1" x="3273"/>
        <item t="data" h="1" sd="1" m="1" x="3274"/>
        <item t="data" h="1" sd="1" m="1" x="3275"/>
        <item t="data" h="1" sd="1" m="1" x="3276"/>
        <item t="data" h="1" sd="1" m="1" x="3310"/>
        <item t="data" h="1" sd="1" m="1" x="3321"/>
        <item t="data" h="1" sd="1" m="1" x="3322"/>
        <item t="data" h="1" sd="1" m="1" x="3323"/>
        <item t="data" h="1" sd="1" m="1" x="3324"/>
        <item t="data" h="1" sd="1" m="1" x="3325"/>
        <item t="data" h="1" sd="1" m="1" x="3326"/>
        <item t="data" h="1" sd="1" m="1" x="3327"/>
        <item t="data" h="1" sd="1" m="1" x="3328"/>
        <item t="data" h="1" sd="1" m="1" x="3329"/>
        <item t="data" h="1" sd="1" m="1" x="3330"/>
        <item t="data" h="1" sd="1" m="1" x="2808"/>
        <item t="data" h="1" sd="1" m="1" x="3145"/>
        <item t="data" h="1" sd="1" m="1" x="3158"/>
        <item t="data" h="1" sd="1" m="1" x="3333"/>
        <item t="data" h="1" sd="1" m="1" x="3162"/>
        <item t="data" h="1" sd="1" m="1" x="1734"/>
        <item t="data" h="1" sd="1" m="1" x="1735"/>
        <item t="data" h="1" sd="1" m="1" x="3334"/>
        <item t="data" h="1" sd="1" m="1" x="3008"/>
        <item t="data" h="1" sd="1" m="1" x="3009"/>
        <item t="data" h="1" sd="1" m="1" x="3011"/>
        <item t="data" h="1" sd="1" m="1" x="3012"/>
        <item t="data" h="1" sd="1" m="1" x="3013"/>
        <item t="data" h="1" sd="1" m="1" x="3014"/>
        <item t="data" h="1" sd="1" m="1" x="3015"/>
        <item t="data" h="1" sd="1" m="1" x="1211"/>
        <item t="data" h="1" sd="1" m="1" x="3016"/>
        <item t="data" h="1" sd="1" m="1" x="3017"/>
        <item t="data" h="1" sd="1" m="1" x="3018"/>
        <item t="data" h="1" sd="1" m="1" x="3019"/>
        <item t="data" h="1" sd="1" m="1" x="3020"/>
        <item t="data" h="1" sd="1" m="1" x="3021"/>
        <item t="data" h="1" sd="1" m="1" x="3023"/>
        <item t="data" h="1" sd="1" m="1" x="3024"/>
        <item t="data" h="1" sd="1" m="1" x="3025"/>
        <item t="data" h="1" sd="1" m="1" x="3026"/>
        <item t="data" h="1" sd="1" m="1" x="3027"/>
        <item t="data" h="1" sd="1" m="1" x="3029"/>
        <item t="data" h="1" sd="1" m="1" x="3030"/>
        <item t="data" h="1" sd="1" m="1" x="2328"/>
        <item t="data" h="1" sd="1" m="1" x="3036"/>
        <item t="data" h="1" sd="1" m="1" x="3037"/>
        <item t="data" h="1" sd="1" m="1" x="3038"/>
        <item t="data" h="1" sd="1" m="1" x="3039"/>
        <item t="data" h="1" sd="1" m="1" x="3040"/>
        <item t="data" h="1" sd="1" m="1" x="3041"/>
        <item t="data" h="1" sd="1" m="1" x="3042"/>
        <item t="data" h="1" sd="1" m="1" x="3043"/>
        <item t="data" h="1" sd="1" m="1" x="3044"/>
        <item t="data" h="1" sd="1" m="1" x="3045"/>
        <item t="data" h="1" sd="1" m="1" x="3046"/>
        <item t="data" h="1" sd="1" m="1" x="3047"/>
        <item t="data" h="1" sd="1" m="1" x="3048"/>
        <item t="data" h="1" sd="1" m="1" x="3049"/>
        <item t="data" h="1" sd="1" m="1" x="3050"/>
        <item t="data" h="1" sd="1" m="1" x="3051"/>
        <item t="data" h="1" sd="1" m="1" x="3052"/>
        <item t="data" h="1" sd="1" m="1" x="3053"/>
        <item t="data" h="1" sd="1" m="1" x="3054"/>
        <item t="data" h="1" sd="1" m="1" x="3055"/>
        <item t="data" h="1" sd="1" m="1" x="3056"/>
        <item t="data" h="1" sd="1" m="1" x="3057"/>
        <item t="data" h="1" sd="1" m="1" x="3058"/>
        <item t="data" h="1" sd="1" m="1" x="3061"/>
        <item t="data" h="1" sd="1" m="1" x="3062"/>
        <item t="data" h="1" sd="1" m="1" x="3063"/>
        <item t="data" h="1" sd="1" m="1" x="3064"/>
        <item t="data" h="1" sd="1" m="1" x="3065"/>
        <item t="data" h="1" sd="1" m="1" x="3066"/>
        <item t="data" h="1" sd="1" m="1" x="3067"/>
        <item t="data" h="1" sd="1" m="1" x="3068"/>
        <item t="data" h="1" sd="1" m="1" x="3069"/>
        <item t="data" h="1" sd="1" m="1" x="3070"/>
        <item t="data" h="1" sd="1" m="1" x="3071"/>
        <item t="data" h="1" sd="1" m="1" x="3072"/>
        <item t="data" h="1" sd="1" m="1" x="3073"/>
        <item t="data" h="1" sd="1" m="1" x="2228"/>
        <item t="data" h="1" sd="1" m="1" x="3075"/>
        <item t="data" h="1" sd="1" m="1" x="2707"/>
        <item t="data" h="1" sd="1" m="1" x="3080"/>
        <item t="data" h="1" sd="1" x="276"/>
        <item t="data" h="1" sd="1" m="1" x="2383"/>
        <item t="data" h="1" sd="1" m="1" x="2381"/>
        <item t="data" h="1" sd="1" m="1" x="3082"/>
        <item t="data" h="1" sd="1" m="1" x="3083"/>
        <item t="data" h="1" sd="1" m="1" x="557"/>
        <item t="data" h="1" sd="1" m="1" x="3085"/>
        <item t="data" h="1" sd="1" m="1" x="3086"/>
        <item t="data" h="1" sd="1" m="1" x="3088"/>
        <item t="data" h="1" sd="1" m="1" x="1700"/>
        <item t="data" h="1" sd="1" m="1" x="1701"/>
        <item t="data" h="1" sd="1" m="1" x="1688"/>
        <item t="data" h="1" sd="1" m="1" x="3092"/>
        <item t="data" h="1" sd="1" m="1" x="3093"/>
        <item t="data" h="1" sd="1" m="1" x="3097"/>
        <item t="data" h="1" sd="1" m="1" x="2974"/>
        <item t="data" h="1" sd="1" m="1" x="2634"/>
        <item t="data" h="1" sd="1" m="1" x="2503"/>
        <item t="data" h="1" sd="1" m="1" x="2975"/>
        <item t="data" h="1" sd="1" m="1" x="3100"/>
        <item t="data" h="1" sd="1" m="1" x="3101"/>
        <item t="data" h="1" sd="1" m="1" x="2193"/>
        <item t="data" h="1" sd="1" m="1" x="2633"/>
        <item t="data" h="1" sd="1" m="1" x="3102"/>
        <item t="data" h="1" sd="1" m="1" x="3106"/>
        <item t="data" h="1" sd="1" m="1" x="3110"/>
        <item t="data" h="1" sd="1" m="1" x="3114"/>
        <item t="data" h="1" sd="1" m="1" x="2636"/>
        <item t="data" h="1" sd="1" m="1" x="3118"/>
        <item t="data" h="1" sd="1" m="1" x="3119"/>
        <item t="data" h="1" sd="1" m="1" x="3120"/>
        <item t="data" h="1" sd="1" m="1" x="3121"/>
        <item t="data" h="1" sd="1" m="1" x="3122"/>
        <item t="data" h="1" sd="1" m="1" x="2711"/>
        <item t="data" h="1" sd="1" m="1" x="2710"/>
        <item t="data" h="1" sd="1" m="1" x="1745"/>
        <item t="data" h="1" sd="1" m="1" x="2007"/>
        <item t="data" h="1" sd="1" m="1" x="2006"/>
        <item t="data" h="1" sd="1" m="1" x="3125"/>
        <item t="data" h="1" sd="1" m="1" x="643"/>
        <item t="data" h="1" sd="1" m="1" x="3126"/>
        <item t="data" h="1" sd="1" m="1" x="3128"/>
        <item t="data" h="1" sd="1" m="1" x="3129"/>
        <item t="data" h="1" sd="1" m="1" x="3131"/>
        <item t="data" h="1" sd="1" m="1" x="599"/>
        <item t="data" h="1" sd="1" m="1" x="1718"/>
        <item t="data" h="1" sd="1" m="1" x="3133"/>
        <item t="data" h="1" sd="1" m="1" x="1306"/>
        <item t="data" h="1" sd="1" m="1" x="2720"/>
        <item t="data" h="1" sd="1" m="1" x="2719"/>
        <item t="data" h="1" sd="1" m="1" x="1687"/>
        <item t="data" h="1" sd="1" m="1" x="2743"/>
        <item t="data" h="1" sd="1" m="1" x="3135"/>
        <item t="data" h="1" sd="1" m="1" x="3136"/>
        <item t="data" h="1" sd="1" m="1" x="3138"/>
        <item t="data" h="1" sd="1" m="1" x="3139"/>
        <item t="data" h="1" sd="1" m="1" x="3140"/>
        <item t="data" h="1" sd="1" m="1" x="3141"/>
        <item t="data" h="1" sd="1" m="1" x="3142"/>
        <item t="data" h="1" sd="1" m="1" x="2918"/>
        <item t="data" h="1" sd="1" m="1" x="2916"/>
        <item t="data" h="1" sd="1" m="1" x="2917"/>
        <item t="data" h="1" sd="1" m="1" x="3143"/>
        <item t="data" h="1" sd="1" m="1" x="3144"/>
        <item t="data" h="1" sd="1" m="1" x="3152"/>
        <item t="data" h="1" sd="1" m="1" x="3153"/>
        <item t="data" h="1" sd="1" m="1" x="2807"/>
        <item t="data" h="1" sd="1" m="1" x="3154"/>
        <item t="data" h="1" sd="1" m="1" x="1873"/>
        <item t="data" h="1" sd="1" m="1" x="3155"/>
        <item t="data" h="1" sd="1" m="1" x="3161"/>
        <item t="data" h="1" sd="1" m="1" x="1719"/>
        <item t="data" h="1" sd="1" m="1" x="1721"/>
        <item t="data" h="1" sd="1" m="1" x="3163"/>
        <item t="data" h="1" sd="1" m="1" x="3164"/>
        <item t="data" h="1" sd="1" m="1" x="3165"/>
        <item t="data" h="1" sd="1" m="1" x="2728"/>
        <item t="data" h="1" sd="1" m="1" x="2729"/>
        <item t="data" h="1" sd="1" m="1" x="2942"/>
        <item t="data" h="1" sd="1" m="1" x="2943"/>
        <item t="data" h="1" sd="1" m="1" x="2944"/>
        <item t="data" h="1" sd="1" m="1" x="2946"/>
        <item t="data" h="1" sd="1" m="1" x="2947"/>
        <item t="data" h="1" sd="1" m="1" x="2948"/>
        <item t="data" h="1" sd="1" m="1" x="2949"/>
        <item t="data" h="1" sd="1" m="1" x="2950"/>
        <item t="data" h="1" sd="1" m="1" x="2314"/>
        <item t="data" h="1" sd="1" m="1" x="2330"/>
        <item t="data" h="1" sd="1" m="1" x="2331"/>
        <item t="data" h="1" sd="1" m="1" x="2332"/>
        <item t="data" h="1" sd="1" m="1" x="2953"/>
        <item t="data" h="1" sd="1" m="1" x="2954"/>
        <item t="data" h="1" sd="1" m="1" x="2955"/>
        <item t="data" h="1" sd="1" m="1" x="2957"/>
        <item t="data" h="1" sd="1" m="1" x="2958"/>
        <item t="data" h="1" sd="1" m="1" x="1391"/>
        <item t="data" h="1" sd="1" m="1" x="829"/>
        <item t="data" h="1" sd="1" m="1" x="2959"/>
        <item t="data" h="1" sd="1" m="1" x="2960"/>
        <item t="data" h="1" sd="1" m="1" x="2961"/>
        <item t="data" h="1" sd="1" m="1" x="2963"/>
        <item t="data" h="1" sd="1" m="1" x="2964"/>
        <item t="data" h="1" sd="1" m="1" x="2966"/>
        <item t="data" h="1" sd="1" m="1" x="2457"/>
        <item t="data" h="1" sd="1" m="1" x="2458"/>
        <item t="data" h="1" sd="1" m="1" x="2763"/>
        <item t="data" h="1" sd="1" m="1" x="2762"/>
        <item t="data" h="1" sd="1" m="1" x="2967"/>
        <item t="data" h="1" sd="1" m="1" x="2382"/>
        <item t="data" h="1" sd="1" m="1" x="2581"/>
        <item t="data" h="1" sd="1" m="1" x="2017"/>
        <item t="data" h="1" sd="1" m="1" x="2018"/>
        <item t="data" h="1" sd="1" m="1" x="555"/>
        <item t="data" h="1" sd="1" m="1" x="2968"/>
        <item t="data" h="1" sd="1" m="1" x="2871"/>
        <item t="data" h="1" sd="1" m="1" x="2872"/>
        <item t="data" h="1" sd="1" m="1" x="647"/>
        <item t="data" h="1" sd="1" m="1" x="2687"/>
        <item t="data" h="1" sd="1" m="1" x="2689"/>
        <item t="data" h="1" sd="1" m="1" x="2688"/>
        <item t="data" h="1" sd="1" m="1" x="2012"/>
        <item t="data" h="1" sd="1" m="1" x="1692"/>
        <item t="data" h="1" sd="1" m="1" x="2969"/>
        <item t="data" h="1" sd="1" m="1" x="2682"/>
        <item t="data" h="1" sd="1" m="1" x="2876"/>
        <item t="data" h="1" sd="1" m="1" x="2877"/>
        <item t="data" h="1" sd="1" m="1" x="2970"/>
        <item t="data" h="1" sd="1" m="1" x="2971"/>
        <item t="data" h="1" sd="1" m="1" x="2484"/>
        <item t="data" h="1" sd="1" m="1" x="2258"/>
        <item t="data" h="1" sd="1" m="1" x="2972"/>
        <item t="data" h="1" sd="1" m="1" x="2973"/>
        <item t="data" h="1" sd="1" m="1" x="2879"/>
        <item t="data" h="1" sd="1" m="1" x="2983"/>
        <item t="data" h="1" sd="1" m="1" x="2984"/>
        <item t="data" h="1" sd="1" m="1" x="1682"/>
        <item t="data" h="1" sd="1" m="1" x="2880"/>
        <item t="data" h="1" sd="1" m="1" x="1684"/>
        <item t="data" h="1" sd="1" m="1" x="1683"/>
        <item t="data" h="1" sd="1" m="1" x="2632"/>
        <item t="data" h="1" sd="1" m="1" x="2631"/>
        <item t="data" h="1" sd="1" m="1" x="2335"/>
        <item t="data" h="1" sd="1" m="1" x="2989"/>
        <item t="data" h="1" sd="1" m="1" x="2784"/>
        <item t="data" h="1" sd="1" m="1" x="2883"/>
        <item t="data" h="1" sd="1" m="1" x="1798"/>
        <item t="data" h="1" sd="1" m="1" x="1746"/>
        <item t="data" h="1" sd="1" m="1" x="2791"/>
        <item t="data" h="1" sd="1" m="1" x="2792"/>
        <item t="data" h="1" sd="1" m="1" x="1715"/>
        <item t="data" h="1" sd="1" m="1" x="1716"/>
        <item t="data" h="1" sd="1" m="1" x="1800"/>
        <item t="data" h="1" sd="1" m="1" x="2990"/>
        <item t="data" h="1" sd="1" m="1" x="2046"/>
        <item t="data" h="1" sd="1" m="1" x="2991"/>
        <item t="data" h="1" sd="1" m="1" x="2992"/>
        <item t="data" h="1" sd="1" m="1" x="2374"/>
        <item t="data" h="1" sd="1" m="1" x="2371"/>
        <item t="data" h="1" sd="1" m="1" x="2570"/>
        <item t="data" h="1" sd="1" m="1" x="2567"/>
        <item t="data" h="1" sd="1" m="1" x="2557"/>
        <item t="data" h="1" sd="1" m="1" x="838"/>
        <item t="data" h="1" sd="1" m="1" x="2564"/>
        <item t="data" h="1" sd="1" m="1" x="2993"/>
        <item t="data" h="1" sd="1" m="1" x="2994"/>
        <item t="data" h="1" sd="1" m="1" x="2891"/>
        <item t="data" h="1" sd="1" m="1" x="2389"/>
        <item t="data" h="1" sd="1" m="1" x="2466"/>
        <item t="data" h="1" sd="1" m="1" x="2896"/>
        <item t="data" h="1" sd="1" m="1" x="2705"/>
        <item t="data" h="1" sd="1" m="1" x="2798"/>
        <item t="data" h="1" sd="1" m="1" x="2898"/>
        <item t="data" h="1" sd="1" m="1" x="2899"/>
        <item t="data" h="1" sd="1" m="1" x="2995"/>
        <item t="data" h="1" sd="1" m="1" x="2900"/>
        <item t="data" h="1" sd="1" m="1" x="2905"/>
        <item t="data" h="1" sd="1" m="1" x="2996"/>
        <item t="data" h="1" sd="1" m="1" x="2997"/>
        <item t="data" h="1" sd="1" m="1" x="2906"/>
        <item t="data" h="1" sd="1" m="1" x="2998"/>
        <item t="data" h="1" sd="1" m="1" x="2911"/>
        <item t="data" h="1" sd="1" m="1" x="2912"/>
        <item t="data" h="1" sd="1" m="1" x="2598"/>
        <item t="data" h="1" sd="1" m="1" x="1726"/>
        <item t="data" h="1" sd="1" m="1" x="1727"/>
        <item t="data" h="1" sd="1" m="1" x="1729"/>
        <item t="data" h="1" sd="1" m="1" x="653"/>
        <item t="data" h="1" sd="1" m="1" x="1723"/>
        <item t="data" h="1" sd="1" m="1" x="1724"/>
        <item t="data" h="1" sd="1" m="1" x="1814"/>
        <item t="data" h="1" sd="1" m="1" x="2932"/>
        <item t="data" h="1" sd="1" m="1" x="2933"/>
        <item t="data" h="1" sd="1" m="1" x="2935"/>
        <item t="data" h="1" sd="1" m="1" x="2931"/>
        <item t="data" h="1" sd="1" m="1" x="2925"/>
        <item t="data" h="1" sd="1" m="1" x="2927"/>
        <item t="data" h="1" sd="1" m="1" x="2928"/>
        <item t="data" h="1" sd="1" m="1" x="2929"/>
        <item t="data" h="1" sd="1" m="1" x="2930"/>
        <item t="data" h="1" sd="1" m="1" x="2941"/>
        <item t="data" h="1" sd="1" m="1" x="3004"/>
        <item t="data" h="1" sd="1" m="1" x="2014"/>
        <item t="data" h="1" sd="1" m="1" x="2744"/>
        <item t="data" h="1" sd="1" m="1" x="2746"/>
        <item t="data" h="1" sd="1" m="1" x="2813"/>
        <item t="data" h="1" sd="1" m="1" x="2814"/>
        <item t="data" h="1" sd="1" m="1" x="2815"/>
        <item t="data" h="1" sd="1" m="1" x="2816"/>
        <item t="data" h="1" sd="1" m="1" x="2817"/>
        <item t="data" h="1" sd="1" m="1" x="2818"/>
        <item t="data" h="1" sd="1" m="1" x="2819"/>
        <item t="data" h="1" sd="1" m="1" x="2820"/>
        <item t="data" h="1" sd="1" m="1" x="2821"/>
        <item t="data" h="1" sd="1" m="1" x="2822"/>
        <item t="data" h="1" sd="1" m="1" x="2823"/>
        <item t="data" h="1" sd="1" m="1" x="2548"/>
        <item t="data" h="1" sd="1" m="1" x="2824"/>
        <item t="data" h="1" sd="1" m="1" x="2753"/>
        <item t="data" h="1" sd="1" m="1" x="2825"/>
        <item t="data" h="1" sd="1" m="1" x="2317"/>
        <item t="data" h="1" sd="1" m="1" x="2752"/>
        <item t="data" h="1" sd="1" m="1" x="2316"/>
        <item t="data" h="1" sd="1" m="1" x="2192"/>
        <item t="data" h="1" sd="1" m="1" x="2191"/>
        <item t="data" h="1" sd="1" m="1" x="2826"/>
        <item t="data" h="1" sd="1" m="1" x="2827"/>
        <item t="data" h="1" sd="1" m="1" x="2828"/>
        <item t="data" h="1" sd="1" m="1" x="2829"/>
        <item t="data" h="1" sd="1" m="1" x="2830"/>
        <item t="data" h="1" sd="1" m="1" x="2831"/>
        <item t="data" h="1" sd="1" m="1" x="2832"/>
        <item t="data" h="1" sd="1" m="1" x="2833"/>
        <item t="data" h="1" sd="1" m="1" x="2834"/>
        <item t="data" h="1" sd="1" m="1" x="2835"/>
        <item t="data" h="1" sd="1" m="1" x="2836"/>
        <item t="data" h="1" sd="1" m="1" x="2837"/>
        <item t="data" h="1" sd="1" m="1" x="2838"/>
        <item t="data" h="1" sd="1" m="1" x="2839"/>
        <item t="data" h="1" sd="1" m="1" x="2664"/>
        <item t="data" h="1" sd="1" m="1" x="2841"/>
        <item t="data" h="1" sd="1" m="1" x="2843"/>
        <item t="data" h="1" sd="1" m="1" x="2844"/>
        <item t="data" h="1" sd="1" m="1" x="2845"/>
        <item t="data" h="1" sd="1" m="1" x="2846"/>
        <item t="data" h="1" sd="1" m="1" x="2847"/>
        <item t="data" h="1" sd="1" m="1" x="2848"/>
        <item t="data" h="1" sd="1" m="1" x="2849"/>
        <item t="data" h="1" sd="1" m="1" x="2850"/>
        <item t="data" h="1" sd="1" m="1" x="2851"/>
        <item t="data" h="1" sd="1" m="1" x="2852"/>
        <item t="data" h="1" sd="1" m="1" x="2853"/>
        <item t="data" h="1" sd="1" m="1" x="2855"/>
        <item t="data" h="1" sd="1" m="1" x="2856"/>
        <item t="data" h="1" sd="1" m="1" x="2857"/>
        <item t="data" h="1" sd="1" m="1" x="2858"/>
        <item t="data" h="1" sd="1" m="1" x="2859"/>
        <item t="data" h="1" sd="1" m="1" x="2860"/>
        <item t="data" h="1" sd="1" m="1" x="2862"/>
        <item t="data" h="1" sd="1" m="1" x="2864"/>
        <item t="data" h="1" sd="1" m="1" x="2865"/>
        <item t="data" h="1" sd="1" m="1" x="2866"/>
        <item t="data" h="1" sd="1" m="1" x="2043"/>
        <item t="data" h="1" sd="1" m="1" x="2341"/>
        <item t="data" h="1" sd="1" m="1" x="2227"/>
        <item t="data" h="1" sd="1" m="1" x="2694"/>
        <item t="data" h="1" sd="1" m="1" x="2867"/>
        <item t="data" h="1" sd="1" m="1" x="562"/>
        <item t="data" h="1" sd="1" m="1" x="2868"/>
        <item t="data" h="1" sd="1" m="1" x="2869"/>
        <item t="data" h="1" sd="1" m="1" x="2708"/>
        <item t="data" h="1" sd="1" m="1" x="579"/>
        <item t="data" h="1" sd="1" m="1" x="2028"/>
        <item t="data" h="1" sd="1" m="1" x="2019"/>
        <item t="data" h="1" sd="1" m="1" x="507"/>
        <item t="data" h="1" sd="1" m="1" x="2686"/>
        <item t="data" h="1" sd="1" m="1" x="1774"/>
        <item t="data" h="1" sd="1" m="1" x="2878"/>
        <item t="data" h="1" sd="1" m="1" x="2396"/>
        <item t="data" h="1" sd="1" m="1" x="2323"/>
        <item t="data" h="1" sd="1" m="1" x="2324"/>
        <item t="data" h="1" sd="1" m="1" x="1776"/>
        <item t="data" h="1" sd="1" m="1" x="2881"/>
        <item t="data" h="1" sd="1" m="1" x="2882"/>
        <item t="data" h="1" sd="1" m="1" x="1488"/>
        <item t="data" h="1" sd="1" m="1" x="1760"/>
        <item t="data" h="1" sd="1" m="1" x="2779"/>
        <item t="data" h="1" sd="1" m="1" x="2780"/>
        <item t="data" h="1" sd="1" m="1" x="2781"/>
        <item t="data" h="1" sd="1" m="1" x="2783"/>
        <item t="data" h="1" sd="1" m="1" x="2884"/>
        <item t="data" h="1" sd="1" m="1" x="2885"/>
        <item t="data" h="1" sd="1" m="1" x="2886"/>
        <item t="data" h="1" sd="1" m="1" x="2887"/>
        <item t="data" h="1" sd="1" m="1" x="2789"/>
        <item t="data" h="1" sd="1" m="1" x="2889"/>
        <item t="data" h="1" sd="1" m="1" x="2355"/>
        <item t="data" h="1" sd="1" m="1" x="2890"/>
        <item t="data" h="1" sd="1" m="1" x="2892"/>
        <item t="data" h="1" sd="1" m="1" x="2893"/>
        <item t="data" h="1" sd="1" m="1" x="2569"/>
        <item t="data" h="1" sd="1" m="1" x="2895"/>
        <item t="data" h="1" sd="1" m="1" x="1802"/>
        <item t="data" h="1" sd="1" m="1" x="604"/>
        <item t="data" h="1" sd="1" m="1" x="2026"/>
        <item t="data" h="1" sd="1" m="1" x="2901"/>
        <item t="data" h="1" sd="1" m="1" x="2902"/>
        <item t="data" h="1" sd="1" m="1" x="2803"/>
        <item t="data" h="1" sd="1" m="1" x="1827"/>
        <item t="data" h="1" sd="1" m="1" x="1843"/>
        <item t="data" h="1" sd="1" m="1" x="2903"/>
        <item t="data" h="1" sd="1" m="1" x="2907"/>
        <item t="data" h="1" sd="1" m="1" x="2411"/>
        <item t="data" h="1" sd="1" m="1" x="2908"/>
        <item t="data" h="1" sd="1" m="1" x="2412"/>
        <item t="data" h="1" sd="1" m="1" x="2413"/>
        <item t="data" h="1" sd="1" m="1" x="2910"/>
        <item t="data" h="1" sd="1" m="1" x="2414"/>
        <item t="data" h="1" sd="1" m="1" x="2914"/>
        <item t="data" h="1" sd="1" m="1" x="2415"/>
        <item t="data" h="1" sd="1" m="1" x="2416"/>
        <item t="data" h="1" sd="1" m="1" x="2915"/>
        <item t="data" h="1" sd="1" m="1" x="1829"/>
        <item t="data" h="1" sd="1" m="1" x="1830"/>
        <item t="data" h="1" sd="1" m="1" x="2937"/>
        <item t="data" h="1" sd="1" m="1" x="2938"/>
        <item t="data" h="1" sd="1" m="1" x="2939"/>
        <item t="data" h="1" sd="1" m="1" x="1834"/>
        <item t="data" h="1" sd="1" m="1" x="2745"/>
        <item t="data" h="1" sd="1" x="285"/>
        <item t="data" h="1" sd="1" m="1" x="2747"/>
        <item t="data" h="1" sd="1" m="1" x="2748"/>
        <item t="data" h="1" sd="1" m="1" x="825"/>
        <item t="data" h="1" sd="1" m="1" x="2749"/>
        <item t="data" h="1" sd="1" m="1" x="2750"/>
        <item t="data" h="1" sd="1" m="1" x="2751"/>
        <item t="data" h="1" sd="1" m="1" x="2354"/>
        <item t="data" h="1" sd="1" m="1" x="2754"/>
        <item t="data" h="1" sd="1" m="1" x="2755"/>
        <item t="data" h="1" sd="1" m="1" x="2677"/>
        <item t="data" h="1" sd="1" m="1" x="2672"/>
        <item t="data" h="1" sd="1" m="1" x="2756"/>
        <item t="data" h="1" sd="1" m="1" x="2674"/>
        <item t="data" h="1" sd="1" m="1" x="2675"/>
        <item t="data" h="1" sd="1" m="1" x="760"/>
        <item t="data" h="1" sd="1" m="1" x="2757"/>
        <item t="data" h="1" sd="1" m="1" x="2758"/>
        <item t="data" h="1" sd="1" m="1" x="2658"/>
        <item t="data" h="1" sd="1" m="1" x="2513"/>
        <item t="data" h="1" sd="1" m="1" x="2189"/>
        <item t="data" h="1" sd="1" m="1" x="2190"/>
        <item t="data" h="1" sd="1" m="1" x="2760"/>
        <item t="data" h="1" sd="1" m="1" x="2761"/>
        <item t="data" h="1" sd="1" m="1" x="2385"/>
        <item t="data" h="1" sd="1" m="1" x="2016"/>
        <item t="data" h="1" sd="1" m="1" x="1781"/>
        <item t="data" h="1" sd="1" m="1" x="2766"/>
        <item t="data" h="1" sd="1" m="1" x="2767"/>
        <item t="data" h="1" sd="1" m="1" x="2768"/>
        <item t="data" h="1" sd="1" m="1" x="2769"/>
        <item t="data" h="1" sd="1" m="1" x="1771"/>
        <item t="data" h="1" sd="1" m="1" x="1772"/>
        <item t="data" h="1" sd="1" m="1" x="2770"/>
        <item t="data" h="1" sd="1" m="1" x="1775"/>
        <item t="data" h="1" sd="1" m="1" x="2011"/>
        <item t="data" h="1" sd="1" m="1" x="1807"/>
        <item t="data" h="1" sd="1" m="1" x="2394"/>
        <item t="data" h="1" sd="1" m="1" x="2772"/>
        <item t="data" h="1" sd="1" m="1" x="2773"/>
        <item t="data" h="1" sd="1" m="1" x="2774"/>
        <item t="data" h="1" sd="1" m="1" x="2775"/>
        <item t="data" h="1" sd="1" m="1" x="2646"/>
        <item t="data" h="1" sd="1" m="1" x="2699"/>
        <item t="data" h="1" sd="1" m="1" x="1796"/>
        <item t="data" h="1" sd="1" m="1" x="2785"/>
        <item t="data" h="1" sd="1" m="1" x="2786"/>
        <item t="data" h="1" sd="1" m="1" x="1839"/>
        <item t="data" h="1" sd="1" m="1" x="2790"/>
        <item t="data" h="1" sd="1" m="1" x="2023"/>
        <item t="data" h="1" sd="1" m="1" x="2370"/>
        <item t="data" h="1" sd="1" m="1" x="2793"/>
        <item t="data" h="1" sd="1" m="1" x="2372"/>
        <item t="data" h="1" sd="1" m="1" x="2553"/>
        <item t="data" h="1" sd="1" m="1" x="2558"/>
        <item t="data" h="1" sd="1" m="1" x="2554"/>
        <item t="data" h="1" sd="1" m="1" x="2555"/>
        <item t="data" h="1" sd="1" m="1" x="2559"/>
        <item t="data" h="1" sd="1" m="1" x="2701"/>
        <item t="data" h="1" sd="1" m="1" x="2795"/>
        <item t="data" h="1" sd="1" m="1" x="2796"/>
        <item t="data" h="1" sd="1" m="1" x="2797"/>
        <item t="data" h="1" sd="1" m="1" x="2395"/>
        <item t="data" h="1" sd="1" m="1" x="2799"/>
        <item t="data" h="1" sd="1" m="1" x="2800"/>
        <item t="data" h="1" sd="1" m="1" x="2801"/>
        <item t="data" h="1" sd="1" m="1" x="2802"/>
        <item t="data" h="1" sd="1" m="1" x="2030"/>
        <item t="data" h="1" sd="1" m="1" x="2031"/>
        <item t="data" h="1" sd="1" m="1" x="2741"/>
        <item t="data" h="1" sd="1" m="1" x="2742"/>
        <item t="data" h="1" sd="1" m="1" x="2399"/>
        <item t="data" h="1" sd="1" m="1" x="2804"/>
        <item t="data" h="1" sd="1" m="1" x="2805"/>
        <item t="data" h="1" sd="1" m="1" x="2400"/>
        <item t="data" h="1" sd="1" m="1" x="2401"/>
        <item t="data" h="1" sd="1" m="1" x="2402"/>
        <item t="data" h="1" sd="1" m="1" x="2806"/>
        <item t="data" h="1" sd="1" x="190"/>
        <item t="data" h="1" sd="1" m="1" x="2810"/>
        <item t="data" h="1" sd="1" m="1" x="2811"/>
        <item t="data" h="1" sd="1" m="1" x="1812"/>
        <item t="data" h="1" sd="1" m="1" x="1998"/>
        <item t="data" h="1" sd="1" m="1" x="2600"/>
        <item t="data" h="1" sd="1" m="1" x="2613"/>
        <item t="data" h="1" sd="1" m="1" x="249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622"/>
        <item t="data" h="1" sd="1" m="1" x="2623"/>
        <item t="data" h="1" sd="1" m="1" x="2624"/>
        <item t="data" h="1" sd="1" m="1" x="2625"/>
        <item t="data" h="1" sd="1" m="1" x="2626"/>
        <item t="data" h="1" sd="1" m="1" x="2627"/>
        <item t="data" h="1" sd="1" m="1" x="2628"/>
        <item t="data" h="1" sd="1" m="1" x="2629"/>
        <item t="data" h="1" sd="1" m="1" x="2630"/>
        <item t="data" h="1" sd="1" m="1" x="2504"/>
        <item t="data" h="1" sd="1" m="1" x="2505"/>
        <item t="data" h="1" sd="1" m="1" x="2502"/>
        <item t="data" h="1" sd="1" m="1" x="2635"/>
        <item t="data" h="1" sd="1" m="1" x="2638"/>
        <item t="data" h="1" sd="1" m="1" x="2639"/>
        <item t="data" h="1" sd="1" m="1" x="2640"/>
        <item t="data" h="1" sd="1" m="1" x="2509"/>
        <item t="data" h="1" sd="1" m="1" x="2642"/>
        <item t="data" h="1" sd="1" m="1" x="2508"/>
        <item t="data" h="1" sd="1" m="1" x="2645"/>
        <item t="data" h="1" sd="1" m="1" x="2044"/>
        <item t="data" h="1" sd="1" m="1" x="2425"/>
        <item t="data" h="1" sd="1" m="1" x="2647"/>
        <item t="data" h="1" sd="1" m="1" x="2648"/>
        <item t="data" h="1" sd="1" m="1" x="2649"/>
        <item t="data" h="1" sd="1" m="1" x="1765"/>
        <item t="data" h="1" sd="1" m="1" x="2650"/>
        <item t="data" h="1" sd="1" m="1" x="2525"/>
        <item t="data" h="1" sd="1" m="1" x="2651"/>
        <item t="data" h="1" sd="1" m="1" x="2652"/>
        <item t="data" h="1" sd="1" m="1" x="2522"/>
        <item t="data" h="1" sd="1" m="1" x="2523"/>
        <item t="data" h="1" sd="1" m="1" x="2653"/>
        <item t="data" h="1" sd="1" m="1" x="2654"/>
        <item t="data" h="1" sd="1" m="1" x="2655"/>
        <item t="data" h="1" sd="1" m="1" x="2656"/>
        <item t="data" h="1" sd="1" m="1" x="2657"/>
        <item t="data" h="1" sd="1" m="1" x="2659"/>
        <item t="data" h="1" sd="1" m="1" x="2660"/>
        <item t="data" h="1" sd="1" m="1" x="2661"/>
        <item t="data" h="1" sd="1" m="1" x="2662"/>
        <item t="data" h="1" sd="1" m="1" x="2428"/>
        <item t="data" h="1" sd="1" m="1" x="2521"/>
        <item t="data" h="1" sd="1" m="1" x="2663"/>
        <item t="data" h="1" sd="1" m="1" x="2665"/>
        <item t="data" h="1" sd="1" m="1" x="918"/>
        <item t="data" h="1" sd="1" m="1" x="2517"/>
        <item t="data" h="1" sd="1" m="1" x="2666"/>
        <item t="data" h="1" sd="1" m="1" x="2667"/>
        <item t="data" h="1" sd="1" m="1" x="2524"/>
        <item t="data" h="1" sd="1" m="1" x="2668"/>
        <item t="data" h="1" sd="1" m="1" x="2669"/>
        <item t="data" h="1" sd="1" m="1" x="2670"/>
        <item t="data" h="1" sd="1" m="1" x="2671"/>
        <item t="data" h="1" sd="1" m="1" x="2520"/>
        <item t="data" h="1" sd="1" m="1" x="2518"/>
        <item t="data" h="1" sd="1" m="1" x="2519"/>
        <item t="data" h="1" sd="1" m="1" x="2679"/>
        <item t="data" h="1" sd="1" m="1" x="2680"/>
        <item t="data" h="1" sd="1" m="1" x="2541"/>
        <item t="data" h="1" sd="1" m="1" x="2318"/>
        <item t="data" h="1" sd="1" m="1" x="2681"/>
        <item t="data" h="1" sd="1" x="160"/>
        <item t="data" h="1" sd="1" x="161"/>
        <item t="data" h="1" sd="1" m="1" x="2685"/>
        <item t="data" h="1" sd="1" m="1" x="2326"/>
        <item t="data" h="1" sd="1" m="1" x="2690"/>
        <item t="data" h="1" sd="1" m="1" x="2327"/>
        <item t="data" h="1" sd="1" m="1" x="2691"/>
        <item t="data" h="1" sd="1" m="1" x="2343"/>
        <item t="data" h="1" sd="1" m="1" x="2344"/>
        <item t="data" h="1" sd="1" m="1" x="2345"/>
        <item t="data" h="1" sd="1" m="1" x="2340"/>
        <item t="data" h="1" sd="1" m="1" x="2036"/>
        <item t="data" h="1" sd="1" m="1" x="2693"/>
        <item t="data" h="1" sd="1" m="1" x="2695"/>
        <item t="data" h="1" sd="1" m="1" x="2462"/>
        <item t="data" h="1" sd="1" m="1" x="2351"/>
        <item t="data" h="1" sd="1" m="1" x="2698"/>
        <item t="data" h="1" sd="1" m="1" x="1783"/>
        <item t="data" h="1" sd="1" m="1" x="2550"/>
        <item t="data" h="1" sd="1" m="1" x="2551"/>
        <item t="data" h="1" sd="1" m="1" x="2352"/>
        <item t="data" h="1" sd="1" m="1" x="1788"/>
        <item t="data" h="1" sd="1" m="1" x="2700"/>
        <item t="data" h="1" sd="1" m="1" x="2562"/>
        <item t="data" h="1" sd="1" m="1" x="2561"/>
        <item t="data" h="1" sd="1" m="1" x="2563"/>
        <item t="data" h="1" sd="1" m="1" x="2702"/>
        <item t="data" h="1" sd="1" m="1" x="2572"/>
        <item t="data" h="1" sd="1" m="1" x="2703"/>
        <item t="data" h="1" sd="1" m="1" x="2704"/>
        <item t="data" h="1" sd="1" m="1" x="2040"/>
        <item t="data" h="1" sd="1" m="1" x="2706"/>
        <item t="data" h="1" sd="1" m="1" x="1791"/>
        <item t="data" h="1" sd="1" m="1" x="2578"/>
        <item t="data" h="1" sd="1" m="1" x="2580"/>
        <item t="data" h="1" sd="1" m="1" x="2579"/>
        <item t="data" h="1" sd="1" m="1" x="2386"/>
        <item t="data" h="1" sd="1" m="1" x="2022"/>
        <item t="data" h="1" sd="1" m="1" x="2709"/>
        <item t="data" h="1" sd="1" m="1" x="2712"/>
        <item t="data" h="1" sd="1" m="1" x="1797"/>
        <item t="data" h="1" sd="1" m="1" x="586"/>
        <item t="data" h="1" sd="1" m="1" x="955"/>
        <item t="data" h="1" sd="1" m="1" x="2714"/>
        <item t="data" h="1" sd="1" m="1" x="2715"/>
        <item t="data" h="1" sd="1" m="1" x="2716"/>
        <item t="data" h="1" sd="1" m="1" x="2717"/>
        <item t="data" h="1" sd="1" m="1" x="2718"/>
        <item t="data" h="1" sd="1" m="1" x="2721"/>
        <item t="data" h="1" sd="1" m="1" x="2722"/>
        <item t="data" h="1" sd="1" m="1" x="1809"/>
        <item t="data" h="1" sd="1" m="1" x="1813"/>
        <item t="data" h="1" sd="1" m="1" x="2724"/>
        <item t="data" h="1" sd="1" m="1" x="2269"/>
        <item t="data" h="1" sd="1" m="1" x="1823"/>
        <item t="data" h="1" sd="1" m="1" x="2731"/>
        <item t="data" h="1" sd="1" m="1" x="2732"/>
        <item t="data" h="1" sd="1" m="1" x="2733"/>
        <item t="data" h="1" sd="1" m="1" x="2735"/>
        <item t="data" h="1" sd="1" m="1" x="2609"/>
        <item t="data" h="1" sd="1" m="1" x="2737"/>
        <item t="data" h="1" sd="1" m="1" x="2738"/>
        <item t="data" h="1" sd="1" m="1" x="1826"/>
        <item t="data" h="1" sd="1" m="1" x="2739"/>
        <item t="data" h="1" sd="1" m="1" x="2740"/>
        <item t="data" h="1" sd="1" m="1" x="2032"/>
        <item t="data" h="1" sd="1" m="1" x="2033"/>
        <item t="data" h="1" sd="1" m="1" x="2493"/>
        <item t="data" h="1" sd="1" m="1" x="2495"/>
        <item t="data" h="1" sd="1" m="1" x="2496"/>
        <item t="data" h="1" sd="1" m="1" x="2497"/>
        <item t="data" h="1" sd="1" m="1" x="2498"/>
        <item t="data" h="1" sd="1" m="1" x="2499"/>
        <item t="data" h="1" sd="1" m="1" x="2500"/>
        <item t="data" h="1" sd="1" m="1" x="2501"/>
        <item t="data" h="1" sd="1" m="1" x="1757"/>
        <item t="data" h="1" sd="1" m="1" x="1758"/>
        <item t="data" h="1" sd="1" m="1" x="1759"/>
        <item t="data" h="1" sd="1" m="1" x="2510"/>
        <item t="data" h="1" sd="1" m="1" x="2305"/>
        <item t="data" h="1" sd="1" m="1" x="2511"/>
        <item t="data" h="1" sd="1" m="1" x="2426"/>
        <item t="data" h="1" sd="1" m="1" x="1766"/>
        <item t="data" h="1" sd="1" m="1" x="2514"/>
        <item t="data" h="1" sd="1" m="1" x="2515"/>
        <item t="data" h="1" sd="1" m="1" x="2516"/>
        <item t="data" h="1" sd="1" m="1" x="2526"/>
        <item t="data" h="1" sd="1" m="1" x="2527"/>
        <item t="data" h="1" sd="1" m="1" x="2431"/>
        <item t="data" h="1" sd="1" m="1" x="2528"/>
        <item t="data" h="1" sd="1" m="1" x="2529"/>
        <item t="data" h="1" sd="1" m="1" x="2530"/>
        <item t="data" h="1" sd="1" m="1" x="2531"/>
        <item t="data" h="1" sd="1" m="1" x="2532"/>
        <item t="data" h="1" sd="1" m="1" x="2533"/>
        <item t="data" h="1" sd="1" m="1" x="2534"/>
        <item t="data" h="1" sd="1" m="1" x="2535"/>
        <item t="data" h="1" sd="1" m="1" x="2536"/>
        <item t="data" h="1" sd="1" m="1" x="2537"/>
        <item t="data" h="1" sd="1" m="1" x="2538"/>
        <item t="data" h="1" sd="1" m="1" x="2539"/>
        <item t="data" h="1" sd="1" m="1" x="2540"/>
        <item t="data" h="1" sd="1" m="1" x="1769"/>
        <item t="data" h="1" sd="1" m="1" x="2542"/>
        <item t="data" h="1" sd="1" m="1" x="2543"/>
        <item t="data" h="1" sd="1" m="1" x="2544"/>
        <item t="data" h="1" sd="1" m="1" x="2545"/>
        <item t="data" h="1" sd="1" m="1" x="2013"/>
        <item t="data" h="1" sd="1" m="1" x="2546"/>
        <item t="data" h="1" sd="1" m="1" x="2547"/>
        <item t="data" h="1" sd="1" m="1" x="506"/>
        <item t="data" h="1" sd="1" m="1" x="2334"/>
        <item t="data" h="1" sd="1" m="1" x="2015"/>
        <item t="data" h="1" sd="1" m="1" x="2456"/>
        <item t="data" h="1" sd="1" m="1" x="2338"/>
        <item t="data" h="1" sd="1" m="1" x="1780"/>
        <item t="data" h="1" sd="1" m="1" x="2342"/>
        <item t="data" h="1" sd="1" m="1" x="2037"/>
        <item t="data" h="1" sd="1" m="1" x="2549"/>
        <item t="data" h="1" sd="1" m="1" x="2552"/>
        <item t="data" h="1" sd="1" m="1" x="2373"/>
        <item t="data" h="1" sd="1" m="1" x="2565"/>
        <item t="data" h="1" sd="1" m="1" x="2566"/>
        <item t="data" h="1" sd="1" m="1" x="2574"/>
        <item t="data" h="1" sd="1" m="1" x="2575"/>
        <item t="data" h="1" sd="1" m="1" x="2577"/>
        <item t="data" h="1" sd="1" m="1" x="2469"/>
        <item t="data" h="1" sd="1" m="1" x="1841"/>
        <item t="data" h="1" sd="1" m="1" x="1838"/>
        <item t="data" h="1" sd="1" m="1" x="2392"/>
        <item t="data" h="1" sd="1" m="1" x="2583"/>
        <item t="data" h="1" sd="1" m="1" x="2584"/>
        <item t="data" h="1" sd="1" m="1" x="2024"/>
        <item t="data" h="1" sd="1" m="1" x="2585"/>
        <item t="data" h="1" sd="1" m="1" x="2586"/>
        <item t="data" h="1" sd="1" m="1" x="2587"/>
        <item t="data" h="1" sd="1" m="1" x="2588"/>
        <item t="data" h="1" sd="1" m="1" x="2589"/>
        <item t="data" h="1" sd="1" m="1" x="2590"/>
        <item t="data" h="1" sd="1" m="1" x="2591"/>
        <item t="data" h="1" sd="1" m="1" x="2592"/>
        <item t="data" h="1" sd="1" m="1" x="2409"/>
        <item t="data" h="1" sd="1" m="1" x="2593"/>
        <item t="data" h="1" sd="1" m="1" x="2410"/>
        <item t="data" h="1" sd="1" m="1" x="2595"/>
        <item t="data" h="1" sd="1" m="1" x="1269"/>
        <item t="data" h="1" sd="1" m="1" x="2419"/>
        <item t="data" h="1" sd="1" m="1" x="2596"/>
        <item t="data" h="1" sd="1" m="1" x="2487"/>
        <item t="data" h="1" sd="1" m="1" x="1819"/>
        <item t="data" h="1" sd="1" m="1" x="1818"/>
        <item t="data" h="1" sd="1" m="1" x="2599"/>
        <item t="data" h="1" sd="1" m="1" x="1817"/>
        <item t="data" h="1" sd="1" m="1" x="2601"/>
        <item t="data" h="1" sd="1" m="1" x="2602"/>
        <item t="data" h="1" sd="1" m="1" x="2603"/>
        <item t="data" h="1" sd="1" m="1" x="2604"/>
        <item t="data" h="1" sd="1" m="1" x="2606"/>
        <item t="data" h="1" sd="1" m="1" x="2607"/>
        <item t="data" h="1" sd="1" m="1" x="2608"/>
        <item t="data" h="1" sd="1" m="1" x="2610"/>
        <item t="data" h="1" sd="1" m="1" x="2611"/>
        <item t="data" h="1" sd="1" m="1" x="2612"/>
        <item t="data" h="1" sd="1" m="1" x="2420"/>
        <item t="data" h="1" sd="1" m="1" x="2291"/>
        <item t="data" h="1" sd="1" m="1" x="2290"/>
        <item t="data" h="1" sd="1" m="1" x="2289"/>
        <item t="data" h="1" sd="1" m="1" x="2421"/>
        <item t="data" h="1" sd="1" m="1" x="2292"/>
        <item t="data" h="1" sd="1" m="1" x="2047"/>
        <item t="data" h="1" sd="1" m="1" x="2051"/>
        <item t="data" h="1" sd="1" m="1" x="2422"/>
        <item t="data" h="1" sd="1" m="1" x="2423"/>
        <item t="data" h="1" sd="1" m="1" x="2427"/>
        <item t="data" h="1" sd="1" m="1" x="2429"/>
        <item t="data" h="1" sd="1" m="1" x="2430"/>
        <item t="data" h="1" sd="1" m="1" x="2432"/>
        <item t="data" h="1" sd="1" m="1" x="2172"/>
        <item t="data" h="1" sd="1" m="1" x="2433"/>
        <item t="data" h="1" sd="1" m="1" x="2434"/>
        <item t="data" h="1" sd="1" m="1" x="2435"/>
        <item t="data" h="1" sd="1" m="1" x="2436"/>
        <item t="data" h="1" sd="1" m="1" x="2437"/>
        <item t="data" h="1" sd="1" m="1" x="2438"/>
        <item t="data" h="1" sd="1" m="1" x="2439"/>
        <item t="data" h="1" sd="1" m="1" x="2440"/>
        <item t="data" h="1" sd="1" m="1" x="2441"/>
        <item t="data" h="1" sd="1" m="1" x="2442"/>
        <item t="data" h="1" sd="1" m="1" x="2443"/>
        <item t="data" h="1" sd="1" m="1" x="2444"/>
        <item t="data" h="1" sd="1" m="1" x="2445"/>
        <item t="data" h="1" sd="1" m="1" x="2446"/>
        <item t="data" h="1" sd="1" m="1" x="2447"/>
        <item t="data" h="1" sd="1" x="164"/>
        <item t="data" h="1" sd="1" m="1" x="2451"/>
        <item t="data" h="1" sd="1" m="1" x="2452"/>
        <item t="data" h="1" sd="1" m="1" x="2325"/>
        <item t="data" h="1" sd="1" m="1" x="2454"/>
        <item t="data" h="1" sd="1" m="1" x="1899"/>
        <item t="data" h="1" sd="1" m="1" x="2455"/>
        <item t="data" h="1" sd="1" m="1" x="1778"/>
        <item t="data" h="1" sd="1" m="1" x="2346"/>
        <item t="data" h="1" sd="1" m="1" x="1779"/>
        <item t="data" h="1" sd="1" m="1" x="2459"/>
        <item t="data" h="1" sd="1" m="1" x="547"/>
        <item t="data" h="1" sd="1" m="1" x="2074"/>
        <item t="data" h="1" sd="1" m="1" x="1785"/>
        <item t="data" h="1" sd="1" m="1" x="563"/>
        <item t="data" h="1" sd="1" m="1" x="2464"/>
        <item t="data" h="1" sd="1" m="1" x="2465"/>
        <item t="data" h="1" sd="1" m="1" x="2360"/>
        <item t="data" h="1" sd="1" m="1" x="2468"/>
        <item t="data" h="1" sd="1" m="1" x="2470"/>
        <item t="data" h="1" sd="1" m="1" x="2471"/>
        <item t="data" h="1" sd="1" m="1" x="2384"/>
        <item t="data" h="1" sd="1" m="1" x="2472"/>
        <item t="data" h="1" sd="1" m="1" x="2387"/>
        <item t="data" h="1" sd="1" m="1" x="1789"/>
        <item t="data" h="1" sd="1" m="1" x="1790"/>
        <item t="data" h="1" sd="1" m="1" x="2388"/>
        <item t="data" h="1" sd="1" m="1" x="1795"/>
        <item t="data" h="1" sd="1" m="1" x="2474"/>
        <item t="data" h="1" sd="1" m="1" x="2082"/>
        <item t="data" h="1" sd="1" m="1" x="2475"/>
        <item t="data" h="1" sd="1" m="1" x="2476"/>
        <item t="data" h="1" sd="1" m="1" x="2477"/>
        <item t="data" h="1" sd="1" m="1" x="2478"/>
        <item t="data" h="1" sd="1" m="1" x="1799"/>
        <item t="data" h="1" sd="1" m="1" x="1842"/>
        <item t="data" h="1" sd="1" m="1" x="2393"/>
        <item t="data" h="1" sd="1" m="1" x="2090"/>
        <item t="data" h="1" sd="1" m="1" x="1804"/>
        <item t="data" h="1" sd="1" m="1" x="2481"/>
        <item t="data" h="1" sd="1" m="1" x="2260"/>
        <item t="data" h="1" sd="1" m="1" x="2482"/>
        <item t="data" h="1" sd="1" m="1" x="2483"/>
        <item t="data" h="1" sd="1" m="1" x="2417"/>
        <item t="data" h="1" sd="1" m="1" x="2485"/>
        <item t="data" h="1" sd="1" m="1" x="1808"/>
        <item t="data" h="1" sd="1" m="1" x="2095"/>
        <item t="data" h="1" sd="1" m="1" x="2488"/>
        <item t="data" h="1" sd="1" m="1" x="2491"/>
        <item t="data" h="1" sd="1" m="1" x="2285"/>
        <item t="data" h="1" sd="1" m="1" x="2286"/>
        <item t="data" h="1" sd="1" m="1" x="2287"/>
        <item t="data" h="1" sd="1" m="1" x="2288"/>
        <item t="data" h="1" sd="1" m="1" x="2293"/>
        <item t="data" h="1" sd="1" m="1" x="2294"/>
        <item t="data" h="1" sd="1" m="1" x="2295"/>
        <item t="data" h="1" sd="1" m="1" x="2296"/>
        <item t="data" h="1" sd="1" m="1" x="229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304"/>
        <item t="data" h="1" sd="1" m="1" x="2107"/>
        <item t="data" h="1" sd="1" m="1" x="2048"/>
        <item t="data" h="1" sd="1" m="1" x="1761"/>
        <item t="data" h="1" sd="1" m="1" x="2050"/>
        <item t="data" h="1" sd="1" m="1" x="1763"/>
        <item t="data" h="1" sd="1" m="1" x="2052"/>
        <item t="data" h="1" sd="1" m="1" x="2195"/>
        <item t="data" h="1" sd="1" m="1" x="2196"/>
        <item t="data" h="1" sd="1" m="1" x="2197"/>
        <item t="data" h="1" sd="1" m="1" x="2307"/>
        <item t="data" h="1" sd="1" m="1" x="2308"/>
        <item t="data" h="1" sd="1" m="1" x="2309"/>
        <item t="data" h="1" sd="1" m="1" x="2310"/>
        <item t="data" h="1" sd="1" m="1" x="2311"/>
        <item t="data" h="1" sd="1" m="1" x="2312"/>
        <item t="data" h="1" sd="1" m="1" x="2313"/>
        <item t="data" h="1" sd="1" m="1" x="2067"/>
        <item t="data" h="1" sd="1" m="1" x="2064"/>
        <item t="data" h="1" sd="1" m="1" x="2226"/>
        <item t="data" h="1" sd="1" m="1" x="1768"/>
        <item t="data" h="1" sd="1" m="1" x="449"/>
        <item t="data" h="1" sd="1" m="1" x="2066"/>
        <item t="data" h="1" sd="1" m="1" x="1773"/>
        <item t="data" h="1" sd="1" m="1" x="2329"/>
        <item t="data" h="1" sd="1" m="1" x="2339"/>
        <item t="data" h="1" sd="1" m="1" x="2035"/>
        <item t="data" h="1" sd="1" m="1" x="2229"/>
        <item t="data" h="1" sd="1" m="1" x="2350"/>
        <item t="data" h="1" sd="1" m="1" x="2076"/>
        <item t="data" h="1" sd="1" m="1" x="2231"/>
        <item t="data" h="1" sd="1" m="1" x="2075"/>
        <item t="data" h="1" sd="1" m="1" x="2353"/>
        <item t="data" h="1" sd="1" m="1" x="2357"/>
        <item t="data" h="1" sd="1" m="1" x="2358"/>
        <item t="data" h="1" sd="1" m="1" x="2361"/>
        <item t="data" h="1" sd="1" m="1" x="2362"/>
        <item t="data" h="1" sd="1" m="1" x="2363"/>
        <item t="data" h="1" sd="1" m="1" x="2364"/>
        <item t="data" h="1" sd="1" m="1" x="2365"/>
        <item t="data" h="1" sd="1" m="1" x="2366"/>
        <item t="data" h="1" sd="1" m="1" x="2367"/>
        <item t="data" h="1" sd="1" m="1" x="2368"/>
        <item t="data" h="1" sd="1" m="1" x="2369"/>
        <item t="data" h="1" sd="1" x="255"/>
        <item t="data" h="1" sd="1" m="1" x="2376"/>
        <item t="data" h="1" sd="1" m="1" x="2377"/>
        <item t="data" h="1" sd="1" m="1" x="2378"/>
        <item t="data" h="1" sd="1" m="1" x="2248"/>
        <item t="data" h="1" sd="1" m="1" x="2087"/>
        <item t="data" h="1" sd="1" m="1" x="603"/>
        <item t="data" h="1" sd="1" m="1" x="1806"/>
        <item t="data" h="1" sd="1" m="1" x="2261"/>
        <item t="data" h="1" sd="1" m="1" x="2397"/>
        <item t="data" h="1" sd="1" m="1" x="2398"/>
        <item t="data" h="1" sd="1" m="1" x="2093"/>
        <item t="data" h="1" sd="1" m="1" x="2404"/>
        <item t="data" h="1" sd="1" m="1" x="2405"/>
        <item t="data" h="1" sd="1" m="1" x="2406"/>
        <item t="data" h="1" sd="1" m="1" x="2407"/>
        <item t="data" h="1" sd="1" m="1" x="2408"/>
        <item t="data" h="1" sd="1" m="1" x="2262"/>
        <item t="data" h="1" sd="1" m="1" x="2263"/>
        <item t="data" h="1" sd="1" m="1" x="1831"/>
        <item t="data" h="1" sd="1" m="1" x="1815"/>
        <item t="data" h="1" sd="1" m="1" x="2278"/>
        <item t="data" h="1" sd="1" m="1" x="2279"/>
        <item t="data" h="1" sd="1" m="1" x="2280"/>
        <item t="data" h="1" sd="1" m="1" x="2281"/>
        <item t="data" h="1" sd="1" m="1" x="2170"/>
        <item t="data" h="1" sd="1" m="1" x="2038"/>
        <item t="data" h="1" sd="1" m="1" x="2173"/>
        <item t="data" h="1" sd="1" m="1" x="2174"/>
        <item t="data" h="1" sd="1" m="1" x="2175"/>
        <item t="data" h="1" sd="1" m="1" x="2176"/>
        <item t="data" h="1" sd="1" m="1" x="2177"/>
        <item t="data" h="1" sd="1" m="1" x="2178"/>
        <item t="data" h="1" sd="1" m="1" x="2179"/>
        <item t="data" h="1" sd="1" m="1" x="2180"/>
        <item t="data" h="1" sd="1" m="1" x="2181"/>
        <item t="data" h="1" sd="1" m="1" x="2182"/>
        <item t="data" h="1" sd="1" m="1" x="2183"/>
        <item t="data" h="1" sd="1" m="1" x="2184"/>
        <item t="data" h="1" sd="1" m="1" x="2185"/>
        <item t="data" h="1" sd="1" m="1" x="2186"/>
        <item t="data" h="1" sd="1" m="1" x="2187"/>
        <item t="data" h="1" sd="1" m="1" x="2188"/>
        <item t="data" h="1" sd="1" m="1" x="2111"/>
        <item t="data" h="1" sd="1" m="1" x="2108"/>
        <item t="data" h="1" sd="1" m="1" x="1361"/>
        <item t="data" h="1" sd="1" m="1" x="2194"/>
        <item t="data" h="1" sd="1" m="1" x="1764"/>
        <item t="data" h="1" sd="1" m="1" x="2198"/>
        <item t="data" h="1" sd="1" m="1" x="2199"/>
        <item t="data" h="1" sd="1" m="1" x="2200"/>
        <item t="data" h="1" sd="1" m="1" x="2201"/>
        <item t="data" h="1" sd="1" m="1" x="2202"/>
        <item t="data" h="1" sd="1" m="1" x="2203"/>
        <item t="data" h="1" sd="1" m="1" x="2204"/>
        <item t="data" h="1" sd="1" m="1" x="2205"/>
        <item t="data" h="1" sd="1" m="1" x="2206"/>
        <item t="data" h="1" sd="1" m="1" x="2207"/>
        <item t="data" h="1" sd="1" m="1" x="1949"/>
        <item t="data" h="1" sd="1" m="1" x="2208"/>
        <item t="data" h="1" sd="1" m="1" x="2209"/>
        <item t="data" h="1" sd="1" m="1" x="1929"/>
        <item t="data" h="1" sd="1" m="1" x="2210"/>
        <item t="data" h="1" sd="1" m="1" x="2211"/>
        <item t="data" h="1" sd="1" m="1" x="2212"/>
        <item t="data" h="1" sd="1" m="1" x="2213"/>
        <item t="data" h="1" sd="1" m="1" x="2214"/>
        <item t="data" h="1" sd="1" m="1" x="2215"/>
        <item t="data" h="1" sd="1" m="1" x="2216"/>
        <item t="data" h="1" sd="1" m="1" x="2217"/>
        <item t="data" h="1" sd="1" m="1" x="2218"/>
        <item t="data" h="1" sd="1" m="1" x="2219"/>
        <item t="data" h="1" sd="1" m="1" x="2220"/>
        <item t="data" h="1" sd="1" m="1" x="2221"/>
        <item t="data" h="1" sd="1" m="1" x="2222"/>
        <item t="data" h="1" sd="1" m="1" x="2223"/>
        <item t="data" h="1" sd="1" m="1" x="2224"/>
        <item t="data" h="1" sd="1" m="1" x="2225"/>
        <item t="data" h="1" sd="1" m="1" x="2071"/>
        <item t="data" h="1" sd="1" m="1" x="2114"/>
        <item t="data" h="1" sd="1" m="1" x="556"/>
        <item t="data" h="1" sd="1" m="1" x="2230"/>
        <item t="data" h="1" sd="1" m="1" x="1444"/>
        <item t="data" h="1" sd="1" m="1" x="2232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240"/>
        <item t="data" h="1" sd="1" m="1" x="2241"/>
        <item t="data" h="1" sd="1" m="1" x="2242"/>
        <item t="data" h="1" sd="1" m="1" x="2243"/>
        <item t="data" h="1" sd="1" m="1" x="2244"/>
        <item t="data" h="1" sd="1" m="1" x="2246"/>
        <item t="data" h="1" sd="1" m="1" x="1793"/>
        <item t="data" h="1" sd="1" m="1" x="1794"/>
        <item t="data" h="1" sd="1" m="1" x="1792"/>
        <item t="data" h="1" sd="1" m="1" x="2247"/>
        <item t="data" h="1" sd="1" m="1" x="2249"/>
        <item t="data" h="1" sd="1" m="1" x="2250"/>
        <item t="data" h="1" sd="1" m="1" x="1840"/>
        <item t="data" h="1" sd="1" m="1" x="1832"/>
        <item t="data" h="1" sd="1" m="1" x="2251"/>
        <item t="data" h="1" sd="1" m="1" x="2252"/>
        <item t="data" h="1" sd="1" m="1" x="1833"/>
        <item t="data" h="1" sd="1" m="1" x="2253"/>
        <item t="data" h="1" sd="1" m="1" x="2084"/>
        <item t="data" h="1" sd="1" m="1" x="2257"/>
        <item t="data" h="1" sd="1" m="1" x="2259"/>
        <item t="data" h="1" sd="1" m="1" x="2264"/>
        <item t="data" h="1" sd="1" m="1" x="2265"/>
        <item t="data" h="1" sd="1" m="1" x="2266"/>
        <item t="data" h="1" sd="1" m="1" x="2267"/>
        <item t="data" h="1" sd="1" m="1" x="2268"/>
        <item t="data" h="1" sd="1" m="1" x="2270"/>
        <item t="data" h="1" sd="1" m="1" x="1825"/>
        <item t="data" h="1" sd="1" m="1" x="2271"/>
        <item t="data" h="1" sd="1" m="1" x="2272"/>
        <item t="data" h="1" sd="1" m="1" x="2275"/>
        <item t="data" h="1" sd="1" m="1" x="2276"/>
        <item t="data" h="1" sd="1" m="1" x="2282"/>
        <item t="data" h="1" sd="1" m="1" x="2283"/>
        <item t="data" h="1" sd="1" m="1" x="2284"/>
        <item t="data" h="1" sd="1" m="1" x="2103"/>
        <item t="data" h="1" sd="1" m="1" x="2034"/>
        <item t="data" h="1" sd="1" m="1" x="1845"/>
        <item t="data" h="1" sd="1" m="1" x="1762"/>
        <item t="data" h="1" sd="1" m="1" x="2053"/>
        <item t="data" h="1" sd="1" m="1" x="2054"/>
        <item t="data" h="1" sd="1" m="1" x="2055"/>
        <item t="data" h="1" sd="1" m="1" x="2056"/>
        <item t="data" h="1" sd="1" m="1" x="2057"/>
        <item t="data" h="1" sd="1" m="1" x="2058"/>
        <item t="data" h="1" sd="1" m="1" x="2059"/>
        <item t="data" h="1" sd="1" m="1" x="2060"/>
        <item t="data" h="1" sd="1" m="1" x="2061"/>
        <item t="data" h="1" sd="1" m="1" x="2062"/>
        <item t="data" h="1" sd="1" m="1" x="2063"/>
        <item t="data" h="1" sd="1" m="1" x="2068"/>
        <item t="data" h="1" sd="1" m="1" x="2070"/>
        <item t="data" h="1" sd="1" m="1" x="522"/>
        <item t="data" h="1" sd="1" m="1" x="2073"/>
        <item t="data" h="1" sd="1" m="1" x="2078"/>
        <item t="data" h="1" sd="1" m="1" x="2079"/>
        <item t="data" h="1" sd="1" m="1" x="1862"/>
        <item t="data" h="1" sd="1" m="1" x="1861"/>
        <item t="data" h="1" sd="1" m="1" x="2080"/>
        <item t="data" h="1" sd="1" m="1" x="1863"/>
        <item t="data" h="1" sd="1" m="1" x="1864"/>
        <item t="data" h="1" sd="1" m="1" x="1865"/>
        <item t="data" h="1" sd="1" m="1" x="2081"/>
        <item t="data" h="1" sd="1" m="1" x="1886"/>
        <item t="data" h="1" sd="1" m="1" x="2086"/>
        <item t="data" h="1" sd="1" m="1" x="2089"/>
        <item t="data" h="1" sd="1" m="1" x="2091"/>
        <item t="data" h="1" sd="1" m="1" x="2092"/>
        <item t="data" h="1" sd="1" m="1" x="2094"/>
        <item t="data" h="1" sd="1" m="1" x="1820"/>
        <item t="data" h="1" sd="1" m="1" x="1904"/>
        <item t="data" h="1" sd="1" m="1" x="2097"/>
        <item t="data" h="1" sd="1" m="1" x="2099"/>
        <item t="data" h="1" sd="1" m="1" x="2100"/>
        <item t="data" h="1" sd="1" m="1" x="2101"/>
        <item t="data" h="1" sd="1" m="1" x="2102"/>
        <item t="data" h="1" sd="1" m="1" x="2104"/>
        <item t="data" h="1" sd="1" m="1" x="2105"/>
        <item t="data" h="1" sd="1" m="1" x="2106"/>
        <item t="data" h="1" sd="1" m="1" x="2109"/>
        <item t="data" h="1" sd="1" m="1" x="2110"/>
        <item t="data" h="1" sd="1" m="1" x="2112"/>
        <item t="data" h="1" sd="1" m="1" x="2113"/>
        <item t="data" h="1" sd="1" x="277"/>
        <item t="data" h="1" sd="1" m="1" x="2121"/>
        <item t="data" h="1" sd="1" m="1" x="1915"/>
        <item t="data" h="1" sd="1" m="1" x="1851"/>
        <item t="data" h="1" sd="1" m="1" x="2123"/>
        <item t="data" h="1" sd="1" m="1" x="2124"/>
        <item t="data" h="1" sd="1" m="1" x="2125"/>
        <item t="data" h="1" sd="1" m="1" x="2126"/>
        <item t="data" h="1" sd="1" x="200"/>
        <item t="data" h="1" sd="1" x="196"/>
        <item t="data" h="1" sd="1" m="1" x="1860"/>
        <item t="data" h="1" sd="1" m="1" x="1874"/>
        <item t="data" h="1" sd="1" m="1" x="1883"/>
        <item t="data" h="1" sd="1" m="1" x="2129"/>
        <item t="data" h="1" sd="1" m="1" x="2130"/>
        <item t="data" h="1" sd="1" m="1" x="2131"/>
        <item t="data" h="1" sd="1" m="1" x="2132"/>
        <item t="data" h="1" sd="1" m="1" x="2133"/>
        <item t="data" h="1" sd="1" m="1" x="2134"/>
        <item t="data" h="1" sd="1" m="1" x="2135"/>
        <item t="data" h="1" sd="1" m="1" x="2136"/>
        <item t="data" h="1" sd="1" m="1" x="2137"/>
        <item t="data" h="1" sd="1" m="1" x="2138"/>
        <item t="data" h="1" sd="1" m="1" x="2139"/>
        <item t="data" h="1" sd="1" m="1" x="2140"/>
        <item t="data" h="1" sd="1" m="1" x="2141"/>
        <item t="data" h="1" sd="1" m="1" x="2142"/>
        <item t="data" h="1" sd="1" m="1" x="2143"/>
        <item t="data" h="1" sd="1" m="1" x="2144"/>
        <item t="data" h="1" sd="1" m="1" x="2145"/>
        <item t="data" h="1" sd="1" m="1" x="2147"/>
        <item t="data" h="1" sd="1" m="1" x="2148"/>
        <item t="data" h="1" sd="1" m="1" x="2149"/>
        <item t="data" h="1" sd="1" m="1" x="2150"/>
        <item t="data" h="1" sd="1" m="1" x="2151"/>
        <item t="data" h="1" sd="1" m="1" x="2152"/>
        <item t="data" h="1" sd="1" m="1" x="2153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2160"/>
        <item t="data" h="1" sd="1" m="1" x="2161"/>
        <item t="data" h="1" sd="1" m="1" x="2162"/>
        <item t="data" h="1" sd="1" m="1" x="2163"/>
        <item t="data" h="1" sd="1" m="1" x="2164"/>
        <item t="data" h="1" sd="1" m="1" x="2165"/>
        <item t="data" h="1" sd="1" m="1" x="2166"/>
        <item t="data" h="1" sd="1" m="1" x="2167"/>
        <item t="data" h="1" sd="1" m="1" x="2168"/>
        <item t="data" h="1" sd="1" m="1" x="2169"/>
        <item t="data" h="1" sd="1" m="1" x="2171"/>
        <item t="data" h="1" sd="1" m="1" x="1603"/>
        <item t="data" h="1" sd="1" m="1" x="1604"/>
        <item t="data" h="1" sd="1" m="1" x="1606"/>
        <item t="data" h="1" sd="1" m="1" x="1847"/>
        <item t="data" h="1" sd="1" m="1" x="1848"/>
        <item t="data" h="1" sd="1" m="1" x="1849"/>
        <item t="data" h="1" sd="1" m="1" x="1850"/>
        <item t="data" h="1" sd="1" m="1" x="1852"/>
        <item t="data" h="1" sd="1" m="1" x="508"/>
        <item t="data" h="1" sd="1" m="1" x="1436"/>
        <item t="data" h="1" sd="1" x="206"/>
        <item t="data" h="1" sd="1" m="1" x="1853"/>
        <item t="data" h="1" sd="1" m="1" x="1854"/>
        <item t="data" h="1" sd="1" x="118"/>
        <item t="data" h="1" sd="1" m="1" x="1856"/>
        <item t="data" h="1" sd="1" x="157"/>
        <item t="data" h="1" sd="1" m="1" x="1857"/>
        <item t="data" h="1" sd="1" m="1" x="1858"/>
        <item t="data" h="1" sd="1" m="1" x="1859"/>
        <item t="data" h="1" sd="1" m="1" x="1866"/>
        <item t="data" h="1" sd="1" m="1" x="1867"/>
        <item t="data" h="1" sd="1" m="1" x="1869"/>
        <item t="data" h="1" sd="1" m="1" x="1870"/>
        <item t="data" h="1" sd="1" m="1" x="1871"/>
        <item t="data" h="1" sd="1" m="1" x="1872"/>
        <item t="data" h="1" sd="1" m="1" x="1875"/>
        <item t="data" h="1" sd="1" m="1" x="1878"/>
        <item t="data" h="1" sd="1" m="1" x="1879"/>
        <item t="data" h="1" sd="1" m="1" x="1880"/>
        <item t="data" h="1" sd="1" m="1" x="573"/>
        <item t="data" h="1" sd="1" m="1" x="1881"/>
        <item t="data" h="1" sd="1" m="1" x="1882"/>
        <item t="data" h="1" sd="1" m="1" x="1884"/>
        <item t="data" h="1" sd="1" m="1" x="1885"/>
        <item t="data" h="1" sd="1" m="1" x="1887"/>
        <item t="data" h="1" sd="1" m="1" x="1888"/>
        <item t="data" h="1" sd="1" m="1" x="1889"/>
        <item t="data" h="1" sd="1" m="1" x="1890"/>
        <item t="data" h="1" sd="1" m="1" x="1891"/>
        <item t="data" h="1" sd="1" m="1" x="1893"/>
        <item t="data" h="1" sd="1" m="1" x="1894"/>
        <item t="data" h="1" sd="1" m="1" x="1895"/>
        <item t="data" h="1" sd="1" m="1" x="1896"/>
        <item t="data" h="1" sd="1" x="373"/>
        <item t="data" h="1" sd="1" x="374"/>
        <item t="data" h="1" sd="1" m="1" x="1897"/>
        <item t="data" h="1" sd="1" m="1" x="1898"/>
        <item t="data" h="1" sd="1" m="1" x="1900"/>
        <item t="data" h="1" sd="1" m="1" x="1901"/>
        <item t="data" h="1" sd="1" m="1" x="646"/>
        <item t="data" h="1" sd="1" m="1" x="1902"/>
        <item t="data" h="1" sd="1" m="1" x="1907"/>
        <item t="data" h="1" sd="1" m="1" x="1908"/>
        <item t="data" h="1" sd="1" m="1" x="1910"/>
        <item t="data" h="1" sd="1" m="1" x="1911"/>
        <item t="data" h="1" sd="1" m="1" x="1912"/>
        <item t="data" h="1" sd="1" m="1" x="1913"/>
        <item t="data" h="1" sd="1" m="1" x="1914"/>
        <item t="data" h="1" sd="1" m="1" x="1916"/>
        <item t="data" h="1" sd="1" m="1" x="1917"/>
        <item t="data" h="1" sd="1" m="1" x="1918"/>
        <item t="data" h="1" sd="1" m="1" x="1919"/>
        <item t="data" h="1" sd="1" m="1" x="1920"/>
        <item t="data" h="1" sd="1" m="1" x="1921"/>
        <item t="data" h="1" sd="1" m="1" x="1922"/>
        <item t="data" h="1" sd="1" m="1" x="1924"/>
        <item t="data" h="1" sd="1" m="1" x="1925"/>
        <item t="data" h="1" sd="1" m="1" x="1926"/>
        <item t="data" h="1" sd="1" m="1" x="1927"/>
        <item t="data" h="1" sd="1" m="1" x="1928"/>
        <item t="data" h="1" sd="1" m="1" x="1930"/>
        <item t="data" h="1" sd="1" m="1" x="1931"/>
        <item t="data" h="1" sd="1" m="1" x="1932"/>
        <item t="data" h="1" sd="1" m="1" x="1933"/>
        <item t="data" h="1" sd="1" m="1" x="1934"/>
        <item t="data" h="1" sd="1" m="1" x="1935"/>
        <item t="data" h="1" sd="1" m="1" x="1936"/>
        <item t="data" h="1" sd="1" m="1" x="1937"/>
        <item t="data" h="1" sd="1" m="1" x="1938"/>
        <item t="data" h="1" sd="1" m="1" x="1939"/>
        <item t="data" h="1" sd="1" m="1" x="1940"/>
        <item t="data" h="1" sd="1" m="1" x="1941"/>
        <item t="data" h="1" sd="1" m="1" x="1942"/>
        <item t="data" h="1" sd="1" m="1" x="1943"/>
        <item t="data" h="1" sd="1" m="1" x="1944"/>
        <item t="data" h="1" sd="1" m="1" x="1945"/>
        <item t="data" h="1" sd="1" m="1" x="1946"/>
        <item t="data" h="1" sd="1" m="1" x="1948"/>
        <item t="data" h="1" sd="1" m="1" x="1950"/>
        <item t="data" h="1" sd="1" m="1" x="1951"/>
        <item t="data" h="1" sd="1" m="1" x="1952"/>
        <item t="data" h="1" sd="1" m="1" x="1953"/>
        <item t="data" h="1" sd="1" m="1" x="1954"/>
        <item t="data" h="1" sd="1" m="1" x="1955"/>
        <item t="data" h="1" sd="1" m="1" x="1956"/>
        <item t="data" h="1" sd="1" m="1" x="1957"/>
        <item t="data" h="1" sd="1" m="1" x="1958"/>
        <item t="data" h="1" sd="1" m="1" x="1959"/>
        <item t="data" h="1" sd="1" m="1" x="1960"/>
        <item t="data" h="1" sd="1" m="1" x="666"/>
        <item t="data" h="1" sd="1" m="1" x="1961"/>
        <item t="data" h="1" sd="1" m="1" x="1962"/>
        <item t="data" h="1" sd="1" m="1" x="1963"/>
        <item t="data" h="1" sd="1" m="1" x="1964"/>
        <item t="data" h="1" sd="1" m="1" x="1965"/>
        <item t="data" h="1" sd="1" m="1" x="1966"/>
        <item t="data" h="1" sd="1" m="1" x="1967"/>
        <item t="data" h="1" sd="1" x="224"/>
        <item t="data" h="1" sd="1" m="1" x="1968"/>
        <item t="data" h="1" sd="1" m="1" x="1971"/>
        <item t="data" h="1" sd="1" m="1" x="1972"/>
        <item t="data" h="1" sd="1" m="1" x="1975"/>
        <item t="data" h="1" sd="1" m="1" x="578"/>
        <item t="data" h="1" sd="1" m="1" x="1976"/>
        <item t="data" h="1" sd="1" m="1" x="1979"/>
        <item t="data" h="1" sd="1" m="1" x="1980"/>
        <item t="data" h="1" sd="1" m="1" x="1981"/>
        <item t="data" h="1" sd="1" m="1" x="1982"/>
        <item t="data" h="1" sd="1" m="1" x="1983"/>
        <item t="data" h="1" sd="1" m="1" x="1984"/>
        <item t="data" h="1" sd="1" m="1" x="1985"/>
        <item t="data" h="1" sd="1" m="1" x="1986"/>
        <item t="data" h="1" sd="1" m="1" x="1987"/>
        <item t="data" h="1" sd="1" m="1" x="1988"/>
        <item t="data" h="1" sd="1" m="1" x="1989"/>
        <item t="data" h="1" sd="1" m="1" x="1990"/>
        <item t="data" h="1" sd="1" m="1" x="1991"/>
        <item t="data" h="1" sd="1" m="1" x="1992"/>
        <item t="data" h="1" sd="1" m="1" x="1993"/>
        <item t="data" h="1" sd="1" m="1" x="1994"/>
        <item t="data" h="1" sd="1" m="1" x="1996"/>
        <item t="data" h="1" sd="1" m="1" x="1997"/>
        <item t="data" h="1" sd="1" m="1" x="671"/>
        <item t="data" h="1" sd="1" m="1" x="672"/>
        <item t="data" h="1" sd="1" m="1" x="673"/>
        <item t="data" h="1" sd="1" m="1" x="674"/>
        <item t="data" h="1" sd="1" m="1" x="675"/>
        <item t="data" h="1" sd="1" m="1" x="676"/>
        <item t="data" h="1" sd="1" m="1" x="677"/>
        <item t="data" h="1" sd="1" m="1" x="678"/>
        <item t="data" h="1" sd="1" m="1" x="679"/>
        <item t="data" h="1" sd="1" m="1" x="680"/>
        <item t="data" h="1" sd="1" x="5"/>
        <item t="data" h="1" sd="1" m="1" x="681"/>
        <item t="data" h="1" sd="1" m="1" x="682"/>
        <item t="data" h="1" sd="1" m="1" x="683"/>
        <item t="data" h="1" sd="1" m="1" x="684"/>
        <item t="data" h="1" sd="1" m="1" x="685"/>
        <item t="data" h="1" sd="1" m="1" x="686"/>
        <item t="data" h="1" sd="1" m="1" x="687"/>
        <item t="data" h="1" sd="1" m="1" x="688"/>
        <item t="data" h="1" sd="1" m="1" x="689"/>
        <item t="data" h="1" sd="1" m="1" x="690"/>
        <item t="data" h="1" sd="1" m="1" x="691"/>
        <item t="data" h="1" sd="1" m="1" x="692"/>
        <item t="data" h="1" sd="1" m="1" x="693"/>
        <item t="data" h="1" sd="1" m="1" x="694"/>
        <item t="data" h="1" sd="1" m="1" x="695"/>
        <item t="data" h="1" sd="1" m="1" x="696"/>
        <item t="data" h="1" sd="1" m="1" x="698"/>
        <item t="data" h="1" sd="1" m="1" x="699"/>
        <item t="data" h="1" sd="1" m="1" x="700"/>
        <item t="data" h="1" sd="1" m="1" x="701"/>
        <item t="data" h="1" sd="1" m="1" x="702"/>
        <item t="data" h="1" sd="1" m="1" x="703"/>
        <item t="data" h="1" sd="1" m="1" x="704"/>
        <item t="data" h="1" sd="1" m="1" x="705"/>
        <item t="data" h="1" sd="1" m="1" x="706"/>
        <item t="data" h="1" sd="1" m="1" x="707"/>
        <item t="data" h="1" sd="1" m="1" x="708"/>
        <item t="data" h="1" sd="1" m="1" x="709"/>
        <item t="data" h="1" sd="1" m="1" x="710"/>
        <item t="data" h="1" sd="1" m="1" x="711"/>
        <item t="data" h="1" sd="1" x="28"/>
        <item t="data" h="1" sd="1" m="1" x="713"/>
        <item t="data" h="1" sd="1" m="1" x="714"/>
        <item t="data" h="1" sd="1" m="1" x="716"/>
        <item t="data" h="1" sd="1" m="1" x="717"/>
        <item t="data" h="1" sd="1" m="1" x="720"/>
        <item t="data" h="1" sd="1" m="1" x="722"/>
        <item t="data" h="1" sd="1" m="1" x="723"/>
        <item t="data" h="1" sd="1" m="1" x="724"/>
        <item t="data" h="1" sd="1" m="1" x="725"/>
        <item t="data" h="1" sd="1" m="1" x="726"/>
        <item t="data" h="1" sd="1" m="1" x="727"/>
        <item t="data" h="1" sd="1" m="1" x="728"/>
        <item t="data" h="1" sd="1" m="1" x="730"/>
        <item t="data" h="1" sd="1" m="1" x="731"/>
        <item t="data" h="1" sd="1" m="1" x="732"/>
        <item t="data" h="1" sd="1" m="1" x="733"/>
        <item t="data" h="1" sd="1" m="1" x="734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0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7"/>
        <item t="data" h="1" sd="1" m="1" x="748"/>
        <item t="data" h="1" sd="1" m="1" x="749"/>
        <item t="data" h="1" sd="1" m="1" x="751"/>
        <item t="data" h="1" sd="1" m="1" x="752"/>
        <item t="data" h="1" sd="1" m="1" x="753"/>
        <item t="data" h="1" sd="1" m="1" x="754"/>
        <item t="data" h="1" sd="1" m="1" x="755"/>
        <item t="data" h="1" sd="1" m="1" x="756"/>
        <item t="data" h="1" sd="1" m="1" x="757"/>
        <item t="data" h="1" sd="1" m="1" x="758"/>
        <item t="data" h="1" sd="1" m="1" x="759"/>
        <item t="data" h="1" sd="1" m="1" x="761"/>
        <item t="data" h="1" sd="1" m="1" x="762"/>
        <item t="data" h="1" sd="1" m="1" x="763"/>
        <item t="data" h="1" sd="1" m="1" x="764"/>
        <item t="data" h="1" sd="1" m="1" x="765"/>
        <item t="data" h="1" sd="1" m="1" x="766"/>
        <item t="data" h="1" sd="1" m="1" x="767"/>
        <item t="data" h="1" sd="1" x="25"/>
        <item t="data" h="1" sd="1" m="1" x="768"/>
        <item t="data" h="1" sd="1" m="1" x="769"/>
        <item t="data" h="1" sd="1" x="26"/>
        <item t="data" h="1" sd="1" m="1" x="770"/>
        <item t="data" h="1" sd="1" m="1" x="771"/>
        <item t="data" h="1" sd="1" m="1" x="773"/>
        <item t="data" h="1" sd="1" m="1" x="774"/>
        <item t="data" h="1" sd="1" m="1" x="775"/>
        <item t="data" h="1" sd="1" m="1" x="777"/>
        <item t="data" h="1" sd="1" m="1" x="778"/>
        <item t="data" h="1" sd="1" m="1" x="779"/>
        <item t="data" h="1" sd="1" m="1" x="780"/>
        <item t="data" h="1" sd="1" m="1" x="781"/>
        <item t="data" h="1" sd="1" x="27"/>
        <item t="data" h="1" sd="1" m="1" x="782"/>
        <item t="data" h="1" sd="1" m="1" x="783"/>
        <item t="data" h="1" sd="1" x="29"/>
        <item t="data" h="1" sd="1" m="1" x="785"/>
        <item t="data" h="1" sd="1" m="1" x="786"/>
        <item t="data" h="1" sd="1" m="1" x="787"/>
        <item t="data" h="1" sd="1" m="1" x="788"/>
        <item t="data" h="1" sd="1" m="1" x="789"/>
        <item t="data" h="1" sd="1" m="1" x="790"/>
        <item t="data" h="1" sd="1" m="1" x="791"/>
        <item t="data" h="1" sd="1" m="1" x="792"/>
        <item t="data" h="1" sd="1" m="1" x="793"/>
        <item t="data" h="1" sd="1" m="1" x="794"/>
        <item t="data" h="1" sd="1" m="1" x="795"/>
        <item t="data" h="1" sd="1" m="1" x="796"/>
        <item t="data" h="1" sd="1" m="1" x="797"/>
        <item t="data" h="1" sd="1" m="1" x="798"/>
        <item t="data" h="1" sd="1" m="1" x="801"/>
        <item t="data" h="1" sd="1" m="1" x="802"/>
        <item t="data" h="1" sd="1" m="1" x="803"/>
        <item t="data" h="1" sd="1" m="1" x="454"/>
        <item t="data" h="1" sd="1" m="1" x="804"/>
        <item t="data" h="1" sd="1" m="1" x="805"/>
        <item t="data" h="1" sd="1" m="1" x="806"/>
        <item t="data" h="1" sd="1" m="1" x="807"/>
        <item t="data" h="1" sd="1" m="1" x="808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m="1" x="814"/>
        <item t="data" h="1" sd="1" m="1" x="815"/>
        <item t="data" h="1" sd="1" m="1" x="816"/>
        <item t="data" h="1" sd="1" m="1" x="817"/>
        <item t="data" h="1" sd="1" m="1" x="818"/>
        <item t="data" h="1" sd="1" m="1" x="819"/>
        <item t="data" h="1" sd="1" m="1" x="820"/>
        <item t="data" h="1" sd="1" m="1" x="821"/>
        <item t="data" h="1" sd="1" m="1" x="823"/>
        <item t="data" h="1" sd="1" m="1" x="824"/>
        <item t="data" h="1" sd="1" m="1" x="826"/>
        <item t="data" h="1" sd="1" m="1" x="828"/>
        <item t="data" h="1" sd="1" m="1" x="830"/>
        <item t="data" h="1" sd="1" m="1" x="831"/>
        <item t="data" h="1" sd="1" m="1" x="832"/>
        <item t="data" h="1" sd="1" m="1" x="833"/>
        <item t="data" h="1" sd="1" m="1" x="835"/>
        <item t="data" h="1" sd="1" m="1" x="836"/>
        <item t="data" h="1" sd="1" m="1" x="837"/>
        <item t="data" h="1" sd="1" m="1" x="839"/>
        <item t="data" h="1" sd="1" m="1" x="840"/>
        <item t="data" h="1" sd="1" m="1" x="842"/>
        <item t="data" h="1" sd="1" m="1" x="843"/>
        <item t="data" h="1" sd="1" m="1" x="844"/>
        <item t="data" h="1" sd="1" x="36"/>
        <item t="data" h="1" sd="1" m="1" x="845"/>
        <item t="data" h="1" sd="1" m="1" x="846"/>
        <item t="data" h="1" sd="1" m="1" x="848"/>
        <item t="data" h="1" sd="1" m="1" x="849"/>
        <item t="data" h="1" sd="1" m="1" x="850"/>
        <item t="data" h="1" sd="1" m="1" x="851"/>
        <item t="data" h="1" sd="1" m="1" x="852"/>
        <item t="data" h="1" sd="1" m="1" x="853"/>
        <item t="data" h="1" sd="1" m="1" x="854"/>
        <item t="data" h="1" sd="1" m="1" x="855"/>
        <item t="data" h="1" sd="1" m="1" x="856"/>
        <item t="data" h="1" sd="1" m="1" x="857"/>
        <item t="data" h="1" sd="1" m="1" x="858"/>
        <item t="data" h="1" sd="1" m="1" x="859"/>
        <item t="data" h="1" sd="1" m="1" x="860"/>
        <item t="data" h="1" sd="1" m="1" x="861"/>
        <item t="data" h="1" sd="1" m="1" x="862"/>
        <item t="data" h="1" sd="1" m="1" x="863"/>
        <item t="data" h="1" sd="1" m="1" x="867"/>
        <item t="data" h="1" sd="1" m="1" x="868"/>
        <item t="data" h="1" sd="1" m="1" x="869"/>
        <item t="data" h="1" sd="1" m="1" x="870"/>
        <item t="data" h="1" sd="1" m="1" x="871"/>
        <item t="data" h="1" sd="1" m="1" x="872"/>
        <item t="data" h="1" sd="1" m="1" x="873"/>
        <item t="data" h="1" sd="1" m="1" x="874"/>
        <item t="data" h="1" sd="1" m="1" x="876"/>
        <item t="data" h="1" sd="1" m="1" x="877"/>
        <item t="data" h="1" sd="1" m="1" x="879"/>
        <item t="data" h="1" sd="1" m="1" x="880"/>
        <item t="data" h="1" sd="1" m="1" x="881"/>
        <item t="data" h="1" sd="1" m="1" x="882"/>
        <item t="data" h="1" sd="1" m="1" x="884"/>
        <item t="data" h="1" sd="1" m="1" x="885"/>
        <item t="data" h="1" sd="1" m="1" x="886"/>
        <item t="data" h="1" sd="1" m="1" x="888"/>
        <item t="data" h="1" sd="1" m="1" x="889"/>
        <item t="data" h="1" sd="1" m="1" x="890"/>
        <item t="data" h="1" sd="1" m="1" x="891"/>
        <item t="data" h="1" sd="1" m="1" x="892"/>
        <item t="data" h="1" sd="1" m="1" x="452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6"/>
        <item t="data" h="1" sd="1" m="1" x="907"/>
        <item t="data" h="1" sd="1" m="1" x="908"/>
        <item t="data" h="1" sd="1" x="13"/>
        <item t="data" h="1" sd="1" m="1" x="910"/>
        <item t="data" h="1" sd="1" m="1" x="911"/>
        <item t="data" h="1" sd="1" m="1" x="912"/>
        <item t="data" h="1" sd="1" m="1" x="914"/>
        <item t="data" h="1" sd="1" m="1" x="915"/>
        <item t="data" h="1" sd="1" m="1" x="916"/>
        <item t="data" h="1" sd="1" m="1" x="917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4"/>
        <item t="data" h="1" sd="1" m="1" x="925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3"/>
        <item t="data" h="1" sd="1" m="1" x="934"/>
        <item t="data" h="1" sd="1" m="1" x="935"/>
        <item t="data" h="1" sd="1" m="1" x="936"/>
        <item t="data" h="1" sd="1" m="1" x="937"/>
        <item t="data" h="1" sd="1" m="1" x="93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49"/>
        <item t="data" h="1" sd="1" m="1" x="951"/>
        <item t="data" h="1" sd="1" m="1" x="952"/>
        <item t="data" h="1" sd="1" m="1" x="953"/>
        <item t="data" h="1" sd="1" m="1" x="954"/>
        <item t="data" h="1" sd="1" m="1" x="956"/>
        <item t="data" h="1" sd="1" m="1" x="957"/>
        <item t="data" h="1" sd="1" m="1" x="959"/>
        <item t="data" h="1" sd="1" m="1" x="960"/>
        <item t="data" h="1" sd="1" m="1" x="961"/>
        <item t="data" h="1" sd="1" m="1" x="962"/>
        <item t="data" h="1" sd="1" m="1" x="963"/>
        <item t="data" h="1" sd="1" m="1" x="964"/>
        <item t="data" h="1" sd="1" m="1" x="965"/>
        <item t="data" h="1" sd="1" m="1" x="966"/>
        <item t="data" h="1" sd="1" m="1" x="967"/>
        <item t="data" h="1" sd="1" m="1" x="968"/>
        <item t="data" h="1" sd="1" m="1" x="969"/>
        <item t="data" h="1" sd="1" m="1" x="970"/>
        <item t="data" h="1" sd="1" m="1" x="971"/>
        <item t="data" h="1" sd="1" m="1" x="972"/>
        <item t="data" h="1" sd="1" m="1" x="973"/>
        <item t="data" h="1" sd="1" m="1" x="974"/>
        <item t="data" h="1" sd="1" m="1" x="975"/>
        <item t="data" h="1" sd="1" m="1" x="976"/>
        <item t="data" h="1" sd="1" m="1" x="977"/>
        <item t="data" h="1" sd="1" m="1" x="978"/>
        <item t="data" h="1" sd="1" m="1" x="979"/>
        <item t="data" h="1" sd="1" m="1" x="980"/>
        <item t="data" h="1" sd="1" m="1" x="981"/>
        <item t="data" h="1" sd="1" m="1" x="982"/>
        <item t="data" h="1" sd="1" m="1" x="983"/>
        <item t="data" h="1" sd="1" m="1" x="984"/>
        <item t="data" h="1" sd="1" m="1" x="985"/>
        <item t="data" h="1" sd="1" m="1" x="986"/>
        <item t="data" h="1" sd="1" m="1" x="987"/>
        <item t="data" h="1" sd="1" m="1" x="988"/>
        <item t="data" h="1" sd="1" m="1" x="989"/>
        <item t="data" h="1" sd="1" m="1" x="990"/>
        <item t="data" h="1" sd="1" m="1" x="991"/>
        <item t="data" h="1" sd="1" m="1" x="992"/>
        <item t="data" h="1" sd="1" m="1" x="993"/>
        <item t="data" h="1" sd="1" m="1" x="994"/>
        <item t="data" h="1" sd="1" m="1" x="995"/>
        <item t="data" h="1" sd="1" m="1" x="996"/>
        <item t="data" h="1" sd="1" m="1" x="997"/>
        <item t="data" h="1" sd="1" m="1" x="998"/>
        <item t="data" h="1" sd="1" m="1" x="999"/>
        <item t="data" h="1" sd="1" m="1" x="1000"/>
        <item t="data" h="1" sd="1" m="1" x="1001"/>
        <item t="data" h="1" sd="1" m="1" x="1002"/>
        <item t="data" h="1" sd="1" m="1" x="1003"/>
        <item t="data" h="1" sd="1" m="1" x="1004"/>
        <item t="data" h="1" sd="1" m="1" x="1005"/>
        <item t="data" h="1" sd="1" m="1" x="1006"/>
        <item t="data" h="1" sd="1" m="1" x="1007"/>
        <item t="data" h="1" sd="1" m="1" x="1008"/>
        <item t="data" h="1" sd="1" m="1" x="1009"/>
        <item t="data" h="1" sd="1" m="1" x="1010"/>
        <item t="data" h="1" sd="1" m="1" x="1012"/>
        <item t="data" h="1" sd="1" m="1" x="1013"/>
        <item t="data" h="1" sd="1" m="1" x="1014"/>
        <item t="data" h="1" sd="1" m="1" x="1015"/>
        <item t="data" h="1" sd="1" m="1" x="1016"/>
        <item t="data" h="1" sd="1" m="1" x="1017"/>
        <item t="data" h="1" sd="1" m="1" x="1018"/>
        <item t="data" h="1" sd="1" m="1" x="1019"/>
        <item t="data" h="1" sd="1" m="1" x="1020"/>
        <item t="data" h="1" sd="1" m="1" x="1021"/>
        <item t="data" h="1" sd="1" m="1" x="1022"/>
        <item t="data" h="1" sd="1" m="1" x="1023"/>
        <item t="data" h="1" sd="1" m="1" x="1024"/>
        <item t="data" h="1" sd="1" m="1" x="1025"/>
        <item t="data" h="1" sd="1" m="1" x="1026"/>
        <item t="data" h="1" sd="1" m="1" x="1027"/>
        <item t="data" h="1" sd="1" m="1" x="1029"/>
        <item t="data" h="1" sd="1" m="1" x="1030"/>
        <item t="data" h="1" sd="1" m="1" x="1031"/>
        <item t="data" h="1" sd="1" m="1" x="1032"/>
        <item t="data" h="1" sd="1" m="1" x="1033"/>
        <item t="data" h="1" sd="1" m="1" x="1034"/>
        <item t="data" h="1" sd="1" m="1" x="1035"/>
        <item t="data" h="1" sd="1" m="1" x="1036"/>
        <item t="data" h="1" sd="1" m="1" x="1037"/>
        <item t="data" h="1" sd="1" m="1" x="1038"/>
        <item t="data" h="1" sd="1" m="1" x="1039"/>
        <item t="data" h="1" sd="1" m="1" x="1040"/>
        <item t="data" h="1" sd="1" m="1" x="1042"/>
        <item t="data" h="1" sd="1" m="1" x="1043"/>
        <item t="data" h="1" sd="1" m="1" x="1044"/>
        <item t="data" h="1" sd="1" m="1" x="1045"/>
        <item t="data" h="1" sd="1" m="1" x="1046"/>
        <item t="data" h="1" sd="1" m="1" x="1047"/>
        <item t="data" h="1" sd="1" m="1" x="1048"/>
        <item t="data" h="1" sd="1" m="1" x="1049"/>
        <item t="data" h="1" sd="1" m="1" x="1052"/>
        <item t="data" h="1" sd="1" m="1" x="1053"/>
        <item t="data" h="1" sd="1" m="1" x="1054"/>
        <item t="data" h="1" sd="1" m="1" x="1055"/>
        <item t="data" h="1" sd="1" m="1" x="450"/>
        <item t="data" h="1" sd="1" m="1" x="451"/>
        <item t="data" h="1" sd="1" m="1" x="1056"/>
        <item t="data" h="1" sd="1" m="1" x="1057"/>
        <item t="data" h="1" sd="1" m="1" x="1058"/>
        <item t="data" h="1" sd="1" m="1" x="1059"/>
        <item t="data" h="1" sd="1" m="1" x="1060"/>
        <item t="data" h="1" sd="1" m="1" x="1061"/>
        <item t="data" h="1" sd="1" m="1" x="1062"/>
        <item t="data" h="1" sd="1" m="1" x="1063"/>
        <item t="data" h="1" sd="1" m="1" x="1064"/>
        <item t="data" h="1" sd="1" m="1" x="1065"/>
        <item t="data" h="1" sd="1" m="1" x="1066"/>
        <item t="data" h="1" sd="1" m="1" x="1067"/>
        <item t="data" h="1" sd="1" m="1" x="1068"/>
        <item t="data" h="1" sd="1" m="1" x="1069"/>
        <item t="data" h="1" sd="1" m="1" x="1071"/>
        <item t="data" h="1" sd="1" m="1" x="1072"/>
        <item t="data" h="1" sd="1" m="1" x="1073"/>
        <item t="data" h="1" sd="1" m="1" x="1074"/>
        <item t="data" h="1" sd="1" m="1" x="1075"/>
        <item t="data" h="1" sd="1" m="1" x="1076"/>
        <item t="data" h="1" sd="1" m="1" x="1077"/>
        <item t="data" h="1" sd="1" m="1" x="1078"/>
        <item t="data" h="1" sd="1" m="1" x="1079"/>
        <item t="data" h="1" sd="1" m="1" x="1080"/>
        <item t="data" h="1" sd="1" m="1" x="1083"/>
        <item t="data" h="1" sd="1" m="1" x="1084"/>
        <item t="data" h="1" sd="1" m="1" x="1085"/>
        <item t="data" h="1" sd="1" m="1" x="1086"/>
        <item t="data" h="1" sd="1" m="1" x="1087"/>
        <item t="data" h="1" sd="1" m="1" x="1088"/>
        <item t="data" h="1" sd="1" m="1" x="1089"/>
        <item t="data" h="1" sd="1" m="1" x="1090"/>
        <item t="data" h="1" sd="1" m="1" x="1091"/>
        <item t="data" h="1" sd="1" m="1" x="1092"/>
        <item t="data" h="1" sd="1" m="1" x="1093"/>
        <item t="data" h="1" sd="1" m="1" x="1094"/>
        <item t="data" h="1" sd="1" m="1" x="1095"/>
        <item t="data" h="1" sd="1" m="1" x="1096"/>
        <item t="data" h="1" sd="1" m="1" x="1097"/>
        <item t="data" h="1" sd="1" m="1" x="1098"/>
        <item t="data" h="1" sd="1" m="1" x="1099"/>
        <item t="data" h="1" sd="1" m="1" x="1100"/>
        <item t="data" h="1" sd="1" m="1" x="1101"/>
        <item t="data" h="1" sd="1" m="1" x="1102"/>
        <item t="data" h="1" sd="1" m="1" x="1103"/>
        <item t="data" h="1" sd="1" m="1" x="1104"/>
        <item t="data" h="1" sd="1" m="1" x="1105"/>
        <item t="data" h="1" sd="1" m="1" x="1106"/>
        <item t="data" h="1" sd="1" m="1" x="1107"/>
        <item t="data" h="1" sd="1" m="1" x="1108"/>
        <item t="data" h="1" sd="1" m="1" x="1109"/>
        <item t="data" h="1" sd="1" m="1" x="1111"/>
        <item t="data" h="1" sd="1" m="1" x="1112"/>
        <item t="data" h="1" sd="1" m="1" x="1113"/>
        <item t="data" h="1" sd="1" m="1" x="1114"/>
        <item t="data" h="1" sd="1" m="1" x="1115"/>
        <item t="data" h="1" sd="1" m="1" x="1116"/>
        <item t="data" h="1" sd="1" x="134"/>
        <item t="data" h="1" sd="1" m="1" x="1117"/>
        <item t="data" h="1" sd="1" m="1" x="1118"/>
        <item t="data" h="1" sd="1" m="1" x="1119"/>
        <item t="data" h="1" sd="1" m="1" x="1120"/>
        <item t="data" h="1" sd="1" m="1" x="1121"/>
        <item t="data" h="1" sd="1" m="1" x="1123"/>
        <item t="data" h="1" sd="1" m="1" x="1124"/>
        <item t="data" h="1" sd="1" m="1" x="1125"/>
        <item t="data" h="1" sd="1" m="1" x="1126"/>
        <item t="data" h="1" sd="1" m="1" x="1127"/>
        <item t="data" h="1" sd="1" m="1" x="1128"/>
        <item t="data" h="1" sd="1" m="1" x="1129"/>
        <item t="data" h="1" sd="1" m="1" x="1130"/>
        <item t="data" h="1" sd="1" m="1" x="1131"/>
        <item t="data" h="1" sd="1" m="1" x="1132"/>
        <item t="data" h="1" sd="1" m="1" x="1133"/>
        <item t="data" h="1" sd="1" m="1" x="1134"/>
        <item t="data" h="1" sd="1" m="1" x="1135"/>
        <item t="data" h="1" sd="1" m="1" x="1136"/>
        <item t="data" h="1" sd="1" m="1" x="1137"/>
        <item t="data" h="1" sd="1" m="1" x="1138"/>
        <item t="data" h="1" sd="1" m="1" x="1139"/>
        <item t="data" h="1" sd="1" m="1" x="1141"/>
        <item t="data" h="1" sd="1" m="1" x="1142"/>
        <item t="data" h="1" sd="1" m="1" x="1143"/>
        <item t="data" h="1" sd="1" m="1" x="1144"/>
        <item t="data" h="1" sd="1" m="1" x="1145"/>
        <item t="data" h="1" sd="1" m="1" x="1146"/>
        <item t="data" h="1" sd="1" m="1" x="1147"/>
        <item t="data" h="1" sd="1" m="1" x="1148"/>
        <item t="data" h="1" sd="1" m="1" x="1149"/>
        <item t="data" h="1" sd="1" m="1" x="1150"/>
        <item t="data" h="1" sd="1" m="1" x="1152"/>
        <item t="data" h="1" sd="1" m="1" x="1153"/>
        <item t="data" h="1" sd="1" m="1" x="1154"/>
        <item t="data" h="1" sd="1" m="1" x="1155"/>
        <item t="data" h="1" sd="1" m="1" x="1156"/>
        <item t="data" h="1" sd="1" m="1" x="1157"/>
        <item t="data" h="1" sd="1" m="1" x="1158"/>
        <item t="data" h="1" sd="1" m="1" x="1159"/>
        <item t="data" h="1" sd="1" m="1" x="1160"/>
        <item t="data" h="1" sd="1" m="1" x="1162"/>
        <item t="data" h="1" sd="1" m="1" x="1163"/>
        <item t="data" h="1" sd="1" m="1" x="1164"/>
        <item t="data" h="1" sd="1" m="1" x="1165"/>
        <item t="data" h="1" sd="1" m="1" x="1166"/>
        <item t="data" h="1" sd="1" m="1" x="1167"/>
        <item t="data" h="1" sd="1" m="1" x="1168"/>
        <item t="data" h="1" sd="1" m="1" x="1169"/>
        <item t="data" h="1" sd="1" m="1" x="1170"/>
        <item t="data" h="1" sd="1" x="23"/>
        <item t="data" h="1" sd="1" m="1" x="1171"/>
        <item t="data" h="1" sd="1" m="1" x="1172"/>
        <item t="data" h="1" sd="1" m="1" x="1173"/>
        <item t="data" h="1" sd="1" m="1" x="1174"/>
        <item t="data" h="1" sd="1" m="1" x="1175"/>
        <item t="data" h="1" sd="1" m="1" x="1176"/>
        <item t="data" h="1" sd="1" m="1" x="1177"/>
        <item t="data" h="1" sd="1" m="1" x="1178"/>
        <item t="data" h="1" sd="1" m="1" x="1179"/>
        <item t="data" h="1" sd="1" m="1" x="1180"/>
        <item t="data" h="1" sd="1" m="1" x="1181"/>
        <item t="data" h="1" sd="1" x="45"/>
        <item t="data" h="1" sd="1" m="1" x="1183"/>
        <item t="data" h="1" sd="1" m="1" x="1184"/>
        <item t="data" h="1" sd="1" m="1" x="1185"/>
        <item t="data" h="1" sd="1" m="1" x="1186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1192"/>
        <item t="data" h="1" sd="1" m="1" x="1193"/>
        <item t="data" h="1" sd="1" m="1" x="1194"/>
        <item t="data" h="1" sd="1" m="1" x="1195"/>
        <item t="data" h="1" sd="1" m="1" x="1196"/>
        <item t="data" h="1" sd="1" m="1" x="1197"/>
        <item t="data" h="1" sd="1" m="1" x="1198"/>
        <item t="data" h="1" sd="1" m="1" x="1199"/>
        <item t="data" h="1" sd="1" m="1" x="1200"/>
        <item t="data" h="1" sd="1" m="1" x="1201"/>
        <item t="data" h="1" sd="1" m="1" x="1202"/>
        <item t="data" h="1" sd="1" m="1" x="1203"/>
        <item t="data" h="1" sd="1" m="1" x="1204"/>
        <item t="data" h="1" sd="1" m="1" x="1205"/>
        <item t="data" h="1" sd="1" m="1" x="1206"/>
        <item t="data" h="1" sd="1" m="1" x="1207"/>
        <item t="data" h="1" sd="1" m="1" x="1208"/>
        <item t="data" h="1" sd="1" m="1" x="1209"/>
        <item t="data" h="1" sd="1" m="1" x="1210"/>
        <item t="data" h="1" sd="1" m="1" x="1212"/>
        <item t="data" h="1" sd="1" m="1" x="1213"/>
        <item t="data" h="1" sd="1" m="1" x="1214"/>
        <item t="data" h="1" sd="1" m="1" x="121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1221"/>
        <item t="data" h="1" sd="1" m="1" x="1222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29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1236"/>
        <item t="data" h="1" sd="1" m="1" x="1237"/>
        <item t="data" h="1" sd="1" m="1" x="1238"/>
        <item t="data" h="1" sd="1" m="1" x="1239"/>
        <item t="data" h="1" sd="1" m="1" x="1240"/>
        <item t="data" h="1" sd="1" m="1" x="1241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1"/>
        <item t="data" h="1" sd="1" m="1" x="1262"/>
        <item t="data" h="1" sd="1" m="1" x="1263"/>
        <item t="data" h="1" sd="1" m="1" x="1264"/>
        <item t="data" h="1" sd="1" m="1" x="1265"/>
        <item t="data" h="1" sd="1" m="1" x="1266"/>
        <item t="data" h="1" sd="1" m="1" x="1267"/>
        <item t="data" h="1" sd="1" m="1" x="1268"/>
        <item t="data" h="1" sd="1" m="1" x="1270"/>
        <item t="data" h="1" sd="1" m="1" x="1271"/>
        <item t="data" h="1" sd="1" m="1" x="1273"/>
        <item t="data" h="1" sd="1" m="1" x="1274"/>
        <item t="data" h="1" sd="1" m="1" x="1275"/>
        <item t="data" h="1" sd="1" m="1" x="1276"/>
        <item t="data" h="1" sd="1" m="1" x="1277"/>
        <item t="data" h="1" sd="1" m="1" x="1278"/>
        <item t="data" h="1" sd="1" m="1" x="1279"/>
        <item t="data" h="1" sd="1" m="1" x="1280"/>
        <item t="data" h="1" sd="1" m="1" x="1281"/>
        <item t="data" h="1" sd="1" m="1" x="1282"/>
        <item t="data" h="1" sd="1" m="1" x="1283"/>
        <item t="data" h="1" sd="1" m="1" x="1284"/>
        <item t="data" h="1" sd="1" m="1" x="1285"/>
        <item t="data" h="1" sd="1" m="1" x="1286"/>
        <item t="data" h="1" sd="1" m="1" x="1287"/>
        <item t="data" h="1" sd="1" m="1" x="1288"/>
        <item t="data" h="1" sd="1" m="1" x="1289"/>
        <item t="data" h="1" sd="1" m="1" x="1290"/>
        <item t="data" h="1" sd="1" m="1" x="1291"/>
        <item t="data" h="1" sd="1" m="1" x="1292"/>
        <item t="data" h="1" sd="1" m="1" x="1293"/>
        <item t="data" h="1" sd="1" m="1" x="1294"/>
        <item t="data" h="1" sd="1" m="1" x="1295"/>
        <item t="data" h="1" sd="1" m="1" x="1296"/>
        <item t="data" h="1" sd="1" m="1" x="1297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7"/>
        <item t="data" h="1" sd="1" m="1" x="1308"/>
        <item t="data" h="1" sd="1" m="1" x="1309"/>
        <item t="data" h="1" sd="1" m="1" x="1310"/>
        <item t="data" h="1" sd="1" m="1" x="1311"/>
        <item t="data" h="1" sd="1" m="1" x="1312"/>
        <item t="data" h="1" sd="1" m="1" x="1313"/>
        <item t="data" h="1" sd="1" m="1" x="1315"/>
        <item t="data" h="1" sd="1" m="1" x="1316"/>
        <item t="data" h="1" sd="1" m="1" x="1317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m="1" x="1323"/>
        <item t="data" h="1" sd="1" m="1" x="1324"/>
        <item t="data" h="1" sd="1" m="1" x="1325"/>
        <item t="data" h="1" sd="1" m="1" x="1326"/>
        <item t="data" h="1" sd="1" m="1" x="1327"/>
        <item t="data" h="1" sd="1" m="1" x="1328"/>
        <item t="data" h="1" sd="1" m="1" x="1329"/>
        <item t="data" h="1" sd="1" m="1" x="1330"/>
        <item t="data" h="1" sd="1" m="1" x="1331"/>
        <item t="data" h="1" sd="1" m="1" x="1332"/>
        <item t="data" h="1" sd="1" m="1" x="1333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0"/>
        <item t="data" h="1" sd="1" m="1" x="1341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47"/>
        <item t="data" h="1" sd="1" m="1" x="1348"/>
        <item t="data" h="1" sd="1" m="1" x="1349"/>
        <item t="data" h="1" sd="1" m="1" x="1350"/>
        <item t="data" h="1" sd="1" x="38"/>
        <item t="data" h="1" sd="1" x="40"/>
        <item t="data" h="1" sd="1" x="39"/>
        <item t="data" h="1" sd="1" x="43"/>
        <item t="data" h="1" sd="1" m="1" x="458"/>
        <item t="data" h="1" sd="1" x="41"/>
        <item t="data" h="1" sd="1" x="42"/>
        <item t="data" h="1" sd="1" x="44"/>
        <item t="data" h="1" sd="1" m="1" x="1352"/>
        <item t="data" h="1" sd="1" x="48"/>
        <item t="data" h="1" sd="1" x="49"/>
        <item t="data" h="1" sd="1" m="1" x="1353"/>
        <item t="data" h="1" sd="1" m="1" x="1354"/>
        <item t="data" h="1" sd="1" m="1" x="1355"/>
        <item t="data" h="1" sd="1" m="1" x="1356"/>
        <item t="data" h="1" sd="1" m="1" x="1357"/>
        <item t="data" h="1" sd="1" m="1" x="1358"/>
        <item t="data" h="1" sd="1" m="1" x="1360"/>
        <item t="data" h="1" sd="1" x="51"/>
        <item t="data" h="1" sd="1" m="1" x="460"/>
        <item t="data" h="1" sd="1" m="1" x="459"/>
        <item t="data" h="1" sd="1" x="52"/>
        <item t="data" h="1" sd="1" m="1" x="1362"/>
        <item t="data" h="1" sd="1" m="1" x="1363"/>
        <item t="data" h="1" sd="1" m="1" x="1364"/>
        <item t="data" h="1" sd="1" m="1" x="463"/>
        <item t="data" h="1" sd="1" m="1" x="1365"/>
        <item t="data" h="1" sd="1" m="1" x="1366"/>
        <item t="data" h="1" sd="1" x="60"/>
        <item t="data" h="1" sd="1" x="63"/>
        <item t="data" h="1" sd="1" m="1" x="1367"/>
        <item t="data" h="1" sd="1" x="65"/>
        <item t="data" h="1" sd="1" m="1" x="465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5"/>
        <item t="data" h="1" sd="1" m="1" x="1376"/>
        <item t="data" h="1" sd="1" m="1" x="1378"/>
        <item t="data" h="1" sd="1" m="1" x="1379"/>
        <item t="data" h="1" sd="1" x="68"/>
        <item t="data" h="1" sd="1" x="83"/>
        <item t="data" h="1" sd="1" x="82"/>
        <item t="data" h="1" sd="1" m="1" x="466"/>
        <item t="data" h="1" sd="1" m="1" x="467"/>
        <item t="data" h="1" sd="1" m="1" x="1380"/>
        <item t="data" h="1" sd="1" m="1" x="1381"/>
        <item t="data" h="1" sd="1" m="1" x="1382"/>
        <item t="data" h="1" sd="1" x="84"/>
        <item t="data" h="1" sd="1" m="1" x="1383"/>
        <item t="data" h="1" sd="1" m="1" x="470"/>
        <item t="data" h="1" sd="1" m="1" x="469"/>
        <item t="data" h="1" sd="1" m="1" x="468"/>
        <item t="data" h="1" sd="1" m="1" x="473"/>
        <item t="data" h="1" sd="1" m="1" x="1384"/>
        <item t="data" h="1" sd="1" m="1" x="1385"/>
        <item t="data" h="1" sd="1" m="1" x="1386"/>
        <item t="data" h="1" sd="1" x="97"/>
        <item t="data" h="1" sd="1" x="96"/>
        <item t="data" h="1" sd="1" x="95"/>
        <item t="data" h="1" sd="1" m="1" x="1388"/>
        <item t="data" h="1" sd="1" m="1" x="474"/>
        <item t="data" h="1" sd="1" m="1" x="1389"/>
        <item t="data" h="1" sd="1" m="1" x="475"/>
        <item t="data" h="1" sd="1" x="100"/>
        <item t="data" h="1" sd="1" x="103"/>
        <item t="data" h="1" sd="1" x="101"/>
        <item t="data" h="1" sd="1" x="105"/>
        <item t="data" h="1" sd="1" x="106"/>
        <item t="data" h="1" sd="1" x="107"/>
        <item t="data" h="1" sd="1" m="1" x="1390"/>
        <item t="data" h="1" sd="1" m="1" x="1392"/>
        <item t="data" h="1" sd="1" m="1" x="1393"/>
        <item t="data" h="1" sd="1" m="1" x="1394"/>
        <item t="data" h="1" sd="1" m="1" x="1395"/>
        <item t="data" h="1" sd="1" m="1" x="1396"/>
        <item t="data" h="1" sd="1" m="1" x="1397"/>
        <item t="data" h="1" sd="1" m="1" x="1398"/>
        <item t="data" h="1" sd="1" m="1" x="1399"/>
        <item t="data" h="1" sd="1" m="1" x="1400"/>
        <item t="data" h="1" sd="1" m="1" x="1401"/>
        <item t="data" h="1" sd="1" m="1" x="1402"/>
        <item t="data" h="1" sd="1" m="1" x="1403"/>
        <item t="data" h="1" sd="1" m="1" x="1404"/>
        <item t="data" h="1" sd="1" m="1" x="1405"/>
        <item t="data" h="1" sd="1" m="1" x="1407"/>
        <item t="data" h="1" sd="1" m="1" x="1408"/>
        <item t="data" h="1" sd="1" x="108"/>
        <item t="data" h="1" sd="1" x="117"/>
        <item t="data" h="1" sd="1" m="1" x="1409"/>
        <item t="data" h="1" sd="1" m="1" x="1410"/>
        <item t="data" h="1" sd="1" x="120"/>
        <item t="data" h="1" sd="1" x="119"/>
        <item t="data" h="1" sd="1" x="121"/>
        <item t="data" h="1" sd="1" x="122"/>
        <item t="data" h="1" sd="1" x="116"/>
        <item t="data" h="1" sd="1" x="115"/>
        <item t="data" h="1" sd="1" m="1" x="1412"/>
        <item t="data" h="1" sd="1" m="1" x="482"/>
        <item t="data" h="1" sd="1" x="123"/>
        <item t="data" h="1" sd="1" x="124"/>
        <item t="data" h="1" sd="1" m="1" x="481"/>
        <item t="data" h="1" sd="1" x="125"/>
        <item t="data" h="1" sd="1" x="126"/>
        <item t="data" h="1" sd="1" x="127"/>
        <item t="data" h="1" sd="1" x="128"/>
        <item t="data" h="1" sd="1" x="137"/>
        <item t="data" h="1" sd="1" x="136"/>
        <item t="data" h="1" sd="1" x="170"/>
        <item t="data" h="1" sd="1" m="1" x="495"/>
        <item t="data" h="1" sd="1" x="133"/>
        <item t="data" h="1" sd="1" x="171"/>
        <item t="data" h="1" sd="1" m="1" x="489"/>
        <item t="data" h="1" sd="1" x="172"/>
        <item t="data" h="1" sd="1" m="1" x="499"/>
        <item t="data" h="1" sd="1" m="1" x="496"/>
        <item t="data" h="1" sd="1" x="156"/>
        <item t="data" h="1" sd="1" m="1" x="502"/>
        <item t="data" h="1" sd="1" x="139"/>
        <item t="data" h="1" sd="1" m="1" x="1414"/>
        <item t="data" h="1" sd="1" m="1" x="1416"/>
        <item t="data" h="1" sd="1" m="1" x="1417"/>
        <item t="data" h="1" sd="1" m="1" x="1418"/>
        <item t="data" h="1" sd="1" m="1" x="1419"/>
        <item t="data" h="1" sd="1" m="1" x="1420"/>
        <item t="data" h="1" sd="1" m="1" x="512"/>
        <item t="data" h="1" sd="1" m="1" x="509"/>
        <item t="data" h="1" sd="1" m="1" x="510"/>
        <item t="data" h="1" sd="1" x="179"/>
        <item t="data" h="1" sd="1" m="1" x="511"/>
        <item t="data" h="1" sd="1" m="1" x="514"/>
        <item t="data" h="1" sd="1" m="1" x="513"/>
        <item t="data" h="1" sd="1" x="181"/>
        <item t="data" h="1" sd="1" x="182"/>
        <item t="data" h="1" sd="1" m="1" x="516"/>
        <item t="data" h="1" sd="1" m="1" x="517"/>
        <item t="data" h="1" sd="1" x="180"/>
        <item t="data" h="1" sd="1" x="178"/>
        <item t="data" h="1" sd="1" m="1" x="1422"/>
        <item t="data" h="1" sd="1" x="184"/>
        <item t="data" h="1" sd="1" m="1" x="1423"/>
        <item t="data" h="1" sd="1" x="185"/>
        <item t="data" h="1" sd="1" m="1" x="1424"/>
        <item t="data" h="1" sd="1" m="1" x="1425"/>
        <item t="data" h="1" sd="1" m="1" x="1426"/>
        <item t="data" h="1" sd="1" m="1" x="1427"/>
        <item t="data" h="1" sd="1" m="1" x="521"/>
        <item t="data" h="1" sd="1" x="192"/>
        <item t="data" h="1" sd="1" m="1" x="523"/>
        <item t="data" h="1" sd="1" m="1" x="526"/>
        <item t="data" h="1" sd="1" m="1" x="524"/>
        <item t="data" h="1" sd="1" m="1" x="1428"/>
        <item t="data" h="1" sd="1" m="1" x="531"/>
        <item t="data" h="1" sd="1" m="1" x="528"/>
        <item t="data" h="1" sd="1" m="1" x="1429"/>
        <item t="data" h="1" sd="1" m="1" x="1430"/>
        <item t="data" h="1" sd="1" m="1" x="1431"/>
        <item t="data" h="1" sd="1" x="197"/>
        <item t="data" h="1" sd="1" x="198"/>
        <item t="data" h="1" sd="1" m="1" x="1432"/>
        <item t="data" h="1" sd="1" x="199"/>
        <item t="data" h="1" sd="1" m="1" x="1433"/>
        <item t="data" h="1" sd="1" m="1" x="1434"/>
        <item t="data" h="1" sd="1" x="195"/>
        <item t="data" h="1" sd="1" m="1" x="1435"/>
        <item t="data" h="1" sd="1" x="194"/>
        <item t="data" h="1" sd="1" m="1" x="1437"/>
        <item t="data" h="1" sd="1" x="77"/>
        <item t="data" h="1" sd="1" m="1" x="536"/>
        <item t="data" h="1" sd="1" m="1" x="538"/>
        <item t="data" h="1" sd="1" m="1" x="540"/>
        <item t="data" h="1" sd="1" m="1" x="1438"/>
        <item t="data" h="1" sd="1" m="1" x="1439"/>
        <item t="data" h="1" sd="1" m="1" x="1440"/>
        <item t="data" h="1" sd="1" m="1" x="1441"/>
        <item t="data" h="1" sd="1" m="1" x="1442"/>
        <item t="data" h="1" sd="1" m="1" x="541"/>
        <item t="data" h="1" sd="1" m="1" x="543"/>
        <item t="data" h="1" sd="1" x="212"/>
        <item t="data" h="1" sd="1" m="1" x="1443"/>
        <item t="data" h="1" sd="1" m="1" x="551"/>
        <item t="data" h="1" sd="1" m="1" x="548"/>
        <item t="data" h="1" sd="1" m="1" x="549"/>
        <item t="data" h="1" sd="1" m="1" x="545"/>
        <item t="data" h="1" sd="1" m="1" x="558"/>
        <item t="data" h="1" sd="1" m="1" x="559"/>
        <item t="data" h="1" sd="1" m="1" x="554"/>
        <item t="data" h="1" sd="1" m="1" x="553"/>
        <item t="data" h="1" sd="1" x="229"/>
        <item t="data" h="1" sd="1" x="222"/>
        <item t="data" h="1" sd="1" x="223"/>
        <item t="data" h="1" sd="1" m="1" x="1445"/>
        <item t="data" h="1" sd="1" m="1" x="1446"/>
        <item t="data" h="1" sd="1" x="235"/>
        <item t="data" h="1" sd="1" x="237"/>
        <item t="data" h="1" sd="1" x="236"/>
        <item t="data" h="1" sd="1" x="238"/>
        <item t="data" h="1" sd="1" m="1" x="1447"/>
        <item t="data" h="1" sd="1" m="1" x="1448"/>
        <item t="data" h="1" sd="1" m="1" x="1451"/>
        <item t="data" h="1" sd="1" m="1" x="1452"/>
        <item t="data" h="1" sd="1" x="245"/>
        <item t="data" h="1" sd="1" x="247"/>
        <item t="data" h="1" sd="1" x="248"/>
        <item t="data" h="1" sd="1" m="1" x="1455"/>
        <item t="data" h="1" sd="1" m="1" x="1457"/>
        <item t="data" h="1" sd="1" x="239"/>
        <item t="data" h="1" sd="1" m="1" x="1458"/>
        <item t="data" h="1" sd="1" m="1" x="1459"/>
        <item t="data" h="1" sd="1" m="1" x="1460"/>
        <item t="data" h="1" sd="1" m="1" x="1461"/>
        <item t="data" h="1" sd="1" m="1" x="1462"/>
        <item t="data" h="1" sd="1" m="1" x="1463"/>
        <item t="data" h="1" sd="1" m="1" x="1464"/>
        <item t="data" h="1" sd="1" m="1" x="1465"/>
        <item t="data" h="1" sd="1" m="1" x="1466"/>
        <item t="data" h="1" sd="1" m="1" x="1467"/>
        <item t="data" h="1" sd="1" m="1" x="1468"/>
        <item t="data" h="1" sd="1" m="1" x="1469"/>
        <item t="data" h="1" sd="1" m="1" x="1470"/>
        <item t="data" h="1" sd="1" m="1" x="1471"/>
        <item t="data" h="1" sd="1" m="1" x="1472"/>
        <item t="data" h="1" sd="1" m="1" x="1473"/>
        <item t="data" h="1" sd="1" m="1" x="1475"/>
        <item t="data" h="1" sd="1" m="1" x="565"/>
        <item t="data" h="1" sd="1" x="258"/>
        <item t="data" h="1" sd="1" x="259"/>
        <item t="data" h="1" sd="1" x="260"/>
        <item t="data" h="1" sd="1" m="1" x="1477"/>
        <item t="data" h="1" sd="1" m="1" x="568"/>
        <item t="data" h="1" sd="1" x="265"/>
        <item t="data" h="1" sd="1" m="1" x="1478"/>
        <item t="data" h="1" sd="1" m="1" x="1479"/>
        <item t="data" h="1" sd="1" m="1" x="1480"/>
        <item t="data" h="1" sd="1" x="274"/>
        <item t="data" h="1" sd="1" m="1" x="1481"/>
        <item t="data" h="1" sd="1" m="1" x="1483"/>
        <item t="data" h="1" sd="1" m="1" x="1485"/>
        <item t="data" h="1" sd="1" m="1" x="570"/>
        <item t="data" h="1" sd="1" m="1" x="1486"/>
        <item t="data" h="1" sd="1" m="1" x="1487"/>
        <item t="data" h="1" sd="1" m="1" x="577"/>
        <item t="data" h="1" sd="1" m="1" x="575"/>
        <item t="data" h="1" sd="1" m="1" x="1489"/>
        <item t="data" h="1" sd="1" m="1" x="1490"/>
        <item t="data" h="1" sd="1" m="1" x="574"/>
        <item t="data" h="1" sd="1" m="1" x="1491"/>
        <item t="data" h="1" sd="1" m="1" x="581"/>
        <item t="data" h="1" sd="1" m="1" x="1492"/>
        <item t="data" h="1" sd="1" x="279"/>
        <item t="data" h="1" sd="1" x="278"/>
        <item t="data" h="1" sd="1" m="1" x="1493"/>
        <item t="data" h="1" sd="1" m="1" x="1494"/>
        <item t="data" h="1" sd="1" m="1" x="589"/>
        <item t="data" h="1" sd="1" m="1" x="1495"/>
        <item t="data" h="1" sd="1" m="1" x="1497"/>
        <item t="data" h="1" sd="1" m="1" x="1498"/>
        <item t="data" h="1" sd="1" m="1" x="1499"/>
        <item t="data" h="1" sd="1" m="1" x="590"/>
        <item t="data" h="1" sd="1" x="294"/>
        <item t="data" h="1" sd="1" m="1" x="1500"/>
        <item t="data" h="1" sd="1" m="1" x="1501"/>
        <item t="data" h="1" sd="1" m="1" x="1502"/>
        <item t="data" h="1" sd="1" m="1" x="1503"/>
        <item t="data" h="1" sd="1" m="1" x="1504"/>
        <item t="data" h="1" sd="1" m="1" x="1507"/>
        <item t="data" h="1" sd="1" m="1" x="1509"/>
        <item t="data" h="1" sd="1" m="1" x="1510"/>
        <item t="data" h="1" sd="1" m="1" x="1511"/>
        <item t="data" h="1" sd="1" m="1" x="1513"/>
        <item t="data" h="1" sd="1" m="1" x="1514"/>
        <item t="data" h="1" sd="1" x="314"/>
        <item t="data" h="1" sd="1" m="1" x="1515"/>
        <item t="data" h="1" sd="1" x="317"/>
        <item t="data" h="1" sd="1" m="1" x="1516"/>
        <item t="data" h="1" sd="1" m="1" x="1517"/>
        <item t="data" h="1" sd="1" x="318"/>
        <item t="data" h="1" sd="1" m="1" x="1519"/>
        <item t="data" h="1" sd="1" x="316"/>
        <item t="data" h="1" sd="1" m="1" x="1520"/>
        <item t="data" h="1" sd="1" m="1" x="1521"/>
        <item t="data" h="1" sd="1" m="1" x="1522"/>
        <item t="data" h="1" sd="1" m="1" x="1523"/>
        <item t="data" h="1" sd="1" m="1" x="1524"/>
        <item t="data" h="1" sd="1" x="341"/>
        <item t="data" h="1" sd="1" x="342"/>
        <item t="data" h="1" sd="1" x="339"/>
        <item t="data" h="1" sd="1" x="340"/>
        <item t="data" h="1" sd="1" x="338"/>
        <item t="data" h="1" sd="1" m="1" x="1525"/>
        <item t="data" h="1" sd="1" m="1" x="1526"/>
        <item t="data" h="1" sd="1" x="347"/>
        <item t="data" h="1" sd="1" m="1" x="1527"/>
        <item t="data" h="1" sd="1" m="1" x="1528"/>
        <item t="data" h="1" sd="1" m="1" x="1529"/>
        <item t="data" h="1" sd="1" m="1" x="1530"/>
        <item t="data" h="1" sd="1" m="1" x="602"/>
        <item t="data" h="1" sd="1" m="1" x="598"/>
        <item t="data" h="1" sd="1" m="1" x="1531"/>
        <item t="data" h="1" sd="1" m="1" x="1532"/>
        <item t="data" h="1" sd="1" m="1" x="1533"/>
        <item t="data" h="1" sd="1" m="1" x="1534"/>
        <item t="data" h="1" sd="1" m="1" x="1535"/>
        <item t="data" h="1" sd="1" m="1" x="1536"/>
        <item t="data" h="1" sd="1" m="1" x="1537"/>
        <item t="data" h="1" sd="1" m="1" x="1538"/>
        <item t="data" h="1" sd="1" m="1" x="609"/>
        <item t="data" h="1" sd="1" m="1" x="608"/>
        <item t="data" h="1" sd="1" x="352"/>
        <item t="data" h="1" sd="1" x="350"/>
        <item t="data" h="1" sd="1" m="1" x="1539"/>
        <item t="data" h="1" sd="1" m="1" x="1540"/>
        <item t="data" h="1" sd="1" m="1" x="1541"/>
        <item t="data" h="1" sd="1" m="1" x="1542"/>
        <item t="data" h="1" sd="1" m="1" x="1543"/>
        <item t="data" h="1" sd="1" m="1" x="611"/>
        <item t="data" h="1" sd="1" x="359"/>
        <item t="data" h="1" sd="1" x="361"/>
        <item t="data" h="1" sd="1" x="360"/>
        <item t="data" h="1" sd="1" m="1" x="537"/>
        <item t="data" h="1" sd="1" m="1" x="615"/>
        <item t="data" h="1" sd="1" x="366"/>
        <item t="data" h="1" sd="1" x="367"/>
        <item t="data" h="1" sd="1" x="370"/>
        <item t="data" h="1" sd="1" m="1" x="1545"/>
        <item t="data" h="1" sd="1" x="372"/>
        <item t="data" h="1" sd="1" m="1" x="617"/>
        <item t="data" h="1" sd="1" m="1" x="1547"/>
        <item t="data" h="1" sd="1" x="377"/>
        <item t="data" h="1" sd="1" m="1" x="619"/>
        <item t="data" h="1" sd="1" m="1" x="624"/>
        <item t="data" h="1" sd="1" m="1" x="622"/>
        <item t="data" h="1" sd="1" m="1" x="1549"/>
        <item t="data" h="1" sd="1" m="1" x="625"/>
        <item t="data" h="1" sd="1" m="1" x="629"/>
        <item t="data" h="1" sd="1" m="1" x="628"/>
        <item t="data" h="1" sd="1" m="1" x="631"/>
        <item t="data" h="1" sd="1" m="1" x="627"/>
        <item t="data" h="1" sd="1" m="1" x="621"/>
        <item t="data" h="1" sd="1" m="1" x="630"/>
        <item t="data" h="1" sd="1" m="1" x="623"/>
        <item t="data" h="1" sd="1" m="1" x="1550"/>
        <item t="data" h="1" sd="1" m="1" x="1551"/>
        <item t="data" h="1" sd="1" m="1" x="1552"/>
        <item t="data" h="1" sd="1" m="1" x="635"/>
        <item t="data" h="1" sd="1" m="1" x="1554"/>
        <item t="data" h="1" sd="1" m="1" x="1555"/>
        <item t="data" h="1" sd="1" m="1" x="637"/>
        <item t="data" h="1" sd="1" m="1" x="1557"/>
        <item t="data" h="1" sd="1" x="391"/>
        <item t="data" h="1" sd="1" m="1" x="1558"/>
        <item t="data" h="1" sd="1" x="395"/>
        <item t="data" h="1" sd="1" x="396"/>
        <item t="data" h="1" sd="1" m="1" x="1560"/>
        <item t="data" h="1" sd="1" x="404"/>
        <item t="data" h="1" sd="1" m="1" x="1561"/>
        <item t="data" h="1" sd="1" m="1" x="1563"/>
        <item t="data" h="1" sd="1" m="1" x="1564"/>
        <item t="data" h="1" sd="1" m="1" x="1565"/>
        <item t="data" h="1" sd="1" m="1" x="1566"/>
        <item t="data" h="1" sd="1" m="1" x="1568"/>
        <item t="data" h="1" sd="1" m="1" x="1569"/>
        <item t="data" h="1" sd="1" m="1" x="1570"/>
        <item t="data" h="1" sd="1" m="1" x="1571"/>
        <item t="data" h="1" sd="1" m="1" x="1572"/>
        <item t="data" h="1" sd="1" x="407"/>
        <item t="data" h="1" sd="1" m="1" x="1573"/>
        <item t="data" h="1" sd="1" m="1" x="1574"/>
        <item t="data" h="1" sd="1" m="1" x="1575"/>
        <item t="data" h="1" sd="1" m="1" x="1576"/>
        <item t="data" h="1" sd="1" m="1" x="1578"/>
        <item t="data" h="1" sd="1" m="1" x="1579"/>
        <item t="data" h="1" sd="1" m="1" x="1580"/>
        <item t="data" h="1" sd="1" m="1" x="1581"/>
        <item t="data" h="1" sd="1" m="1" x="1582"/>
        <item t="data" h="1" sd="1" m="1" x="1584"/>
        <item t="data" h="1" sd="1" x="406"/>
        <item t="data" h="1" sd="1" m="1" x="1587"/>
        <item t="data" h="1" sd="1" m="1" x="1588"/>
        <item t="data" h="1" sd="1" m="1" x="1589"/>
        <item t="data" h="1" sd="1" m="1" x="1590"/>
        <item t="data" h="1" sd="1" m="1" x="1591"/>
        <item t="data" h="1" sd="1" x="410"/>
        <item t="data" h="1" sd="1" x="409"/>
        <item t="data" h="1" sd="1" m="1" x="1592"/>
        <item t="data" h="1" sd="1" m="1" x="1593"/>
        <item t="data" h="1" sd="1" m="1" x="1594"/>
        <item t="data" h="1" sd="1" m="1" x="1598"/>
        <item t="data" h="1" sd="1" m="1" x="1599"/>
        <item t="data" h="1" sd="1" x="430"/>
        <item t="data" h="1" sd="1" m="1" x="662"/>
        <item t="data" h="1" sd="1" m="1" x="663"/>
        <item t="data" h="1" sd="1" x="433"/>
        <item t="data" h="1" sd="1" m="1" x="1600"/>
        <item t="data" h="1" sd="1" m="1" x="664"/>
        <item t="data" h="1" sd="1" x="442"/>
        <item t="data" h="1" sd="1" m="1" x="657"/>
        <item t="data" h="1" sd="1" m="1" x="668"/>
        <item t="data" h="1" sd="1" m="1" x="669"/>
        <item t="data" h="1" sd="1" m="1" x="1601"/>
        <item t="data" h="1" sd="1" m="1" x="1602"/>
        <item t="data" h="1" sd="1" x="443"/>
        <item t="data" h="1" sd="1" m="1" x="447"/>
        <item t="data" h="1" sd="1" m="1" x="448"/>
        <item t="data" h="1" sd="1" m="1" x="455"/>
        <item t="data" h="1" sd="1" m="1" x="456"/>
        <item t="data" h="1" sd="1" m="1" x="457"/>
        <item t="data" h="1" sd="1" x="34"/>
        <item t="data" h="1" sd="1" x="35"/>
        <item t="data" h="1" sd="1" x="32"/>
        <item t="data" h="1" sd="1" x="33"/>
        <item t="data" h="1" sd="1" x="53"/>
        <item t="data" h="1" sd="1" x="55"/>
        <item t="data" h="1" sd="1" x="78"/>
        <item t="data" h="1" sd="1" m="1" x="471"/>
        <item t="data" h="1" sd="1" m="1" x="478"/>
        <item t="data" h="1" sd="1" m="1" x="479"/>
        <item t="data" h="1" sd="1" m="1" x="480"/>
        <item t="data" h="1" sd="1" m="1" x="490"/>
        <item t="data" h="1" sd="1" m="1" x="491"/>
        <item t="data" h="1" sd="1" m="1" x="492"/>
        <item t="data" h="1" sd="1" x="153"/>
        <item t="data" h="1" sd="1" m="1" x="493"/>
        <item t="data" h="1" sd="1" m="1" x="494"/>
        <item t="data" h="1" sd="1" x="162"/>
        <item t="data" h="1" sd="1" m="1" x="530"/>
        <item t="data" h="1" sd="1" x="211"/>
        <item t="data" h="1" sd="1" m="1" x="550"/>
        <item t="data" h="1" sd="1" m="1" x="560"/>
        <item t="data" h="1" sd="1" m="1" x="564"/>
        <item t="data" h="1" sd="1" x="242"/>
        <item t="data" h="1" sd="1" m="1" x="566"/>
        <item t="data" h="1" sd="1" m="1" x="567"/>
        <item t="data" h="1" sd="1" x="244"/>
        <item t="data" h="1" sd="1" m="1" x="569"/>
        <item t="data" h="1" sd="1" x="275"/>
        <item t="data" h="1" sd="1" m="1" x="571"/>
        <item t="data" h="1" sd="1" x="272"/>
        <item t="data" h="1" sd="1" x="270"/>
        <item t="data" h="1" sd="1" m="1" x="584"/>
        <item t="data" h="1" sd="1" x="282"/>
        <item t="data" h="1" sd="1" m="1" x="585"/>
        <item t="data" h="1" sd="1" m="1" x="587"/>
        <item t="data" h="1" sd="1" m="1" x="591"/>
        <item t="data" h="1" sd="1" x="302"/>
        <item t="data" h="1" sd="1" x="304"/>
        <item t="data" h="1" sd="1" x="305"/>
        <item t="data" h="1" sd="1" x="303"/>
        <item t="data" h="1" sd="1" x="309"/>
        <item t="data" h="1" sd="1" x="310"/>
        <item t="data" h="1" sd="1" x="321"/>
        <item t="data" h="1" sd="1" x="320"/>
        <item t="data" h="1" sd="1" x="319"/>
        <item t="data" h="1" sd="1" m="1" x="610"/>
        <item t="data" h="1" sd="1" m="1" x="613"/>
        <item t="data" h="1" sd="1" m="1" x="616"/>
        <item t="data" h="1" sd="1" x="368"/>
        <item t="data" h="1" sd="1" m="1" x="632"/>
        <item t="data" h="1" sd="1" m="1" x="639"/>
        <item t="data" h="1" sd="1" m="1" x="640"/>
        <item t="data" h="1" sd="1" m="1" x="641"/>
        <item t="data" h="1" sd="1" m="1" x="642"/>
        <item t="data" h="1" sd="1" m="1" x="644"/>
        <item t="data" h="1" sd="1" x="413"/>
        <item t="data" h="1" sd="1" x="414"/>
        <item t="data" h="1" sd="1" m="1" x="655"/>
        <item t="data" h="1" sd="1" m="1" x="656"/>
        <item t="data" h="1" sd="1" x="428"/>
        <item t="data" h="1" sd="1" m="1" x="658"/>
        <item t="data" h="1" sd="1" m="1" x="659"/>
        <item t="data" h="1" sd="1" m="1" x="660"/>
        <item t="data" h="1" sd="1" m="1" x="661"/>
        <item t="data" h="1" sd="1" x="437"/>
        <item t="data" h="1" sd="1" m="1" x="665"/>
        <item t="data" h="1" sd="1" m="1" x="667"/>
        <item t="data" h="1" sd="1" x="3"/>
        <item t="data" h="1" sd="1" x="4"/>
        <item t="data" h="1" sd="1" x="6"/>
        <item t="data" h="1" sd="1" x="7"/>
        <item t="data" h="1" sd="1" x="8"/>
        <item t="data" h="1" sd="1" x="9"/>
        <item t="data" h="1" sd="1" x="10"/>
        <item t="data" h="1" sd="1" x="11"/>
        <item t="data" h="1" sd="1" x="12"/>
        <item t="data" h="1" sd="1" x="14"/>
        <item t="data" h="1" sd="1" x="15"/>
        <item t="data" h="1" sd="1" x="16"/>
        <item t="data" h="1" sd="1" x="17"/>
        <item t="data" h="1" sd="1" x="18"/>
        <item t="data" h="1" sd="1" x="19"/>
        <item t="data" h="1" sd="1" x="20"/>
        <item t="data" h="1" sd="1" x="21"/>
        <item t="data" h="1" sd="1" x="22"/>
        <item t="data" h="1" sd="1" x="24"/>
        <item t="data" h="1" sd="1" x="31"/>
        <item t="data" h="1" sd="1" x="46"/>
        <item t="data" h="1" sd="1" x="47"/>
        <item t="data" h="1" sd="1" x="56"/>
        <item t="data" h="1" sd="1" x="57"/>
        <item t="data" h="1" sd="1" x="66"/>
        <item t="data" h="1" sd="1" x="71"/>
        <item t="data" h="1" sd="1" x="72"/>
        <item t="data" h="1" sd="1" x="73"/>
        <item t="data" h="1" sd="1" x="74"/>
        <item t="data" h="1" sd="1" x="75"/>
        <item t="data" h="1" sd="1" x="76"/>
        <item t="data" h="1" sd="1" x="79"/>
        <item t="data" h="1" sd="1" x="80"/>
        <item t="data" h="1" sd="1" x="81"/>
        <item t="data" h="1" sd="1" x="85"/>
        <item t="data" h="1" sd="1" x="86"/>
        <item t="data" h="1" sd="1" x="87"/>
        <item t="data" h="1" sd="1" x="88"/>
        <item t="data" h="1" sd="1" x="89"/>
        <item t="data" h="1" sd="1" x="91"/>
        <item t="data" h="1" sd="1" x="94"/>
        <item t="data" h="1" sd="1" x="98"/>
        <item t="data" h="1" sd="1" x="99"/>
        <item t="data" h="1" sd="1" x="109"/>
        <item t="data" h="1" sd="1" x="110"/>
        <item t="data" h="1" sd="1" x="111"/>
        <item t="data" h="1" sd="1" x="112"/>
        <item t="data" h="1" sd="1" x="113"/>
        <item t="data" h="1" sd="1" x="129"/>
        <item t="data" h="1" sd="1" x="141"/>
        <item t="data" h="1" sd="1" x="143"/>
        <item t="data" h="1" sd="1" x="144"/>
        <item t="data" h="1" sd="1" x="145"/>
        <item t="data" h="1" sd="1" x="146"/>
        <item t="data" h="1" sd="1" x="147"/>
        <item t="data" h="1" sd="1" x="148"/>
        <item t="data" h="1" sd="1" x="149"/>
        <item t="data" h="1" sd="1" x="150"/>
        <item t="data" h="1" sd="1" x="151"/>
        <item t="data" h="1" sd="1" x="152"/>
        <item t="data" h="1" sd="1" x="154"/>
        <item t="data" h="1" sd="1" x="155"/>
        <item t="data" h="1" sd="1" x="163"/>
        <item t="data" h="1" sd="1" x="165"/>
        <item t="data" h="1" sd="1" x="166"/>
        <item t="data" h="1" sd="1" x="167"/>
        <item t="data" h="1" sd="1" x="169"/>
        <item t="data" h="1" sd="1" x="183"/>
        <item t="data" h="1" sd="1" x="186"/>
        <item t="data" h="1" sd="1" x="187"/>
        <item t="data" h="1" sd="1" x="191"/>
        <item t="data" h="1" sd="1" x="193"/>
        <item t="data" h="1" sd="1" x="204"/>
        <item t="data" h="1" sd="1" x="205"/>
        <item t="data" h="1" sd="1" x="207"/>
        <item t="data" h="1" sd="1" x="208"/>
        <item t="data" h="1" sd="1" x="209"/>
        <item t="data" h="1" sd="1" x="213"/>
        <item t="data" h="1" sd="1" x="214"/>
        <item t="data" h="1" sd="1" x="219"/>
        <item t="data" h="1" sd="1" x="232"/>
        <item t="data" h="1" sd="1" x="233"/>
        <item t="data" h="1" sd="1" x="234"/>
        <item t="data" h="1" sd="1" x="240"/>
        <item t="data" h="1" sd="1" x="241"/>
        <item t="data" h="1" sd="1" x="246"/>
        <item t="data" h="1" sd="1" x="250"/>
        <item t="data" h="1" sd="1" x="257"/>
        <item t="data" h="1" sd="1" x="266"/>
        <item t="data" h="1" sd="1" x="268"/>
        <item t="data" h="1" sd="1" x="273"/>
        <item t="data" h="1" sd="1" x="281"/>
        <item t="data" h="1" sd="1" x="283"/>
        <item t="data" h="1" sd="1" x="286"/>
        <item t="data" h="1" sd="1" x="290"/>
        <item t="data" h="1" sd="1" x="291"/>
        <item t="data" h="1" sd="1" x="292"/>
        <item t="data" h="1" sd="1" x="293"/>
        <item t="data" h="1" sd="1" x="295"/>
        <item t="data" h="1" sd="1" x="296"/>
        <item t="data" h="1" sd="1" x="306"/>
        <item t="data" h="1" sd="1" x="307"/>
        <item t="data" h="1" sd="1" x="308"/>
        <item t="data" h="1" sd="1" x="311"/>
        <item t="data" h="1" sd="1" x="313"/>
        <item t="data" h="1" sd="1" x="315"/>
        <item t="data" h="1" sd="1" x="322"/>
        <item t="data" h="1" sd="1" x="323"/>
        <item t="data" h="1" sd="1" x="324"/>
        <item t="data" h="1" sd="1" x="325"/>
        <item t="data" h="1" sd="1" x="326"/>
        <item t="data" h="1" sd="1" x="327"/>
        <item t="data" h="1" sd="1" x="328"/>
        <item t="data" h="1" sd="1" x="329"/>
        <item t="data" h="1" sd="1" x="330"/>
        <item t="data" h="1" sd="1" x="331"/>
        <item t="data" h="1" sd="1" x="333"/>
        <item t="data" h="1" sd="1" x="335"/>
        <item t="data" h="1" sd="1" x="336"/>
        <item t="data" h="1" sd="1" x="337"/>
        <item t="data" h="1" sd="1" x="343"/>
        <item t="data" h="1" sd="1" x="344"/>
        <item t="data" h="1" sd="1" x="345"/>
        <item t="data" h="1" sd="1" x="346"/>
        <item t="data" h="1" sd="1" x="348"/>
        <item t="data" h="1" sd="1" x="353"/>
        <item t="data" h="1" sd="1" x="354"/>
        <item t="data" h="1" sd="1" x="355"/>
        <item t="data" h="1" sd="1" x="356"/>
        <item t="data" h="1" sd="1" x="358"/>
        <item t="data" h="1" sd="1" x="362"/>
        <item t="data" h="1" sd="1" x="363"/>
        <item t="data" h="1" sd="1" x="364"/>
        <item t="data" h="1" sd="1" x="365"/>
        <item t="data" h="1" sd="1" x="379"/>
        <item t="data" h="1" sd="1" x="380"/>
        <item t="data" h="1" sd="1" x="384"/>
        <item t="data" h="1" sd="1" x="385"/>
        <item t="data" h="1" sd="1" x="386"/>
        <item t="data" h="1" sd="1" x="387"/>
        <item t="data" h="1" sd="1" x="389"/>
        <item t="data" h="1" sd="1" x="390"/>
        <item t="data" h="1" sd="1" x="400"/>
        <item t="data" h="1" sd="1" x="401"/>
        <item t="data" h="1" sd="1" x="403"/>
        <item t="data" h="1" sd="1" x="412"/>
        <item t="data" h="1" sd="1" x="415"/>
        <item t="data" h="1" sd="1" x="416"/>
        <item t="data" h="1" sd="1" x="417"/>
        <item t="data" h="1" sd="1" x="419"/>
        <item t="data" h="1" sd="1" x="420"/>
        <item t="data" h="1" sd="1" x="421"/>
        <item t="data" h="1" sd="1" x="422"/>
        <item t="data" h="1" sd="1" x="423"/>
        <item t="data" h="1" sd="1" x="424"/>
        <item t="data" h="1" sd="1" x="425"/>
        <item t="data" h="1" sd="1" x="426"/>
        <item t="data" h="1" sd="1" x="429"/>
        <item t="data" h="1" sd="1" x="434"/>
        <item t="data" h="1" sd="1" x="435"/>
        <item t="data" h="1" sd="1" x="439"/>
        <item t="data" h="1" sd="1" x="440"/>
        <item t="data" h="1" sd="1" x="441"/>
        <item t="data" h="1" sd="1" x="444"/>
        <item t="data" h="1" sd="1" x="44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1" x="1"/>
        <item t="data" sd="1" x="2"/>
        <item t="data" sd="1" x="3"/>
        <item t="data" sd="1" x="4"/>
        <item t="data" sd="1" x="5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0" x="1"/>
        <item t="data" sd="0" x="2"/>
        <item t="data" sd="0" x="3"/>
        <item t="data" sd="0" x="4"/>
        <item t="data" sd="0" x="5"/>
        <item t="data" sd="0" x="6"/>
        <item t="data" sd="0" x="0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1"/>
        <item t="data" sd="0" x="2"/>
        <item t="data" sd="0" x="3"/>
        <item t="data" sd="0" x="4"/>
        <item t="data" sd="1" x="0"/>
        <item t="data" sd="1" x="5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</pivotFields>
  <rowFields count="3">
    <field x="47"/>
    <field x="45"/>
    <field x="3"/>
  </rowFields>
  <rowItems count="7">
    <i t="data" r="0" i="0">
      <x v="0"/>
    </i>
    <i t="data" r="1" i="0">
      <x v="1"/>
    </i>
    <i t="data" r="1" i="0">
      <x v="10"/>
    </i>
    <i t="data" r="1" i="0">
      <x v="11"/>
    </i>
    <i t="data" r="0" i="0">
      <x v="1"/>
    </i>
    <i t="data" r="1" i="0">
      <x v="6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/>
  </dataFields>
  <formats count="66">
    <format action="formatting" dxfId="668">
      <pivotArea type="all" dataOnly="0" outline="0" fieldPosition="0"/>
    </format>
    <format action="formatting" dxfId="667">
      <pivotArea type="normal" dataOnly="1" outline="0" collapsedLevelsAreSubtotals="1" fieldPosition="0"/>
    </format>
    <format action="formatting" dxfId="666">
      <pivotArea field="27" type="button" dataOnly="0" labelOnly="1" outline="0" axis="axisPage" fieldPosition="0"/>
    </format>
    <format action="formatting" dxfId="665">
      <pivotArea type="normal" dataOnly="1" outline="0" collapsedLevelsAreSubtotals="1" fieldPosition="0"/>
    </format>
    <format action="formatting" dxfId="664">
      <pivotArea type="normal" dataOnly="0" labelOnly="1" grandRow="1" outline="0" fieldPosition="0"/>
    </format>
    <format action="formatting" dxfId="663">
      <pivotArea type="all" dataOnly="0" outline="0" fieldPosition="0"/>
    </format>
    <format action="formatting" dxfId="662">
      <pivotArea type="normal" dataOnly="1" outline="0" collapsedLevelsAreSubtotals="1" fieldPosition="0"/>
    </format>
    <format action="formatting" dxfId="661">
      <pivotArea type="normal" dataOnly="0" labelOnly="1" grandRow="1" outline="0" fieldPosition="0"/>
    </format>
    <format action="formatting" dxfId="660">
      <pivotArea type="normal" dataOnly="0" labelOnly="1" outline="0" axis="axisValues" fieldPosition="0"/>
    </format>
    <format action="formatting" dxfId="659">
      <pivotArea type="all" dataOnly="0" outline="0" fieldPosition="0"/>
    </format>
    <format action="formatting" dxfId="658">
      <pivotArea type="normal" dataOnly="1" outline="0" collapsedLevelsAreSubtotals="1" fieldPosition="0"/>
    </format>
    <format action="formatting" dxfId="657">
      <pivotArea type="normal" dataOnly="0" labelOnly="1" grandRow="1" outline="0" fieldPosition="0"/>
    </format>
    <format action="formatting" dxfId="656">
      <pivotArea type="normal" dataOnly="0" labelOnly="1" outline="0" axis="axisValues" fieldPosition="0"/>
    </format>
    <format action="formatting" dxfId="655">
      <pivotArea type="normal" dataOnly="1" grandRow="1" outline="0" collapsedLevelsAreSubtotals="1" fieldPosition="0"/>
    </format>
    <format action="formatting" dxfId="654">
      <pivotArea type="all" dataOnly="0" outline="0" fieldPosition="0"/>
    </format>
    <format action="formatting" dxfId="653">
      <pivotArea type="normal" dataOnly="1" outline="0" collapsedLevelsAreSubtotals="1" fieldPosition="0"/>
    </format>
    <format action="formatting" dxfId="652">
      <pivotArea type="normal" dataOnly="0" labelOnly="1" grandRow="1" outline="0" fieldPosition="0"/>
    </format>
    <format action="formatting" dxfId="651">
      <pivotArea type="normal" dataOnly="0" labelOnly="1" outline="0" axis="axisValues" fieldPosition="0"/>
    </format>
    <format action="formatting" dxfId="650">
      <pivotArea type="all" dataOnly="0" outline="0" fieldPosition="0"/>
    </format>
    <format action="formatting" dxfId="649">
      <pivotArea type="normal" dataOnly="1" outline="0" collapsedLevelsAreSubtotals="1" fieldPosition="0"/>
    </format>
    <format action="formatting" dxfId="648">
      <pivotArea type="normal" dataOnly="0" labelOnly="1" grandRow="1" outline="0" fieldPosition="0"/>
    </format>
    <format action="formatting" dxfId="647">
      <pivotArea type="normal" dataOnly="0" labelOnly="1" outline="0" axis="axisValues" fieldPosition="0"/>
    </format>
    <format action="formatting" dxfId="646">
      <pivotArea type="all" dataOnly="0" outline="0" fieldPosition="0"/>
    </format>
    <format action="formatting" dxfId="645">
      <pivotArea type="all" dataOnly="0" outline="0" fieldPosition="0"/>
    </format>
    <format action="formatting" dxfId="644">
      <pivotArea type="all" dataOnly="0" outline="0" fieldPosition="0"/>
    </format>
    <format action="formatting">
      <pivotArea type="all" dataOnly="0" outline="0" fieldPosition="0"/>
    </format>
    <format action="formatting" dxfId="643">
      <pivotArea type="all" dataOnly="0" outline="0" fieldPosition="0"/>
    </format>
    <format action="formatting">
      <pivotArea type="all" dataOnly="0" outline="0" fieldPosition="0"/>
    </format>
    <format action="formatting" dxfId="642">
      <pivotArea type="normal" dataOnly="1" grandRow="1" outline="0" collapsedLevelsAreSubtotals="1" fieldPosition="0"/>
    </format>
    <format action="formatting">
      <pivotArea type="all" dataOnly="0" outline="0" fieldPosition="0"/>
    </format>
    <format action="formatting" dxfId="641">
      <pivotArea type="all" dataOnly="0" outline="0" fieldPosition="0"/>
    </format>
    <format action="formatting" dxfId="640">
      <pivotArea type="normal" dataOnly="1" outline="0" collapsedLevelsAreSubtotals="1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 dxfId="639">
      <pivotArea type="normal" dataOnly="1" outline="0" collapsedLevelsAreSubtotals="1" fieldPosition="0"/>
    </format>
    <format action="formatting" dxfId="638">
      <pivotArea type="all" dataOnly="0" outline="0" fieldPosition="0"/>
    </format>
    <format action="formatting" dxfId="637">
      <pivotArea type="normal" dataOnly="1" outline="0" collapsedLevelsAreSubtotals="1" fieldPosition="0"/>
    </format>
    <format action="formatting" dxfId="636">
      <pivotArea type="normal" dataOnly="0" labelOnly="1" grandRow="1" outline="0" fieldPosition="0"/>
    </format>
    <format action="formatting" dxfId="635">
      <pivotArea type="normal" dataOnly="0" labelOnly="1" outline="0" axis="axisValues" fieldPosition="0"/>
    </format>
    <format action="formatting" dxfId="634">
      <pivotArea type="all" dataOnly="0" outline="0" fieldPosition="0"/>
    </format>
    <format action="formatting" dxfId="633">
      <pivotArea type="normal" dataOnly="1" outline="0" collapsedLevelsAreSubtotals="1" fieldPosition="0"/>
    </format>
    <format action="formatting" dxfId="632">
      <pivotArea type="normal" dataOnly="0" labelOnly="1" outline="0" axis="axisValues" fieldPosition="0"/>
    </format>
    <format action="formatting" dxfId="631">
      <pivotArea type="normal" dataOnly="0" labelOnly="1" grandRow="1" outline="0" fieldPosition="0"/>
    </format>
    <format action="formatting" dxfId="630">
      <pivotArea type="all" dataOnly="0" outline="0" fieldPosition="0"/>
    </format>
    <format action="formatting" dxfId="629">
      <pivotArea type="normal" dataOnly="1" outline="0" collapsedLevelsAreSubtotals="1" fieldPosition="0"/>
    </format>
    <format action="formatting" dxfId="628">
      <pivotArea field="47" type="button" dataOnly="0" labelOnly="1" outline="0" axis="axisRow" fieldPosition="0"/>
    </format>
    <format action="formatting" dxfId="627">
      <pivotArea type="normal" dataOnly="0" labelOnly="1" outline="1" fieldPosition="0">
        <references count="1">
          <reference field="47">
            <x v="0"/>
          </reference>
        </references>
      </pivotArea>
    </format>
    <format action="formatting" dxfId="626">
      <pivotArea type="normal" dataOnly="0" labelOnly="1" grandRow="1" outline="0" fieldPosition="0"/>
    </format>
    <format action="formatting" dxfId="625">
      <pivotArea type="normal" dataOnly="0" labelOnly="1" outline="1" fieldPosition="0">
        <references count="2">
          <reference field="45">
            <x v="0"/>
            <x v="1"/>
          </reference>
          <reference field="47" selected="0">
            <x v="0"/>
          </reference>
        </references>
      </pivotArea>
    </format>
    <format action="formatting" dxfId="624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623">
      <pivotArea field="47" type="button" dataOnly="0" labelOnly="1" outline="0" axis="axisRow" fieldPosition="0"/>
    </format>
    <format action="formatting" dxfId="622">
      <pivotArea type="normal" dataOnly="0" labelOnly="1" grandRow="1" outline="0" fieldPosition="0"/>
    </format>
    <format action="formatting" dxfId="621">
      <pivotArea type="normal" dataOnly="0" labelOnly="1" outline="1" fieldPosition="0">
        <references count="2">
          <reference field="45">
            <x v="0"/>
            <x v="1"/>
          </reference>
          <reference field="47" selected="0">
            <x v="0"/>
          </reference>
        </references>
      </pivotArea>
    </format>
    <format action="formatting" dxfId="620">
      <pivotArea type="normal" dataOnly="1" outline="0" collapsedLevelsAreSubtotals="1" fieldPosition="0"/>
    </format>
    <format action="formatting" dxfId="619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7" type="button" dataOnly="0" labelOnly="1" outline="0" axis="axisRow" fieldPosition="0"/>
    </format>
    <format action="formatting">
      <pivotArea type="normal" dataOnly="0" labelOnly="1" grandRow="1" outline="0" fieldPosition="0"/>
    </format>
    <format action="formatting">
      <pivotArea type="normal" dataOnly="0" labelOnly="1" outline="0" axis="axisValues" fieldPosition="0"/>
    </format>
    <format action="formatting" dxfId="618">
      <pivotArea type="normal" dataOnly="0" labelOnly="1" outline="1" fieldPosition="0">
        <references count="1">
          <reference field="47">
            <x v="0"/>
          </reference>
        </references>
      </pivotArea>
    </format>
    <format action="formatting" dxfId="617">
      <pivotArea type="normal" dataOnly="0" labelOnly="1" outline="1" fieldPosition="0">
        <references count="2">
          <reference field="45">
            <x v="4"/>
            <x v="5"/>
            <x v="7"/>
          </reference>
          <reference field="47" selected="0">
            <x v="0"/>
          </reference>
        </references>
      </pivotArea>
    </format>
    <format action="formatting" dxfId="616">
      <pivotArea type="normal" dataOnly="0" labelOnly="1" outline="1" fieldPosition="0">
        <references count="1">
          <reference field="47">
            <x v="0"/>
          </reference>
        </references>
      </pivotArea>
    </format>
    <format action="formatting" dxfId="615">
      <pivotArea type="normal" dataOnly="0" labelOnly="1" outline="1" fieldPosition="0">
        <references count="2">
          <reference field="45">
            <x v="4"/>
            <x v="5"/>
            <x v="7"/>
          </reference>
          <reference field="47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Tabela dinâmica9" cacheId="153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121:Q126" firstHeaderRow="1" firstDataRow="1" firstDataCol="1" rowPageCount="1" colPageCount="1"/>
  <pivotFields count="4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001">
        <item t="data" sd="1" x="487"/>
        <item t="data" sd="1" m="1" x="6048"/>
        <item t="data" sd="1" m="1" x="6284"/>
        <item t="data" sd="1" m="1" x="7779"/>
        <item t="data" sd="1" m="1" x="7027"/>
        <item t="data" sd="1" m="1" x="6062"/>
        <item t="data" sd="1" m="1" x="7255"/>
        <item t="data" sd="1" m="1" x="2458"/>
        <item t="data" sd="1" m="1" x="6338"/>
        <item t="data" sd="1" m="1" x="6335"/>
        <item t="data" sd="1" m="1" x="6374"/>
        <item t="data" sd="1" m="1" x="4367"/>
        <item t="data" sd="1" m="1" x="6367"/>
        <item t="data" sd="1" m="1" x="7057"/>
        <item t="data" sd="1" m="1" x="7766"/>
        <item t="data" sd="1" m="1" x="7058"/>
        <item t="data" sd="1" m="1" x="7654"/>
        <item t="data" sd="1" m="1" x="6050"/>
        <item t="data" sd="1" m="1" x="4846"/>
        <item t="data" sd="1" m="1" x="7666"/>
        <item t="data" sd="1" m="1" x="5649"/>
        <item t="data" sd="1" m="1" x="7655"/>
        <item t="data" sd="1" m="1" x="6280"/>
        <item t="data" sd="1" m="1" x="6622"/>
        <item t="data" sd="1" m="1" x="5330"/>
        <item t="data" sd="1" m="1" x="5384"/>
        <item t="data" sd="1" m="1" x="7656"/>
        <item t="data" sd="1" m="1" x="5323"/>
        <item t="data" sd="1" m="1" x="5324"/>
        <item t="data" sd="1" m="1" x="6799"/>
        <item t="data" sd="1" m="1" x="7664"/>
        <item t="data" sd="1" m="1" x="6808"/>
        <item t="data" sd="1" m="1" x="6801"/>
        <item t="data" sd="1" m="1" x="7570"/>
        <item t="data" sd="1" m="1" x="6095"/>
        <item t="data" sd="1" m="1" x="7132"/>
        <item t="data" sd="1" m="1" x="5325"/>
        <item t="data" sd="1" m="1" x="7136"/>
        <item t="data" sd="1" m="1" x="7137"/>
        <item t="data" sd="1" m="1" x="7138"/>
        <item t="data" sd="1" m="1" x="7139"/>
        <item t="data" sd="1" m="1" x="6804"/>
        <item t="data" sd="1" m="1" x="7140"/>
        <item t="data" sd="1" m="1" x="7141"/>
        <item t="data" sd="1" m="1" x="5628"/>
        <item t="data" sd="1" m="1" x="6073"/>
        <item t="data" sd="1" m="1" x="7142"/>
        <item t="data" sd="1" m="1" x="6805"/>
        <item t="data" sd="1" m="1" x="6806"/>
        <item t="data" sd="1" m="1" x="7633"/>
        <item t="data" sd="1" m="1" x="5417"/>
        <item t="data" sd="1" m="1" x="6807"/>
        <item t="data" sd="1" m="1" x="6323"/>
        <item t="data" sd="1" m="1" x="5660"/>
        <item t="data" sd="1" m="1" x="5659"/>
        <item t="data" sd="1" m="1" x="6795"/>
        <item t="data" sd="1" m="1" x="6327"/>
        <item t="data" sd="1" m="1" x="7657"/>
        <item t="data" sd="1" m="1" x="7660"/>
        <item t="data" sd="1" m="1" x="6492"/>
        <item t="data" sd="1" m="1" x="7028"/>
        <item t="data" sd="1" m="1" x="5658"/>
        <item t="data" sd="1" m="1" x="7131"/>
        <item t="data" sd="1" m="1" x="7133"/>
        <item t="data" sd="1" m="1" x="7134"/>
        <item t="data" sd="1" m="1" x="7135"/>
        <item t="data" sd="1" m="1" x="6796"/>
        <item t="data" sd="1" m="1" x="6797"/>
        <item t="data" sd="1" m="1" x="7130"/>
        <item t="data" sd="1" m="1" x="6052"/>
        <item t="data" sd="1" m="1" x="7661"/>
        <item t="data" sd="1" m="1" x="7066"/>
        <item t="data" sd="1" m="1" x="7126"/>
        <item t="data" sd="1" m="1" x="7127"/>
        <item t="data" sd="1" m="1" x="7128"/>
        <item t="data" sd="1" m="1" x="7658"/>
        <item t="data" sd="1" m="1" x="5438"/>
        <item t="data" sd="1" m="1" x="6792"/>
        <item t="data" sd="1" m="1" x="6454"/>
        <item t="data" sd="1" m="1" x="7659"/>
        <item t="data" sd="1" m="1" x="7129"/>
        <item t="data" sd="1" m="1" x="6337"/>
        <item t="data" sd="1" m="1" x="6794"/>
        <item t="data" sd="1" m="1" x="2411"/>
        <item t="data" sd="1" m="1" x="6079"/>
        <item t="data" sd="1" m="1" x="7098"/>
        <item t="data" sd="1" m="1" x="7663"/>
        <item t="data" sd="1" m="1" x="6093"/>
        <item t="data" sd="1" m="1" x="6802"/>
        <item t="data" sd="1" m="1" x="6803"/>
        <item t="data" sd="1" m="1" x="6800"/>
        <item t="data" sd="1" m="1" x="6798"/>
        <item t="data" sd="1" m="1" x="6660"/>
        <item t="data" sd="1" m="1" x="6441"/>
        <item t="data" sd="1" m="1" x="6540"/>
        <item t="data" sd="1" m="1" x="6537"/>
        <item t="data" sd="1" m="1" x="6536"/>
        <item t="data" sd="1" m="1" x="5597"/>
        <item t="data" sd="1" m="1" x="5942"/>
        <item t="data" sd="1" m="1" x="7662"/>
        <item t="data" sd="1" m="1" x="6253"/>
        <item t="data" sd="1" m="1" x="6480"/>
        <item t="data" sd="1" m="1" x="7484"/>
        <item t="data" sd="1" m="1" x="7821"/>
        <item t="data" sd="1" m="1" x="7815"/>
        <item t="data" sd="1" m="1" x="7530"/>
        <item t="data" sd="1" m="1" x="5451"/>
        <item t="data" sd="1" m="1" x="6128"/>
        <item t="data" sd="1" m="1" x="7818"/>
        <item t="data" sd="1" m="1" x="7090"/>
        <item t="data" sd="1" m="1" x="5657"/>
        <item t="data" sd="1" m="1" x="6461"/>
        <item t="data" sd="1" m="1" x="6382"/>
        <item t="data" sd="1" m="1" x="5652"/>
        <item t="data" sd="1" m="1" x="6761"/>
        <item t="data" sd="1" m="1" x="7175"/>
        <item t="data" sd="1" m="1" x="7174"/>
        <item t="data" sd="1" m="1" x="7817"/>
        <item t="data" sd="1" m="1" x="6498"/>
        <item t="data" sd="1" m="1" x="7244"/>
        <item t="data" sd="1" m="1" x="6538"/>
        <item t="data" sd="1" m="1" x="6307"/>
        <item t="data" sd="1" m="1" x="7813"/>
        <item t="data" sd="1" m="1" x="6755"/>
        <item t="data" sd="1" m="1" x="6756"/>
        <item t="data" sd="1" m="1" x="7812"/>
        <item t="data" sd="1" m="1" x="7820"/>
        <item t="data" sd="1" m="1" x="7087"/>
        <item t="data" sd="1" m="1" x="4263"/>
        <item t="data" sd="1" m="1" x="7808"/>
        <item t="data" sd="1" m="1" x="7809"/>
        <item t="data" sd="1" m="1" x="7810"/>
        <item t="data" sd="1" m="1" x="7811"/>
        <item t="data" sd="1" m="1" x="5653"/>
        <item t="data" sd="1" m="1" x="7063"/>
        <item t="data" sd="1" m="1" x="6308"/>
        <item t="data" sd="1" m="1" x="6760"/>
        <item t="data" sd="1" m="1" x="7814"/>
        <item t="data" sd="1" m="1" x="6384"/>
        <item t="data" sd="1" m="1" x="7816"/>
        <item t="data" sd="1" m="1" x="7819"/>
        <item t="data" sd="1" m="1" x="7828"/>
        <item t="data" sd="1" m="1" x="7829"/>
        <item t="data" sd="1" m="1" x="7823"/>
        <item t="data" sd="1" m="1" x="7824"/>
        <item t="data" sd="1" m="1" x="7164"/>
        <item t="data" sd="1" m="1" x="7149"/>
        <item t="data" sd="1" m="1" x="2422"/>
        <item t="data" sd="1" m="1" x="7637"/>
        <item t="data" sd="1" m="1" x="6305"/>
        <item t="data" sd="1" m="1" x="5201"/>
        <item t="data" sd="1" m="1" x="6321"/>
        <item t="data" sd="1" m="1" x="6759"/>
        <item t="data" sd="1" m="1" x="7834"/>
        <item t="data" sd="1" m="1" x="7838"/>
        <item t="data" sd="1" m="1" x="6200"/>
        <item t="data" sd="1" m="1" x="6204"/>
        <item t="data" sd="1" m="1" x="6497"/>
        <item t="data" sd="1" m="1" x="6674"/>
        <item t="data" sd="1" m="1" x="6675"/>
        <item t="data" sd="1" m="1" x="6007"/>
        <item t="data" sd="1" m="1" x="5656"/>
        <item t="data" sd="1" m="1" x="6775"/>
        <item t="data" sd="1" m="1" x="6231"/>
        <item t="data" sd="1" m="1" x="6539"/>
        <item t="data" sd="1" m="1" x="6198"/>
        <item t="data" sd="1" m="1" x="5361"/>
        <item t="data" sd="1" m="1" x="6156"/>
        <item t="data" sd="1" m="1" x="6157"/>
        <item t="data" sd="1" m="1" x="7830"/>
        <item t="data" sd="1" m="1" x="7831"/>
        <item t="data" sd="1" m="1" x="7000"/>
        <item t="data" sd="1" m="1" x="6172"/>
        <item t="data" sd="1" m="1" x="7515"/>
        <item t="data" sd="1" m="1" x="7841"/>
        <item t="data" sd="1" m="1" x="5632"/>
        <item t="data" sd="1" m="1" x="7485"/>
        <item t="data" sd="1" m="1" x="7486"/>
        <item t="data" sd="1" m="1" x="6002"/>
        <item t="data" sd="1" m="1" x="7833"/>
        <item t="data" sd="1" m="1" x="6496"/>
        <item t="data" sd="1" m="1" x="6207"/>
        <item t="data" sd="1" m="1" x="7298"/>
        <item t="data" sd="1" m="1" x="5662"/>
        <item t="data" sd="1" m="1" x="6216"/>
        <item t="data" sd="1" m="1" x="7297"/>
        <item t="data" sd="1" m="1" x="5651"/>
        <item t="data" sd="1" m="1" x="6160"/>
        <item t="data" sd="1" m="1" x="6194"/>
        <item t="data" sd="1" m="1" x="6205"/>
        <item t="data" sd="1" m="1" x="6268"/>
        <item t="data" sd="1" m="1" x="6274"/>
        <item t="data" sd="1" m="1" x="7053"/>
        <item t="data" sd="1" m="1" x="6295"/>
        <item t="data" sd="1" m="1" x="6310"/>
        <item t="data" sd="1" m="1" x="5445"/>
        <item t="data" sd="1" m="1" x="6320"/>
        <item t="data" sd="1" m="1" x="6319"/>
        <item t="data" sd="1" m="1" x="6604"/>
        <item t="data" sd="1" m="1" x="7148"/>
        <item t="data" sd="1" m="1" x="5446"/>
        <item t="data" sd="1" m="1" x="5447"/>
        <item t="data" sd="1" m="1" x="5448"/>
        <item t="data" sd="1" m="1" x="7531"/>
        <item t="data" sd="1" m="1" x="7303"/>
        <item t="data" sd="1" m="1" x="7836"/>
        <item t="data" sd="1" m="1" x="7773"/>
        <item t="data" sd="1" m="1" x="6440"/>
        <item t="data" sd="1" m="1" x="6438"/>
        <item t="data" sd="1" m="1" x="6439"/>
        <item t="data" sd="1" m="1" x="6758"/>
        <item t="data" sd="1" m="1" x="6763"/>
        <item t="data" sd="1" m="1" x="5427"/>
        <item t="data" sd="1" m="1" x="7302"/>
        <item t="data" sd="1" m="1" x="3655"/>
        <item t="data" sd="1" m="1" x="7832"/>
        <item t="data" sd="1" m="1" x="5401"/>
        <item t="data" sd="1" m="1" x="5833"/>
        <item t="data" sd="1" m="1" x="5832"/>
        <item t="data" sd="1" m="1" x="7839"/>
        <item t="data" sd="1" m="1" x="5370"/>
        <item t="data" sd="1" m="1" x="5368"/>
        <item t="data" sd="1" m="1" x="5371"/>
        <item t="data" sd="1" m="1" x="7822"/>
        <item t="data" sd="1" m="1" x="7825"/>
        <item t="data" sd="1" m="1" x="6171"/>
        <item t="data" sd="1" m="1" x="7826"/>
        <item t="data" sd="1" m="1" x="7231"/>
        <item t="data" sd="1" m="1" x="6228"/>
        <item t="data" sd="1" m="1" x="6229"/>
        <item t="data" sd="1" m="1" x="6220"/>
        <item t="data" sd="1" m="1" x="6225"/>
        <item t="data" sd="1" m="1" x="6226"/>
        <item t="data" sd="1" m="1" x="6227"/>
        <item t="data" sd="1" m="1" x="6217"/>
        <item t="data" sd="1" m="1" x="6232"/>
        <item t="data" sd="1" m="1" x="6233"/>
        <item t="data" sd="1" m="1" x="6230"/>
        <item t="data" sd="1" m="1" x="7536"/>
        <item t="data" sd="1" m="1" x="6199"/>
        <item t="data" sd="1" m="1" x="6203"/>
        <item t="data" sd="1" m="1" x="6201"/>
        <item t="data" sd="1" m="1" x="6202"/>
        <item t="data" sd="1" m="1" x="6206"/>
        <item t="data" sd="1" m="1" x="6208"/>
        <item t="data" sd="1" m="1" x="6209"/>
        <item t="data" sd="1" m="1" x="7827"/>
        <item t="data" sd="1" m="1" x="6273"/>
        <item t="data" sd="1" m="1" x="7270"/>
        <item t="data" sd="1" m="1" x="7156"/>
        <item t="data" sd="1" m="1" x="6294"/>
        <item t="data" sd="1" m="1" x="7532"/>
        <item t="data" sd="1" m="1" x="7861"/>
        <item t="data" sd="1" m="1" x="7124"/>
        <item t="data" sd="1" m="1" x="7125"/>
        <item t="data" sd="1" m="1" x="6309"/>
        <item t="data" sd="1" m="1" x="7840"/>
        <item t="data" sd="1" m="1" x="7677"/>
        <item t="data" sd="1" m="1" x="7533"/>
        <item t="data" sd="1" m="1" x="7837"/>
        <item t="data" sd="1" m="1" x="7835"/>
        <item t="data" sd="1" m="1" x="7872"/>
        <item t="data" sd="1" m="1" x="5511"/>
        <item t="data" sd="1" m="1" x="6657"/>
        <item t="data" sd="1" m="1" x="6197"/>
        <item t="data" sd="1" m="1" x="5530"/>
        <item t="data" sd="1" m="1" x="7697"/>
        <item t="data" sd="1" m="1" x="7301"/>
        <item t="data" sd="1" m="1" x="7859"/>
        <item t="data" sd="1" m="1" x="7860"/>
        <item t="data" sd="1" m="1" x="7689"/>
        <item t="data" sd="1" m="1" x="6155"/>
        <item t="data" sd="1" m="1" x="7300"/>
        <item t="data" sd="1" m="1" x="7854"/>
        <item t="data" sd="1" m="1" x="7299"/>
        <item t="data" sd="1" m="1" x="7846"/>
        <item t="data" sd="1" m="1" x="7847"/>
        <item t="data" sd="1" m="1" x="7848"/>
        <item t="data" sd="1" m="1" x="7849"/>
        <item t="data" sd="1" m="1" x="7850"/>
        <item t="data" sd="1" m="1" x="7665"/>
        <item t="data" sd="1" m="1" x="7851"/>
        <item t="data" sd="1" m="1" x="7535"/>
        <item t="data" sd="1" m="1" x="7845"/>
        <item t="data" sd="1" m="1" x="6924"/>
        <item t="data" sd="1" m="1" x="6814"/>
        <item t="data" sd="1" m="1" x="7871"/>
        <item t="data" sd="1" m="1" x="6133"/>
        <item t="data" sd="1" m="1" x="5512"/>
        <item t="data" sd="1" m="1" x="5509"/>
        <item t="data" sd="1" m="1" x="7002"/>
        <item t="data" sd="1" m="1" x="6946"/>
        <item t="data" sd="1" m="1" x="6659"/>
        <item t="data" sd="1" m="1" x="7325"/>
        <item t="data" sd="1" m="1" x="7260"/>
        <item t="data" sd="1" m="1" x="7853"/>
        <item t="data" sd="1" m="1" x="7983"/>
        <item t="data" sd="1" m="1" x="7984"/>
        <item t="data" sd="1" m="1" x="7985"/>
        <item t="data" sd="1" m="1" x="7886"/>
        <item t="data" sd="1" m="1" x="7986"/>
        <item t="data" sd="1" m="1" x="7873"/>
        <item t="data" sd="1" m="1" x="5629"/>
        <item t="data" sd="1" m="1" x="7987"/>
        <item t="data" sd="1" m="1" x="7988"/>
        <item t="data" sd="1" m="1" x="7989"/>
        <item t="data" sd="1" m="1" x="7990"/>
        <item t="data" sd="1" m="1" x="7991"/>
        <item t="data" sd="1" m="1" x="7992"/>
        <item t="data" sd="1" m="1" x="7993"/>
        <item t="data" sd="1" m="1" x="7994"/>
        <item t="data" sd="1" m="1" x="7995"/>
        <item t="data" sd="1" m="1" x="7996"/>
        <item t="data" sd="1" m="1" x="7997"/>
        <item t="data" sd="1" m="1" x="7998"/>
        <item t="data" sd="1" m="1" x="7999"/>
        <item t="data" sd="1" m="1" x="6081"/>
        <item t="data" sd="1" m="1" x="7557"/>
        <item t="data" sd="1" m="1" x="7165"/>
        <item t="data" sd="1" m="1" x="5583"/>
        <item t="data" sd="1" m="1" x="6853"/>
        <item t="data" sd="1" m="1" x="7680"/>
        <item t="data" sd="1" m="1" x="7676"/>
        <item t="data" sd="1" m="1" x="5556"/>
        <item t="data" sd="1" m="1" x="7699"/>
        <item t="data" sd="1" m="1" x="7519"/>
        <item t="data" sd="1" m="1" x="7561"/>
        <item t="data" sd="1" m="1" x="7702"/>
        <item t="data" sd="1" m="1" x="6196"/>
        <item t="data" sd="1" m="1" x="7728"/>
        <item t="data" sd="1" m="1" x="7877"/>
        <item t="data" sd="1" m="1" x="6087"/>
        <item t="data" sd="1" m="1" x="7879"/>
        <item t="data" sd="1" m="1" x="7878"/>
        <item t="data" sd="1" m="1" x="7339"/>
        <item t="data" sd="1" m="1" x="7338"/>
        <item t="data" sd="1" m="1" x="7882"/>
        <item t="data" sd="1" m="1" x="7881"/>
        <item t="data" sd="1" m="1" x="7534"/>
        <item t="data" sd="1" m="1" x="7667"/>
        <item t="data" sd="1" m="1" x="6132"/>
        <item t="data" sd="1" m="1" x="7883"/>
        <item t="data" sd="1" m="1" x="7884"/>
        <item t="data" sd="1" m="1" x="6139"/>
        <item t="data" sd="1" m="1" x="6322"/>
        <item t="data" sd="1" m="1" x="7678"/>
        <item t="data" sd="1" m="1" x="6130"/>
        <item t="data" sd="1" m="1" x="6455"/>
        <item t="data" sd="1" m="1" x="6456"/>
        <item t="data" sd="1" m="1" x="7852"/>
        <item t="data" sd="1" m="1" x="6361"/>
        <item t="data" sd="1" m="1" x="5369"/>
        <item t="data" sd="1" m="1" x="6316"/>
        <item t="data" sd="1" m="1" x="7858"/>
        <item t="data" sd="1" m="1" x="7856"/>
        <item t="data" sd="1" m="1" x="7857"/>
        <item t="data" sd="1" m="1" x="6190"/>
        <item t="data" sd="1" m="1" x="7688"/>
        <item t="data" sd="1" m="1" x="7171"/>
        <item t="data" sd="1" m="1" x="6235"/>
        <item t="data" sd="1" m="1" x="6221"/>
        <item t="data" sd="1" m="1" x="7668"/>
        <item t="data" sd="1" m="1" x="7843"/>
        <item t="data" sd="1" m="1" x="7842"/>
        <item t="data" sd="1" m="1" x="7304"/>
        <item t="data" sd="1" m="1" x="5400"/>
        <item t="data" sd="1" m="1" x="7042"/>
        <item t="data" sd="1" m="1" x="7049"/>
        <item t="data" sd="1" m="1" x="7549"/>
        <item t="data" sd="1" m="1" x="7679"/>
        <item t="data" sd="1" m="1" x="6306"/>
        <item t="data" sd="1" m="1" x="6958"/>
        <item t="data" sd="1" m="1" x="6339"/>
        <item t="data" sd="1" m="1" x="6344"/>
        <item t="data" sd="1" m="1" x="5585"/>
        <item t="data" sd="1" m="1" x="7146"/>
        <item t="data" sd="1" m="1" x="5631"/>
        <item t="data" sd="1" m="1" x="7013"/>
        <item t="data" sd="1" m="1" x="7552"/>
        <item t="data" sd="1" m="1" x="7862"/>
        <item t="data" sd="1" m="1" x="7863"/>
        <item t="data" sd="1" m="1" x="7864"/>
        <item t="data" sd="1" m="1" x="5666"/>
        <item t="data" sd="1" m="1" x="7865"/>
        <item t="data" sd="1" m="1" x="5689"/>
        <item t="data" sd="1" m="1" x="3495"/>
        <item t="data" sd="1" m="1" x="7001"/>
        <item t="data" sd="1" m="1" x="7684"/>
        <item t="data" sd="1" m="1" x="5217"/>
        <item t="data" sd="1" m="1" x="7685"/>
        <item t="data" sd="1" m="1" x="6658"/>
        <item t="data" sd="1" m="1" x="7683"/>
        <item t="data" sd="1" m="1" x="7681"/>
        <item t="data" sd="1" m="1" x="7682"/>
        <item t="data" sd="1" m="1" x="7246"/>
        <item t="data" sd="1" m="1" x="7867"/>
        <item t="data" sd="1" m="1" x="7868"/>
        <item t="data" sd="1" m="1" x="2127"/>
        <item t="data" sd="1" m="1" x="7540"/>
        <item t="data" sd="1" m="1" x="7844"/>
        <item t="data" sd="1" m="1" x="7488"/>
        <item t="data" sd="1" m="1" x="7670"/>
        <item t="data" sd="1" m="1" x="5393"/>
        <item t="data" sd="1" m="1" x="7671"/>
        <item t="data" sd="1" m="1" x="7672"/>
        <item t="data" sd="1" m="1" x="7673"/>
        <item t="data" sd="1" m="1" x="6769"/>
        <item t="data" sd="1" m="1" x="7674"/>
        <item t="data" sd="1" m="1" x="6770"/>
        <item t="data" sd="1" m="1" x="7321"/>
        <item t="data" sd="1" m="1" x="6771"/>
        <item t="data" sd="1" m="1" x="7855"/>
        <item t="data" sd="1" m="1" x="6772"/>
        <item t="data" sd="1" m="1" x="5449"/>
        <item t="data" sd="1" m="1" x="5655"/>
        <item t="data" sd="1" m="1" x="7866"/>
        <item t="data" sd="1" m="1" x="7687"/>
        <item t="data" sd="1" m="1" x="7869"/>
        <item t="data" sd="1" m="1" x="7870"/>
        <item t="data" sd="1" m="1" x="7692"/>
        <item t="data" sd="1" m="1" x="7691"/>
        <item t="data" sd="1" m="1" x="7696"/>
        <item t="data" sd="1" m="1" x="6325"/>
        <item t="data" sd="1" m="1" x="6317"/>
        <item t="data" sd="1" m="1" x="6346"/>
        <item t="data" sd="1" m="1" x="6313"/>
        <item t="data" sd="1" m="1" x="6324"/>
        <item t="data" sd="1" m="1" x="5428"/>
        <item t="data" sd="1" m="1" x="7874"/>
        <item t="data" sd="1" m="1" x="7875"/>
        <item t="data" sd="1" m="1" x="7876"/>
        <item t="data" sd="1" m="1" x="7487"/>
        <item t="data" sd="1" m="1" x="7703"/>
        <item t="data" sd="1" m="1" x="7880"/>
        <item t="data" sd="1" m="1" x="5647"/>
        <item t="data" sd="1" m="1" x="7704"/>
        <item t="data" sd="1" m="1" x="7885"/>
        <item t="data" sd="1" m="1" x="7179"/>
        <item t="data" sd="1" m="1" x="7887"/>
        <item t="data" sd="1" m="1" x="7888"/>
        <item t="data" sd="1" m="1" x="7889"/>
        <item t="data" sd="1" m="1" x="7890"/>
        <item t="data" sd="1" m="1" x="7891"/>
        <item t="data" sd="1" m="1" x="7892"/>
        <item t="data" sd="1" m="1" x="7893"/>
        <item t="data" sd="1" m="1" x="5584"/>
        <item t="data" sd="1" m="1" x="7894"/>
        <item t="data" sd="1" m="1" x="7895"/>
        <item t="data" sd="1" m="1" x="7896"/>
        <item t="data" sd="1" m="1" x="7311"/>
        <item t="data" sd="1" m="1" x="7897"/>
        <item t="data" sd="1" m="1" x="7898"/>
        <item t="data" sd="1" m="1" x="7899"/>
        <item t="data" sd="1" m="1" x="7203"/>
        <item t="data" sd="1" m="1" x="7669"/>
        <item t="data" sd="1" m="1" x="7900"/>
        <item t="data" sd="1" m="1" x="7901"/>
        <item t="data" sd="1" m="1" x="7902"/>
        <item t="data" sd="1" m="1" x="7903"/>
        <item t="data" sd="1" m="1" x="6004"/>
        <item t="data" sd="1" m="1" x="7904"/>
        <item t="data" sd="1" m="1" x="7905"/>
        <item t="data" sd="1" m="1" x="7906"/>
        <item t="data" sd="1" m="1" x="7907"/>
        <item t="data" sd="1" m="1" x="7317"/>
        <item t="data" sd="1" m="1" x="7908"/>
        <item t="data" sd="1" m="1" x="7909"/>
        <item t="data" sd="1" m="1" x="6413"/>
        <item t="data" sd="1" m="1" x="7910"/>
        <item t="data" sd="1" m="1" x="7675"/>
        <item t="data" sd="1" m="1" x="7319"/>
        <item t="data" sd="1" m="1" x="7082"/>
        <item t="data" sd="1" m="1" x="7320"/>
        <item t="data" sd="1" m="1" x="7542"/>
        <item t="data" sd="1" m="1" x="7543"/>
        <item t="data" sd="1" m="1" x="7546"/>
        <item t="data" sd="1" m="1" x="7547"/>
        <item t="data" sd="1" m="1" x="7548"/>
        <item t="data" sd="1" m="1" x="7550"/>
        <item t="data" sd="1" m="1" x="7551"/>
        <item t="data" sd="1" m="1" x="7553"/>
        <item t="data" sd="1" m="1" x="7554"/>
        <item t="data" sd="1" m="1" x="7555"/>
        <item t="data" sd="1" m="1" x="7571"/>
        <item t="data" sd="1" m="1" x="7911"/>
        <item t="data" sd="1" m="1" x="7912"/>
        <item t="data" sd="1" m="1" x="7913"/>
        <item t="data" sd="1" m="1" x="7143"/>
        <item t="data" sd="1" m="1" x="7914"/>
        <item t="data" sd="1" m="1" x="7915"/>
        <item t="data" sd="1" m="1" x="7916"/>
        <item t="data" sd="1" m="1" x="7917"/>
        <item t="data" sd="1" m="1" x="6954"/>
        <item t="data" sd="1" m="1" x="7918"/>
        <item t="data" sd="1" m="1" x="7919"/>
        <item t="data" sd="1" m="1" x="7920"/>
        <item t="data" sd="1" m="1" x="5954"/>
        <item t="data" sd="1" m="1" x="7921"/>
        <item t="data" sd="1" m="1" x="5473"/>
        <item t="data" sd="1" m="1" x="7922"/>
        <item t="data" sd="1" m="1" x="7923"/>
        <item t="data" sd="1" m="1" x="7924"/>
        <item t="data" sd="1" m="1" x="7925"/>
        <item t="data" sd="1" m="1" x="7759"/>
        <item t="data" sd="1" m="1" x="7926"/>
        <item t="data" sd="1" m="1" x="7927"/>
        <item t="data" sd="1" m="1" x="7928"/>
        <item t="data" sd="1" m="1" x="7686"/>
        <item t="data" sd="1" m="1" x="7929"/>
        <item t="data" sd="1" m="1" x="5849"/>
        <item t="data" sd="1" m="1" x="6661"/>
        <item t="data" sd="1" m="1" x="7705"/>
        <item t="data" sd="1" m="1" x="7930"/>
        <item t="data" sd="1" m="1" x="7931"/>
        <item t="data" sd="1" m="1" x="7932"/>
        <item t="data" sd="1" m="1" x="7933"/>
        <item t="data" sd="1" m="1" x="7544"/>
        <item t="data" sd="1" m="1" x="7934"/>
        <item t="data" sd="1" m="1" x="7690"/>
        <item t="data" sd="1" m="1" x="7693"/>
        <item t="data" sd="1" m="1" x="7559"/>
        <item t="data" sd="1" m="1" x="7695"/>
        <item t="data" sd="1" m="1" x="6239"/>
        <item t="data" sd="1" m="1" x="6129"/>
        <item t="data" sd="1" m="1" x="7698"/>
        <item t="data" sd="1" m="1" x="7935"/>
        <item t="data" sd="1" m="1" x="4255"/>
        <item t="data" sd="1" m="1" x="6195"/>
        <item t="data" sd="1" m="1" x="6845"/>
        <item t="data" sd="1" m="1" x="7936"/>
        <item t="data" sd="1" m="1" x="7937"/>
        <item t="data" sd="1" m="1" x="7938"/>
        <item t="data" sd="1" m="1" x="7939"/>
        <item t="data" sd="1" m="1" x="7050"/>
        <item t="data" sd="1" m="1" x="7940"/>
        <item t="data" sd="1" m="1" x="7941"/>
        <item t="data" sd="1" m="1" x="7047"/>
        <item t="data" sd="1" m="1" x="7942"/>
        <item t="data" sd="1" m="1" x="7943"/>
        <item t="data" sd="1" m="1" x="7944"/>
        <item t="data" sd="1" m="1" x="5557"/>
        <item t="data" sd="1" m="1" x="7267"/>
        <item t="data" sd="1" m="1" x="6330"/>
        <item t="data" sd="1" m="1" x="7945"/>
        <item t="data" sd="1" m="1" x="7059"/>
        <item t="data" sd="1" m="1" x="7061"/>
        <item t="data" sd="1" m="1" x="7946"/>
        <item t="data" sd="1" m="1" x="7064"/>
        <item t="data" sd="1" m="1" x="7068"/>
        <item t="data" sd="1" m="1" x="7067"/>
        <item t="data" sd="1" m="1" x="7065"/>
        <item t="data" sd="1" m="1" x="7489"/>
        <item t="data" sd="1" m="1" x="7947"/>
        <item t="data" sd="1" m="1" x="7948"/>
        <item t="data" sd="1" m="1" x="7949"/>
        <item t="data" sd="1" m="1" x="7950"/>
        <item t="data" sd="1" m="1" x="7701"/>
        <item t="data" sd="1" m="1" x="7700"/>
        <item t="data" sd="1" m="1" x="7951"/>
        <item t="data" sd="1" m="1" x="7952"/>
        <item t="data" sd="1" m="1" x="7953"/>
        <item t="data" sd="1" m="1" x="7954"/>
        <item t="data" sd="1" m="1" x="7955"/>
        <item t="data" sd="1" m="1" x="7956"/>
        <item t="data" sd="1" m="1" x="7957"/>
        <item t="data" sd="1" m="1" x="7958"/>
        <item t="data" sd="1" m="1" x="6476"/>
        <item t="data" sd="1" m="1" x="7959"/>
        <item t="data" sd="1" m="1" x="7960"/>
        <item t="data" sd="1" m="1" x="7961"/>
        <item t="data" sd="1" m="1" x="7962"/>
        <item t="data" sd="1" m="1" x="7751"/>
        <item t="data" sd="1" m="1" x="7963"/>
        <item t="data" sd="1" m="1" x="7964"/>
        <item t="data" sd="1" m="1" x="7965"/>
        <item t="data" sd="1" m="1" x="7966"/>
        <item t="data" sd="1" m="1" x="6851"/>
        <item t="data" sd="1" m="1" x="7967"/>
        <item t="data" sd="1" m="1" x="7968"/>
        <item t="data" sd="1" m="1" x="7969"/>
        <item t="data" sd="1" m="1" x="7970"/>
        <item t="data" sd="1" m="1" x="6242"/>
        <item t="data" sd="1" m="1" x="6252"/>
        <item t="data" sd="1" m="1" x="7971"/>
        <item t="data" sd="1" m="1" x="7972"/>
        <item t="data" sd="1" m="1" x="7973"/>
        <item t="data" sd="1" m="1" x="7974"/>
        <item t="data" sd="1" m="1" x="7975"/>
        <item t="data" sd="1" m="1" x="7976"/>
        <item t="data" sd="1" m="1" x="7977"/>
        <item t="data" sd="1" m="1" x="7070"/>
        <item t="data" sd="1" m="1" x="7978"/>
        <item t="data" sd="1" m="1" x="7793"/>
        <item t="data" sd="1" m="1" x="7979"/>
        <item t="data" sd="1" m="1" x="7980"/>
        <item t="data" sd="1" m="1" x="7981"/>
        <item t="data" sd="1" m="1" x="7785"/>
        <item t="data" sd="1" m="1" x="7982"/>
        <item t="data" sd="1" m="1" x="7088"/>
        <item t="data" sd="1" m="1" x="7528"/>
        <item t="data" sd="1" m="1" x="5830"/>
        <item t="data" sd="1" m="1" x="7694"/>
        <item t="data" sd="1" m="1" x="7706"/>
        <item t="data" sd="1" m="1" x="7707"/>
        <item t="data" sd="1" m="1" x="4258"/>
        <item t="data" sd="1" m="1" x="7708"/>
        <item t="data" sd="1" m="1" x="7709"/>
        <item t="data" sd="1" m="1" x="7537"/>
        <item t="data" sd="1" m="1" x="7538"/>
        <item t="data" sd="1" m="1" x="7710"/>
        <item t="data" sd="1" m="1" x="7711"/>
        <item t="data" sd="1" m="1" x="7539"/>
        <item t="data" sd="1" m="1" x="7712"/>
        <item t="data" sd="1" m="1" x="5394"/>
        <item t="data" sd="1" m="1" x="6534"/>
        <item t="data" sd="1" m="1" x="7713"/>
        <item t="data" sd="1" m="1" x="7714"/>
        <item t="data" sd="1" m="1" x="6223"/>
        <item t="data" sd="1" m="1" x="7715"/>
        <item t="data" sd="1" m="1" x="7716"/>
        <item t="data" sd="1" m="1" x="7717"/>
        <item t="data" sd="1" m="1" x="7718"/>
        <item t="data" sd="1" m="1" x="7719"/>
        <item t="data" sd="1" m="1" x="7196"/>
        <item t="data" sd="1" m="1" x="7720"/>
        <item t="data" sd="1" m="1" x="7721"/>
        <item t="data" sd="1" m="1" x="7722"/>
        <item t="data" sd="1" m="1" x="7723"/>
        <item t="data" sd="1" m="1" x="7326"/>
        <item t="data" sd="1" m="1" x="7315"/>
        <item t="data" sd="1" m="1" x="7724"/>
        <item t="data" sd="1" m="1" x="7725"/>
        <item t="data" sd="1" m="1" x="7726"/>
        <item t="data" sd="1" m="1" x="7541"/>
        <item t="data" sd="1" m="1" x="6041"/>
        <item t="data" sd="1" m="1" x="7322"/>
        <item t="data" sd="1" m="1" x="7727"/>
        <item t="data" sd="1" m="1" x="7567"/>
        <item t="data" sd="1" m="1" x="7729"/>
        <item t="data" sd="1" m="1" x="7730"/>
        <item t="data" sd="1" m="1" x="7731"/>
        <item t="data" sd="1" m="1" x="7732"/>
        <item t="data" sd="1" m="1" x="7733"/>
        <item t="data" sd="1" m="1" x="7734"/>
        <item t="data" sd="1" m="1" x="7735"/>
        <item t="data" sd="1" m="1" x="7736"/>
        <item t="data" sd="1" m="1" x="7323"/>
        <item t="data" sd="1" m="1" x="7324"/>
        <item t="data" sd="1" m="1" x="5437"/>
        <item t="data" sd="1" m="1" x="7545"/>
        <item t="data" sd="1" m="1" x="7737"/>
        <item t="data" sd="1" m="1" x="7556"/>
        <item t="data" sd="1" m="1" x="5474"/>
        <item t="data" sd="1" m="1" x="7738"/>
        <item t="data" sd="1" m="1" x="7329"/>
        <item t="data" sd="1" m="1" x="7332"/>
        <item t="data" sd="1" m="1" x="7739"/>
        <item t="data" sd="1" m="1" x="7206"/>
        <item t="data" sd="1" m="1" x="7740"/>
        <item t="data" sd="1" m="1" x="7741"/>
        <item t="data" sd="1" m="1" x="6025"/>
        <item t="data" sd="1" m="1" x="7742"/>
        <item t="data" sd="1" m="1" x="7743"/>
        <item t="data" sd="1" m="1" x="7744"/>
        <item t="data" sd="1" m="1" x="7228"/>
        <item t="data" sd="1" m="1" x="7745"/>
        <item t="data" sd="1" m="1" x="7746"/>
        <item t="data" sd="1" m="1" x="7747"/>
        <item t="data" sd="1" m="1" x="6977"/>
        <item t="data" sd="1" m="1" x="6978"/>
        <item t="data" sd="1" m="1" x="7335"/>
        <item t="data" sd="1" m="1" x="7748"/>
        <item t="data" sd="1" m="1" x="6495"/>
        <item t="data" sd="1" m="1" x="7749"/>
        <item t="data" sd="1" m="1" x="7750"/>
        <item t="data" sd="1" m="1" x="6262"/>
        <item t="data" sd="1" m="1" x="7752"/>
        <item t="data" sd="1" m="1" x="7753"/>
        <item t="data" sd="1" m="1" x="7558"/>
        <item t="data" sd="1" m="1" x="7754"/>
        <item t="data" sd="1" m="1" x="7755"/>
        <item t="data" sd="1" m="1" x="6250"/>
        <item t="data" sd="1" m="1" x="6251"/>
        <item t="data" sd="1" m="1" x="7756"/>
        <item t="data" sd="1" m="1" x="7757"/>
        <item t="data" sd="1" m="1" x="7758"/>
        <item t="data" sd="1" m="1" x="7760"/>
        <item t="data" sd="1" m="1" x="7560"/>
        <item t="data" sd="1" m="1" x="7761"/>
        <item t="data" sd="1" m="1" x="7762"/>
        <item t="data" sd="1" m="1" x="7763"/>
        <item t="data" sd="1" m="1" x="7562"/>
        <item t="data" sd="1" m="1" x="7764"/>
        <item t="data" sd="1" m="1" x="7765"/>
        <item t="data" sd="1" m="1" x="7767"/>
        <item t="data" sd="1" m="1" x="7768"/>
        <item t="data" sd="1" m="1" x="7769"/>
        <item t="data" sd="1" m="1" x="7770"/>
        <item t="data" sd="1" m="1" x="7771"/>
        <item t="data" sd="1" m="1" x="7772"/>
        <item t="data" sd="1" m="1" x="7774"/>
        <item t="data" sd="1" m="1" x="7775"/>
        <item t="data" sd="1" m="1" x="7776"/>
        <item t="data" sd="1" m="1" x="5596"/>
        <item t="data" sd="1" m="1" x="6188"/>
        <item t="data" sd="1" m="1" x="7777"/>
        <item t="data" sd="1" m="1" x="6425"/>
        <item t="data" sd="1" m="1" x="7778"/>
        <item t="data" sd="1" m="1" x="7780"/>
        <item t="data" sd="1" m="1" x="7781"/>
        <item t="data" sd="1" m="1" x="7782"/>
        <item t="data" sd="1" m="1" x="7783"/>
        <item t="data" sd="1" m="1" x="7277"/>
        <item t="data" sd="1" m="1" x="7784"/>
        <item t="data" sd="1" m="1" x="7786"/>
        <item t="data" sd="1" m="1" x="7787"/>
        <item t="data" sd="1" m="1" x="7788"/>
        <item t="data" sd="1" m="1" x="7565"/>
        <item t="data" sd="1" m="1" x="7568"/>
        <item t="data" sd="1" m="1" x="7789"/>
        <item t="data" sd="1" m="1" x="7790"/>
        <item t="data" sd="1" m="1" x="7563"/>
        <item t="data" sd="1" m="1" x="7791"/>
        <item t="data" sd="1" m="1" x="7792"/>
        <item t="data" sd="1" m="1" x="7564"/>
        <item t="data" sd="1" m="1" x="7648"/>
        <item t="data" sd="1" m="1" x="7566"/>
        <item t="data" sd="1" m="1" x="7569"/>
        <item t="data" sd="1" m="1" x="7794"/>
        <item t="data" sd="1" m="1" x="7493"/>
        <item t="data" sd="1" m="1" x="7795"/>
        <item t="data" sd="1" m="1" x="7796"/>
        <item t="data" sd="1" m="1" x="7797"/>
        <item t="data" sd="1" m="1" x="7798"/>
        <item t="data" sd="1" m="1" x="7799"/>
        <item t="data" sd="1" m="1" x="7800"/>
        <item t="data" sd="1" m="1" x="7801"/>
        <item t="data" sd="1" m="1" x="7802"/>
        <item t="data" sd="1" m="1" x="6385"/>
        <item t="data" sd="1" m="1" x="7803"/>
        <item t="data" sd="1" m="1" x="7804"/>
        <item t="data" sd="1" m="1" x="7573"/>
        <item t="data" sd="1" m="1" x="7805"/>
        <item t="data" sd="1" m="1" x="7806"/>
        <item t="data" sd="1" m="1" x="7807"/>
        <item t="data" sd="1" m="1" x="7653"/>
        <item t="data" sd="1" m="1" x="7529"/>
        <item t="data" sd="1" m="1" x="7572"/>
        <item t="data" sd="1" m="1" x="7305"/>
        <item t="data" sd="1" m="1" x="7306"/>
        <item t="data" sd="1" m="1" x="7307"/>
        <item t="data" sd="1" m="1" x="7308"/>
        <item t="data" sd="1" m="1" x="7309"/>
        <item t="data" sd="1" m="1" x="7310"/>
        <item t="data" sd="1" m="1" x="7348"/>
        <item t="data" sd="1" m="1" x="7349"/>
        <item t="data" sd="1" m="1" x="7350"/>
        <item t="data" sd="1" m="1" x="7494"/>
        <item t="data" sd="1" m="1" x="7184"/>
        <item t="data" sd="1" m="1" x="7354"/>
        <item t="data" sd="1" m="1" x="7574"/>
        <item t="data" sd="1" m="1" x="7575"/>
        <item t="data" sd="1" m="1" x="7576"/>
        <item t="data" sd="1" m="1" x="7577"/>
        <item t="data" sd="1" m="1" x="7578"/>
        <item t="data" sd="1" m="1" x="7579"/>
        <item t="data" sd="1" m="1" x="7580"/>
        <item t="data" sd="1" m="1" x="7581"/>
        <item t="data" sd="1" m="1" x="7582"/>
        <item t="data" sd="1" m="1" x="7583"/>
        <item t="data" sd="1" m="1" x="7584"/>
        <item t="data" sd="1" m="1" x="7585"/>
        <item t="data" sd="1" m="1" x="7586"/>
        <item t="data" sd="1" m="1" x="7587"/>
        <item t="data" sd="1" m="1" x="7588"/>
        <item t="data" sd="1" m="1" x="7589"/>
        <item t="data" sd="1" m="1" x="7590"/>
        <item t="data" sd="1" m="1" x="7591"/>
        <item t="data" sd="1" m="1" x="7592"/>
        <item t="data" sd="1" m="1" x="7593"/>
        <item t="data" sd="1" m="1" x="7594"/>
        <item t="data" sd="1" m="1" x="7595"/>
        <item t="data" sd="1" m="1" x="5819"/>
        <item t="data" sd="1" m="1" x="7312"/>
        <item t="data" sd="1" m="1" x="7192"/>
        <item t="data" sd="1" m="1" x="7596"/>
        <item t="data" sd="1" m="1" x="7383"/>
        <item t="data" sd="1" m="1" x="7313"/>
        <item t="data" sd="1" m="1" x="5654"/>
        <item t="data" sd="1" m="1" x="5402"/>
        <item t="data" sd="1" m="1" x="7314"/>
        <item t="data" sd="1" m="1" x="7385"/>
        <item t="data" sd="1" m="1" x="7386"/>
        <item t="data" sd="1" m="1" x="7391"/>
        <item t="data" sd="1" m="1" x="7318"/>
        <item t="data" sd="1" m="1" x="7316"/>
        <item t="data" sd="1" m="1" x="6927"/>
        <item t="data" sd="1" m="1" x="7597"/>
        <item t="data" sd="1" m="1" x="7598"/>
        <item t="data" sd="1" m="1" x="7599"/>
        <item t="data" sd="1" m="1" x="7600"/>
        <item t="data" sd="1" m="1" x="7601"/>
        <item t="data" sd="1" m="1" x="7602"/>
        <item t="data" sd="1" m="1" x="7603"/>
        <item t="data" sd="1" m="1" x="7497"/>
        <item t="data" sd="1" m="1" x="7498"/>
        <item t="data" sd="1" m="1" x="7604"/>
        <item t="data" sd="1" m="1" x="7605"/>
        <item t="data" sd="1" m="1" x="7606"/>
        <item t="data" sd="1" m="1" x="6045"/>
        <item t="data" sd="1" m="1" x="7327"/>
        <item t="data" sd="1" m="1" x="7328"/>
        <item t="data" sd="1" m="1" x="6950"/>
        <item t="data" sd="1" m="1" x="7607"/>
        <item t="data" sd="1" m="1" x="7608"/>
        <item t="data" sd="1" m="1" x="7377"/>
        <item t="data" sd="1" m="1" x="7330"/>
        <item t="data" sd="1" m="1" x="7378"/>
        <item t="data" sd="1" m="1" x="6015"/>
        <item t="data" sd="1" m="1" x="7331"/>
        <item t="data" sd="1" m="1" x="7609"/>
        <item t="data" sd="1" m="1" x="7610"/>
        <item t="data" sd="1" m="1" x="7333"/>
        <item t="data" sd="1" m="1" x="7396"/>
        <item t="data" sd="1" m="1" x="7334"/>
        <item t="data" sd="1" m="1" x="7398"/>
        <item t="data" sd="1" m="1" x="7399"/>
        <item t="data" sd="1" m="1" x="7216"/>
        <item t="data" sd="1" m="1" x="7222"/>
        <item t="data" sd="1" m="1" x="7611"/>
        <item t="data" sd="1" m="1" x="7210"/>
        <item t="data" sd="1" m="1" x="7211"/>
        <item t="data" sd="1" m="1" x="7217"/>
        <item t="data" sd="1" m="1" x="7218"/>
        <item t="data" sd="1" m="1" x="7219"/>
        <item t="data" sd="1" m="1" x="7220"/>
        <item t="data" sd="1" m="1" x="7221"/>
        <item t="data" sd="1" m="1" x="7123"/>
        <item t="data" sd="1" m="1" x="7223"/>
        <item t="data" sd="1" m="1" x="7224"/>
        <item t="data" sd="1" m="1" x="7225"/>
        <item t="data" sd="1" m="1" x="7209"/>
        <item t="data" sd="1" m="1" x="7212"/>
        <item t="data" sd="1" m="1" x="7490"/>
        <item t="data" sd="1" m="1" x="7410"/>
        <item t="data" sd="1" m="1" x="5529"/>
        <item t="data" sd="1" m="1" x="7336"/>
        <item t="data" sd="1" m="1" x="7200"/>
        <item t="data" sd="1" m="1" x="7413"/>
        <item t="data" sd="1" m="1" x="7412"/>
        <item t="data" sd="1" m="1" x="7612"/>
        <item t="data" sd="1" m="1" x="7613"/>
        <item t="data" sd="1" m="1" x="7614"/>
        <item t="data" sd="1" m="1" x="7615"/>
        <item t="data" sd="1" m="1" x="7616"/>
        <item t="data" sd="1" m="1" x="7617"/>
        <item t="data" sd="1" m="1" x="7618"/>
        <item t="data" sd="1" m="1" x="6259"/>
        <item t="data" sd="1" m="1" x="7619"/>
        <item t="data" sd="1" m="1" x="7620"/>
        <item t="data" sd="1" m="1" x="7621"/>
        <item t="data" sd="1" m="1" x="6260"/>
        <item t="data" sd="1" m="1" x="7038"/>
        <item t="data" sd="1" m="1" x="7039"/>
        <item t="data" sd="1" m="1" x="7622"/>
        <item t="data" sd="1" m="1" x="7623"/>
        <item t="data" sd="1" m="1" x="7624"/>
        <item t="data" sd="1" m="1" x="7625"/>
        <item t="data" sd="1" m="1" x="7626"/>
        <item t="data" sd="1" m="1" x="7627"/>
        <item t="data" sd="1" m="1" x="7491"/>
        <item t="data" sd="1" m="1" x="7506"/>
        <item t="data" sd="1" m="1" x="7628"/>
        <item t="data" sd="1" m="1" x="7629"/>
        <item t="data" sd="1" m="1" x="7504"/>
        <item t="data" sd="1" m="1" x="6145"/>
        <item t="data" sd="1" m="1" x="7630"/>
        <item t="data" sd="1" m="1" x="7631"/>
        <item t="data" sd="1" m="1" x="7632"/>
        <item t="data" sd="1" m="1" x="7505"/>
        <item t="data" sd="1" m="1" x="7337"/>
        <item t="data" sd="1" m="1" x="7634"/>
        <item t="data" sd="1" m="1" x="7062"/>
        <item t="data" sd="1" m="1" x="7635"/>
        <item t="data" sd="1" m="1" x="7636"/>
        <item t="data" sd="1" m="1" x="7638"/>
        <item t="data" sd="1" m="1" x="7639"/>
        <item t="data" sd="1" m="1" x="7640"/>
        <item t="data" sd="1" m="1" x="7641"/>
        <item t="data" sd="1" m="1" x="7642"/>
        <item t="data" sd="1" m="1" x="7643"/>
        <item t="data" sd="1" m="1" x="7644"/>
        <item t="data" sd="1" m="1" x="7645"/>
        <item t="data" sd="1" m="1" x="7646"/>
        <item t="data" sd="1" m="1" x="7647"/>
        <item t="data" sd="1" m="1" x="7649"/>
        <item t="data" sd="1" m="1" x="7650"/>
        <item t="data" sd="1" m="1" x="7651"/>
        <item t="data" sd="1" m="1" x="7652"/>
        <item t="data" sd="1" m="1" x="7340"/>
        <item t="data" sd="1" m="1" x="5566"/>
        <item t="data" sd="1" m="1" x="7492"/>
        <item t="data" sd="1" m="1" x="7180"/>
        <item t="data" sd="1" m="1" x="7341"/>
        <item t="data" sd="1" m="1" x="7342"/>
        <item t="data" sd="1" m="1" x="7343"/>
        <item t="data" sd="1" m="1" x="7344"/>
        <item t="data" sd="1" m="1" x="7345"/>
        <item t="data" sd="1" m="1" x="7346"/>
        <item t="data" sd="1" m="1" x="7347"/>
        <item t="data" sd="1" m="1" x="7353"/>
        <item t="data" sd="1" m="1" x="7185"/>
        <item t="data" sd="1" m="1" x="7186"/>
        <item t="data" sd="1" m="1" x="7356"/>
        <item t="data" sd="1" m="1" x="6164"/>
        <item t="data" sd="1" m="1" x="6165"/>
        <item t="data" sd="1" m="1" x="6166"/>
        <item t="data" sd="1" m="1" x="6167"/>
        <item t="data" sd="1" m="1" x="6168"/>
        <item t="data" sd="1" m="1" x="6169"/>
        <item t="data" sd="1" m="1" x="6170"/>
        <item t="data" sd="1" m="1" x="7357"/>
        <item t="data" sd="1" m="1" x="7495"/>
        <item t="data" sd="1" m="1" x="5395"/>
        <item t="data" sd="1" m="1" x="6535"/>
        <item t="data" sd="1" m="1" x="7382"/>
        <item t="data" sd="1" m="1" x="6137"/>
        <item t="data" sd="1" m="1" x="7384"/>
        <item t="data" sd="1" m="1" x="7387"/>
        <item t="data" sd="1" m="1" x="7388"/>
        <item t="data" sd="1" m="1" x="7496"/>
        <item t="data" sd="1" m="1" x="7202"/>
        <item t="data" sd="1" m="1" x="7364"/>
        <item t="data" sd="1" m="1" x="7365"/>
        <item t="data" sd="1" m="1" x="5430"/>
        <item t="data" sd="1" m="1" x="7366"/>
        <item t="data" sd="1" m="1" x="7375"/>
        <item t="data" sd="1" m="1" x="7372"/>
        <item t="data" sd="1" m="1" x="7373"/>
        <item t="data" sd="1" m="1" x="7374"/>
        <item t="data" sd="1" m="1" x="6951"/>
        <item t="data" sd="1" m="1" x="7376"/>
        <item t="data" sd="1" m="1" x="7379"/>
        <item t="data" sd="1" m="1" x="7380"/>
        <item t="data" sd="1" m="1" x="7381"/>
        <item t="data" sd="1" m="1" x="7394"/>
        <item t="data" sd="1" m="1" x="7397"/>
        <item t="data" sd="1" m="1" x="7400"/>
        <item t="data" sd="1" m="1" x="7401"/>
        <item t="data" sd="1" m="1" x="7402"/>
        <item t="data" sd="1" m="1" x="7403"/>
        <item t="data" sd="1" m="1" x="7215"/>
        <item t="data" sd="1" m="1" x="7407"/>
        <item t="data" sd="1" m="1" x="6976"/>
        <item t="data" sd="1" m="1" x="7499"/>
        <item t="data" sd="1" m="1" x="7411"/>
        <item t="data" sd="1" m="1" x="6733"/>
        <item t="data" sd="1" m="1" x="7416"/>
        <item t="data" sd="1" m="1" x="7414"/>
        <item t="data" sd="1" m="1" x="7415"/>
        <item t="data" sd="1" m="1" x="7295"/>
        <item t="data" sd="1" m="1" x="7417"/>
        <item t="data" sd="1" m="1" x="7500"/>
        <item t="data" sd="1" m="1" x="6258"/>
        <item t="data" sd="1" m="1" x="7418"/>
        <item t="data" sd="1" m="1" x="7501"/>
        <item t="data" sd="1" m="1" x="7502"/>
        <item t="data" sd="1" m="1" x="7503"/>
        <item t="data" sd="1" m="1" x="7240"/>
        <item t="data" sd="1" m="1" x="6719"/>
        <item t="data" sd="1" m="1" x="7158"/>
        <item t="data" sd="1" m="1" x="7507"/>
        <item t="data" sd="1" m="1" x="6224"/>
        <item t="data" sd="1" m="1" x="7508"/>
        <item t="data" sd="1" m="1" x="7509"/>
        <item t="data" sd="1" m="1" x="7261"/>
        <item t="data" sd="1" m="1" x="7510"/>
        <item t="data" sd="1" m="1" x="7511"/>
        <item t="data" sd="1" m="1" x="7512"/>
        <item t="data" sd="1" m="1" x="7513"/>
        <item t="data" sd="1" m="1" x="7514"/>
        <item t="data" sd="1" m="1" x="6254"/>
        <item t="data" sd="1" m="1" x="6255"/>
        <item t="data" sd="1" m="1" x="6278"/>
        <item t="data" sd="1" m="1" x="7516"/>
        <item t="data" sd="1" m="1" x="7517"/>
        <item t="data" sd="1" m="1" x="7518"/>
        <item t="data" sd="1" m="1" x="7445"/>
        <item t="data" sd="1" m="1" x="7520"/>
        <item t="data" sd="1" m="1" x="7521"/>
        <item t="data" sd="1" m="1" x="7522"/>
        <item t="data" sd="1" m="1" x="7523"/>
        <item t="data" sd="1" m="1" x="7524"/>
        <item t="data" sd="1" m="1" x="7525"/>
        <item t="data" sd="1" m="1" x="7294"/>
        <item t="data" sd="1" m="1" x="7526"/>
        <item t="data" sd="1" m="1" x="7527"/>
        <item t="data" sd="1" m="1" x="4578"/>
        <item t="data" sd="1" m="1" x="7351"/>
        <item t="data" sd="1" m="1" x="7352"/>
        <item t="data" sd="1" m="1" x="7355"/>
        <item t="data" sd="1" m="1" x="7051"/>
        <item t="data" sd="1" m="1" x="7358"/>
        <item t="data" sd="1" m="1" x="4573"/>
        <item t="data" sd="1" m="1" x="7100"/>
        <item t="data" sd="1" m="1" x="7101"/>
        <item t="data" sd="1" m="1" x="6046"/>
        <item t="data" sd="1" m="1" x="7359"/>
        <item t="data" sd="1" m="1" x="7360"/>
        <item t="data" sd="1" m="1" x="7361"/>
        <item t="data" sd="1" m="1" x="7362"/>
        <item t="data" sd="1" m="1" x="7363"/>
        <item t="data" sd="1" m="1" x="7367"/>
        <item t="data" sd="1" m="1" x="7368"/>
        <item t="data" sd="1" m="1" x="7369"/>
        <item t="data" sd="1" m="1" x="6472"/>
        <item t="data" sd="1" m="1" x="7370"/>
        <item t="data" sd="1" m="1" x="6952"/>
        <item t="data" sd="1" m="1" x="7371"/>
        <item t="data" sd="1" m="1" x="4709"/>
        <item t="data" sd="1" m="1" x="7103"/>
        <item t="data" sd="1" m="1" x="7389"/>
        <item t="data" sd="1" m="1" x="7390"/>
        <item t="data" sd="1" m="1" x="7392"/>
        <item t="data" sd="1" m="1" x="7393"/>
        <item t="data" sd="1" m="1" x="7395"/>
        <item t="data" sd="1" m="1" x="6410"/>
        <item t="data" sd="1" m="1" x="7404"/>
        <item t="data" sd="1" m="1" x="7405"/>
        <item t="data" sd="1" m="1" x="7406"/>
        <item t="data" sd="1" m="1" x="6932"/>
        <item t="data" sd="1" m="1" x="6975"/>
        <item t="data" sd="1" m="1" x="6974"/>
        <item t="data" sd="1" m="1" x="7408"/>
        <item t="data" sd="1" m="1" x="5691"/>
        <item t="data" sd="1" m="1" x="7409"/>
        <item t="data" sd="1" m="1" x="7014"/>
        <item t="data" sd="1" m="1" x="7234"/>
        <item t="data" sd="1" m="1" x="7419"/>
        <item t="data" sd="1" m="1" x="7420"/>
        <item t="data" sd="1" m="1" x="7421"/>
        <item t="data" sd="1" m="1" x="7422"/>
        <item t="data" sd="1" m="1" x="7423"/>
        <item t="data" sd="1" m="1" x="7424"/>
        <item t="data" sd="1" m="1" x="7425"/>
        <item t="data" sd="1" m="1" x="7250"/>
        <item t="data" sd="1" m="1" x="7426"/>
        <item t="data" sd="1" m="1" x="7427"/>
        <item t="data" sd="1" m="1" x="7428"/>
        <item t="data" sd="1" m="1" x="7429"/>
        <item t="data" sd="1" m="1" x="7430"/>
        <item t="data" sd="1" m="1" x="6412"/>
        <item t="data" sd="1" m="1" x="7431"/>
        <item t="data" sd="1" m="1" x="7432"/>
        <item t="data" sd="1" m="1" x="7433"/>
        <item t="data" sd="1" m="1" x="7434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444"/>
        <item t="data" sd="1" m="1" x="7296"/>
        <item t="data" sd="1" m="1" x="7446"/>
        <item t="data" sd="1" m="1" x="7447"/>
        <item t="data" sd="1" m="1" x="7448"/>
        <item t="data" sd="1" m="1" x="7449"/>
        <item t="data" sd="1" m="1" x="7450"/>
        <item t="data" sd="1" m="1" x="5966"/>
        <item t="data" sd="1" m="1" x="7451"/>
        <item t="data" sd="1" m="1" x="7452"/>
        <item t="data" sd="1" m="1" x="7453"/>
        <item t="data" sd="1" m="1" x="7454"/>
        <item t="data" sd="1" m="1" x="7111"/>
        <item t="data" sd="1" m="1" x="7455"/>
        <item t="data" sd="1" m="1" x="7456"/>
        <item t="data" sd="1" m="1" x="6296"/>
        <item t="data" sd="1" m="1" x="6334"/>
        <item t="data" sd="1" m="1" x="6959"/>
        <item t="data" sd="1" m="1" x="7457"/>
        <item t="data" sd="1" m="1" x="7458"/>
        <item t="data" sd="1" m="1" x="7459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466"/>
        <item t="data" sd="1" m="1" x="7467"/>
        <item t="data" sd="1" m="1" x="7468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475"/>
        <item t="data" sd="1" m="1" x="7476"/>
        <item t="data" sd="1" m="1" x="7477"/>
        <item t="data" sd="1" m="1" x="7264"/>
        <item t="data" sd="1" m="1" x="7478"/>
        <item t="data" sd="1" m="1" x="7479"/>
        <item t="data" sd="1" m="1" x="5859"/>
        <item t="data" sd="1" m="1" x="6314"/>
        <item t="data" sd="1" m="1" x="6332"/>
        <item t="data" sd="1" m="1" x="6356"/>
        <item t="data" sd="1" m="1" x="6389"/>
        <item t="data" sd="1" m="1" x="6257"/>
        <item t="data" sd="1" m="1" x="5301"/>
        <item t="data" sd="1" m="1" x="7480"/>
        <item t="data" sd="1" m="1" x="7481"/>
        <item t="data" sd="1" m="1" x="7482"/>
        <item t="data" sd="1" m="1" x="7483"/>
        <item t="data" sd="1" m="1" x="6047"/>
        <item t="data" sd="1" m="1" x="7092"/>
        <item t="data" sd="1" m="1" x="6882"/>
        <item t="data" sd="1" m="1" x="7181"/>
        <item t="data" sd="1" m="1" x="6948"/>
        <item t="data" sd="1" m="1" x="7182"/>
        <item t="data" sd="1" m="1" x="7183"/>
        <item t="data" sd="1" m="1" x="4576"/>
        <item t="data" sd="1" m="1" x="6886"/>
        <item t="data" sd="1" m="1" x="5343"/>
        <item t="data" sd="1" m="1" x="7093"/>
        <item t="data" sd="1" m="1" x="7094"/>
        <item t="data" sd="1" m="1" x="6892"/>
        <item t="data" sd="1" m="1" x="6896"/>
        <item t="data" sd="1" m="1" x="7187"/>
        <item t="data" sd="1" m="1" x="5962"/>
        <item t="data" sd="1" m="1" x="7188"/>
        <item t="data" sd="1" m="1" x="7189"/>
        <item t="data" sd="1" m="1" x="6905"/>
        <item t="data" sd="1" m="1" x="7190"/>
        <item t="data" sd="1" m="1" x="5827"/>
        <item t="data" sd="1" m="1" x="5196"/>
        <item t="data" sd="1" m="1" x="7191"/>
        <item t="data" sd="1" m="1" x="7102"/>
        <item t="data" sd="1" m="1" x="7099"/>
        <item t="data" sd="1" m="1" x="6724"/>
        <item t="data" sd="1" m="1" x="6916"/>
        <item t="data" sd="1" m="1" x="6917"/>
        <item t="data" sd="1" m="1" x="6551"/>
        <item t="data" sd="1" m="1" x="7193"/>
        <item t="data" sd="1" m="1" x="4580"/>
        <item t="data" sd="1" m="1" x="7091"/>
        <item t="data" sd="1" m="1" x="5061"/>
        <item t="data" sd="1" m="1" x="7194"/>
        <item t="data" sd="1" m="1" x="7195"/>
        <item t="data" sd="1" m="1" x="7197"/>
        <item t="data" sd="1" m="1" x="7104"/>
        <item t="data" sd="1" m="1" x="7105"/>
        <item t="data" sd="1" m="1" x="7106"/>
        <item t="data" sd="1" m="1" x="7107"/>
        <item t="data" sd="1" m="1" x="6925"/>
        <item t="data" sd="1" m="1" x="6603"/>
        <item t="data" sd="1" m="1" x="6929"/>
        <item t="data" sd="1" m="1" x="6926"/>
        <item t="data" sd="1" m="1" x="7198"/>
        <item t="data" sd="1" m="1" x="7199"/>
        <item t="data" sd="1" m="1" x="6777"/>
        <item t="data" sd="1" m="1" x="7201"/>
        <item t="data" sd="1" m="1" x="6312"/>
        <item t="data" sd="1" m="1" x="6732"/>
        <item t="data" sd="1" m="1" x="7113"/>
        <item t="data" sd="1" m="1" x="6731"/>
        <item t="data" sd="1" m="1" x="6935"/>
        <item t="data" sd="1" m="1" x="7115"/>
        <item t="data" sd="1" m="1" x="6944"/>
        <item t="data" sd="1" m="1" x="6464"/>
        <item t="data" sd="1" m="1" x="6465"/>
        <item t="data" sd="1" m="1" x="6945"/>
        <item t="data" sd="1" m="1" x="6210"/>
        <item t="data" sd="1" m="1" x="5237"/>
        <item t="data" sd="1" m="1" x="4581"/>
        <item t="data" sd="1" m="1" x="6094"/>
        <item t="data" sd="1" m="1" x="7204"/>
        <item t="data" sd="1" m="1" x="6783"/>
        <item t="data" sd="1" m="1" x="6553"/>
        <item t="data" sd="1" m="1" x="7144"/>
        <item t="data" sd="1" m="1" x="6960"/>
        <item t="data" sd="1" m="1" x="6942"/>
        <item t="data" sd="1" m="1" x="4582"/>
        <item t="data" sd="1" m="1" x="6809"/>
        <item t="data" sd="1" m="1" x="5467"/>
        <item t="data" sd="1" m="1" x="6965"/>
        <item t="data" sd="1" m="1" x="6963"/>
        <item t="data" sd="1" m="1" x="6964"/>
        <item t="data" sd="1" m="1" x="6967"/>
        <item t="data" sd="1" m="1" x="7205"/>
        <item t="data" sd="1" m="1" x="6024"/>
        <item t="data" sd="1" m="1" x="6635"/>
        <item t="data" sd="1" m="1" x="7207"/>
        <item t="data" sd="1" m="1" x="7208"/>
        <item t="data" sd="1" m="1" x="7213"/>
        <item t="data" sd="1" m="1" x="7214"/>
        <item t="data" sd="1" m="1" x="7226"/>
        <item t="data" sd="1" m="1" x="7227"/>
        <item t="data" sd="1" m="1" x="6150"/>
        <item t="data" sd="1" m="1" x="6654"/>
        <item t="data" sd="1" m="1" x="6979"/>
        <item t="data" sd="1" m="1" x="6980"/>
        <item t="data" sd="1" m="1" x="6983"/>
        <item t="data" sd="1" m="1" x="6984"/>
        <item t="data" sd="1" m="1" x="5060"/>
        <item t="data" sd="1" m="1" x="6998"/>
        <item t="data" sd="1" m="1" x="6996"/>
        <item t="data" sd="1" m="1" x="7229"/>
        <item t="data" sd="1" m="1" x="6997"/>
        <item t="data" sd="1" m="1" x="6994"/>
        <item t="data" sd="1" m="1" x="7230"/>
        <item t="data" sd="1" m="1" x="6422"/>
        <item t="data" sd="1" m="1" x="6423"/>
        <item t="data" sd="1" m="1" x="6414"/>
        <item t="data" sd="1" m="1" x="6415"/>
        <item t="data" sd="1" m="1" x="6416"/>
        <item t="data" sd="1" m="1" x="7232"/>
        <item t="data" sd="1" m="1" x="7233"/>
        <item t="data" sd="1" m="1" x="7017"/>
        <item t="data" sd="1" m="1" x="6568"/>
        <item t="data" sd="1" m="1" x="7235"/>
        <item t="data" sd="1" m="1" x="7236"/>
        <item t="data" sd="1" m="1" x="7237"/>
        <item t="data" sd="1" m="1" x="7238"/>
        <item t="data" sd="1" m="1" x="7239"/>
        <item t="data" sd="1" m="1" x="7241"/>
        <item t="data" sd="1" m="1" x="7242"/>
        <item t="data" sd="1" m="1" x="7243"/>
        <item t="data" sd="1" m="1" x="6369"/>
        <item t="data" sd="1" m="1" x="7245"/>
        <item t="data" sd="1" m="1" x="7154"/>
        <item t="data" sd="1" m="1" x="6219"/>
        <item t="data" sd="1" m="1" x="6420"/>
        <item t="data" sd="1" m="1" x="6421"/>
        <item t="data" sd="1" m="1" x="6424"/>
        <item t="data" sd="1" m="1" x="7247"/>
        <item t="data" sd="1" m="1" x="7248"/>
        <item t="data" sd="1" m="1" x="6426"/>
        <item t="data" sd="1" m="1" x="7249"/>
        <item t="data" sd="1" m="1" x="7251"/>
        <item t="data" sd="1" m="1" x="6084"/>
        <item t="data" sd="1" m="1" x="7252"/>
        <item t="data" sd="1" m="1" x="7253"/>
        <item t="data" sd="1" m="1" x="7254"/>
        <item t="data" sd="1" m="1" x="7256"/>
        <item t="data" sd="1" m="1" x="7257"/>
        <item t="data" sd="1" m="1" x="6727"/>
        <item t="data" sd="1" m="1" x="7258"/>
        <item t="data" sd="1" m="1" x="7259"/>
        <item t="data" sd="1" m="1" x="7262"/>
        <item t="data" sd="1" m="1" x="6244"/>
        <item t="data" sd="1" m="1" x="7263"/>
        <item t="data" sd="1" m="1" x="7265"/>
        <item t="data" sd="1" m="1" x="6347"/>
        <item t="data" sd="1" m="1" x="7266"/>
        <item t="data" sd="1" m="1" x="6353"/>
        <item t="data" sd="1" m="1" x="6333"/>
        <item t="data" sd="1" m="1" x="7268"/>
        <item t="data" sd="1" m="1" x="6331"/>
        <item t="data" sd="1" m="1" x="6734"/>
        <item t="data" sd="1" m="1" x="7052"/>
        <item t="data" sd="1" m="1" x="7269"/>
        <item t="data" sd="1" m="1" x="6606"/>
        <item t="data" sd="1" m="1" x="7271"/>
        <item t="data" sd="1" m="1" x="6357"/>
        <item t="data" sd="1" m="1" x="7272"/>
        <item t="data" sd="1" m="1" x="7273"/>
        <item t="data" sd="1" m="1" x="7274"/>
        <item t="data" sd="1" m="1" x="6398"/>
        <item t="data" sd="1" m="1" x="5287"/>
        <item t="data" sd="1" m="1" x="6341"/>
        <item t="data" sd="1" m="1" x="6340"/>
        <item t="data" sd="1" m="1" x="7275"/>
        <item t="data" sd="1" m="1" x="7276"/>
        <item t="data" sd="1" m="1" x="6136"/>
        <item t="data" sd="1" m="1" x="7170"/>
        <item t="data" sd="1" m="1" x="7278"/>
        <item t="data" sd="1" m="1" x="6722"/>
        <item t="data" sd="1" m="1" x="7279"/>
        <item t="data" sd="1" m="1" x="6275"/>
        <item t="data" sd="1" m="1" x="7280"/>
        <item t="data" sd="1" m="1" x="7281"/>
        <item t="data" sd="1" m="1" x="7282"/>
        <item t="data" sd="1" m="1" x="7283"/>
        <item t="data" sd="1" m="1" x="7284"/>
        <item t="data" sd="1" m="1" x="7285"/>
        <item t="data" sd="1" m="1" x="7286"/>
        <item t="data" sd="1" m="1" x="7287"/>
        <item t="data" sd="1" m="1" x="6256"/>
        <item t="data" sd="1" m="1" x="7288"/>
        <item t="data" sd="1" m="1" x="7289"/>
        <item t="data" sd="1" m="1" x="7290"/>
        <item t="data" sd="1" m="1" x="7291"/>
        <item t="data" sd="1" m="1" x="7292"/>
        <item t="data" sd="1" m="1" x="6249"/>
        <item t="data" sd="1" m="1" x="7293"/>
        <item t="data" sd="1" m="1" x="4583"/>
        <item t="data" sd="1" m="1" x="6218"/>
        <item t="data" sd="1" m="1" x="6875"/>
        <item t="data" sd="1" m="1" x="6721"/>
        <item t="data" sd="1" m="1" x="6720"/>
        <item t="data" sd="1" m="1" x="4577"/>
        <item t="data" sd="1" m="1" x="5669"/>
        <item t="data" sd="1" m="1" x="6885"/>
        <item t="data" sd="1" m="1" x="6749"/>
        <item t="data" sd="1" m="1" x="6887"/>
        <item t="data" sd="1" m="1" x="6888"/>
        <item t="data" sd="1" m="1" x="4579"/>
        <item t="data" sd="1" m="1" x="7095"/>
        <item t="data" sd="1" m="1" x="6895"/>
        <item t="data" sd="1" m="1" x="6894"/>
        <item t="data" sd="1" m="1" x="7096"/>
        <item t="data" sd="1" m="1" x="5367"/>
        <item t="data" sd="1" m="1" x="6904"/>
        <item t="data" sd="1" m="1" x="6901"/>
        <item t="data" sd="1" m="1" x="6906"/>
        <item t="data" sd="1" m="1" x="7097"/>
        <item t="data" sd="1" m="1" x="6909"/>
        <item t="data" sd="1" m="1" x="6911"/>
        <item t="data" sd="1" m="1" x="6830"/>
        <item t="data" sd="1" m="1" x="6138"/>
        <item t="data" sd="1" m="1" x="6915"/>
        <item t="data" sd="1" m="1" x="6918"/>
        <item t="data" sd="1" m="1" x="5935"/>
        <item t="data" sd="1" m="1" x="5916"/>
        <item t="data" sd="1" m="1" x="5063"/>
        <item t="data" sd="1" m="1" x="5414"/>
        <item t="data" sd="1" m="1" x="6921"/>
        <item t="data" sd="1" m="1" x="6922"/>
        <item t="data" sd="1" m="1" x="6919"/>
        <item t="data" sd="1" m="1" x="6920"/>
        <item t="data" sd="1" m="1" x="6158"/>
        <item t="data" sd="1" m="1" x="6923"/>
        <item t="data" sd="1" m="1" x="6768"/>
        <item t="data" sd="1" m="1" x="6928"/>
        <item t="data" sd="1" m="1" x="6767"/>
        <item t="data" sd="1" m="1" x="7108"/>
        <item t="data" sd="1" m="1" x="7109"/>
        <item t="data" sd="1" m="1" x="6930"/>
        <item t="data" sd="1" m="1" x="6933"/>
        <item t="data" sd="1" m="1" x="7110"/>
        <item t="data" sd="1" m="1" x="7112"/>
        <item t="data" sd="1" m="1" x="6936"/>
        <item t="data" sd="1" m="1" x="7114"/>
        <item t="data" sd="1" m="1" x="7116"/>
        <item t="data" sd="1" m="1" x="6786"/>
        <item t="data" sd="1" m="1" x="6787"/>
        <item t="data" sd="1" m="1" x="6788"/>
        <item t="data" sd="1" m="1" x="6789"/>
        <item t="data" sd="1" m="1" x="5948"/>
        <item t="data" sd="1" m="1" x="7117"/>
        <item t="data" sd="1" m="1" x="7118"/>
        <item t="data" sd="1" m="1" x="7119"/>
        <item t="data" sd="1" m="1" x="7120"/>
        <item t="data" sd="1" m="1" x="5945"/>
        <item t="data" sd="1" m="1" x="5946"/>
        <item t="data" sd="1" m="1" x="6941"/>
        <item t="data" sd="1" m="1" x="6943"/>
        <item t="data" sd="1" m="1" x="7121"/>
        <item t="data" sd="1" m="1" x="4602"/>
        <item t="data" sd="1" m="1" x="7122"/>
        <item t="data" sd="1" m="1" x="6947"/>
        <item t="data" sd="1" m="1" x="4843"/>
        <item t="data" sd="1" m="1" x="7145"/>
        <item t="data" sd="1" m="1" x="5688"/>
        <item t="data" sd="1" m="1" x="6953"/>
        <item t="data" sd="1" m="1" x="6955"/>
        <item t="data" sd="1" m="1" x="4511"/>
        <item t="data" sd="1" m="1" x="6957"/>
        <item t="data" sd="1" m="1" x="5062"/>
        <item t="data" sd="1" m="1" x="6811"/>
        <item t="data" sd="1" m="1" x="7147"/>
        <item t="data" sd="1" m="1" x="6962"/>
        <item t="data" sd="1" m="1" x="6969"/>
        <item t="data" sd="1" m="1" x="6970"/>
        <item t="data" sd="1" m="1" x="6985"/>
        <item t="data" sd="1" m="1" x="6662"/>
        <item t="data" sd="1" m="1" x="6986"/>
        <item t="data" sd="1" m="1" x="6991"/>
        <item t="data" sd="1" m="1" x="6982"/>
        <item t="data" sd="1" m="1" x="5215"/>
        <item t="data" sd="1" m="1" x="6652"/>
        <item t="data" sd="1" m="1" x="6655"/>
        <item t="data" sd="1" m="1" x="6656"/>
        <item t="data" sd="1" m="1" x="7005"/>
        <item t="data" sd="1" m="1" x="7006"/>
        <item t="data" sd="1" m="1" x="6995"/>
        <item t="data" sd="1" m="1" x="6993"/>
        <item t="data" sd="1" m="1" x="4594"/>
        <item t="data" sd="1" m="1" x="7008"/>
        <item t="data" sd="1" m="1" x="7009"/>
        <item t="data" sd="1" m="1" x="7010"/>
        <item t="data" sd="1" m="1" x="7011"/>
        <item t="data" sd="1" m="1" x="7012"/>
        <item t="data" sd="1" m="1" x="5544"/>
        <item t="data" sd="1" m="1" x="7015"/>
        <item t="data" sd="1" m="1" x="7023"/>
        <item t="data" sd="1" m="1" x="7026"/>
        <item t="data" sd="1" m="1" x="7150"/>
        <item t="data" sd="1" m="1" x="7019"/>
        <item t="data" sd="1" m="1" x="7151"/>
        <item t="data" sd="1" m="1" x="7152"/>
        <item t="data" sd="1" m="1" x="7153"/>
        <item t="data" sd="1" m="1" x="7155"/>
        <item t="data" sd="1" m="1" x="7044"/>
        <item t="data" sd="1" m="1" x="7157"/>
        <item t="data" sd="1" m="1" x="6189"/>
        <item t="data" sd="1" m="1" x="7159"/>
        <item t="data" sd="1" m="1" x="7160"/>
        <item t="data" sd="1" m="1" x="7161"/>
        <item t="data" sd="1" m="1" x="7030"/>
        <item t="data" sd="1" m="1" x="7162"/>
        <item t="data" sd="1" m="1" x="7031"/>
        <item t="data" sd="1" m="1" x="7032"/>
        <item t="data" sd="1" m="1" x="7163"/>
        <item t="data" sd="1" m="1" x="6237"/>
        <item t="data" sd="1" m="1" x="7166"/>
        <item t="data" sd="1" m="1" x="7167"/>
        <item t="data" sd="1" m="1" x="6236"/>
        <item t="data" sd="1" m="1" x="7168"/>
        <item t="data" sd="1" m="1" x="7169"/>
        <item t="data" sd="1" m="1" x="6212"/>
        <item t="data" sd="1" m="1" x="6215"/>
        <item t="data" sd="1" m="1" x="6211"/>
        <item t="data" sd="1" m="1" x="6213"/>
        <item t="data" sd="1" m="1" x="6214"/>
        <item t="data" sd="1" m="1" x="7069"/>
        <item t="data" sd="1" m="1" x="6857"/>
        <item t="data" sd="1" m="1" x="7078"/>
        <item t="data" sd="1" m="1" x="7172"/>
        <item t="data" sd="1" m="1" x="7079"/>
        <item t="data" sd="1" m="1" x="7076"/>
        <item t="data" sd="1" m="1" x="6872"/>
        <item t="data" sd="1" m="1" x="6863"/>
        <item t="data" sd="1" m="1" x="7073"/>
        <item t="data" sd="1" m="1" x="7080"/>
        <item t="data" sd="1" m="1" x="7173"/>
        <item t="data" sd="1" m="1" x="7176"/>
        <item t="data" sd="1" m="1" x="7085"/>
        <item t="data" sd="1" m="1" x="7177"/>
        <item t="data" sd="1" m="1" x="7089"/>
        <item t="data" sd="1" m="1" x="7178"/>
        <item t="data" sd="1" m="1" x="6883"/>
        <item t="data" sd="1" m="1" x="6884"/>
        <item t="data" sd="1" m="1" x="5973"/>
        <item t="data" sd="1" m="1" x="5972"/>
        <item t="data" sd="1" m="1" x="6889"/>
        <item t="data" sd="1" m="1" x="6890"/>
        <item t="data" sd="1" m="1" x="6891"/>
        <item t="data" sd="1" m="1" x="6893"/>
        <item t="data" sd="1" m="1" x="4913"/>
        <item t="data" sd="1" m="1" x="6897"/>
        <item t="data" sd="1" m="1" x="6898"/>
        <item t="data" sd="1" m="1" x="6899"/>
        <item t="data" sd="1" m="1" x="6900"/>
        <item t="data" sd="1" m="1" x="5364"/>
        <item t="data" sd="1" m="1" x="6902"/>
        <item t="data" sd="1" m="1" x="6903"/>
        <item t="data" sd="1" m="1" x="6907"/>
        <item t="data" sd="1" m="1" x="6908"/>
        <item t="data" sd="1" m="1" x="6910"/>
        <item t="data" sd="1" m="1" x="4586"/>
        <item t="data" sd="1" m="1" x="4587"/>
        <item t="data" sd="1" m="1" x="6912"/>
        <item t="data" sd="1" m="1" x="6913"/>
        <item t="data" sd="1" m="1" x="6914"/>
        <item t="data" sd="1" m="1" x="6765"/>
        <item t="data" sd="1" m="1" x="6931"/>
        <item t="data" sd="1" m="1" x="6934"/>
        <item t="data" sd="1" m="1" x="6937"/>
        <item t="data" sd="1" m="1" x="6938"/>
        <item t="data" sd="1" m="1" x="6939"/>
        <item t="data" sd="1" m="1" x="6940"/>
        <item t="data" sd="1" m="1" x="6791"/>
        <item t="data" sd="1" m="1" x="6949"/>
        <item t="data" sd="1" m="1" x="6956"/>
        <item t="data" sd="1" m="1" x="6961"/>
        <item t="data" sd="1" m="1" x="6966"/>
        <item t="data" sd="1" m="1" x="5482"/>
        <item t="data" sd="1" m="1" x="6968"/>
        <item t="data" sd="1" m="1" x="6812"/>
        <item t="data" sd="1" m="1" x="6813"/>
        <item t="data" sd="1" m="1" x="6810"/>
        <item t="data" sd="1" m="1" x="6776"/>
        <item t="data" sd="1" m="1" x="6971"/>
        <item t="data" sd="1" m="1" x="6972"/>
        <item t="data" sd="1" m="1" x="6973"/>
        <item t="data" sd="1" m="1" x="6981"/>
        <item t="data" sd="1" m="1" x="6817"/>
        <item t="data" sd="1" m="1" x="6987"/>
        <item t="data" sd="1" m="1" x="6988"/>
        <item t="data" sd="1" m="1" x="6818"/>
        <item t="data" sd="1" m="1" x="6989"/>
        <item t="data" sd="1" m="1" x="6990"/>
        <item t="data" sd="1" m="1" x="6816"/>
        <item t="data" sd="1" m="1" x="6992"/>
        <item t="data" sd="1" m="1" x="6999"/>
        <item t="data" sd="1" m="1" x="6154"/>
        <item t="data" sd="1" m="1" x="6153"/>
        <item t="data" sd="1" m="1" x="7003"/>
        <item t="data" sd="1" m="1" x="7004"/>
        <item t="data" sd="1" m="1" x="7007"/>
        <item t="data" sd="1" m="1" x="6594"/>
        <item t="data" sd="1" m="1" x="7016"/>
        <item t="data" sd="1" m="1" x="7018"/>
        <item t="data" sd="1" m="1" x="6827"/>
        <item t="data" sd="1" m="1" x="7020"/>
        <item t="data" sd="1" m="1" x="7021"/>
        <item t="data" sd="1" m="1" x="7022"/>
        <item t="data" sd="1" m="1" x="7024"/>
        <item t="data" sd="1" m="1" x="7025"/>
        <item t="data" sd="1" m="1" x="6277"/>
        <item t="data" sd="1" m="1" x="4591"/>
        <item t="data" sd="1" m="1" x="7029"/>
        <item t="data" sd="1" m="1" x="6839"/>
        <item t="data" sd="1" m="1" x="7033"/>
        <item t="data" sd="1" m="1" x="7034"/>
        <item t="data" sd="1" m="1" x="6134"/>
        <item t="data" sd="1" m="1" x="7035"/>
        <item t="data" sd="1" m="1" x="7036"/>
        <item t="data" sd="1" m="1" x="7037"/>
        <item t="data" sd="1" m="1" x="6870"/>
        <item t="data" sd="1" m="1" x="6234"/>
        <item t="data" sd="1" m="1" x="6848"/>
        <item t="data" sd="1" m="1" x="7040"/>
        <item t="data" sd="1" m="1" x="7041"/>
        <item t="data" sd="1" m="1" x="6265"/>
        <item t="data" sd="1" m="1" x="6349"/>
        <item t="data" sd="1" m="1" x="6350"/>
        <item t="data" sd="1" m="1" x="7043"/>
        <item t="data" sd="1" m="1" x="6329"/>
        <item t="data" sd="1" m="1" x="5275"/>
        <item t="data" sd="1" m="1" x="7045"/>
        <item t="data" sd="1" m="1" x="6318"/>
        <item t="data" sd="1" m="1" x="5277"/>
        <item t="data" sd="1" m="1" x="6315"/>
        <item t="data" sd="1" m="1" x="7046"/>
        <item t="data" sd="1" m="1" x="7048"/>
        <item t="data" sd="1" m="1" x="7054"/>
        <item t="data" sd="1" m="1" x="7055"/>
        <item t="data" sd="1" m="1" x="7056"/>
        <item t="data" sd="1" m="1" x="7060"/>
        <item t="data" sd="1" m="1" x="5718"/>
        <item t="data" sd="1" m="1" x="6854"/>
        <item t="data" sd="1" m="1" x="7071"/>
        <item t="data" sd="1" m="1" x="7072"/>
        <item t="data" sd="1" m="1" x="6869"/>
        <item t="data" sd="1" m="1" x="6858"/>
        <item t="data" sd="1" m="1" x="7074"/>
        <item t="data" sd="1" m="1" x="7075"/>
        <item t="data" sd="1" m="1" x="7077"/>
        <item t="data" sd="1" m="1" x="6419"/>
        <item t="data" sd="1" m="1" x="6530"/>
        <item t="data" sd="1" m="1" x="6874"/>
        <item t="data" sd="1" m="1" x="7081"/>
        <item t="data" sd="1" m="1" x="7083"/>
        <item t="data" sd="1" m="1" x="7084"/>
        <item t="data" sd="1" m="1" x="7086"/>
        <item t="data" sd="1" m="1" x="4593"/>
        <item t="data" sd="1" m="1" x="6746"/>
        <item t="data" sd="1" m="1" x="6747"/>
        <item t="data" sd="1" m="1" x="6748"/>
        <item t="data" sd="1" m="1" x="4595"/>
        <item t="data" sd="1" m="1" x="4259"/>
        <item t="data" sd="1" m="1" x="6579"/>
        <item t="data" sd="1" m="1" x="6580"/>
        <item t="data" sd="1" m="1" x="5066"/>
        <item t="data" sd="1" m="1" x="5671"/>
        <item t="data" sd="1" m="1" x="6587"/>
        <item t="data" sd="1" m="1" x="6750"/>
        <item t="data" sd="1" m="1" x="6751"/>
        <item t="data" sd="1" m="1" x="4584"/>
        <item t="data" sd="1" m="1" x="6563"/>
        <item t="data" sd="1" m="1" x="5956"/>
        <item t="data" sd="1" m="1" x="4585"/>
        <item t="data" sd="1" m="1" x="6752"/>
        <item t="data" sd="1" m="1" x="6753"/>
        <item t="data" sd="1" m="1" x="6549"/>
        <item t="data" sd="1" m="1" x="6754"/>
        <item t="data" sd="1" m="1" x="6559"/>
        <item t="data" sd="1" m="1" x="4588"/>
        <item t="data" sd="1" m="1" x="5065"/>
        <item t="data" sd="1" m="1" x="6757"/>
        <item t="data" sd="1" m="1" x="5064"/>
        <item t="data" sd="1" m="1" x="6762"/>
        <item t="data" sd="1" m="1" x="6764"/>
        <item t="data" sd="1" m="1" x="6766"/>
        <item t="data" sd="1" m="1" x="6773"/>
        <item t="data" sd="1" m="1" x="6774"/>
        <item t="data" sd="1" m="1" x="6478"/>
        <item t="data" sd="1" m="1" x="6479"/>
        <item t="data" sd="1" m="1" x="4590"/>
        <item t="data" sd="1" m="1" x="4589"/>
        <item t="data" sd="1" m="1" x="6778"/>
        <item t="data" sd="1" m="1" x="6779"/>
        <item t="data" sd="1" m="1" x="6780"/>
        <item t="data" sd="1" m="1" x="6781"/>
        <item t="data" sd="1" m="1" x="5677"/>
        <item t="data" sd="1" m="1" x="6782"/>
        <item t="data" sd="1" m="1" x="6784"/>
        <item t="data" sd="1" m="1" x="5947"/>
        <item t="data" sd="1" m="1" x="6785"/>
        <item t="data" sd="1" m="1" x="6790"/>
        <item t="data" sd="1" m="1" x="6588"/>
        <item t="data" sd="1" m="1" x="5981"/>
        <item t="data" sd="1" m="1" x="4915"/>
        <item t="data" sd="1" m="1" x="6589"/>
        <item t="data" sd="1" m="1" x="6590"/>
        <item t="data" sd="1" m="1" x="4914"/>
        <item t="data" sd="1" m="1" x="6793"/>
        <item t="data" sd="1" m="1" x="6599"/>
        <item t="data" sd="1" m="1" x="4592"/>
        <item t="data" sd="1" m="1" x="6561"/>
        <item t="data" sd="1" m="1" x="5454"/>
        <item t="data" sd="1" m="1" x="6012"/>
        <item t="data" sd="1" m="1" x="6013"/>
        <item t="data" sd="1" m="1" x="6612"/>
        <item t="data" sd="1" m="1" x="6815"/>
        <item t="data" sd="1" m="1" x="6611"/>
        <item t="data" sd="1" m="1" x="6640"/>
        <item t="data" sd="1" m="1" x="6630"/>
        <item t="data" sd="1" m="1" x="6631"/>
        <item t="data" sd="1" m="1" x="6629"/>
        <item t="data" sd="1" m="1" x="6632"/>
        <item t="data" sd="1" m="1" x="6633"/>
        <item t="data" sd="1" m="1" x="6634"/>
        <item t="data" sd="1" m="1" x="6026"/>
        <item t="data" sd="1" m="1" x="6740"/>
        <item t="data" sd="1" m="1" x="5686"/>
        <item t="data" sd="1" m="1" x="5687"/>
        <item t="data" sd="1" m="1" x="5690"/>
        <item t="data" sd="1" m="1" x="6653"/>
        <item t="data" sd="1" m="1" x="5848"/>
        <item t="data" sd="1" m="1" x="6672"/>
        <item t="data" sd="1" m="1" x="6673"/>
        <item t="data" sd="1" m="1" x="6663"/>
        <item t="data" sd="1" m="1" x="6671"/>
        <item t="data" sd="1" m="1" x="6819"/>
        <item t="data" sd="1" m="1" x="6019"/>
        <item t="data" sd="1" m="1" x="6020"/>
        <item t="data" sd="1" m="1" x="6820"/>
        <item t="data" sd="1" m="1" x="6628"/>
        <item t="data" sd="1" m="1" x="6821"/>
        <item t="data" sd="1" m="1" x="6822"/>
        <item t="data" sd="1" m="1" x="6618"/>
        <item t="data" sd="1" m="1" x="6016"/>
        <item t="data" sd="1" m="1" x="6021"/>
        <item t="data" sd="1" m="1" x="5545"/>
        <item t="data" sd="1" m="1" x="6627"/>
        <item t="data" sd="1" m="1" x="6623"/>
        <item t="data" sd="1" m="1" x="6823"/>
        <item t="data" sd="1" m="1" x="6824"/>
        <item t="data" sd="1" m="1" x="6825"/>
        <item t="data" sd="1" m="1" x="6826"/>
        <item t="data" sd="1" m="1" x="6828"/>
        <item t="data" sd="1" m="1" x="6829"/>
        <item t="data" sd="1" m="1" x="6831"/>
        <item t="data" sd="1" m="1" x="6832"/>
        <item t="data" sd="1" m="1" x="6833"/>
        <item t="data" sd="1" m="1" x="6834"/>
        <item t="data" sd="1" m="1" x="6835"/>
        <item t="data" sd="1" m="1" x="6336"/>
        <item t="data" sd="1" m="1" x="5711"/>
        <item t="data" sd="1" m="1" x="6836"/>
        <item t="data" sd="1" m="1" x="6837"/>
        <item t="data" sd="1" m="1" x="6838"/>
        <item t="data" sd="1" m="1" x="6840"/>
        <item t="data" sd="1" m="1" x="6841"/>
        <item t="data" sd="1" m="1" x="6842"/>
        <item t="data" sd="1" m="1" x="6843"/>
        <item t="data" sd="1" m="1" x="6844"/>
        <item t="data" sd="1" m="1" x="6846"/>
        <item t="data" sd="1" m="1" x="6847"/>
        <item t="data" sd="1" m="1" x="6849"/>
        <item t="data" sd="1" m="1" x="6850"/>
        <item t="data" sd="1" m="1" x="6358"/>
        <item t="data" sd="1" m="1" x="6359"/>
        <item t="data" sd="1" m="1" x="6348"/>
        <item t="data" sd="1" m="1" x="6738"/>
        <item t="data" sd="1" m="1" x="5241"/>
        <item t="data" sd="1" m="1" x="6642"/>
        <item t="data" sd="1" m="1" x="6739"/>
        <item t="data" sd="1" m="1" x="6342"/>
        <item t="data" sd="1" m="1" x="6371"/>
        <item t="data" sd="1" m="1" x="3174"/>
        <item t="data" sd="1" m="1" x="6852"/>
        <item t="data" sd="1" m="1" x="6855"/>
        <item t="data" sd="1" m="1" x="6856"/>
        <item t="data" sd="1" m="1" x="6859"/>
        <item t="data" sd="1" m="1" x="6860"/>
        <item t="data" sd="1" m="1" x="6861"/>
        <item t="data" sd="1" m="1" x="6862"/>
        <item t="data" sd="1" m="1" x="6864"/>
        <item t="data" sd="1" m="1" x="6865"/>
        <item t="data" sd="1" m="1" x="6866"/>
        <item t="data" sd="1" m="1" x="6867"/>
        <item t="data" sd="1" m="1" x="6868"/>
        <item t="data" sd="1" m="1" x="6871"/>
        <item t="data" sd="1" m="1" x="6873"/>
        <item t="data" sd="1" m="1" x="6135"/>
        <item t="data" sd="1" m="1" x="6876"/>
        <item t="data" sd="1" m="1" x="6877"/>
        <item t="data" sd="1" m="1" x="6878"/>
        <item t="data" sd="1" m="1" x="6879"/>
        <item t="data" sd="1" m="1" x="6880"/>
        <item t="data" sd="1" m="1" x="5313"/>
        <item t="data" sd="1" m="1" x="6881"/>
        <item t="data" sd="1" m="1" x="5834"/>
        <item t="data" sd="1" m="1" x="4512"/>
        <item t="data" sd="1" m="1" x="5917"/>
        <item t="data" sd="1" m="1" x="6677"/>
        <item t="data" sd="1" m="1" x="6678"/>
        <item t="data" sd="1" m="1" x="6679"/>
        <item t="data" sd="1" m="1" x="6680"/>
        <item t="data" sd="1" m="1" x="6681"/>
        <item t="data" sd="1" m="1" x="6044"/>
        <item t="data" sd="1" m="1" x="6682"/>
        <item t="data" sd="1" m="1" x="6683"/>
        <item t="data" sd="1" m="1" x="6684"/>
        <item t="data" sd="1" m="1" x="6685"/>
        <item t="data" sd="1" m="1" x="6686"/>
        <item t="data" sd="1" m="1" x="5829"/>
        <item t="data" sd="1" m="1" x="3319"/>
        <item t="data" sd="1" m="1" x="5672"/>
        <item t="data" sd="1" m="1" x="6687"/>
        <item t="data" sd="1" m="1" x="1484"/>
        <item t="data" sd="1" m="1" x="6088"/>
        <item t="data" sd="1" m="1" x="6688"/>
        <item t="data" sd="1" m="1" x="6689"/>
        <item t="data" sd="1" m="1" x="6690"/>
        <item t="data" sd="1" m="1" x="6691"/>
        <item t="data" sd="1" m="1" x="6692"/>
        <item t="data" sd="1" m="1" x="6693"/>
        <item t="data" sd="1" m="1" x="6694"/>
        <item t="data" sd="1" m="1" x="6695"/>
        <item t="data" sd="1" m="1" x="6696"/>
        <item t="data" sd="1" m="1" x="6697"/>
        <item t="data" sd="1" m="1" x="6698"/>
        <item t="data" sd="1" m="1" x="6699"/>
        <item t="data" sd="1" m="1" x="6700"/>
        <item t="data" sd="1" m="1" x="6701"/>
        <item t="data" sd="1" m="1" x="6702"/>
        <item t="data" sd="1" m="1" x="6529"/>
        <item t="data" sd="1" m="1" x="6703"/>
        <item t="data" sd="1" m="1" x="6704"/>
        <item t="data" sd="1" m="1" x="6705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6714"/>
        <item t="data" sd="1" m="1" x="6715"/>
        <item t="data" sd="1" m="1" x="6716"/>
        <item t="data" sd="1" m="1" x="6717"/>
        <item t="data" sd="1" m="1" x="6533"/>
        <item t="data" sd="1" m="1" x="6718"/>
        <item t="data" sd="1" m="1" x="6651"/>
        <item t="data" sd="1" m="1" x="6452"/>
        <item t="data" sd="1" m="1" x="6542"/>
        <item t="data" sd="1" m="1" x="6723"/>
        <item t="data" sd="1" m="1" x="5316"/>
        <item t="data" sd="1" m="1" x="5320"/>
        <item t="data" sd="1" m="1" x="5068"/>
        <item t="data" sd="1" m="1" x="6548"/>
        <item t="data" sd="1" m="1" x="5067"/>
        <item t="data" sd="1" m="1" x="6552"/>
        <item t="data" sd="1" m="1" x="6555"/>
        <item t="data" sd="1" m="1" x="6557"/>
        <item t="data" sd="1" m="1" x="4610"/>
        <item t="data" sd="1" m="1" x="6162"/>
        <item t="data" sd="1" m="1" x="5828"/>
        <item t="data" sd="1" m="1" x="6565"/>
        <item t="data" sd="1" m="1" x="5963"/>
        <item t="data" sd="1" m="1" x="6725"/>
        <item t="data" sd="1" m="1" x="6726"/>
        <item t="data" sd="1" m="1" x="5875"/>
        <item t="data" sd="1" m="1" x="6238"/>
        <item t="data" sd="1" m="1" x="5806"/>
        <item t="data" sd="1" m="1" x="5969"/>
        <item t="data" sd="1" m="1" x="6263"/>
        <item t="data" sd="1" m="1" x="5970"/>
        <item t="data" sd="1" m="1" x="6576"/>
        <item t="data" sd="1" m="1" x="6571"/>
        <item t="data" sd="1" m="1" x="6574"/>
        <item t="data" sd="1" m="1" x="6575"/>
        <item t="data" sd="1" m="1" x="4603"/>
        <item t="data" sd="1" m="1" x="5312"/>
        <item t="data" sd="1" m="1" x="6728"/>
        <item t="data" sd="1" m="1" x="6729"/>
        <item t="data" sd="1" m="1" x="5980"/>
        <item t="data" sd="1" m="1" x="5979"/>
        <item t="data" sd="1" m="1" x="6585"/>
        <item t="data" sd="1" m="1" x="5431"/>
        <item t="data" sd="1" m="1" x="6584"/>
        <item t="data" sd="1" m="1" x="6591"/>
        <item t="data" sd="1" m="1" x="6311"/>
        <item t="data" sd="1" m="1" x="6598"/>
        <item t="data" sd="1" m="1" x="6469"/>
        <item t="data" sd="1" m="1" x="6597"/>
        <item t="data" sd="1" m="1" x="6360"/>
        <item t="data" sd="1" m="1" x="6730"/>
        <item t="data" sd="1" m="1" x="6351"/>
        <item t="data" sd="1" m="1" x="6354"/>
        <item t="data" sd="1" m="1" x="4599"/>
        <item t="data" sd="1" m="1" x="6605"/>
        <item t="data" sd="1" m="1" x="4600"/>
        <item t="data" sd="1" m="1" x="6477"/>
        <item t="data" sd="1" m="1" x="6363"/>
        <item t="data" sd="1" m="1" x="6364"/>
        <item t="data" sd="1" m="1" x="6735"/>
        <item t="data" sd="1" m="1" x="6736"/>
        <item t="data" sd="1" m="1" x="6737"/>
        <item t="data" sd="1" m="1" x="6610"/>
        <item t="data" sd="1" m="1" x="5998"/>
        <item t="data" sd="1" m="1" x="6376"/>
        <item t="data" sd="1" m="1" x="6375"/>
        <item t="data" sd="1" m="1" x="5069"/>
        <item t="data" sd="1" m="1" x="6613"/>
        <item t="data" sd="1" m="1" x="6619"/>
        <item t="data" sd="1" m="1" x="6620"/>
        <item t="data" sd="1" m="1" x="6621"/>
        <item t="data" sd="1" m="1" x="5906"/>
        <item t="data" sd="1" m="1" x="6396"/>
        <item t="data" sd="1" m="1" x="5907"/>
        <item t="data" sd="1" m="1" x="6639"/>
        <item t="data" sd="1" m="1" x="6741"/>
        <item t="data" sd="1" m="1" x="6418"/>
        <item t="data" sd="1" m="1" x="5218"/>
        <item t="data" sd="1" m="1" x="6650"/>
        <item t="data" sd="1" m="1" x="6742"/>
        <item t="data" sd="1" m="1" x="6743"/>
        <item t="data" sd="1" m="1" x="6744"/>
        <item t="data" sd="1" m="1" x="6494"/>
        <item t="data" sd="1" m="1" x="6433"/>
        <item t="data" sd="1" m="1" x="4597"/>
        <item t="data" sd="1" m="1" x="6676"/>
        <item t="data" sd="1" m="1" x="6499"/>
        <item t="data" sd="1" m="1" x="6745"/>
        <item t="data" sd="1" m="1" x="6667"/>
        <item t="data" sd="1" m="1" x="5626"/>
        <item t="data" sd="1" m="1" x="5835"/>
        <item t="data" sd="1" m="1" x="6042"/>
        <item t="data" sd="1" m="1" x="6006"/>
        <item t="data" sd="1" m="1" x="6502"/>
        <item t="data" sd="1" m="1" x="6503"/>
        <item t="data" sd="1" m="1" x="6056"/>
        <item t="data" sd="1" m="1" x="6057"/>
        <item t="data" sd="1" m="1" x="3004"/>
        <item t="data" sd="1" m="1" x="4262"/>
        <item t="data" sd="1" m="1" x="6055"/>
        <item t="data" sd="1" m="1" x="4260"/>
        <item t="data" sd="1" m="1" x="4261"/>
        <item t="data" sd="1" m="1" x="4264"/>
        <item t="data" sd="1" m="1" x="6054"/>
        <item t="data" sd="1" m="1" x="6049"/>
        <item t="data" sd="1" m="1" x="6051"/>
        <item t="data" sd="1" m="1" x="6053"/>
        <item t="data" sd="1" m="1" x="6065"/>
        <item t="data" sd="1" m="1" x="6070"/>
        <item t="data" sd="1" m="1" x="6061"/>
        <item t="data" sd="1" m="1" x="6067"/>
        <item t="data" sd="1" m="1" x="6064"/>
        <item t="data" sd="1" m="1" x="6072"/>
        <item t="data" sd="1" m="1" x="6066"/>
        <item t="data" sd="1" m="1" x="6068"/>
        <item t="data" sd="1" m="1" x="6074"/>
        <item t="data" sd="1" m="1" x="6075"/>
        <item t="data" sd="1" m="1" x="6058"/>
        <item t="data" sd="1" m="1" x="6071"/>
        <item t="data" sd="1" m="1" x="6059"/>
        <item t="data" sd="1" m="1" x="6060"/>
        <item t="data" sd="1" m="1" x="6076"/>
        <item t="data" sd="1" m="1" x="6069"/>
        <item t="data" sd="1" m="1" x="6063"/>
        <item t="data" sd="1" m="1" x="6110"/>
        <item t="data" sd="1" m="1" x="1512"/>
        <item t="data" sd="1" m="1" x="6080"/>
        <item t="data" sd="1" m="1" x="6504"/>
        <item t="data" sd="1" m="1" x="6505"/>
        <item t="data" sd="1" m="1" x="6506"/>
        <item t="data" sd="1" m="1" x="6083"/>
        <item t="data" sd="1" m="1" x="6507"/>
        <item t="data" sd="1" m="1" x="6508"/>
        <item t="data" sd="1" m="1" x="6509"/>
        <item t="data" sd="1" m="1" x="6092"/>
        <item t="data" sd="1" m="1" x="5200"/>
        <item t="data" sd="1" m="1" x="6510"/>
        <item t="data" sd="1" m="1" x="6511"/>
        <item t="data" sd="1" m="1" x="6512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18"/>
        <item t="data" sd="1" m="1" x="6519"/>
        <item t="data" sd="1" m="1" x="6451"/>
        <item t="data" sd="1" m="1" x="6520"/>
        <item t="data" sd="1" m="1" x="6521"/>
        <item t="data" sd="1" m="1" x="6522"/>
        <item t="data" sd="1" m="1" x="6523"/>
        <item t="data" sd="1" m="1" x="6524"/>
        <item t="data" sd="1" m="1" x="6525"/>
        <item t="data" sd="1" m="1" x="6526"/>
        <item t="data" sd="1" m="1" x="6527"/>
        <item t="data" sd="1" m="1" x="4605"/>
        <item t="data" sd="1" m="1" x="6528"/>
        <item t="data" sd="1" m="1" x="6531"/>
        <item t="data" sd="1" m="1" x="6532"/>
        <item t="data" sd="1" m="1" x="6127"/>
        <item t="data" sd="1" m="1" x="4609"/>
        <item t="data" sd="1" m="1" x="6541"/>
        <item t="data" sd="1" m="1" x="4608"/>
        <item t="data" sd="1" m="1" x="6131"/>
        <item t="data" sd="1" m="1" x="6543"/>
        <item t="data" sd="1" m="1" x="6544"/>
        <item t="data" sd="1" m="1" x="5595"/>
        <item t="data" sd="1" m="1" x="6481"/>
        <item t="data" sd="1" m="1" x="6545"/>
        <item t="data" sd="1" m="1" x="6546"/>
        <item t="data" sd="1" m="1" x="6547"/>
        <item t="data" sd="1" m="1" x="5623"/>
        <item t="data" sd="1" m="1" x="6550"/>
        <item t="data" sd="1" m="1" x="6142"/>
        <item t="data" sd="1" m="1" x="4786"/>
        <item t="data" sd="1" m="1" x="6554"/>
        <item t="data" sd="1" m="1" x="6556"/>
        <item t="data" sd="1" m="1" x="5077"/>
        <item t="data" sd="1" m="1" x="5078"/>
        <item t="data" sd="1" m="1" x="6558"/>
        <item t="data" sd="1" m="1" x="6560"/>
        <item t="data" sd="1" m="1" x="5817"/>
        <item t="data" sd="1" m="1" x="6562"/>
        <item t="data" sd="1" m="1" x="6163"/>
        <item t="data" sd="1" m="1" x="5960"/>
        <item t="data" sd="1" m="1" x="6564"/>
        <item t="data" sd="1" m="1" x="5961"/>
        <item t="data" sd="1" m="1" x="6187"/>
        <item t="data" sd="1" m="1" x="6566"/>
        <item t="data" sd="1" m="1" x="6222"/>
        <item t="data" sd="1" m="1" x="5807"/>
        <item t="data" sd="1" m="1" x="4607"/>
        <item t="data" sd="1" m="1" x="5808"/>
        <item t="data" sd="1" m="1" x="5809"/>
        <item t="data" sd="1" m="1" x="6245"/>
        <item t="data" sd="1" m="1" x="6567"/>
        <item t="data" sd="1" m="1" x="4606"/>
        <item t="data" sd="1" m="1" x="6569"/>
        <item t="data" sd="1" m="1" x="6264"/>
        <item t="data" sd="1" m="1" x="5974"/>
        <item t="data" sd="1" m="1" x="1468"/>
        <item t="data" sd="1" m="1" x="6570"/>
        <item t="data" sd="1" m="1" x="6572"/>
        <item t="data" sd="1" m="1" x="6573"/>
        <item t="data" sd="1" m="1" x="4616"/>
        <item t="data" sd="1" m="1" x="5073"/>
        <item t="data" sd="1" m="1" x="5074"/>
        <item t="data" sd="1" m="1" x="6577"/>
        <item t="data" sd="1" m="1" x="6578"/>
        <item t="data" sd="1" m="1" x="6581"/>
        <item t="data" sd="1" m="1" x="4604"/>
        <item t="data" sd="1" m="1" x="6582"/>
        <item t="data" sd="1" m="1" x="6279"/>
        <item t="data" sd="1" m="1" x="6282"/>
        <item t="data" sd="1" m="1" x="4362"/>
        <item t="data" sd="1" m="1" x="5620"/>
        <item t="data" sd="1" m="1" x="6291"/>
        <item t="data" sd="1" m="1" x="6283"/>
        <item t="data" sd="1" m="1" x="6583"/>
        <item t="data" sd="1" m="1" x="6586"/>
        <item t="data" sd="1" m="1" x="4601"/>
        <item t="data" sd="1" m="1" x="5982"/>
        <item t="data" sd="1" m="1" x="6592"/>
        <item t="data" sd="1" m="1" x="6593"/>
        <item t="data" sd="1" m="1" x="6595"/>
        <item t="data" sd="1" m="1" x="6596"/>
        <item t="data" sd="1" m="1" x="5983"/>
        <item t="data" sd="1" m="1" x="6600"/>
        <item t="data" sd="1" m="1" x="6326"/>
        <item t="data" sd="1" m="1" x="6601"/>
        <item t="data" sd="1" m="1" x="6602"/>
        <item t="data" sd="1" m="1" x="6343"/>
        <item t="data" sd="1" m="1" x="4598"/>
        <item t="data" sd="1" m="1" x="4611"/>
        <item t="data" sd="1" m="1" x="4612"/>
        <item t="data" sd="1" m="1" x="5207"/>
        <item t="data" sd="1" m="1" x="4596"/>
        <item t="data" sd="1" m="1" x="5744"/>
        <item t="data" sd="1" m="1" x="5743"/>
        <item t="data" sd="1" m="1" x="6352"/>
        <item t="data" sd="1" m="1" x="6355"/>
        <item t="data" sd="1" m="1" x="6366"/>
        <item t="data" sd="1" m="1" x="6365"/>
        <item t="data" sd="1" m="1" x="6607"/>
        <item t="data" sd="1" m="1" x="6608"/>
        <item t="data" sd="1" m="1" x="6368"/>
        <item t="data" sd="1" m="1" x="6609"/>
        <item t="data" sd="1" m="1" x="6005"/>
        <item t="data" sd="1" m="1" x="6003"/>
        <item t="data" sd="1" m="1" x="6011"/>
        <item t="data" sd="1" m="1" x="6380"/>
        <item t="data" sd="1" m="1" x="5071"/>
        <item t="data" sd="1" m="1" x="6614"/>
        <item t="data" sd="1" m="1" x="4935"/>
        <item t="data" sd="1" m="1" x="6615"/>
        <item t="data" sd="1" m="1" x="6616"/>
        <item t="data" sd="1" m="1" x="6617"/>
        <item t="data" sd="1" m="1" x="6023"/>
        <item t="data" sd="1" m="1" x="6624"/>
        <item t="data" sd="1" m="1" x="6625"/>
        <item t="data" sd="1" m="1" x="6328"/>
        <item t="data" sd="1" m="1" x="6626"/>
        <item t="data" sd="1" m="1" x="5851"/>
        <item t="data" sd="1" m="1" x="6486"/>
        <item t="data" sd="1" m="1" x="6487"/>
        <item t="data" sd="1" m="1" x="6636"/>
        <item t="data" sd="1" m="1" x="6637"/>
        <item t="data" sd="1" m="1" x="6638"/>
        <item t="data" sd="1" m="1" x="6641"/>
        <item t="data" sd="1" m="1" x="6643"/>
        <item t="data" sd="1" m="1" x="6644"/>
        <item t="data" sd="1" m="1" x="5685"/>
        <item t="data" sd="1" m="1" x="6645"/>
        <item t="data" sd="1" m="1" x="6646"/>
        <item t="data" sd="1" m="1" x="6647"/>
        <item t="data" sd="1" m="1" x="6648"/>
        <item t="data" sd="1" m="1" x="6649"/>
        <item t="data" sd="1" m="1" x="6493"/>
        <item t="data" sd="1" m="1" x="5072"/>
        <item t="data" sd="1" m="1" x="6664"/>
        <item t="data" sd="1" m="1" x="4917"/>
        <item t="data" sd="1" m="1" x="6665"/>
        <item t="data" sd="1" m="1" x="6666"/>
        <item t="data" sd="1" m="1" x="6668"/>
        <item t="data" sd="1" m="1" x="6669"/>
        <item t="data" sd="1" m="1" x="6670"/>
        <item t="data" sd="1" m="1" x="5521"/>
        <item t="data" sd="1" m="1" x="5076"/>
        <item t="data" sd="1" m="1" x="5837"/>
        <item t="data" sd="1" m="1" x="6434"/>
        <item t="data" sd="1" m="1" x="6435"/>
        <item t="data" sd="1" m="1" x="6436"/>
        <item t="data" sd="1" m="1" x="6437"/>
        <item t="data" sd="1" m="1" x="5921"/>
        <item t="data" sd="1" m="1" x="5673"/>
        <item t="data" sd="1" m="1" x="5682"/>
        <item t="data" sd="1" m="1" x="5199"/>
        <item t="data" sd="1" m="1" x="4918"/>
        <item t="data" sd="1" m="1" x="6442"/>
        <item t="data" sd="1" m="1" x="5281"/>
        <item t="data" sd="1" m="1" x="6089"/>
        <item t="data" sd="1" m="1" x="6090"/>
        <item t="data" sd="1" m="1" x="6091"/>
        <item t="data" sd="1" m="1" x="6126"/>
        <item t="data" sd="1" m="1" x="6443"/>
        <item t="data" sd="1" m="1" x="6444"/>
        <item t="data" sd="1" m="1" x="6445"/>
        <item t="data" sd="1" m="1" x="6123"/>
        <item t="data" sd="1" m="1" x="6446"/>
        <item t="data" sd="1" m="1" x="6447"/>
        <item t="data" sd="1" m="1" x="6448"/>
        <item t="data" sd="1" m="1" x="6099"/>
        <item t="data" sd="1" m="1" x="6122"/>
        <item t="data" sd="1" m="1" x="6104"/>
        <item t="data" sd="1" m="1" x="6121"/>
        <item t="data" sd="1" m="1" x="6119"/>
        <item t="data" sd="1" m="1" x="6120"/>
        <item t="data" sd="1" m="1" x="6105"/>
        <item t="data" sd="1" m="1" x="6449"/>
        <item t="data" sd="1" m="1" x="6450"/>
        <item t="data" sd="1" m="1" x="6100"/>
        <item t="data" sd="1" m="1" x="6112"/>
        <item t="data" sd="1" m="1" x="6113"/>
        <item t="data" sd="1" m="1" x="6109"/>
        <item t="data" sd="1" m="1" x="6111"/>
        <item t="data" sd="1" m="1" x="6106"/>
        <item t="data" sd="1" m="1" x="6107"/>
        <item t="data" sd="1" m="1" x="6108"/>
        <item t="data" sd="1" m="1" x="6114"/>
        <item t="data" sd="1" m="1" x="4614"/>
        <item t="data" sd="1" m="1" x="4315"/>
        <item t="data" sd="1" m="1" x="6453"/>
        <item t="data" sd="1" m="1" x="3218"/>
        <item t="data" sd="1" m="1" x="5192"/>
        <item t="data" sd="1" m="1" x="5871"/>
        <item t="data" sd="1" m="1" x="6143"/>
        <item t="data" sd="1" m="1" x="5494"/>
        <item t="data" sd="1" m="1" x="6146"/>
        <item t="data" sd="1" m="1" x="6147"/>
        <item t="data" sd="1" m="1" x="6457"/>
        <item t="data" sd="1" m="1" x="6161"/>
        <item t="data" sd="1" m="1" x="5959"/>
        <item t="data" sd="1" m="1" x="2486"/>
        <item t="data" sd="1" m="1" x="5958"/>
        <item t="data" sd="1" m="1" x="6173"/>
        <item t="data" sd="1" m="1" x="6174"/>
        <item t="data" sd="1" m="1" x="6175"/>
        <item t="data" sd="1" m="1" x="6176"/>
        <item t="data" sd="1" m="1" x="6177"/>
        <item t="data" sd="1" m="1" x="6178"/>
        <item t="data" sd="1" m="1" x="6186"/>
        <item t="data" sd="1" m="1" x="6185"/>
        <item t="data" sd="1" m="1" x="6182"/>
        <item t="data" sd="1" m="1" x="6183"/>
        <item t="data" sd="1" m="1" x="6184"/>
        <item t="data" sd="1" m="1" x="6008"/>
        <item t="data" sd="1" m="1" x="6180"/>
        <item t="data" sd="1" m="1" x="6181"/>
        <item t="data" sd="1" m="1" x="5724"/>
        <item t="data" sd="1" m="1" x="5810"/>
        <item t="data" sd="1" m="1" x="5811"/>
        <item t="data" sd="1" m="1" x="6458"/>
        <item t="data" sd="1" m="1" x="6459"/>
        <item t="data" sd="1" m="1" x="6460"/>
        <item t="data" sd="1" m="1" x="4916"/>
        <item t="data" sd="1" m="1" x="6261"/>
        <item t="data" sd="1" m="1" x="1620"/>
        <item t="data" sd="1" m="1" x="6462"/>
        <item t="data" sd="1" m="1" x="5075"/>
        <item t="data" sd="1" m="1" x="1469"/>
        <item t="data" sd="1" m="1" x="6285"/>
        <item t="data" sd="1" m="1" x="6463"/>
        <item t="data" sd="1" m="1" x="6302"/>
        <item t="data" sd="1" m="1" x="1474"/>
        <item t="data" sd="1" m="1" x="6466"/>
        <item t="data" sd="1" m="1" x="6304"/>
        <item t="data" sd="1" m="1" x="6467"/>
        <item t="data" sd="1" m="1" x="6468"/>
        <item t="data" sd="1" m="1" x="3702"/>
        <item t="data" sd="1" m="1" x="6470"/>
        <item t="data" sd="1" m="1" x="6471"/>
        <item t="data" sd="1" m="1" x="6473"/>
        <item t="data" sd="1" m="1" x="6474"/>
        <item t="data" sd="1" m="1" x="6475"/>
        <item t="data" sd="1" m="1" x="4921"/>
        <item t="data" sd="1" m="1" x="6482"/>
        <item t="data" sd="1" m="1" x="6000"/>
        <item t="data" sd="1" m="1" x="6372"/>
        <item t="data" sd="1" m="1" x="6373"/>
        <item t="data" sd="1" m="1" x="5460"/>
        <item t="data" sd="1" m="1" x="6381"/>
        <item t="data" sd="1" m="1" x="6483"/>
        <item t="data" sd="1" m="1" x="5070"/>
        <item t="data" sd="1" m="1" x="6386"/>
        <item t="data" sd="1" m="1" x="6484"/>
        <item t="data" sd="1" m="1" x="6395"/>
        <item t="data" sd="1" m="1" x="6485"/>
        <item t="data" sd="1" m="1" x="6397"/>
        <item t="data" sd="1" m="1" x="6399"/>
        <item t="data" sd="1" m="1" x="6400"/>
        <item t="data" sd="1" m="1" x="6488"/>
        <item t="data" sd="1" m="1" x="6489"/>
        <item t="data" sd="1" m="1" x="6490"/>
        <item t="data" sd="1" m="1" x="6491"/>
        <item t="data" sd="1" m="1" x="5683"/>
        <item t="data" sd="1" m="1" x="5684"/>
        <item t="data" sd="1" m="1" x="6411"/>
        <item t="data" sd="1" m="1" x="6417"/>
        <item t="data" sd="1" m="1" x="6035"/>
        <item t="data" sd="1" m="1" x="6036"/>
        <item t="data" sd="1" m="1" x="6030"/>
        <item t="data" sd="1" m="1" x="6031"/>
        <item t="data" sd="1" m="1" x="6032"/>
        <item t="data" sd="1" m="1" x="6033"/>
        <item t="data" sd="1" m="1" x="6500"/>
        <item t="data" sd="1" m="1" x="4569"/>
        <item t="data" sd="1" m="1" x="5518"/>
        <item t="data" sd="1" m="1" x="6501"/>
        <item t="data" sd="1" m="1" x="5889"/>
        <item t="data" sd="1" m="1" x="6040"/>
        <item t="data" sd="1" m="1" x="6043"/>
        <item t="data" sd="1" m="1" x="6077"/>
        <item t="data" sd="1" m="1" x="4183"/>
        <item t="data" sd="1" m="1" x="6078"/>
        <item t="data" sd="1" m="1" x="6082"/>
        <item t="data" sd="1" m="1" x="6085"/>
        <item t="data" sd="1" m="1" x="6086"/>
        <item t="data" sd="1" m="1" x="6096"/>
        <item t="data" sd="1" m="1" x="5934"/>
        <item t="data" sd="1" m="1" x="6097"/>
        <item t="data" sd="1" m="1" x="6098"/>
        <item t="data" sd="1" m="1" x="5234"/>
        <item t="data" sd="1" m="1" x="5232"/>
        <item t="data" sd="1" m="1" x="5233"/>
        <item t="data" sd="1" m="1" x="5933"/>
        <item t="data" sd="1" m="1" x="6101"/>
        <item t="data" sd="1" m="1" x="6102"/>
        <item t="data" sd="1" m="1" x="6103"/>
        <item t="data" sd="1" m="1" x="6115"/>
        <item t="data" sd="1" m="1" x="6116"/>
        <item t="data" sd="1" m="1" x="6117"/>
        <item t="data" sd="1" m="1" x="6118"/>
        <item t="data" sd="1" m="1" x="6124"/>
        <item t="data" sd="1" m="1" x="6125"/>
        <item t="data" sd="1" m="1" x="5318"/>
        <item t="data" sd="1" m="1" x="6140"/>
        <item t="data" sd="1" m="1" x="6141"/>
        <item t="data" sd="1" m="1" x="4920"/>
        <item t="data" sd="1" m="1" x="5748"/>
        <item t="data" sd="1" m="1" x="5429"/>
        <item t="data" sd="1" m="1" x="5952"/>
        <item t="data" sd="1" m="1" x="6144"/>
        <item t="data" sd="1" m="1" x="6148"/>
        <item t="data" sd="1" m="1" x="6149"/>
        <item t="data" sd="1" m="1" x="6151"/>
        <item t="data" sd="1" m="1" x="6152"/>
        <item t="data" sd="1" m="1" x="5419"/>
        <item t="data" sd="1" m="1" x="5420"/>
        <item t="data" sd="1" m="1" x="6159"/>
        <item t="data" sd="1" m="1" x="5957"/>
        <item t="data" sd="1" m="1" x="5964"/>
        <item t="data" sd="1" m="1" x="5965"/>
        <item t="data" sd="1" m="1" x="6179"/>
        <item t="data" sd="1" m="1" x="6191"/>
        <item t="data" sd="1" m="1" x="6192"/>
        <item t="data" sd="1" m="1" x="6193"/>
        <item t="data" sd="1" m="1" x="1473"/>
        <item t="data" sd="1" m="1" x="1472"/>
        <item t="data" sd="1" m="1" x="5967"/>
        <item t="data" sd="1" m="1" x="5307"/>
        <item t="data" sd="1" m="1" x="5968"/>
        <item t="data" sd="1" m="1" x="6240"/>
        <item t="data" sd="1" m="1" x="6241"/>
        <item t="data" sd="1" m="1" x="6243"/>
        <item t="data" sd="1" m="1" x="5670"/>
        <item t="data" sd="1" m="1" x="6246"/>
        <item t="data" sd="1" m="1" x="6247"/>
        <item t="data" sd="1" m="1" x="6248"/>
        <item t="data" sd="1" m="1" x="5823"/>
        <item t="data" sd="1" m="1" x="6266"/>
        <item t="data" sd="1" m="1" x="6267"/>
        <item t="data" sd="1" m="1" x="6269"/>
        <item t="data" sd="1" m="1" x="6270"/>
        <item t="data" sd="1" m="1" x="6271"/>
        <item t="data" sd="1" m="1" x="6272"/>
        <item t="data" sd="1" m="1" x="4489"/>
        <item t="data" sd="1" m="1" x="6276"/>
        <item t="data" sd="1" m="1" x="5593"/>
        <item t="data" sd="1" m="1" x="6281"/>
        <item t="data" sd="1" m="1" x="6286"/>
        <item t="data" sd="1" m="1" x="6287"/>
        <item t="data" sd="1" m="1" x="6288"/>
        <item t="data" sd="1" m="1" x="6289"/>
        <item t="data" sd="1" m="1" x="6290"/>
        <item t="data" sd="1" m="1" x="6292"/>
        <item t="data" sd="1" m="1" x="6293"/>
        <item t="data" sd="1" m="1" x="6297"/>
        <item t="data" sd="1" m="1" x="6298"/>
        <item t="data" sd="1" m="1" x="6299"/>
        <item t="data" sd="1" m="1" x="6300"/>
        <item t="data" sd="1" m="1" x="6301"/>
        <item t="data" sd="1" m="1" x="6303"/>
        <item t="data" sd="1" m="1" x="5759"/>
        <item t="data" sd="1" m="1" x="5746"/>
        <item t="data" sd="1" m="1" x="5745"/>
        <item t="data" sd="1" m="1" x="5604"/>
        <item t="data" sd="1" m="1" x="5423"/>
        <item t="data" sd="1" m="1" x="6345"/>
        <item t="data" sd="1" m="1" x="5602"/>
        <item t="data" sd="1" m="1" x="6362"/>
        <item t="data" sd="1" m="1" x="5854"/>
        <item t="data" sd="1" m="1" x="5905"/>
        <item t="data" sd="1" m="1" x="6370"/>
        <item t="data" sd="1" m="1" x="6001"/>
        <item t="data" sd="1" m="1" x="6377"/>
        <item t="data" sd="1" m="1" x="6378"/>
        <item t="data" sd="1" m="1" x="6379"/>
        <item t="data" sd="1" m="1" x="6014"/>
        <item t="data" sd="1" m="1" x="5842"/>
        <item t="data" sd="1" m="1" x="6383"/>
        <item t="data" sd="1" m="1" x="6009"/>
        <item t="data" sd="1" m="1" x="1471"/>
        <item t="data" sd="1" m="1" x="5486"/>
        <item t="data" sd="1" m="1" x="6387"/>
        <item t="data" sd="1" m="1" x="6388"/>
        <item t="data" sd="1" m="1" x="6390"/>
        <item t="data" sd="1" m="1" x="6391"/>
        <item t="data" sd="1" m="1" x="6392"/>
        <item t="data" sd="1" m="1" x="5536"/>
        <item t="data" sd="1" m="1" x="6393"/>
        <item t="data" sd="1" m="1" x="6394"/>
        <item t="data" sd="1" m="1" x="4617"/>
        <item t="data" sd="1" m="1" x="5742"/>
        <item t="data" sd="1" m="1" x="3742"/>
        <item t="data" sd="1" m="1" x="6401"/>
        <item t="data" sd="1" m="1" x="6402"/>
        <item t="data" sd="1" m="1" x="6403"/>
        <item t="data" sd="1" m="1" x="6404"/>
        <item t="data" sd="1" m="1" x="6405"/>
        <item t="data" sd="1" m="1" x="6406"/>
        <item t="data" sd="1" m="1" x="6407"/>
        <item t="data" sd="1" m="1" x="6408"/>
        <item t="data" sd="1" m="1" x="6409"/>
        <item t="data" sd="1" m="1" x="5424"/>
        <item t="data" sd="1" m="1" x="5701"/>
        <item t="data" sd="1" m="1" x="6427"/>
        <item t="data" sd="1" m="1" x="6428"/>
        <item t="data" sd="1" m="1" x="6429"/>
        <item t="data" sd="1" m="1" x="6430"/>
        <item t="data" sd="1" m="1" x="6431"/>
        <item t="data" sd="1" m="1" x="6432"/>
        <item t="data" sd="1" m="1" x="5918"/>
        <item t="data" sd="1" m="1" x="5919"/>
        <item t="data" sd="1" m="1" x="5920"/>
        <item t="data" sd="1" m="1" x="5675"/>
        <item t="data" sd="1" m="1" x="5922"/>
        <item t="data" sd="1" m="1" x="5923"/>
        <item t="data" sd="1" m="1" x="5836"/>
        <item t="data" sd="1" m="1" x="5924"/>
        <item t="data" sd="1" m="1" x="5925"/>
        <item t="data" sd="1" m="1" x="5926"/>
        <item t="data" sd="1" m="1" x="5927"/>
        <item t="data" sd="1" m="1" x="5876"/>
        <item t="data" sd="1" m="1" x="5928"/>
        <item t="data" sd="1" m="1" x="5929"/>
        <item t="data" sd="1" m="1" x="5930"/>
        <item t="data" sd="1" m="1" x="5931"/>
        <item t="data" sd="1" m="1" x="5932"/>
        <item t="data" sd="1" m="1" x="4444"/>
        <item t="data" sd="1" m="1" x="4445"/>
        <item t="data" sd="1" m="1" x="5398"/>
        <item t="data" sd="1" m="1" x="5936"/>
        <item t="data" sd="1" m="1" x="5937"/>
        <item t="data" sd="1" m="1" x="5838"/>
        <item t="data" sd="1" m="1" x="3355"/>
        <item t="data" sd="1" m="1" x="5839"/>
        <item t="data" sd="1" m="1" x="5840"/>
        <item t="data" sd="1" m="1" x="5938"/>
        <item t="data" sd="1" m="1" x="5749"/>
        <item t="data" sd="1" m="1" x="5939"/>
        <item t="data" sd="1" m="1" x="5940"/>
        <item t="data" sd="1" m="1" x="5941"/>
        <item t="data" sd="1" m="1" x="5943"/>
        <item t="data" sd="1" m="1" x="5410"/>
        <item t="data" sd="1" m="1" x="5944"/>
        <item t="data" sd="1" m="1" x="5949"/>
        <item t="data" sd="1" m="1" x="5950"/>
        <item t="data" sd="1" m="1" x="5951"/>
        <item t="data" sd="1" m="1" x="5852"/>
        <item t="data" sd="1" m="1" x="5679"/>
        <item t="data" sd="1" m="1" x="5953"/>
        <item t="data" sd="1" m="1" x="5955"/>
        <item t="data" sd="1" m="1" x="5553"/>
        <item t="data" sd="1" m="1" x="5552"/>
        <item t="data" sd="1" m="1" x="5893"/>
        <item t="data" sd="1" m="1" x="4853"/>
        <item t="data" sd="1" m="1" x="4854"/>
        <item t="data" sd="1" m="1" x="4855"/>
        <item t="data" sd="1" m="1" x="4856"/>
        <item t="data" sd="1" m="1" x="5579"/>
        <item t="data" sd="1" m="1" x="5328"/>
        <item t="data" sd="1" m="1" x="5326"/>
        <item t="data" sd="1" m="1" x="5576"/>
        <item t="data" sd="1" m="1" x="5820"/>
        <item t="data" sd="1" m="1" x="5909"/>
        <item t="data" sd="1" m="1" x="5910"/>
        <item t="data" sd="1" m="1" x="5911"/>
        <item t="data" sd="1" m="1" x="5912"/>
        <item t="data" sd="1" m="1" x="5890"/>
        <item t="data" sd="1" m="1" x="1477"/>
        <item t="data" sd="1" m="1" x="5160"/>
        <item t="data" sd="1" m="1" x="5664"/>
        <item t="data" sd="1" m="1" x="5331"/>
        <item t="data" sd="1" m="1" x="5971"/>
        <item t="data" sd="1" m="1" x="5815"/>
        <item t="data" sd="1" m="1" x="5816"/>
        <item t="data" sd="1" m="1" x="5614"/>
        <item t="data" sd="1" m="1" x="1470"/>
        <item t="data" sd="1" m="1" x="1475"/>
        <item t="data" sd="1" m="1" x="5191"/>
        <item t="data" sd="1" m="1" x="5975"/>
        <item t="data" sd="1" m="1" x="5976"/>
        <item t="data" sd="1" m="1" x="5977"/>
        <item t="data" sd="1" m="1" x="5978"/>
        <item t="data" sd="1" m="1" x="4933"/>
        <item t="data" sd="1" m="1" x="5764"/>
        <item t="data" sd="1" m="1" x="4919"/>
        <item t="data" sd="1" m="1" x="4223"/>
        <item t="data" sd="1" m="1" x="5450"/>
        <item t="data" sd="1" m="1" x="3717"/>
        <item t="data" sd="1" m="1" x="3432"/>
        <item t="data" sd="1" m="1" x="5206"/>
        <item t="data" sd="1" m="1" x="5605"/>
        <item t="data" sd="1" m="1" x="5984"/>
        <item t="data" sd="1" m="1" x="5985"/>
        <item t="data" sd="1" m="1" x="5986"/>
        <item t="data" sd="1" m="1" x="5987"/>
        <item t="data" sd="1" m="1" x="5988"/>
        <item t="data" sd="1" m="1" x="5587"/>
        <item t="data" sd="1" m="1" x="3435"/>
        <item t="data" sd="1" m="1" x="3436"/>
        <item t="data" sd="1" m="1" x="3949"/>
        <item t="data" sd="1" m="1" x="4618"/>
        <item t="data" sd="1" m="1" x="5989"/>
        <item t="data" sd="1" m="1" x="5741"/>
        <item t="data" sd="1" m="1" x="5990"/>
        <item t="data" sd="1" m="1" x="5739"/>
        <item t="data" sd="1" m="1" x="5991"/>
        <item t="data" sd="1" m="1" x="5740"/>
        <item t="data" sd="1" m="1" x="5992"/>
        <item t="data" sd="1" m="1" x="5760"/>
        <item t="data" sd="1" m="1" x="5993"/>
        <item t="data" sd="1" m="1" x="5994"/>
        <item t="data" sd="1" m="1" x="5995"/>
        <item t="data" sd="1" m="1" x="5855"/>
        <item t="data" sd="1" m="1" x="5996"/>
        <item t="data" sd="1" m="1" x="5615"/>
        <item t="data" sd="1" m="1" x="5997"/>
        <item t="data" sd="1" m="1" x="5915"/>
        <item t="data" sd="1" m="1" x="5999"/>
        <item t="data" sd="1" m="1" x="5475"/>
        <item t="data" sd="1" m="1" x="5458"/>
        <item t="data" sd="1" m="1" x="6010"/>
        <item t="data" sd="1" m="1" x="5869"/>
        <item t="data" sd="1" m="1" x="6017"/>
        <item t="data" sd="1" m="1" x="6018"/>
        <item t="data" sd="1" m="1" x="6022"/>
        <item t="data" sd="1" m="1" x="5295"/>
        <item t="data" sd="1" m="1" x="5291"/>
        <item t="data" sd="1" m="1" x="6027"/>
        <item t="data" sd="1" m="1" x="6028"/>
        <item t="data" sd="1" m="1" x="6029"/>
        <item t="data" sd="1" m="1" x="6034"/>
        <item t="data" sd="1" m="1" x="2000"/>
        <item t="data" sd="1" m="1" x="2001"/>
        <item t="data" sd="1" m="1" x="2003"/>
        <item t="data" sd="1" m="1" x="5846"/>
        <item t="data" sd="1" m="1" x="5847"/>
        <item t="data" sd="1" m="1" x="5508"/>
        <item t="data" sd="1" m="1" x="5765"/>
        <item t="data" sd="1" m="1" x="5791"/>
        <item t="data" sd="1" m="1" x="6037"/>
        <item t="data" sd="1" m="1" x="6038"/>
        <item t="data" sd="1" m="1" x="6039"/>
        <item t="data" sd="1" m="1" x="5327"/>
        <item t="data" sd="1" m="1" x="5411"/>
        <item t="data" sd="1" m="1" x="1476"/>
        <item t="data" sd="1" m="1" x="4923"/>
        <item t="data" sd="1" m="1" x="5812"/>
        <item t="data" sd="1" m="1" x="5220"/>
        <item t="data" sd="1" m="1" x="4443"/>
        <item t="data" sd="1" m="1" x="5813"/>
        <item t="data" sd="1" m="1" x="5630"/>
        <item t="data" sd="1" m="1" x="5814"/>
        <item t="data" sd="1" m="1" x="3580"/>
        <item t="data" sd="1" m="1" x="3071"/>
        <item t="data" sd="1" m="1" x="3070"/>
        <item t="data" sd="1" m="1" x="5082"/>
        <item t="data" sd="1" m="1" x="5083"/>
        <item t="data" sd="1" m="1" x="5348"/>
        <item t="data" sd="1" m="1" x="3753"/>
        <item t="data" sd="1" m="1" x="5357"/>
        <item t="data" sd="1" m="1" x="5674"/>
        <item t="data" sd="1" m="1" x="5818"/>
        <item t="data" sd="1" m="1" x="5362"/>
        <item t="data" sd="1" m="1" x="5821"/>
        <item t="data" sd="1" m="1" x="5822"/>
        <item t="data" sd="1" m="1" x="5259"/>
        <item t="data" sd="1" m="1" x="5824"/>
        <item t="data" sd="1" m="1" x="5825"/>
        <item t="data" sd="1" m="1" x="5826"/>
        <item t="data" sd="1" m="1" x="5831"/>
        <item t="data" sd="1" m="1" x="5408"/>
        <item t="data" sd="1" m="1" x="5409"/>
        <item t="data" sd="1" m="1" x="3657"/>
        <item t="data" sd="1" m="1" x="5421"/>
        <item t="data" sd="1" m="1" x="4442"/>
        <item t="data" sd="1" m="1" x="3116"/>
        <item t="data" sd="1" m="1" x="5678"/>
        <item t="data" sd="1" m="1" x="4184"/>
        <item t="data" sd="1" m="1" x="5750"/>
        <item t="data" sd="1" m="1" x="5751"/>
        <item t="data" sd="1" m="1" x="5432"/>
        <item t="data" sd="1" m="1" x="5436"/>
        <item t="data" sd="1" m="1" x="5841"/>
        <item t="data" sd="1" m="1" x="5439"/>
        <item t="data" sd="1" m="1" x="3716"/>
        <item t="data" sd="1" m="1" x="5738"/>
        <item t="data" sd="1" m="1" x="5737"/>
        <item t="data" sd="1" m="1" x="5747"/>
        <item t="data" sd="1" m="1" x="5452"/>
        <item t="data" sd="1" m="1" x="5453"/>
        <item t="data" sd="1" m="1" x="5472"/>
        <item t="data" sd="1" m="1" x="5456"/>
        <item t="data" sd="1" m="1" x="5213"/>
        <item t="data" sd="1" m="1" x="5455"/>
        <item t="data" sd="1" m="1" x="5457"/>
        <item t="data" sd="1" m="1" x="5843"/>
        <item t="data" sd="1" m="1" x="2954"/>
        <item t="data" sd="1" m="1" x="4787"/>
        <item t="data" sd="1" m="1" x="5470"/>
        <item t="data" sd="1" m="1" x="5485"/>
        <item t="data" sd="1" m="1" x="5492"/>
        <item t="data" sd="1" m="1" x="5498"/>
        <item t="data" sd="1" m="1" x="5499"/>
        <item t="data" sd="1" m="1" x="5506"/>
        <item t="data" sd="1" m="1" x="5681"/>
        <item t="data" sd="1" m="1" x="5510"/>
        <item t="data" sd="1" m="1" x="3621"/>
        <item t="data" sd="1" m="1" x="3622"/>
        <item t="data" sd="1" m="1" x="3623"/>
        <item t="data" sd="1" m="1" x="3624"/>
        <item t="data" sd="1" m="1" x="3625"/>
        <item t="data" sd="1" m="1" x="1479"/>
        <item t="data" sd="1" m="1" x="1480"/>
        <item t="data" sd="1" m="1" x="1481"/>
        <item t="data" sd="1" m="1" x="3620"/>
        <item t="data" sd="1" m="1" x="2002"/>
        <item t="data" sd="1" m="1" x="3618"/>
        <item t="data" sd="1" m="1" x="3619"/>
        <item t="data" sd="1" m="1" x="5844"/>
        <item t="data" sd="1" m="1" x="5845"/>
        <item t="data" sd="1" m="1" x="5517"/>
        <item t="data" sd="1" m="1" x="5850"/>
        <item t="data" sd="1" m="1" x="5540"/>
        <item t="data" sd="1" m="1" x="5087"/>
        <item t="data" sd="1" m="1" x="5088"/>
        <item t="data" sd="1" m="1" x="5089"/>
        <item t="data" sd="1" m="1" x="5853"/>
        <item t="data" sd="1" m="1" x="5856"/>
        <item t="data" sd="1" m="1" x="5857"/>
        <item t="data" sd="1" m="1" x="5858"/>
        <item t="data" sd="1" m="1" x="5222"/>
        <item t="data" sd="1" m="1" x="5860"/>
        <item t="data" sd="1" m="1" x="5770"/>
        <item t="data" sd="1" m="1" x="5861"/>
        <item t="data" sd="1" m="1" x="5862"/>
        <item t="data" sd="1" m="1" x="5863"/>
        <item t="data" sd="1" m="1" x="5864"/>
        <item t="data" sd="1" m="1" x="5865"/>
        <item t="data" sd="1" m="1" x="5769"/>
        <item t="data" sd="1" m="1" x="5866"/>
        <item t="data" sd="1" m="1" x="5867"/>
        <item t="data" sd="1" m="1" x="5236"/>
        <item t="data" sd="1" m="1" x="5231"/>
        <item t="data" sd="1" m="1" x="5868"/>
        <item t="data" sd="1" m="1" x="5870"/>
        <item t="data" sd="1" m="1" x="5872"/>
        <item t="data" sd="1" m="1" x="5703"/>
        <item t="data" sd="1" m="1" x="5873"/>
        <item t="data" sd="1" m="1" x="5874"/>
        <item t="data" sd="1" m="1" x="5877"/>
        <item t="data" sd="1" m="1" x="5878"/>
        <item t="data" sd="1" m="1" x="5879"/>
        <item t="data" sd="1" m="1" x="5575"/>
        <item t="data" sd="1" m="1" x="5880"/>
        <item t="data" sd="1" m="1" x="5881"/>
        <item t="data" sd="1" m="1" x="5882"/>
        <item t="data" sd="1" m="1" x="5883"/>
        <item t="data" sd="1" m="1" x="5884"/>
        <item t="data" sd="1" m="1" x="5885"/>
        <item t="data" sd="1" m="1" x="5570"/>
        <item t="data" sd="1" m="1" x="5886"/>
        <item t="data" sd="1" m="1" x="5887"/>
        <item t="data" sd="1" m="1" x="5717"/>
        <item t="data" sd="1" m="1" x="5288"/>
        <item t="data" sd="1" m="1" x="5302"/>
        <item t="data" sd="1" m="1" x="5888"/>
        <item t="data" sd="1" m="1" x="5891"/>
        <item t="data" sd="1" m="1" x="5892"/>
        <item t="data" sd="1" m="1" x="5894"/>
        <item t="data" sd="1" m="1" x="5895"/>
        <item t="data" sd="1" m="1" x="5896"/>
        <item t="data" sd="1" m="1" x="5897"/>
        <item t="data" sd="1" m="1" x="5898"/>
        <item t="data" sd="1" m="1" x="5899"/>
        <item t="data" sd="1" m="1" x="5900"/>
        <item t="data" sd="1" m="1" x="5901"/>
        <item t="data" sd="1" m="1" x="5902"/>
        <item t="data" sd="1" m="1" x="5754"/>
        <item t="data" sd="1" m="1" x="5903"/>
        <item t="data" sd="1" m="1" x="5904"/>
        <item t="data" sd="1" m="1" x="5908"/>
        <item t="data" sd="1" m="1" x="5913"/>
        <item t="data" sd="1" m="1" x="5665"/>
        <item t="data" sd="1" m="1" x="5914"/>
        <item t="data" sd="1" m="1" x="5731"/>
        <item t="data" sd="1" m="1" x="3055"/>
        <item t="data" sd="1" m="1" x="5668"/>
        <item t="data" sd="1" m="1" x="5332"/>
        <item t="data" sd="1" m="1" x="5333"/>
        <item t="data" sd="1" m="1" x="5337"/>
        <item t="data" sd="1" m="1" x="5350"/>
        <item t="data" sd="1" m="1" x="5359"/>
        <item t="data" sd="1" m="1" x="3867"/>
        <item t="data" sd="1" m="1" x="5366"/>
        <item t="data" sd="1" m="1" x="5374"/>
        <item t="data" sd="1" m="1" x="5732"/>
        <item t="data" sd="1" m="1" x="5733"/>
        <item t="data" sd="1" m="1" x="5734"/>
        <item t="data" sd="1" m="1" x="5735"/>
        <item t="data" sd="1" m="1" x="5407"/>
        <item t="data" sd="1" m="1" x="2015"/>
        <item t="data" sd="1" m="1" x="4926"/>
        <item t="data" sd="1" m="1" x="4927"/>
        <item t="data" sd="1" m="1" x="5676"/>
        <item t="data" sd="1" m="1" x="5736"/>
        <item t="data" sd="1" m="1" x="5397"/>
        <item t="data" sd="1" m="1" x="5415"/>
        <item t="data" sd="1" m="1" x="5413"/>
        <item t="data" sd="1" m="1" x="5404"/>
        <item t="data" sd="1" m="1" x="5405"/>
        <item t="data" sd="1" m="1" x="5406"/>
        <item t="data" sd="1" m="1" x="4498"/>
        <item t="data" sd="1" m="1" x="1486"/>
        <item t="data" sd="1" m="1" x="5752"/>
        <item t="data" sd="1" m="1" x="5425"/>
        <item t="data" sd="1" m="1" x="5753"/>
        <item t="data" sd="1" m="1" x="4186"/>
        <item t="data" sd="1" m="1" x="5433"/>
        <item t="data" sd="1" m="1" x="5440"/>
        <item t="data" sd="1" m="1" x="5441"/>
        <item t="data" sd="1" m="1" x="5444"/>
        <item t="data" sd="1" m="1" x="5442"/>
        <item t="data" sd="1" m="1" x="5755"/>
        <item t="data" sd="1" m="1" x="5756"/>
        <item t="data" sd="1" m="1" x="5757"/>
        <item t="data" sd="1" m="1" x="5758"/>
        <item t="data" sd="1" m="1" x="5761"/>
        <item t="data" sd="1" m="1" x="5477"/>
        <item t="data" sd="1" m="1" x="5476"/>
        <item t="data" sd="1" m="1" x="5080"/>
        <item t="data" sd="1" m="1" x="1478"/>
        <item t="data" sd="1" m="1" x="5463"/>
        <item t="data" sd="1" m="1" x="5466"/>
        <item t="data" sd="1" m="1" x="5465"/>
        <item t="data" sd="1" m="1" x="5471"/>
        <item t="data" sd="1" m="1" x="5481"/>
        <item t="data" sd="1" m="1" x="5487"/>
        <item t="data" sd="1" m="1" x="5488"/>
        <item t="data" sd="1" m="1" x="5490"/>
        <item t="data" sd="1" m="1" x="5491"/>
        <item t="data" sd="1" m="1" x="5762"/>
        <item t="data" sd="1" m="1" x="2289"/>
        <item t="data" sd="1" m="1" x="5500"/>
        <item t="data" sd="1" m="1" x="5501"/>
        <item t="data" sd="1" m="1" x="5502"/>
        <item t="data" sd="1" m="1" x="5503"/>
        <item t="data" sd="1" m="1" x="5504"/>
        <item t="data" sd="1" m="1" x="5680"/>
        <item t="data" sd="1" m="1" x="4938"/>
        <item t="data" sd="1" m="1" x="5763"/>
        <item t="data" sd="1" m="1" x="5513"/>
        <item t="data" sd="1" m="1" x="5514"/>
        <item t="data" sd="1" m="1" x="5522"/>
        <item t="data" sd="1" m="1" x="5085"/>
        <item t="data" sd="1" m="1" x="5523"/>
        <item t="data" sd="1" m="1" x="5524"/>
        <item t="data" sd="1" m="1" x="5515"/>
        <item t="data" sd="1" m="1" x="5516"/>
        <item t="data" sd="1" m="1" x="5525"/>
        <item t="data" sd="1" m="1" x="5526"/>
        <item t="data" sd="1" m="1" x="5122"/>
        <item t="data" sd="1" m="1" x="5535"/>
        <item t="data" sd="1" m="1" x="5538"/>
        <item t="data" sd="1" m="1" x="5539"/>
        <item t="data" sd="1" m="1" x="5549"/>
        <item t="data" sd="1" m="1" x="4624"/>
        <item t="data" sd="1" m="1" x="4625"/>
        <item t="data" sd="1" m="1" x="4626"/>
        <item t="data" sd="1" m="1" x="5766"/>
        <item t="data" sd="1" m="1" x="5767"/>
        <item t="data" sd="1" m="1" x="5694"/>
        <item t="data" sd="1" m="1" x="5768"/>
        <item t="data" sd="1" m="1" x="5696"/>
        <item t="data" sd="1" m="1" x="5303"/>
        <item t="data" sd="1" m="1" x="5695"/>
        <item t="data" sd="1" m="1" x="4794"/>
        <item t="data" sd="1" m="1" x="5699"/>
        <item t="data" sd="1" m="1" x="5240"/>
        <item t="data" sd="1" m="1" x="5771"/>
        <item t="data" sd="1" m="1" x="5772"/>
        <item t="data" sd="1" m="1" x="5601"/>
        <item t="data" sd="1" m="1" x="5773"/>
        <item t="data" sd="1" m="1" x="5774"/>
        <item t="data" sd="1" m="1" x="5775"/>
        <item t="data" sd="1" m="1" x="5603"/>
        <item t="data" sd="1" m="1" x="5776"/>
        <item t="data" sd="1" m="1" x="5777"/>
        <item t="data" sd="1" m="1" x="5778"/>
        <item t="data" sd="1" m="1" x="5779"/>
        <item t="data" sd="1" m="1" x="5780"/>
        <item t="data" sd="1" m="1" x="5781"/>
        <item t="data" sd="1" m="1" x="5782"/>
        <item t="data" sd="1" m="1" x="5783"/>
        <item t="data" sd="1" m="1" x="5784"/>
        <item t="data" sd="1" m="1" x="5785"/>
        <item t="data" sd="1" m="1" x="5786"/>
        <item t="data" sd="1" m="1" x="5787"/>
        <item t="data" sd="1" m="1" x="5788"/>
        <item t="data" sd="1" m="1" x="5789"/>
        <item t="data" sd="1" m="1" x="5262"/>
        <item t="data" sd="1" m="1" x="5790"/>
        <item t="data" sd="1" m="1" x="5592"/>
        <item t="data" sd="1" m="1" x="5322"/>
        <item t="data" sd="1" m="1" x="5594"/>
        <item t="data" sd="1" m="1" x="5248"/>
        <item t="data" sd="1" m="1" x="5249"/>
        <item t="data" sd="1" m="1" x="5792"/>
        <item t="data" sd="1" m="1" x="5624"/>
        <item t="data" sd="1" m="1" x="3089"/>
        <item t="data" sd="1" m="1" x="5793"/>
        <item t="data" sd="1" m="1" x="5306"/>
        <item t="data" sd="1" m="1" x="5794"/>
        <item t="data" sd="1" m="1" x="5795"/>
        <item t="data" sd="1" m="1" x="5796"/>
        <item t="data" sd="1" m="1" x="5797"/>
        <item t="data" sd="1" m="1" x="5798"/>
        <item t="data" sd="1" m="1" x="5799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310"/>
        <item t="data" sd="1" m="1" x="4256"/>
        <item t="data" sd="1" m="1" x="5667"/>
        <item t="data" sd="1" m="1" x="3051"/>
        <item t="data" sd="1" m="1" x="5341"/>
        <item t="data" sd="1" m="1" x="5346"/>
        <item t="data" sd="1" m="1" x="5347"/>
        <item t="data" sd="1" m="1" x="5338"/>
        <item t="data" sd="1" m="1" x="5339"/>
        <item t="data" sd="1" m="1" x="5340"/>
        <item t="data" sd="1" m="1" x="5355"/>
        <item t="data" sd="1" m="1" x="5356"/>
        <item t="data" sd="1" m="1" x="5165"/>
        <item t="data" sd="1" m="1" x="5358"/>
        <item t="data" sd="1" m="1" x="5360"/>
        <item t="data" sd="1" m="1" x="4813"/>
        <item t="data" sd="1" m="1" x="5365"/>
        <item t="data" sd="1" m="1" x="3022"/>
        <item t="data" sd="1" m="1" x="5383"/>
        <item t="data" sd="1" m="1" x="4499"/>
        <item t="data" sd="1" m="1" x="5418"/>
        <item t="data" sd="1" m="1" x="3359"/>
        <item t="data" sd="1" m="1" x="5422"/>
        <item t="data" sd="1" m="1" x="4503"/>
        <item t="data" sd="1" m="1" x="5435"/>
        <item t="data" sd="1" m="1" x="1485"/>
        <item t="data" sd="1" m="1" x="4931"/>
        <item t="data" sd="1" m="1" x="4932"/>
        <item t="data" sd="1" m="1" x="5443"/>
        <item t="data" sd="1" m="1" x="3703"/>
        <item t="data" sd="1" m="1" x="5079"/>
        <item t="data" sd="1" m="1" x="5212"/>
        <item t="data" sd="1" m="1" x="4185"/>
        <item t="data" sd="1" m="1" x="5480"/>
        <item t="data" sd="1" m="1" x="5081"/>
        <item t="data" sd="1" m="1" x="5464"/>
        <item t="data" sd="1" m="1" x="5483"/>
        <item t="data" sd="1" m="1" x="5484"/>
        <item t="data" sd="1" m="1" x="5493"/>
        <item t="data" sd="1" m="1" x="5489"/>
        <item t="data" sd="1" m="1" x="5495"/>
        <item t="data" sd="1" m="1" x="4937"/>
        <item t="data" sd="1" m="1" x="5497"/>
        <item t="data" sd="1" m="1" x="4548"/>
        <item t="data" sd="1" m="1" x="5532"/>
        <item t="data" sd="1" m="1" x="5084"/>
        <item t="data" sd="1" m="1" x="5519"/>
        <item t="data" sd="1" m="1" x="5528"/>
        <item t="data" sd="1" m="1" x="5086"/>
        <item t="data" sd="1" m="1" x="5543"/>
        <item t="data" sd="1" m="1" x="5546"/>
        <item t="data" sd="1" m="1" x="5548"/>
        <item t="data" sd="1" m="1" x="4700"/>
        <item t="data" sd="1" m="1" x="5534"/>
        <item t="data" sd="1" m="1" x="5550"/>
        <item t="data" sd="1" m="1" x="5692"/>
        <item t="data" sd="1" m="1" x="5693"/>
        <item t="data" sd="1" m="1" x="5697"/>
        <item t="data" sd="1" m="1" x="5698"/>
        <item t="data" sd="1" m="1" x="5235"/>
        <item t="data" sd="1" m="1" x="5700"/>
        <item t="data" sd="1" m="1" x="5702"/>
        <item t="data" sd="1" m="1" x="5704"/>
        <item t="data" sd="1" m="1" x="5705"/>
        <item t="data" sd="1" m="1" x="5706"/>
        <item t="data" sd="1" m="1" x="5707"/>
        <item t="data" sd="1" m="1" x="5708"/>
        <item t="data" sd="1" m="1" x="5709"/>
        <item t="data" sd="1" m="1" x="5710"/>
        <item t="data" sd="1" m="1" x="5568"/>
        <item t="data" sd="1" m="1" x="5712"/>
        <item t="data" sd="1" m="1" x="5713"/>
        <item t="data" sd="1" m="1" x="5714"/>
        <item t="data" sd="1" m="1" x="5715"/>
        <item t="data" sd="1" m="1" x="5716"/>
        <item t="data" sd="1" m="1" x="5261"/>
        <item t="data" sd="1" m="1" x="4865"/>
        <item t="data" sd="1" m="1" x="5289"/>
        <item t="data" sd="1" m="1" x="5292"/>
        <item t="data" sd="1" m="1" x="5719"/>
        <item t="data" sd="1" m="1" x="5633"/>
        <item t="data" sd="1" m="1" x="5720"/>
        <item t="data" sd="1" m="1" x="5721"/>
        <item t="data" sd="1" m="1" x="5722"/>
        <item t="data" sd="1" m="1" x="5723"/>
        <item t="data" sd="1" m="1" x="5725"/>
        <item t="data" sd="1" m="1" x="1482"/>
        <item t="data" sd="1" m="1" x="5726"/>
        <item t="data" sd="1" m="1" x="3796"/>
        <item t="data" sd="1" m="1" x="5727"/>
        <item t="data" sd="1" m="1" x="5728"/>
        <item t="data" sd="1" m="1" x="5648"/>
        <item t="data" sd="1" m="1" x="5729"/>
        <item t="data" sd="1" m="1" x="5730"/>
        <item t="data" sd="1" m="1" x="3270"/>
        <item t="data" sd="1" m="1" x="5321"/>
        <item t="data" sd="1" m="1" x="5329"/>
        <item t="data" sd="1" m="1" x="4922"/>
        <item t="data" sd="1" m="1" x="5334"/>
        <item t="data" sd="1" m="1" x="5335"/>
        <item t="data" sd="1" m="1" x="5336"/>
        <item t="data" sd="1" m="1" x="5342"/>
        <item t="data" sd="1" m="1" x="5344"/>
        <item t="data" sd="1" m="1" x="5345"/>
        <item t="data" sd="1" m="1" x="3797"/>
        <item t="data" sd="1" m="1" x="4857"/>
        <item t="data" sd="1" m="1" x="5349"/>
        <item t="data" sd="1" m="1" x="5351"/>
        <item t="data" sd="1" m="1" x="5352"/>
        <item t="data" sd="1" m="1" x="5353"/>
        <item t="data" sd="1" m="1" x="5354"/>
        <item t="data" sd="1" m="1" x="5093"/>
        <item t="data" sd="1" m="1" x="5363"/>
        <item t="data" sd="1" m="1" x="5372"/>
        <item t="data" sd="1" m="1" x="5373"/>
        <item t="data" sd="1" m="1" x="5375"/>
        <item t="data" sd="1" m="1" x="5376"/>
        <item t="data" sd="1" m="1" x="5377"/>
        <item t="data" sd="1" m="1" x="5378"/>
        <item t="data" sd="1" m="1" x="1492"/>
        <item t="data" sd="1" m="1" x="1493"/>
        <item t="data" sd="1" m="1" x="5379"/>
        <item t="data" sd="1" m="1" x="5380"/>
        <item t="data" sd="1" m="1" x="5381"/>
        <item t="data" sd="1" m="1" x="5382"/>
        <item t="data" sd="1" m="1" x="5197"/>
        <item t="data" sd="1" m="1" x="5385"/>
        <item t="data" sd="1" m="1" x="5386"/>
        <item t="data" sd="1" m="1" x="5387"/>
        <item t="data" sd="1" m="1" x="5388"/>
        <item t="data" sd="1" m="1" x="5389"/>
        <item t="data" sd="1" m="1" x="5390"/>
        <item t="data" sd="1" m="1" x="5391"/>
        <item t="data" sd="1" m="1" x="5392"/>
        <item t="data" sd="1" m="1" x="5396"/>
        <item t="data" sd="1" m="1" x="5096"/>
        <item t="data" sd="1" m="1" x="5399"/>
        <item t="data" sd="1" m="1" x="1500"/>
        <item t="data" sd="1" m="1" x="5403"/>
        <item t="data" sd="1" m="1" x="5094"/>
        <item t="data" sd="1" m="1" x="5412"/>
        <item t="data" sd="1" m="1" x="5416"/>
        <item t="data" sd="1" m="1" x="5095"/>
        <item t="data" sd="1" m="1" x="4928"/>
        <item t="data" sd="1" m="1" x="5209"/>
        <item t="data" sd="1" m="1" x="5426"/>
        <item t="data" sd="1" m="1" x="3959"/>
        <item t="data" sd="1" m="1" x="5434"/>
        <item t="data" sd="1" m="1" x="1483"/>
        <item t="data" sd="1" m="1" x="4934"/>
        <item t="data" sd="1" m="1" x="5210"/>
        <item t="data" sd="1" m="1" x="5211"/>
        <item t="data" sd="1" m="1" x="3955"/>
        <item t="data" sd="1" m="1" x="5459"/>
        <item t="data" sd="1" m="1" x="5461"/>
        <item t="data" sd="1" m="1" x="5462"/>
        <item t="data" sd="1" m="1" x="5468"/>
        <item t="data" sd="1" m="1" x="5469"/>
        <item t="data" sd="1" m="1" x="5478"/>
        <item t="data" sd="1" m="1" x="5479"/>
        <item t="data" sd="1" m="1" x="5496"/>
        <item t="data" sd="1" m="1" x="4544"/>
        <item t="data" sd="1" m="1" x="4545"/>
        <item t="data" sd="1" m="1" x="4547"/>
        <item t="data" sd="1" m="1" x="4551"/>
        <item t="data" sd="1" m="1" x="5505"/>
        <item t="data" sd="1" m="1" x="4623"/>
        <item t="data" sd="1" m="1" x="5507"/>
        <item t="data" sd="1" m="1" x="4552"/>
        <item t="data" sd="1" m="1" x="5132"/>
        <item t="data" sd="1" m="1" x="5520"/>
        <item t="data" sd="1" m="1" x="5527"/>
        <item t="data" sd="1" m="1" x="1511"/>
        <item t="data" sd="1" m="1" x="5531"/>
        <item t="data" sd="1" m="1" x="1487"/>
        <item t="data" sd="1" m="1" x="1489"/>
        <item t="data" sd="1" m="1" x="1490"/>
        <item t="data" sd="1" m="1" x="1491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5533"/>
        <item t="data" sd="1" m="1" x="4788"/>
        <item t="data" sd="1" m="1" x="4789"/>
        <item t="data" sd="1" m="1" x="4790"/>
        <item t="data" sd="1" m="1" x="4791"/>
        <item t="data" sd="1" m="1" x="4792"/>
        <item t="data" sd="1" m="1" x="4793"/>
        <item t="data" sd="1" m="1" x="1488"/>
        <item t="data" sd="1" m="1" x="3499"/>
        <item t="data" sd="1" m="1" x="5537"/>
        <item t="data" sd="1" m="1" x="5541"/>
        <item t="data" sd="1" m="1" x="5542"/>
        <item t="data" sd="1" m="1" x="5547"/>
        <item t="data" sd="1" m="1" x="5551"/>
        <item t="data" sd="1" m="1" x="5554"/>
        <item t="data" sd="1" m="1" x="5113"/>
        <item t="data" sd="1" m="1" x="5115"/>
        <item t="data" sd="1" m="1" x="5111"/>
        <item t="data" sd="1" m="1" x="5110"/>
        <item t="data" sd="1" m="1" x="5114"/>
        <item t="data" sd="1" m="1" x="5112"/>
        <item t="data" sd="1" m="1" x="5555"/>
        <item t="data" sd="1" m="1" x="5558"/>
        <item t="data" sd="1" m="1" x="5311"/>
        <item t="data" sd="1" m="1" x="5559"/>
        <item t="data" sd="1" m="1" x="5560"/>
        <item t="data" sd="1" m="1" x="5561"/>
        <item t="data" sd="1" m="1" x="5562"/>
        <item t="data" sd="1" m="1" x="5563"/>
        <item t="data" sd="1" m="1" x="5564"/>
        <item t="data" sd="1" m="1" x="5565"/>
        <item t="data" sd="1" m="1" x="5567"/>
        <item t="data" sd="1" m="1" x="5569"/>
        <item t="data" sd="1" m="1" x="5571"/>
        <item t="data" sd="1" m="1" x="5572"/>
        <item t="data" sd="1" m="1" x="5127"/>
        <item t="data" sd="1" m="1" x="5573"/>
        <item t="data" sd="1" m="1" x="5574"/>
        <item t="data" sd="1" m="1" x="5267"/>
        <item t="data" sd="1" m="1" x="5577"/>
        <item t="data" sd="1" m="1" x="5578"/>
        <item t="data" sd="1" m="1" x="5580"/>
        <item t="data" sd="1" m="1" x="5121"/>
        <item t="data" sd="1" m="1" x="5581"/>
        <item t="data" sd="1" m="1" x="5123"/>
        <item t="data" sd="1" m="1" x="5582"/>
        <item t="data" sd="1" m="1" x="5586"/>
        <item t="data" sd="1" m="1" x="5588"/>
        <item t="data" sd="1" m="1" x="5589"/>
        <item t="data" sd="1" m="1" x="5590"/>
        <item t="data" sd="1" m="1" x="5591"/>
        <item t="data" sd="1" m="1" x="5598"/>
        <item t="data" sd="1" m="1" x="5599"/>
        <item t="data" sd="1" m="1" x="5600"/>
        <item t="data" sd="1" m="1" x="4314"/>
        <item t="data" sd="1" m="1" x="5606"/>
        <item t="data" sd="1" m="1" x="5271"/>
        <item t="data" sd="1" m="1" x="5607"/>
        <item t="data" sd="1" m="1" x="4908"/>
        <item t="data" sd="1" m="1" x="5608"/>
        <item t="data" sd="1" m="1" x="5609"/>
        <item t="data" sd="1" m="1" x="5610"/>
        <item t="data" sd="1" m="1" x="5611"/>
        <item t="data" sd="1" m="1" x="5612"/>
        <item t="data" sd="1" m="1" x="5613"/>
        <item t="data" sd="1" m="1" x="5247"/>
        <item t="data" sd="1" m="1" x="5616"/>
        <item t="data" sd="1" m="1" x="5617"/>
        <item t="data" sd="1" m="1" x="5618"/>
        <item t="data" sd="1" m="1" x="5251"/>
        <item t="data" sd="1" m="1" x="5619"/>
        <item t="data" sd="1" m="1" x="5621"/>
        <item t="data" sd="1" m="1" x="5266"/>
        <item t="data" sd="1" m="1" x="5285"/>
        <item t="data" sd="1" m="1" x="5290"/>
        <item t="data" sd="1" m="1" x="5622"/>
        <item t="data" sd="1" m="1" x="5129"/>
        <item t="data" sd="1" m="1" x="5128"/>
        <item t="data" sd="1" m="1" x="5296"/>
        <item t="data" sd="1" m="1" x="5625"/>
        <item t="data" sd="1" m="1" x="5300"/>
        <item t="data" sd="1" m="1" x="5627"/>
        <item t="data" sd="1" m="1" x="5634"/>
        <item t="data" sd="1" m="1" x="5308"/>
        <item t="data" sd="1" m="1" x="4628"/>
        <item t="data" sd="1" m="1" x="5635"/>
        <item t="data" sd="1" m="1" x="5636"/>
        <item t="data" sd="1" m="1" x="5637"/>
        <item t="data" sd="1" m="1" x="5638"/>
        <item t="data" sd="1" m="1" x="5639"/>
        <item t="data" sd="1" m="1" x="5640"/>
        <item t="data" sd="1" m="1" x="5641"/>
        <item t="data" sd="1" m="1" x="5642"/>
        <item t="data" sd="1" m="1" x="5643"/>
        <item t="data" sd="1" m="1" x="5644"/>
        <item t="data" sd="1" m="1" x="5645"/>
        <item t="data" sd="1" m="1" x="5646"/>
        <item t="data" sd="1" m="1" x="5650"/>
        <item t="data" sd="1" m="1" x="5315"/>
        <item t="data" sd="1" m="1" x="5661"/>
        <item t="data" sd="1" m="1" x="5663"/>
        <item t="data" sd="1" m="1" x="5319"/>
        <item t="data" sd="1" x="309"/>
        <item t="data" sd="1" m="1" x="3367"/>
        <item t="data" sd="1" m="1" x="3368"/>
        <item t="data" sd="1" m="1" x="3369"/>
        <item t="data" sd="1" m="1" x="3370"/>
        <item t="data" sd="1" m="1" x="1509"/>
        <item t="data" sd="1" m="1" x="5090"/>
        <item t="data" sd="1" m="1" x="4485"/>
        <item t="data" sd="1" m="1" x="4945"/>
        <item t="data" sd="1" m="1" x="4946"/>
        <item t="data" sd="1" m="1" x="5193"/>
        <item t="data" sd="1" m="1" x="5092"/>
        <item t="data" sd="1" m="1" x="3863"/>
        <item t="data" sd="1" m="1" x="4924"/>
        <item t="data" sd="1" m="1" x="4925"/>
        <item t="data" sd="1" m="1" x="5194"/>
        <item t="data" sd="1" m="1" x="5195"/>
        <item t="data" sd="1" m="1" x="5198"/>
        <item t="data" sd="1" m="1" x="4966"/>
        <item t="data" sd="1" m="1" x="3442"/>
        <item t="data" sd="1" m="1" x="3439"/>
        <item t="data" sd="1" m="1" x="3598"/>
        <item t="data" sd="1" m="1" x="3440"/>
        <item t="data" sd="1" m="1" x="5202"/>
        <item t="data" sd="1" m="1" x="5203"/>
        <item t="data" sd="1" m="1" x="5204"/>
        <item t="data" sd="1" m="1" x="5205"/>
        <item t="data" sd="1" m="1" x="3430"/>
        <item t="data" sd="1" m="1" x="5208"/>
        <item t="data" sd="1" m="1" x="4620"/>
        <item t="data" sd="1" m="1" x="3514"/>
        <item t="data" sd="1" m="1" x="4929"/>
        <item t="data" sd="1" m="1" x="4930"/>
        <item t="data" sd="1" m="1" x="4974"/>
        <item t="data" sd="1" m="1" x="4975"/>
        <item t="data" sd="1" m="1" x="5098"/>
        <item t="data" sd="1" m="1" x="5100"/>
        <item t="data" sd="1" m="1" x="5099"/>
        <item t="data" sd="1" m="1" x="5101"/>
        <item t="data" sd="1" m="1" x="4982"/>
        <item t="data" sd="1" m="1" x="4936"/>
        <item t="data" sd="1" m="1" x="4376"/>
        <item t="data" sd="1" m="1" x="1506"/>
        <item t="data" sd="1" m="1" x="1507"/>
        <item t="data" sd="1" m="1" x="1508"/>
        <item t="data" sd="1" m="1" x="5214"/>
        <item t="data" sd="1" m="1" x="1510"/>
        <item t="data" sd="1" m="1" x="5216"/>
        <item t="data" sd="1" m="1" x="5103"/>
        <item t="data" sd="1" m="1" x="4567"/>
        <item t="data" sd="1" m="1" x="4568"/>
        <item t="data" sd="1" m="1" x="4939"/>
        <item t="data" sd="1" m="1" x="3633"/>
        <item t="data" sd="1" m="1" x="4940"/>
        <item t="data" sd="1" m="1" x="4992"/>
        <item t="data" sd="1" m="1" x="4989"/>
        <item t="data" sd="1" m="1" x="4990"/>
        <item t="data" sd="1" m="1" x="1501"/>
        <item t="data" sd="1" m="1" x="5104"/>
        <item t="data" sd="1" m="1" x="5105"/>
        <item t="data" sd="1" m="1" x="4994"/>
        <item t="data" sd="1" m="1" x="5219"/>
        <item t="data" sd="1" m="1" x="5221"/>
        <item t="data" sd="1" m="1" x="5223"/>
        <item t="data" sd="1" m="1" x="5224"/>
        <item t="data" sd="1" m="1" x="5225"/>
        <item t="data" sd="1" m="1" x="5226"/>
        <item t="data" sd="1" m="1" x="5227"/>
        <item t="data" sd="1" m="1" x="5228"/>
        <item t="data" sd="1" m="1" x="5229"/>
        <item t="data" sd="1" m="1" x="5230"/>
        <item t="data" sd="1" m="1" x="3088"/>
        <item t="data" sd="1" m="1" x="5107"/>
        <item t="data" sd="1" m="1" x="4337"/>
        <item t="data" sd="1" m="1" x="4338"/>
        <item t="data" sd="1" m="1" x="4339"/>
        <item t="data" sd="1" m="1" x="5238"/>
        <item t="data" sd="1" m="1" x="2004"/>
        <item t="data" sd="1" m="1" x="5239"/>
        <item t="data" sd="1" m="1" x="4622"/>
        <item t="data" sd="1" m="1" x="5242"/>
        <item t="data" sd="1" m="1" x="5243"/>
        <item t="data" sd="1" m="1" x="5244"/>
        <item t="data" sd="1" m="1" x="5245"/>
        <item t="data" sd="1" m="1" x="5246"/>
        <item t="data" sd="1" m="1" x="5250"/>
        <item t="data" sd="1" m="1" x="5252"/>
        <item t="data" sd="1" m="1" x="5253"/>
        <item t="data" sd="1" m="1" x="5254"/>
        <item t="data" sd="1" m="1" x="5255"/>
        <item t="data" sd="1" m="1" x="5256"/>
        <item t="data" sd="1" m="1" x="5257"/>
        <item t="data" sd="1" m="1" x="5258"/>
        <item t="data" sd="1" m="1" x="5260"/>
        <item t="data" sd="1" m="1" x="5263"/>
        <item t="data" sd="1" m="1" x="5264"/>
        <item t="data" sd="1" m="1" x="5265"/>
        <item t="data" sd="1" m="1" x="5268"/>
        <item t="data" sd="1" m="1" x="5269"/>
        <item t="data" sd="1" m="1" x="5270"/>
        <item t="data" sd="1" m="1" x="5272"/>
        <item t="data" sd="1" m="1" x="5273"/>
        <item t="data" sd="1" m="1" x="5274"/>
        <item t="data" sd="1" m="1" x="5276"/>
        <item t="data" sd="1" m="1" x="5278"/>
        <item t="data" sd="1" m="1" x="5279"/>
        <item t="data" sd="1" m="1" x="5280"/>
        <item t="data" sd="1" m="1" x="5282"/>
        <item t="data" sd="1" m="1" x="5283"/>
        <item t="data" sd="1" m="1" x="5284"/>
        <item t="data" sd="1" m="1" x="5286"/>
        <item t="data" sd="1" m="1" x="5293"/>
        <item t="data" sd="1" m="1" x="5294"/>
        <item t="data" sd="1" m="1" x="5297"/>
        <item t="data" sd="1" m="1" x="5298"/>
        <item t="data" sd="1" m="1" x="5299"/>
        <item t="data" sd="1" m="1" x="5304"/>
        <item t="data" sd="1" m="1" x="5305"/>
        <item t="data" sd="1" m="1" x="5309"/>
        <item t="data" sd="1" m="1" x="4310"/>
        <item t="data" sd="1" m="1" x="5314"/>
        <item t="data" sd="1" m="1" x="5317"/>
        <item t="data" sd="1" m="1" x="3377"/>
        <item t="data" sd="1" m="1" x="1543"/>
        <item t="data" sd="1" m="1" x="4944"/>
        <item t="data" sd="1" m="1" x="5091"/>
        <item t="data" sd="1" m="1" x="4951"/>
        <item t="data" sd="1" m="1" x="4961"/>
        <item t="data" sd="1" m="1" x="4962"/>
        <item t="data" sd="1" m="1" x="4447"/>
        <item t="data" sd="1" m="1" x="2007"/>
        <item t="data" sd="1" m="1" x="4956"/>
        <item t="data" sd="1" m="1" x="1502"/>
        <item t="data" sd="1" m="1" x="4621"/>
        <item t="data" sd="1" m="1" x="3441"/>
        <item t="data" sd="1" m="1" x="3434"/>
        <item t="data" sd="1" m="1" x="3433"/>
        <item t="data" sd="1" m="1" x="3443"/>
        <item t="data" sd="1" m="1" x="3948"/>
        <item t="data" sd="1" m="1" x="3437"/>
        <item t="data" sd="1" m="1" x="3438"/>
        <item t="data" sd="1" m="1" x="4959"/>
        <item t="data" sd="1" m="1" x="4619"/>
        <item t="data" sd="1" m="1" x="3467"/>
        <item t="data" sd="1" m="1" x="5097"/>
        <item t="data" sd="1" m="1" x="3947"/>
        <item t="data" sd="1" m="1" x="3960"/>
        <item t="data" sd="1" m="1" x="4973"/>
        <item t="data" sd="1" m="1" x="1503"/>
        <item t="data" sd="1" m="1" x="3375"/>
        <item t="data" sd="1" m="1" x="4972"/>
        <item t="data" sd="1" m="1" x="1504"/>
        <item t="data" sd="1" m="1" x="4981"/>
        <item t="data" sd="1" m="1" x="5102"/>
        <item t="data" sd="1" m="1" x="4983"/>
        <item t="data" sd="1" m="1" x="4984"/>
        <item t="data" sd="1" m="1" x="2006"/>
        <item t="data" sd="1" m="1" x="1505"/>
        <item t="data" sd="1" m="1" x="1559"/>
        <item t="data" sd="1" m="1" x="1560"/>
        <item t="data" sd="1" m="1" x="1561"/>
        <item t="data" sd="1" m="1" x="1562"/>
        <item t="data" sd="1" m="1" x="4991"/>
        <item t="data" sd="1" m="1" x="5106"/>
        <item t="data" sd="1" m="1" x="5108"/>
        <item t="data" sd="1" m="1" x="5109"/>
        <item t="data" sd="1" m="1" x="4647"/>
        <item t="data" sd="1" m="1" x="5116"/>
        <item t="data" sd="1" m="1" x="5117"/>
        <item t="data" sd="1" m="1" x="5118"/>
        <item t="data" sd="1" m="1" x="5119"/>
        <item t="data" sd="1" m="1" x="1514"/>
        <item t="data" sd="1" m="1" x="5120"/>
        <item t="data" sd="1" m="1" x="5124"/>
        <item t="data" sd="1" m="1" x="5125"/>
        <item t="data" sd="1" m="1" x="4643"/>
        <item t="data" sd="1" m="1" x="5126"/>
        <item t="data" sd="1" m="1" x="5130"/>
        <item t="data" sd="1" m="1" x="5131"/>
        <item t="data" sd="1" m="1" x="5133"/>
        <item t="data" sd="1" m="1" x="5134"/>
        <item t="data" sd="1" m="1" x="5135"/>
        <item t="data" sd="1" m="1" x="5136"/>
        <item t="data" sd="1" m="1" x="5137"/>
        <item t="data" sd="1" m="1" x="5138"/>
        <item t="data" sd="1" m="1" x="4641"/>
        <item t="data" sd="1" m="1" x="3429"/>
        <item t="data" sd="1" m="1" x="5139"/>
        <item t="data" sd="1" m="1" x="4472"/>
        <item t="data" sd="1" m="1" x="5140"/>
        <item t="data" sd="1" m="1" x="4943"/>
        <item t="data" sd="1" m="1" x="4947"/>
        <item t="data" sd="1" m="1" x="4948"/>
        <item t="data" sd="1" m="1" x="4949"/>
        <item t="data" sd="1" m="1" x="1544"/>
        <item t="data" sd="1" m="1" x="5141"/>
        <item t="data" sd="1" m="1" x="4954"/>
        <item t="data" sd="1" m="1" x="4960"/>
        <item t="data" sd="1" m="1" x="4963"/>
        <item t="data" sd="1" m="1" x="4964"/>
        <item t="data" sd="1" m="1" x="4076"/>
        <item t="data" sd="1" m="1" x="2758"/>
        <item t="data" sd="1" m="1" x="4457"/>
        <item t="data" sd="1" m="1" x="4958"/>
        <item t="data" sd="1" m="1" x="4194"/>
        <item t="data" sd="1" m="1" x="4957"/>
        <item t="data" sd="1" m="1" x="5142"/>
        <item t="data" sd="1" m="1" x="3654"/>
        <item t="data" sd="1" m="1" x="5143"/>
        <item t="data" sd="1" m="1" x="3354"/>
        <item t="data" sd="1" m="1" x="4187"/>
        <item t="data" sd="1" m="1" x="5144"/>
        <item t="data" sd="1" m="1" x="5145"/>
        <item t="data" sd="1" m="1" x="5146"/>
        <item t="data" sd="1" m="1" x="5147"/>
        <item t="data" sd="1" m="1" x="5148"/>
        <item t="data" sd="1" m="1" x="5149"/>
        <item t="data" sd="1" m="1" x="5150"/>
        <item t="data" sd="1" m="1" x="5151"/>
        <item t="data" sd="1" m="1" x="5152"/>
        <item t="data" sd="1" m="1" x="5153"/>
        <item t="data" sd="1" m="1" x="4456"/>
        <item t="data" sd="1" m="1" x="1520"/>
        <item t="data" sd="1" m="1" x="1521"/>
        <item t="data" sd="1" m="1" x="1522"/>
        <item t="data" sd="1" m="1" x="4465"/>
        <item t="data" sd="1" m="1" x="4455"/>
        <item t="data" sd="1" m="1" x="4001"/>
        <item t="data" sd="1" m="1" x="5007"/>
        <item t="data" sd="1" m="1" x="4977"/>
        <item t="data" sd="1" m="1" x="4976"/>
        <item t="data" sd="1" m="1" x="3698"/>
        <item t="data" sd="1" m="1" x="4374"/>
        <item t="data" sd="1" m="1" x="5154"/>
        <item t="data" sd="1" m="1" x="4970"/>
        <item t="data" sd="1" m="1" x="5155"/>
        <item t="data" sd="1" m="1" x="5156"/>
        <item t="data" sd="1" m="1" x="4980"/>
        <item t="data" sd="1" m="1" x="5157"/>
        <item t="data" sd="1" m="1" x="3999"/>
        <item t="data" sd="1" m="1" x="4000"/>
        <item t="data" sd="1" m="1" x="3743"/>
        <item t="data" sd="1" m="1" x="4986"/>
        <item t="data" sd="1" m="1" x="4985"/>
        <item t="data" sd="1" m="1" x="1557"/>
        <item t="data" sd="1" m="1" x="5158"/>
        <item t="data" sd="1" m="1" x="5159"/>
        <item t="data" sd="1" m="1" x="1558"/>
        <item t="data" sd="1" m="1" x="4978"/>
        <item t="data" sd="1" m="1" x="4537"/>
        <item t="data" sd="1" m="1" x="5161"/>
        <item t="data" sd="1" m="1" x="5162"/>
        <item t="data" sd="1" m="1" x="3380"/>
        <item t="data" sd="1" m="1" x="4705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69"/>
        <item t="data" sd="1" m="1" x="5170"/>
        <item t="data" sd="1" m="1" x="5171"/>
        <item t="data" sd="1" m="1" x="5172"/>
        <item t="data" sd="1" m="1" x="5173"/>
        <item t="data" sd="1" m="1" x="5174"/>
        <item t="data" sd="1" m="1" x="5175"/>
        <item t="data" sd="1" m="1" x="5176"/>
        <item t="data" sd="1" m="1" x="4329"/>
        <item t="data" sd="1" m="1" x="4649"/>
        <item t="data" sd="1" m="1" x="5177"/>
        <item t="data" sd="1" m="1" x="5178"/>
        <item t="data" sd="1" m="1" x="5179"/>
        <item t="data" sd="1" m="1" x="5180"/>
        <item t="data" sd="1" m="1" x="4644"/>
        <item t="data" sd="1" m="1" x="5181"/>
        <item t="data" sd="1" m="1" x="5182"/>
        <item t="data" sd="1" m="1" x="5183"/>
        <item t="data" sd="1" m="1" x="5184"/>
        <item t="data" sd="1" m="1" x="5185"/>
        <item t="data" sd="1" m="1" x="5186"/>
        <item t="data" sd="1" m="1" x="5187"/>
        <item t="data" sd="1" m="1" x="5188"/>
        <item t="data" sd="1" m="1" x="5189"/>
        <item t="data" sd="1" m="1" x="4868"/>
        <item t="data" sd="1" m="1" x="4095"/>
        <item t="data" sd="1" m="1" x="4120"/>
        <item t="data" sd="1" m="1" x="5190"/>
        <item t="data" sd="1" m="1" x="5008"/>
        <item t="data" sd="1" m="1" x="4571"/>
        <item t="data" sd="1" m="1" x="4941"/>
        <item t="data" sd="1" m="1" x="4458"/>
        <item t="data" sd="1" m="1" x="4942"/>
        <item t="data" sd="1" m="1" x="4500"/>
        <item t="data" sd="1" m="1" x="4950"/>
        <item t="data" sd="1" m="1" x="4952"/>
        <item t="data" sd="1" m="1" x="1554"/>
        <item t="data" sd="1" m="1" x="4953"/>
        <item t="data" sd="1" m="1" x="4955"/>
        <item t="data" sd="1" m="1" x="4459"/>
        <item t="data" sd="1" m="1" x="4504"/>
        <item t="data" sd="1" m="1" x="3431"/>
        <item t="data" sd="1" m="1" x="3952"/>
        <item t="data" sd="1" m="1" x="3951"/>
        <item t="data" sd="1" m="1" x="4470"/>
        <item t="data" sd="1" m="1" x="1545"/>
        <item t="data" sd="1" m="1" x="1546"/>
        <item t="data" sd="1" m="1" x="1515"/>
        <item t="data" sd="1" m="1" x="4965"/>
        <item t="data" sd="1" m="1" x="4967"/>
        <item t="data" sd="1" m="1" x="4968"/>
        <item t="data" sd="1" m="1" x="1564"/>
        <item t="data" sd="1" m="1" x="2432"/>
        <item t="data" sd="1" m="1" x="4969"/>
        <item t="data" sd="1" m="1" x="3705"/>
        <item t="data" sd="1" m="1" x="4971"/>
        <item t="data" sd="1" m="1" x="1526"/>
        <item t="data" sd="1" m="1" x="1527"/>
        <item t="data" sd="1" m="1" x="4525"/>
        <item t="data" sd="1" m="1" x="4899"/>
        <item t="data" sd="1" m="1" x="4979"/>
        <item t="data" sd="1" m="1" x="4987"/>
        <item t="data" sd="1" m="1" x="4563"/>
        <item t="data" sd="1" m="1" x="4988"/>
        <item t="data" sd="1" m="1" x="4993"/>
        <item t="data" sd="1" m="1" x="4531"/>
        <item t="data" sd="1" m="1" x="4034"/>
        <item t="data" sd="1" m="1" x="4645"/>
        <item t="data" sd="1" m="1" x="4627"/>
        <item t="data" sd="1" m="1" x="4995"/>
        <item t="data" sd="1" m="1" x="4996"/>
        <item t="data" sd="1" m="1" x="4997"/>
        <item t="data" sd="1" m="1" x="4998"/>
        <item t="data" sd="1" m="1" x="4999"/>
        <item t="data" sd="1" m="1" x="5000"/>
        <item t="data" sd="1" m="1" x="4651"/>
        <item t="data" sd="1" m="1" x="5001"/>
        <item t="data" sd="1" m="1" x="5002"/>
        <item t="data" sd="1" m="1" x="4546"/>
        <item t="data" sd="1" m="1" x="5003"/>
        <item t="data" sd="1" m="1" x="5004"/>
        <item t="data" sd="1" m="1" x="5005"/>
        <item t="data" sd="1" m="1" x="4331"/>
        <item t="data" sd="1" m="1" x="4655"/>
        <item t="data" sd="1" m="1" x="5006"/>
        <item t="data" sd="1" m="1" x="5009"/>
        <item t="data" sd="1" m="1" x="3901"/>
        <item t="data" sd="1" m="1" x="3902"/>
        <item t="data" sd="1" m="1" x="4501"/>
        <item t="data" sd="1" m="1" x="5010"/>
        <item t="data" sd="1" m="1" x="5011"/>
        <item t="data" sd="1" m="1" x="5012"/>
        <item t="data" sd="1" m="1" x="2694"/>
        <item t="data" sd="1" m="1" x="2695"/>
        <item t="data" sd="1" m="1" x="5013"/>
        <item t="data" sd="1" m="1" x="5014"/>
        <item t="data" sd="1" m="1" x="3393"/>
        <item t="data" sd="1" m="1" x="5015"/>
        <item t="data" sd="1" m="1" x="5016"/>
        <item t="data" sd="1" m="1" x="5017"/>
        <item t="data" sd="1" m="1" x="5018"/>
        <item t="data" sd="1" m="1" x="1568"/>
        <item t="data" sd="1" m="1" x="1569"/>
        <item t="data" sd="1" m="1" x="1570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3341"/>
        <item t="data" sd="1" m="1" x="5025"/>
        <item t="data" sd="1" m="1" x="5026"/>
        <item t="data" sd="1" m="1" x="4077"/>
        <item t="data" sd="1" m="1" x="5027"/>
        <item t="data" sd="1" m="1" x="4795"/>
        <item t="data" sd="1" m="1" x="4796"/>
        <item t="data" sd="1" m="1" x="3953"/>
        <item t="data" sd="1" m="1" x="3452"/>
        <item t="data" sd="1" m="1" x="5028"/>
        <item t="data" sd="1" m="1" x="5029"/>
        <item t="data" sd="1" m="1" x="5030"/>
        <item t="data" sd="1" m="1" x="5031"/>
        <item t="data" sd="1" m="1" x="5032"/>
        <item t="data" sd="1" m="1" x="3701"/>
        <item t="data" sd="1" m="1" x="4224"/>
        <item t="data" sd="1" m="1" x="3704"/>
        <item t="data" sd="1" m="1" x="5033"/>
        <item t="data" sd="1" m="1" x="5034"/>
        <item t="data" sd="1" m="1" x="5035"/>
        <item t="data" sd="1" m="1" x="5036"/>
        <item t="data" sd="1" m="1" x="5037"/>
        <item t="data" sd="1" m="1" x="4189"/>
        <item t="data" sd="1" m="1" x="1556"/>
        <item t="data" sd="1" m="1" x="4797"/>
        <item t="data" sd="1" m="1" x="1541"/>
        <item t="data" sd="1" m="1" x="5038"/>
        <item t="data" sd="1" m="1" x="4559"/>
        <item t="data" sd="1" m="1" x="4008"/>
        <item t="data" sd="1" m="1" x="5039"/>
        <item t="data" sd="1" m="1" x="5040"/>
        <item t="data" sd="1" m="1" x="3740"/>
        <item t="data" sd="1" m="1" x="5041"/>
        <item t="data" sd="1" m="1" x="3735"/>
        <item t="data" sd="1" m="1" x="5042"/>
        <item t="data" sd="1" m="1" x="4638"/>
        <item t="data" sd="1" m="1" x="3448"/>
        <item t="data" sd="1" m="1" x="5043"/>
        <item t="data" sd="1" m="1" x="5044"/>
        <item t="data" sd="1" m="1" x="5045"/>
        <item t="data" sd="1" m="1" x="4860"/>
        <item t="data" sd="1" m="1" x="5046"/>
        <item t="data" sd="1" m="1" x="5047"/>
        <item t="data" sd="1" m="1" x="5048"/>
        <item t="data" sd="1" m="1" x="5049"/>
        <item t="data" sd="1" m="1" x="5050"/>
        <item t="data" sd="1" m="1" x="4646"/>
        <item t="data" sd="1" m="1" x="4859"/>
        <item t="data" sd="1" m="1" x="4355"/>
        <item t="data" sd="1" m="1" x="4650"/>
        <item t="data" sd="1" m="1" x="5051"/>
        <item t="data" sd="1" m="1" x="4642"/>
        <item t="data" sd="1" m="1" x="4639"/>
        <item t="data" sd="1" m="1" x="4640"/>
        <item t="data" sd="1" m="1" x="4862"/>
        <item t="data" sd="1" m="1" x="4863"/>
        <item t="data" sd="1" m="1" x="4864"/>
        <item t="data" sd="1" m="1" x="5052"/>
        <item t="data" sd="1" m="1" x="4652"/>
        <item t="data" sd="1" m="1" x="4653"/>
        <item t="data" sd="1" m="1" x="4371"/>
        <item t="data" sd="1" m="1" x="4654"/>
        <item t="data" sd="1" m="1" x="5053"/>
        <item t="data" sd="1" m="1" x="5054"/>
        <item t="data" sd="1" m="1" x="5055"/>
        <item t="data" sd="1" m="1" x="5056"/>
        <item t="data" sd="1" m="1" x="5057"/>
        <item t="data" sd="1" m="1" x="5058"/>
        <item t="data" sd="1" m="1" x="5059"/>
        <item t="data" sd="1" m="1" x="4115"/>
        <item t="data" sd="1" m="1" x="4613"/>
        <item t="data" sd="1" m="1" x="4615"/>
        <item t="data" sd="1" m="1" x="3264"/>
        <item t="data" sd="1" m="1" x="4188"/>
        <item t="data" sd="1" m="1" x="3073"/>
        <item t="data" sd="1" m="1" x="4858"/>
        <item t="data" sd="1" m="1" x="2847"/>
        <item t="data" sd="1" m="1" x="4549"/>
        <item t="data" sd="1" m="1" x="4636"/>
        <item t="data" sd="1" m="1" x="4637"/>
        <item t="data" sd="1" m="1" x="4241"/>
        <item t="data" sd="1" m="1" x="4799"/>
        <item t="data" sd="1" m="1" x="4800"/>
        <item t="data" sd="1" m="1" x="4335"/>
        <item t="data" sd="1" m="1" x="4648"/>
        <item t="data" sd="1" m="1" x="4861"/>
        <item t="data" sd="1" m="1" x="4866"/>
        <item t="data" sd="1" m="1" x="4867"/>
        <item t="data" sd="1" m="1" x="4662"/>
        <item t="data" sd="1" m="1" x="4663"/>
        <item t="data" sd="1" m="1" x="4664"/>
        <item t="data" sd="1" m="1" x="3374"/>
        <item t="data" sd="1" m="1" x="3046"/>
        <item t="data" sd="1" m="1" x="4656"/>
        <item t="data" sd="1" m="1" x="2693"/>
        <item t="data" sd="1" m="1" x="2545"/>
        <item t="data" sd="1" m="1" x="4657"/>
        <item t="data" sd="1" m="1" x="4658"/>
        <item t="data" sd="1" m="1" x="4629"/>
        <item t="data" sd="1" m="1" x="4486"/>
        <item t="data" sd="1" m="1" x="3676"/>
        <item t="data" sd="1" m="1" x="4630"/>
        <item t="data" sd="1" m="1" x="1547"/>
        <item t="data" sd="1" m="1" x="4668"/>
        <item t="data" sd="1" m="1" x="1566"/>
        <item t="data" sd="1" m="1" x="1565"/>
        <item t="data" sd="1" m="1" x="1513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4875"/>
        <item t="data" sd="1" m="1" x="3671"/>
        <item t="data" sd="1" m="1" x="3672"/>
        <item t="data" sd="1" m="1" x="3673"/>
        <item t="data" sd="1" m="1" x="3674"/>
        <item t="data" sd="1" m="1" x="3670"/>
        <item t="data" sd="1" m="1" x="4876"/>
        <item t="data" sd="1" m="1" x="3009"/>
        <item t="data" sd="1" m="1" x="4678"/>
        <item t="data" sd="1" m="1" x="4670"/>
        <item t="data" sd="1" m="1" x="4671"/>
        <item t="data" sd="1" m="1" x="1518"/>
        <item t="data" sd="1" m="1" x="4672"/>
        <item t="data" sd="1" m="1" x="3895"/>
        <item t="data" sd="1" m="1" x="3896"/>
        <item t="data" sd="1" m="1" x="4676"/>
        <item t="data" sd="1" m="1" x="4454"/>
        <item t="data" sd="1" m="1" x="4674"/>
        <item t="data" sd="1" m="1" x="4675"/>
        <item t="data" sd="1" m="1" x="4631"/>
        <item t="data" sd="1" m="1" x="3453"/>
        <item t="data" sd="1" m="1" x="3454"/>
        <item t="data" sd="1" m="1" x="3950"/>
        <item t="data" sd="1" m="1" x="4877"/>
        <item t="data" sd="1" m="1" x="4471"/>
        <item t="data" sd="1" m="1" x="4806"/>
        <item t="data" sd="1" m="1" x="4807"/>
        <item t="data" sd="1" m="1" x="4808"/>
        <item t="data" sd="1" m="1" x="4190"/>
        <item t="data" sd="1" m="1" x="4191"/>
        <item t="data" sd="1" m="1" x="4878"/>
        <item t="data" sd="1" m="1" x="4879"/>
        <item t="data" sd="1" m="1" x="4322"/>
        <item t="data" sd="1" m="1" x="3455"/>
        <item t="data" sd="1" m="1" x="3762"/>
        <item t="data" sd="1" m="1" x="4632"/>
        <item t="data" sd="1" m="1" x="4880"/>
        <item t="data" sd="1" m="1" x="4529"/>
        <item t="data" sd="1" m="1" x="4683"/>
        <item t="data" sd="1" m="1" x="4685"/>
        <item t="data" sd="1" m="1" x="4633"/>
        <item t="data" sd="1" m="1" x="4634"/>
        <item t="data" sd="1" m="1" x="4010"/>
        <item t="data" sd="1" m="1" x="4635"/>
        <item t="data" sd="1" m="1" x="4562"/>
        <item t="data" sd="1" m="1" x="4689"/>
        <item t="data" sd="1" m="1" x="4690"/>
        <item t="data" sd="1" m="1" x="4692"/>
        <item t="data" sd="1" m="1" x="4693"/>
        <item t="data" sd="1" m="1" x="3739"/>
        <item t="data" sd="1" m="1" x="1567"/>
        <item t="data" sd="1" m="1" x="1555"/>
        <item t="data" sd="1" m="1" x="4560"/>
        <item t="data" sd="1" m="1" x="1540"/>
        <item t="data" sd="1" m="1" x="4688"/>
        <item t="data" sd="1" m="1" x="4814"/>
        <item t="data" sd="1" m="1" x="3741"/>
        <item t="data" sd="1" m="1" x="4815"/>
        <item t="data" sd="1" m="1" x="4881"/>
        <item t="data" sd="1" m="1" x="4816"/>
        <item t="data" sd="1" m="1" x="4817"/>
        <item t="data" sd="1" m="1" x="4882"/>
        <item t="data" sd="1" m="1" x="4698"/>
        <item t="data" sd="1" m="1" x="4798"/>
        <item t="data" sd="1" m="1" x="4883"/>
        <item t="data" sd="1" m="1" x="4884"/>
        <item t="data" sd="1" m="1" x="4885"/>
        <item t="data" sd="1" m="1" x="4886"/>
        <item t="data" sd="1" m="1" x="4887"/>
        <item t="data" sd="1" m="1" x="4696"/>
        <item t="data" sd="1" m="1" x="4888"/>
        <item t="data" sd="1" m="1" x="4889"/>
        <item t="data" sd="1" m="1" x="4890"/>
        <item t="data" sd="1" m="1" x="4891"/>
        <item t="data" sd="1" m="1" x="4892"/>
        <item t="data" sd="1" m="1" x="4893"/>
        <item t="data" sd="1" m="1" x="4894"/>
        <item t="data" sd="1" m="1" x="4895"/>
        <item t="data" sd="1" m="1" x="4699"/>
        <item t="data" sd="1" m="1" x="4701"/>
        <item t="data" sd="1" m="1" x="4702"/>
        <item t="data" sd="1" m="1" x="4703"/>
        <item t="data" sd="1" m="1" x="4826"/>
        <item t="data" sd="1" m="1" x="4896"/>
        <item t="data" sd="1" m="1" x="4708"/>
        <item t="data" sd="1" m="1" x="4897"/>
        <item t="data" sd="1" m="1" x="4898"/>
        <item t="data" sd="1" m="1" x="4900"/>
        <item t="data" sd="1" m="1" x="4901"/>
        <item t="data" sd="1" m="1" x="4902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9"/>
        <item t="data" sd="1" m="1" x="4507"/>
        <item t="data" sd="1" m="1" x="4712"/>
        <item t="data" sd="1" m="1" x="4910"/>
        <item t="data" sd="1" m="1" x="4911"/>
        <item t="data" sd="1" m="1" x="4713"/>
        <item t="data" sd="1" m="1" x="4912"/>
        <item t="data" sd="1" m="1" x="4575"/>
        <item t="data" sd="1" m="1" x="4574"/>
        <item t="data" sd="1" m="1" x="3323"/>
        <item t="data" sd="1" m="1" x="3052"/>
        <item t="data" sd="1" m="1" x="4665"/>
        <item t="data" sd="1" m="1" x="3219"/>
        <item t="data" sd="1" m="1" x="3220"/>
        <item t="data" sd="1" m="1" x="3221"/>
        <item t="data" sd="1" m="1" x="3222"/>
        <item t="data" sd="1" m="1" x="2349"/>
        <item t="data" sd="1" m="1" x="4667"/>
        <item t="data" sd="1" m="1" x="2487"/>
        <item t="data" sd="1" m="1" x="4801"/>
        <item t="data" sd="1" m="1" x="4802"/>
        <item t="data" sd="1" m="1" x="4803"/>
        <item t="data" sd="1" m="1" x="4804"/>
        <item t="data" sd="1" m="1" x="4805"/>
        <item t="data" sd="1" m="1" x="3675"/>
        <item t="data" sd="1" m="1" x="3566"/>
        <item t="data" sd="1" m="1" x="3123"/>
        <item t="data" sd="1" m="1" x="4673"/>
        <item t="data" sd="1" m="1" x="4677"/>
        <item t="data" sd="1" m="1" x="4809"/>
        <item t="data" sd="1" m="1" x="4810"/>
        <item t="data" sd="1" m="1" x="4811"/>
        <item t="data" sd="1" m="1" x="4812"/>
        <item t="data" sd="1" m="1" x="4449"/>
        <item t="data" sd="1" m="1" x="3356"/>
        <item t="data" sd="1" m="1" x="3030"/>
        <item t="data" sd="1" m="1" x="4679"/>
        <item t="data" sd="1" m="1" x="4680"/>
        <item t="data" sd="1" m="1" x="4681"/>
        <item t="data" sd="1" m="1" x="4682"/>
        <item t="data" sd="1" m="1" x="2005"/>
        <item t="data" sd="1" m="1" x="4684"/>
        <item t="data" sd="1" m="1" x="1529"/>
        <item t="data" sd="1" m="1" x="1530"/>
        <item t="data" sd="1" m="1" x="1531"/>
        <item t="data" sd="1" m="1" x="1532"/>
        <item t="data" sd="1" m="1" x="4695"/>
        <item t="data" sd="1" m="1" x="4697"/>
        <item t="data" sd="1" m="1" x="4818"/>
        <item t="data" sd="1" m="1" x="4819"/>
        <item t="data" sd="1" m="1" x="4820"/>
        <item t="data" sd="1" m="1" x="4821"/>
        <item t="data" sd="1" m="1" x="4822"/>
        <item t="data" sd="1" m="1" x="4823"/>
        <item t="data" sd="1" m="1" x="4824"/>
        <item t="data" sd="1" m="1" x="4825"/>
        <item t="data" sd="1" m="1" x="4704"/>
        <item t="data" sd="1" m="1" x="4827"/>
        <item t="data" sd="1" m="1" x="4828"/>
        <item t="data" sd="1" m="1" x="4829"/>
        <item t="data" sd="1" m="1" x="4830"/>
        <item t="data" sd="1" m="1" x="4831"/>
        <item t="data" sd="1" m="1" x="4710"/>
        <item t="data" sd="1" m="1" x="4711"/>
        <item t="data" sd="1" m="1" x="3351"/>
        <item t="data" sd="1" m="1" x="3194"/>
        <item t="data" sd="1" m="1" x="1542"/>
        <item t="data" sd="1" m="1" x="3373"/>
        <item t="data" sd="1" m="1" x="4659"/>
        <item t="data" sd="1" m="1" x="4660"/>
        <item t="data" sd="1" m="1" x="4661"/>
        <item t="data" sd="1" m="1" x="4666"/>
        <item t="data" sd="1" m="1" x="2490"/>
        <item t="data" sd="1" m="1" x="3928"/>
        <item t="data" sd="1" m="1" x="4482"/>
        <item t="data" sd="1" m="1" x="4669"/>
        <item t="data" sd="1" m="1" x="4514"/>
        <item t="data" sd="1" m="1" x="3922"/>
        <item t="data" sd="1" m="1" x="1519"/>
        <item t="data" sd="1" m="1" x="4236"/>
        <item t="data" sd="1" m="1" x="4832"/>
        <item t="data" sd="1" m="1" x="4833"/>
        <item t="data" sd="1" m="1" x="4834"/>
        <item t="data" sd="1" m="1" x="4835"/>
        <item t="data" sd="1" m="1" x="4707"/>
        <item t="data" sd="1" m="1" x="4686"/>
        <item t="data" sd="1" m="1" x="4687"/>
        <item t="data" sd="1" m="1" x="4009"/>
        <item t="data" sd="1" m="1" x="4564"/>
        <item t="data" sd="1" m="1" x="3503"/>
        <item t="data" sd="1" m="1" x="4691"/>
        <item t="data" sd="1" m="1" x="4694"/>
        <item t="data" sd="1" m="1" x="3362"/>
        <item t="data" sd="1" m="1" x="4250"/>
        <item t="data" sd="1" m="1" x="4836"/>
        <item t="data" sd="1" m="1" x="4837"/>
        <item t="data" sd="1" m="1" x="4838"/>
        <item t="data" sd="1" m="1" x="4839"/>
        <item t="data" sd="1" m="1" x="4488"/>
        <item t="data" sd="1" m="1" x="4378"/>
        <item t="data" sd="1" m="1" x="4840"/>
        <item t="data" sd="1" m="1" x="4841"/>
        <item t="data" sd="1" m="1" x="4842"/>
        <item t="data" sd="1" m="1" x="3203"/>
        <item t="data" sd="1" m="1" x="3197"/>
        <item t="data" sd="1" m="1" x="4844"/>
        <item t="data" sd="1" m="1" x="4273"/>
        <item t="data" sd="1" m="1" x="4274"/>
        <item t="data" sd="1" m="1" x="4845"/>
        <item t="data" sd="1" m="1" x="4383"/>
        <item t="data" sd="1" m="1" x="4706"/>
        <item t="data" sd="1" m="1" x="4847"/>
        <item t="data" sd="1" m="1" x="4848"/>
        <item t="data" sd="1" m="1" x="4550"/>
        <item t="data" sd="1" m="1" x="4849"/>
        <item t="data" sd="1" m="1" x="4850"/>
        <item t="data" sd="1" m="1" x="4851"/>
        <item t="data" sd="1" m="1" x="4852"/>
        <item t="data" sd="1" m="1" x="4251"/>
        <item t="data" sd="1" m="1" x="4572"/>
        <item t="data" sd="1" m="1" x="4333"/>
        <item t="data" sd="1" m="1" x="4714"/>
        <item t="data" sd="1" m="1" x="4715"/>
        <item t="data" sd="1" m="1" x="3392"/>
        <item t="data" sd="1" m="1" x="3914"/>
        <item t="data" sd="1" m="1" x="3794"/>
        <item t="data" sd="1" m="1" x="3795"/>
        <item t="data" sd="1" m="1" x="4716"/>
        <item t="data" sd="1" m="1" x="4717"/>
        <item t="data" sd="1" m="1" x="4718"/>
        <item t="data" sd="1" m="1" x="2348"/>
        <item t="data" sd="1" m="1" x="3757"/>
        <item t="data" sd="1" m="1" x="4719"/>
        <item t="data" sd="1" m="1" x="4720"/>
        <item t="data" sd="1" m="1" x="4721"/>
        <item t="data" sd="1" m="1" x="4350"/>
        <item t="data" sd="1" m="1" x="4479"/>
        <item t="data" sd="1" m="1" x="4722"/>
        <item t="data" sd="1" m="1" x="3008"/>
        <item t="data" sd="1" m="1" x="3315"/>
        <item t="data" sd="1" m="1" x="3854"/>
        <item t="data" sd="1" m="1" x="1516"/>
        <item t="data" sd="1" m="1" x="3793"/>
        <item t="data" sd="1" m="1" x="3340"/>
        <item t="data" sd="1" m="1" x="4448"/>
        <item t="data" sd="1" m="1" x="4723"/>
        <item t="data" sd="1" m="1" x="4081"/>
        <item t="data" sd="1" m="1" x="4492"/>
        <item t="data" sd="1" m="1" x="4490"/>
        <item t="data" sd="1" m="1" x="4491"/>
        <item t="data" sd="1" m="1" x="4493"/>
        <item t="data" sd="1" m="1" x="4494"/>
        <item t="data" sd="1" m="1" x="4495"/>
        <item t="data" sd="1" m="1" x="4496"/>
        <item t="data" sd="1" m="1" x="4497"/>
        <item t="data" sd="1" m="1" x="4724"/>
        <item t="data" sd="1" m="1" x="3944"/>
        <item t="data" sd="1" m="1" x="4725"/>
        <item t="data" sd="1" m="1" x="1537"/>
        <item t="data" sd="1" m="1" x="3414"/>
        <item t="data" sd="1" m="1" x="4306"/>
        <item t="data" sd="1" m="1" x="4726"/>
        <item t="data" sd="1" m="1" x="4727"/>
        <item t="data" sd="1" m="1" x="4728"/>
        <item t="data" sd="1" m="1" x="4729"/>
        <item t="data" sd="1" m="1" x="4730"/>
        <item t="data" sd="1" m="1" x="4731"/>
        <item t="data" sd="1" m="1" x="1525"/>
        <item t="data" sd="1" m="1" x="4732"/>
        <item t="data" sd="1" m="1" x="4386"/>
        <item t="data" sd="1" m="1" x="3706"/>
        <item t="data" sd="1" m="1" x="4733"/>
        <item t="data" sd="1" m="1" x="4734"/>
        <item t="data" sd="1" m="1" x="4735"/>
        <item t="data" sd="1" m="1" x="4527"/>
        <item t="data" sd="1" m="1" x="4524"/>
        <item t="data" sd="1" m="1" x="4528"/>
        <item t="data" sd="1" m="1" x="4526"/>
        <item t="data" sd="1" m="1" x="3728"/>
        <item t="data" sd="1" m="1" x="4736"/>
        <item t="data" sd="1" m="1" x="4737"/>
        <item t="data" sd="1" m="1" x="4738"/>
        <item t="data" sd="1" m="1" x="4391"/>
        <item t="data" sd="1" m="1" x="4739"/>
        <item t="data" sd="1" m="1" x="4740"/>
        <item t="data" sd="1" m="1" x="4543"/>
        <item t="data" sd="1" m="1" x="4741"/>
        <item t="data" sd="1" m="1" x="4742"/>
        <item t="data" sd="1" m="1" x="4743"/>
        <item t="data" sd="1" m="1" x="1533"/>
        <item t="data" sd="1" m="1" x="1534"/>
        <item t="data" sd="1" m="1" x="1535"/>
        <item t="data" sd="1" m="1" x="4558"/>
        <item t="data" sd="1" m="1" x="1536"/>
        <item t="data" sd="1" m="1" x="4744"/>
        <item t="data" sd="1" m="1" x="3729"/>
        <item t="data" sd="1" m="1" x="4745"/>
        <item t="data" sd="1" m="1" x="2008"/>
        <item t="data" sd="1" m="1" x="4746"/>
        <item t="data" sd="1" m="1" x="4247"/>
        <item t="data" sd="1" m="1" x="4401"/>
        <item t="data" sd="1" m="1" x="4747"/>
        <item t="data" sd="1" m="1" x="4748"/>
        <item t="data" sd="1" m="1" x="4749"/>
        <item t="data" sd="1" m="1" x="4750"/>
        <item t="data" sd="1" m="1" x="4751"/>
        <item t="data" sd="1" m="1" x="4752"/>
        <item t="data" sd="1" m="1" x="4753"/>
        <item t="data" sd="1" m="1" x="4754"/>
        <item t="data" sd="1" m="1" x="4755"/>
        <item t="data" sd="1" m="1" x="4756"/>
        <item t="data" sd="1" m="1" x="4538"/>
        <item t="data" sd="1" m="1" x="4757"/>
        <item t="data" sd="1" m="1" x="4758"/>
        <item t="data" sd="1" m="1" x="3289"/>
        <item t="data" sd="1" m="1" x="4759"/>
        <item t="data" sd="1" m="1" x="4760"/>
        <item t="data" sd="1" m="1" x="4761"/>
        <item t="data" sd="1" m="1" x="4762"/>
        <item t="data" sd="1" m="1" x="4763"/>
        <item t="data" sd="1" m="1" x="4330"/>
        <item t="data" sd="1" m="1" x="4764"/>
        <item t="data" sd="1" m="1" x="4765"/>
        <item t="data" sd="1" m="1" x="4766"/>
        <item t="data" sd="1" m="1" x="3864"/>
        <item t="data" sd="1" m="1" x="4767"/>
        <item t="data" sd="1" m="1" x="3910"/>
        <item t="data" sd="1" m="1" x="3175"/>
        <item t="data" sd="1" m="1" x="3176"/>
        <item t="data" sd="1" m="1" x="4768"/>
        <item t="data" sd="1" m="1" x="4769"/>
        <item t="data" sd="1" m="1" x="4770"/>
        <item t="data" sd="1" m="1" x="4771"/>
        <item t="data" sd="1" m="1" x="4772"/>
        <item t="data" sd="1" m="1" x="4773"/>
        <item t="data" sd="1" m="1" x="4774"/>
        <item t="data" sd="1" m="1" x="4775"/>
        <item t="data" sd="1" m="1" x="4776"/>
        <item t="data" sd="1" m="1" x="4777"/>
        <item t="data" sd="1" m="1" x="4778"/>
        <item t="data" sd="1" m="1" x="4779"/>
        <item t="data" sd="1" m="1" x="4780"/>
        <item t="data" sd="1" m="1" x="4781"/>
        <item t="data" sd="1" m="1" x="4782"/>
        <item t="data" sd="1" m="1" x="4783"/>
        <item t="data" sd="1" m="1" x="4336"/>
        <item t="data" sd="1" m="1" x="4784"/>
        <item t="data" sd="1" m="1" x="4785"/>
        <item t="data" sd="1" m="1" x="4426"/>
        <item t="data" sd="1" m="1" x="4427"/>
        <item t="data" sd="1" m="1" x="4428"/>
        <item t="data" sd="1" m="1" x="4429"/>
        <item t="data" sd="1" m="1" x="4430"/>
        <item t="data" sd="1" m="1" x="4431"/>
        <item t="data" sd="1" m="1" x="4432"/>
        <item t="data" sd="1" m="1" x="4433"/>
        <item t="data" sd="1" m="1" x="4434"/>
        <item t="data" sd="1" m="1" x="4277"/>
        <item t="data" sd="1" m="1" x="4435"/>
        <item t="data" sd="1" m="1" x="4275"/>
        <item t="data" sd="1" m="1" x="4271"/>
        <item t="data" sd="1" m="1" x="4156"/>
        <item t="data" sd="1" m="1" x="4436"/>
        <item t="data" sd="1" m="1" x="4437"/>
        <item t="data" sd="1" m="1" x="4438"/>
        <item t="data" sd="1" m="1" x="4439"/>
        <item t="data" sd="1" m="1" x="4440"/>
        <item t="data" sd="1" m="1" x="2009"/>
        <item t="data" sd="1" m="1" x="4298"/>
        <item t="data" sd="1" m="1" x="4290"/>
        <item t="data" sd="1" m="1" x="4292"/>
        <item t="data" sd="1" m="1" x="4164"/>
        <item t="data" sd="1" m="1" x="4293"/>
        <item t="data" sd="1" m="1" x="4294"/>
        <item t="data" sd="1" m="1" x="4291"/>
        <item t="data" sd="1" m="1" x="4154"/>
        <item t="data" sd="1" m="1" x="4155"/>
        <item t="data" sd="1" m="1" x="4301"/>
        <item t="data" sd="1" m="1" x="4304"/>
        <item t="data" sd="1" m="1" x="4157"/>
        <item t="data" sd="1" m="1" x="4302"/>
        <item t="data" sd="1" m="1" x="4289"/>
        <item t="data" sd="1" m="1" x="4152"/>
        <item t="data" sd="1" m="1" x="4153"/>
        <item t="data" sd="1" m="1" x="4296"/>
        <item t="data" sd="1" m="1" x="4297"/>
        <item t="data" sd="1" m="1" x="4295"/>
        <item t="data" sd="1" m="1" x="4303"/>
        <item t="data" sd="1" m="1" x="4158"/>
        <item t="data" sd="1" m="1" x="4305"/>
        <item t="data" sd="1" m="1" x="3541"/>
        <item t="data" sd="1" m="1" x="4280"/>
        <item t="data" sd="1" m="1" x="4307"/>
        <item t="data" sd="1" m="1" x="4308"/>
        <item t="data" sd="1" m="1" x="4441"/>
        <item t="data" sd="1" m="1" x="4312"/>
        <item t="data" sd="1" m="1" x="3800"/>
        <item t="data" sd="1" m="1" x="3801"/>
        <item t="data" sd="1" m="1" x="4313"/>
        <item t="data" sd="1" m="1" x="4083"/>
        <item t="data" sd="1" m="1" x="4090"/>
        <item t="data" sd="1" m="1" x="4446"/>
        <item t="data" sd="1" m="1" x="4181"/>
        <item t="data" sd="1" m="1" x="4182"/>
        <item t="data" sd="1" m="1" x="4450"/>
        <item t="data" sd="1" m="1" x="4451"/>
        <item t="data" sd="1" m="1" x="4452"/>
        <item t="data" sd="1" m="1" x="4453"/>
        <item t="data" sd="1" m="1" x="4460"/>
        <item t="data" sd="1" m="1" x="4461"/>
        <item t="data" sd="1" m="1" x="4462"/>
        <item t="data" sd="1" m="1" x="4463"/>
        <item t="data" sd="1" m="1" x="4327"/>
        <item t="data" sd="1" m="1" x="4328"/>
        <item t="data" sd="1" m="1" x="4464"/>
        <item t="data" sd="1" m="1" x="4466"/>
        <item t="data" sd="1" m="1" x="3668"/>
        <item t="data" sd="1" m="1" x="3565"/>
        <item t="data" sd="1" m="1" x="4197"/>
        <item t="data" sd="1" m="1" x="4198"/>
        <item t="data" sd="1" m="1" x="4199"/>
        <item t="data" sd="1" m="1" x="4201"/>
        <item t="data" sd="1" m="1" x="4202"/>
        <item t="data" sd="1" m="1" x="1551"/>
        <item t="data" sd="1" m="1" x="4467"/>
        <item t="data" sd="1" m="1" x="4468"/>
        <item t="data" sd="1" m="1" x="4469"/>
        <item t="data" sd="1" m="1" x="1548"/>
        <item t="data" sd="1" m="1" x="1549"/>
        <item t="data" sd="1" m="1" x="1550"/>
        <item t="data" sd="1" m="1" x="1523"/>
        <item t="data" sd="1" m="1" x="4473"/>
        <item t="data" sd="1" m="1" x="4474"/>
        <item t="data" sd="1" m="1" x="3853"/>
        <item t="data" sd="1" m="1" x="3041"/>
        <item t="data" sd="1" m="1" x="3042"/>
        <item t="data" sd="1" m="1" x="3045"/>
        <item t="data" sd="1" m="1" x="4475"/>
        <item t="data" sd="1" m="1" x="3043"/>
        <item t="data" sd="1" m="1" x="3044"/>
        <item t="data" sd="1" m="1" x="4334"/>
        <item t="data" sd="1" m="1" x="4476"/>
        <item t="data" sd="1" m="1" x="4343"/>
        <item t="data" sd="1" m="1" x="4344"/>
        <item t="data" sd="1" m="1" x="4341"/>
        <item t="data" sd="1" m="1" x="4342"/>
        <item t="data" sd="1" m="1" x="4351"/>
        <item t="data" sd="1" m="1" x="4477"/>
        <item t="data" sd="1" m="1" x="4478"/>
        <item t="data" sd="1" m="1" x="4480"/>
        <item t="data" sd="1" m="1" x="4481"/>
        <item t="data" sd="1" m="1" x="3581"/>
        <item t="data" sd="1" m="1" x="4483"/>
        <item t="data" sd="1" m="1" x="4352"/>
        <item t="data" sd="1" m="1" x="4353"/>
        <item t="data" sd="1" m="1" x="2688"/>
        <item t="data" sd="1" m="1" x="4484"/>
        <item t="data" sd="1" m="1" x="4487"/>
        <item t="data" sd="1" m="1" x="4502"/>
        <item t="data" sd="1" m="1" x="3057"/>
        <item t="data" sd="1" m="1" x="4505"/>
        <item t="data" sd="1" m="1" x="4506"/>
        <item t="data" sd="1" m="1" x="4219"/>
        <item t="data" sd="1" m="1" x="4363"/>
        <item t="data" sd="1" m="1" x="4364"/>
        <item t="data" sd="1" m="1" x="4360"/>
        <item t="data" sd="1" m="1" x="4359"/>
        <item t="data" sd="1" m="1" x="4372"/>
        <item t="data" sd="1" m="1" x="4373"/>
        <item t="data" sd="1" m="1" x="4375"/>
        <item t="data" sd="1" m="1" x="4356"/>
        <item t="data" sd="1" m="1" x="4358"/>
        <item t="data" sd="1" m="1" x="4357"/>
        <item t="data" sd="1" m="1" x="3921"/>
        <item t="data" sd="1" m="1" x="3920"/>
        <item t="data" sd="1" m="1" x="3918"/>
        <item t="data" sd="1" m="1" x="3919"/>
        <item t="data" sd="1" m="1" x="3923"/>
        <item t="data" sd="1" m="1" x="3924"/>
        <item t="data" sd="1" m="1" x="3925"/>
        <item t="data" sd="1" m="1" x="4382"/>
        <item t="data" sd="1" m="1" x="4379"/>
        <item t="data" sd="1" m="1" x="4381"/>
        <item t="data" sd="1" m="1" x="4384"/>
        <item t="data" sd="1" m="1" x="4380"/>
        <item t="data" sd="1" m="1" x="4365"/>
        <item t="data" sd="1" m="1" x="4366"/>
        <item t="data" sd="1" m="1" x="3907"/>
        <item t="data" sd="1" m="1" x="3908"/>
        <item t="data" sd="1" m="1" x="3909"/>
        <item t="data" sd="1" m="1" x="3911"/>
        <item t="data" sd="1" m="1" x="4369"/>
        <item t="data" sd="1" m="1" x="4368"/>
        <item t="data" sd="1" m="1" x="4370"/>
        <item t="data" sd="1" m="1" x="2011"/>
        <item t="data" sd="1" m="1" x="2012"/>
        <item t="data" sd="1" m="1" x="3695"/>
        <item t="data" sd="1" m="1" x="4220"/>
        <item t="data" sd="1" m="1" x="4508"/>
        <item t="data" sd="1" m="1" x="4509"/>
        <item t="data" sd="1" m="1" x="4385"/>
        <item t="data" sd="1" m="1" x="4222"/>
        <item t="data" sd="1" m="1" x="4510"/>
        <item t="data" sd="1" m="1" x="4403"/>
        <item t="data" sd="1" m="1" x="4410"/>
        <item t="data" sd="1" m="1" x="4513"/>
        <item t="data" sd="1" m="1" x="4409"/>
        <item t="data" sd="1" m="1" x="4412"/>
        <item t="data" sd="1" m="1" x="4411"/>
        <item t="data" sd="1" m="1" x="3428"/>
        <item t="data" sd="1" m="1" x="4413"/>
        <item t="data" sd="1" m="1" x="2390"/>
        <item t="data" sd="1" m="1" x="4515"/>
        <item t="data" sd="1" m="1" x="4234"/>
        <item t="data" sd="1" m="1" x="4233"/>
        <item t="data" sd="1" m="1" x="4235"/>
        <item t="data" sd="1" m="1" x="4231"/>
        <item t="data" sd="1" m="1" x="4232"/>
        <item t="data" sd="1" m="1" x="4390"/>
        <item t="data" sd="1" m="1" x="4326"/>
        <item t="data" sd="1" m="1" x="4230"/>
        <item t="data" sd="1" m="1" x="4395"/>
        <item t="data" sd="1" m="1" x="3447"/>
        <item t="data" sd="1" m="1" x="4402"/>
        <item t="data" sd="1" m="1" x="3450"/>
        <item t="data" sd="1" m="1" x="3451"/>
        <item t="data" sd="1" m="1" x="3449"/>
        <item t="data" sd="1" m="1" x="3446"/>
        <item t="data" sd="1" m="1" x="4516"/>
        <item t="data" sd="1" m="1" x="4517"/>
        <item t="data" sd="1" m="1" x="4518"/>
        <item t="data" sd="1" m="1" x="4519"/>
        <item t="data" sd="1" m="1" x="4520"/>
        <item t="data" sd="1" m="1" x="4397"/>
        <item t="data" sd="1" m="1" x="4398"/>
        <item t="data" sd="1" m="1" x="4399"/>
        <item t="data" sd="1" m="1" x="4400"/>
        <item t="data" sd="1" m="1" x="3445"/>
        <item t="data" sd="1" m="1" x="4521"/>
        <item t="data" sd="1" m="1" x="4417"/>
        <item t="data" sd="1" m="1" x="1524"/>
        <item t="data" sd="1" m="1" x="4522"/>
        <item t="data" sd="1" m="1" x="4523"/>
        <item t="data" sd="1" m="1" x="4420"/>
        <item t="data" sd="1" m="1" x="3726"/>
        <item t="data" sd="1" m="1" x="4243"/>
        <item t="data" sd="1" m="1" x="4244"/>
        <item t="data" sd="1" m="1" x="4530"/>
        <item t="data" sd="1" m="1" x="4421"/>
        <item t="data" sd="1" m="1" x="4422"/>
        <item t="data" sd="1" m="1" x="4532"/>
        <item t="data" sd="1" m="1" x="1563"/>
        <item t="data" sd="1" m="1" x="4533"/>
        <item t="data" sd="1" m="1" x="4248"/>
        <item t="data" sd="1" m="1" x="4534"/>
        <item t="data" sd="1" m="1" x="4535"/>
        <item t="data" sd="1" m="1" x="4536"/>
        <item t="data" sd="1" m="1" x="4539"/>
        <item t="data" sd="1" m="1" x="4540"/>
        <item t="data" sd="1" m="1" x="4541"/>
        <item t="data" sd="1" m="1" x="4542"/>
        <item t="data" sd="1" m="1" x="4206"/>
        <item t="data" sd="1" m="1" x="4553"/>
        <item t="data" sd="1" m="1" x="4554"/>
        <item t="data" sd="1" m="1" x="4555"/>
        <item t="data" sd="1" m="1" x="4556"/>
        <item t="data" sd="1" m="1" x="4557"/>
        <item t="data" sd="1" m="1" x="4180"/>
        <item t="data" sd="1" m="1" x="4561"/>
        <item t="data" sd="1" m="1" x="4565"/>
        <item t="data" sd="1" m="1" x="4566"/>
        <item t="data" sd="1" m="1" x="4570"/>
        <item t="data" sd="1" m="1" x="4121"/>
        <item t="data" sd="1" m="1" x="4257"/>
        <item t="data" sd="1" m="1" x="4137"/>
        <item t="data" sd="1" m="1" x="3115"/>
        <item t="data" sd="1" m="1" x="4265"/>
        <item t="data" sd="1" m="1" x="3754"/>
        <item t="data" sd="1" m="1" x="4266"/>
        <item t="data" sd="1" m="1" x="4267"/>
        <item t="data" sd="1" m="1" x="3178"/>
        <item t="data" sd="1" m="1" x="4268"/>
        <item t="data" sd="1" m="1" x="4269"/>
        <item t="data" sd="1" m="1" x="4270"/>
        <item t="data" sd="1" m="1" x="3320"/>
        <item t="data" sd="1" m="1" x="4272"/>
        <item t="data" sd="1" m="1" x="4139"/>
        <item t="data" sd="1" m="1" x="1552"/>
        <item t="data" sd="1" m="1" x="2361"/>
        <item t="data" sd="1" m="1" x="4276"/>
        <item t="data" sd="1" m="1" x="4278"/>
        <item t="data" sd="1" m="1" x="4279"/>
        <item t="data" sd="1" m="1" x="4281"/>
        <item t="data" sd="1" m="1" x="4146"/>
        <item t="data" sd="1" m="1" x="4147"/>
        <item t="data" sd="1" m="1" x="4282"/>
        <item t="data" sd="1" m="1" x="4283"/>
        <item t="data" sd="1" m="1" x="4284"/>
        <item t="data" sd="1" m="1" x="4050"/>
        <item t="data" sd="1" m="1" x="4049"/>
        <item t="data" sd="1" m="1" x="4148"/>
        <item t="data" sd="1" m="1" x="4285"/>
        <item t="data" sd="1" m="1" x="4151"/>
        <item t="data" sd="1" m="1" x="4286"/>
        <item t="data" sd="1" m="1" x="4287"/>
        <item t="data" sd="1" m="1" x="4288"/>
        <item t="data" sd="1" m="1" x="3931"/>
        <item t="data" sd="1" m="1" x="4159"/>
        <item t="data" sd="1" m="1" x="4160"/>
        <item t="data" sd="1" m="1" x="4161"/>
        <item t="data" sd="1" m="1" x="4162"/>
        <item t="data" sd="1" m="1" x="4163"/>
        <item t="data" sd="1" m="1" x="4299"/>
        <item t="data" sd="1" m="1" x="4300"/>
        <item t="data" sd="1" m="1" x="4149"/>
        <item t="data" sd="1" m="1" x="4150"/>
        <item t="data" sd="1" m="1" x="3540"/>
        <item t="data" sd="1" m="1" x="1517"/>
        <item t="data" sd="1" m="1" x="3339"/>
        <item t="data" sd="1" m="1" x="3792"/>
        <item t="data" sd="1" m="1" x="4309"/>
        <item t="data" sd="1" m="1" x="4311"/>
        <item t="data" sd="1" m="1" x="1610"/>
        <item t="data" sd="1" m="1" x="4316"/>
        <item t="data" sd="1" m="1" x="4082"/>
        <item t="data" sd="1" m="1" x="3811"/>
        <item t="data" sd="1" m="1" x="4085"/>
        <item t="data" sd="1" m="1" x="4086"/>
        <item t="data" sd="1" m="1" x="4087"/>
        <item t="data" sd="1" m="1" x="4088"/>
        <item t="data" sd="1" m="1" x="4089"/>
        <item t="data" sd="1" m="1" x="3810"/>
        <item t="data" sd="1" m="1" x="4317"/>
        <item t="data" sd="1" m="1" x="4318"/>
        <item t="data" sd="1" m="1" x="4319"/>
        <item t="data" sd="1" m="1" x="4320"/>
        <item t="data" sd="1" m="1" x="3813"/>
        <item t="data" sd="1" m="1" x="4321"/>
        <item t="data" sd="1" m="1" x="4323"/>
        <item t="data" sd="1" m="1" x="4324"/>
        <item t="data" sd="1" m="1" x="4325"/>
        <item t="data" sd="1" m="1" x="3828"/>
        <item t="data" sd="1" m="1" x="4192"/>
        <item t="data" sd="1" m="1" x="4196"/>
        <item t="data" sd="1" m="1" x="3360"/>
        <item t="data" sd="1" m="1" x="3824"/>
        <item t="data" sd="1" m="1" x="3827"/>
        <item t="data" sd="1" m="1" x="3669"/>
        <item t="data" sd="1" m="1" x="3843"/>
        <item t="data" sd="1" m="1" x="3836"/>
        <item t="data" sd="1" m="1" x="1553"/>
        <item t="data" sd="1" m="1" x="4332"/>
        <item t="data" sd="1" m="1" x="4340"/>
        <item t="data" sd="1" m="1" x="4205"/>
        <item t="data" sd="1" m="1" x="4345"/>
        <item t="data" sd="1" m="1" x="4207"/>
        <item t="data" sd="1" m="1" x="4346"/>
        <item t="data" sd="1" m="1" x="4347"/>
        <item t="data" sd="1" m="1" x="4348"/>
        <item t="data" sd="1" m="1" x="4349"/>
        <item t="data" sd="1" m="1" x="4214"/>
        <item t="data" sd="1" m="1" x="4210"/>
        <item t="data" sd="1" m="1" x="3687"/>
        <item t="data" sd="1" m="1" x="3228"/>
        <item t="data" sd="1" m="1" x="3889"/>
        <item t="data" sd="1" m="1" x="3868"/>
        <item t="data" sd="1" m="1" x="4217"/>
        <item t="data" sd="1" m="1" x="3887"/>
        <item t="data" sd="1" m="1" x="3888"/>
        <item t="data" sd="1" m="1" x="3886"/>
        <item t="data" sd="1" m="1" x="4354"/>
        <item t="data" sd="1" m="1" x="3243"/>
        <item t="data" sd="1" m="1" x="3242"/>
        <item t="data" sd="1" m="1" x="3900"/>
        <item t="data" sd="1" m="1" x="3903"/>
        <item t="data" sd="1" m="1" x="4361"/>
        <item t="data" sd="1" m="1" x="3905"/>
        <item t="data" sd="1" m="1" x="3906"/>
        <item t="data" sd="1" m="1" x="3915"/>
        <item t="data" sd="1" m="1" x="3916"/>
        <item t="data" sd="1" m="1" x="4377"/>
        <item t="data" sd="1" m="1" x="3917"/>
        <item t="data" sd="1" m="1" x="3932"/>
        <item t="data" sd="1" m="1" x="3934"/>
        <item t="data" sd="1" m="1" x="3417"/>
        <item t="data" sd="1" m="1" x="4225"/>
        <item t="data" sd="1" m="1" x="4387"/>
        <item t="data" sd="1" m="1" x="4388"/>
        <item t="data" sd="1" m="1" x="4389"/>
        <item t="data" sd="1" m="1" x="4229"/>
        <item t="data" sd="1" m="1" x="4392"/>
        <item t="data" sd="1" m="1" x="4393"/>
        <item t="data" sd="1" m="1" x="4394"/>
        <item t="data" sd="1" m="1" x="2406"/>
        <item t="data" sd="1" m="1" x="4396"/>
        <item t="data" sd="1" m="1" x="3444"/>
        <item t="data" sd="1" m="1" x="4404"/>
        <item t="data" sd="1" m="1" x="4405"/>
        <item t="data" sd="1" m="1" x="4406"/>
        <item t="data" sd="1" m="1" x="4407"/>
        <item t="data" sd="1" m="1" x="4408"/>
        <item t="data" sd="1" m="1" x="4414"/>
        <item t="data" sd="1" m="1" x="4415"/>
        <item t="data" sd="1" m="1" x="4416"/>
        <item t="data" sd="1" m="1" x="4418"/>
        <item t="data" sd="1" m="1" x="3964"/>
        <item t="data" sd="1" m="1" x="3963"/>
        <item t="data" sd="1" m="1" x="4419"/>
        <item t="data" sd="1" m="1" x="4237"/>
        <item t="data" sd="1" m="1" x="2855"/>
        <item t="data" sd="1" m="1" x="4240"/>
        <item t="data" sd="1" m="1" x="1528"/>
        <item t="data" sd="1" m="1" x="3475"/>
        <item t="data" sd="1" m="1" x="3970"/>
        <item t="data" sd="1" m="1" x="4246"/>
        <item t="data" sd="1" m="1" x="3976"/>
        <item t="data" sd="1" m="1" x="3733"/>
        <item t="data" sd="1" m="1" x="3734"/>
        <item t="data" sd="1" m="1" x="3987"/>
        <item t="data" sd="1" m="1" x="3988"/>
        <item t="data" sd="1" m="1" x="3989"/>
        <item t="data" sd="1" m="1" x="3983"/>
        <item t="data" sd="1" m="1" x="3984"/>
        <item t="data" sd="1" m="1" x="3480"/>
        <item t="data" sd="1" m="1" x="3483"/>
        <item t="data" sd="1" m="1" x="3995"/>
        <item t="data" sd="1" m="1" x="3996"/>
        <item t="data" sd="1" m="1" x="3997"/>
        <item t="data" sd="1" m="1" x="3288"/>
        <item t="data" sd="1" m="1" x="4423"/>
        <item t="data" sd="1" m="1" x="1538"/>
        <item t="data" sd="1" m="1" x="1539"/>
        <item t="data" sd="1" m="1" x="4424"/>
        <item t="data" sd="1" m="1" x="4015"/>
        <item t="data" sd="1" m="1" x="4425"/>
        <item t="data" sd="1" m="1" x="4013"/>
        <item t="data" sd="1" m="1" x="4254"/>
        <item t="data" sd="1" m="1" x="4018"/>
        <item t="data" sd="1" m="1" x="4019"/>
        <item t="data" sd="1" m="1" x="4020"/>
        <item t="data" sd="1" m="1" x="4021"/>
        <item t="data" sd="1" m="1" x="4122"/>
        <item t="data" sd="1" m="1" x="4123"/>
        <item t="data" sd="1" m="1" x="4124"/>
        <item t="data" sd="1" m="1" x="4125"/>
        <item t="data" sd="1" m="1" x="4126"/>
        <item t="data" sd="1" m="1" x="4127"/>
        <item t="data" sd="1" m="1" x="4128"/>
        <item t="data" sd="1" m="1" x="3749"/>
        <item t="data" sd="1" m="1" x="4129"/>
        <item t="data" sd="1" m="1" x="4130"/>
        <item t="data" sd="1" m="1" x="4131"/>
        <item t="data" sd="1" m="1" x="4132"/>
        <item t="data" sd="1" m="1" x="4133"/>
        <item t="data" sd="1" m="1" x="4134"/>
        <item t="data" sd="1" m="1" x="4135"/>
        <item t="data" sd="1" m="1" x="4136"/>
        <item t="data" sd="1" m="1" x="4138"/>
        <item t="data" sd="1" m="1" x="4140"/>
        <item t="data" sd="1" m="1" x="3418"/>
        <item t="data" sd="1" m="1" x="4033"/>
        <item t="data" sd="1" m="1" x="4141"/>
        <item t="data" sd="1" m="1" x="4142"/>
        <item t="data" sd="1" m="1" x="3939"/>
        <item t="data" sd="1" m="1" x="4143"/>
        <item t="data" sd="1" m="1" x="4144"/>
        <item t="data" sd="1" m="1" x="4145"/>
        <item t="data" sd="1" m="1" x="4165"/>
        <item t="data" sd="1" m="1" x="4070"/>
        <item t="data" sd="1" m="1" x="4068"/>
        <item t="data" sd="1" m="1" x="4069"/>
        <item t="data" sd="1" m="1" x="4053"/>
        <item t="data" sd="1" m="1" x="4166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0"/>
        <item t="data" sd="1" m="1" x="4061"/>
        <item t="data" sd="1" m="1" x="4167"/>
        <item t="data" sd="1" m="1" x="4062"/>
        <item t="data" sd="1" m="1" x="4168"/>
        <item t="data" sd="1" m="1" x="4063"/>
        <item t="data" sd="1" m="1" x="4169"/>
        <item t="data" sd="1" m="1" x="4064"/>
        <item t="data" sd="1" m="1" x="4170"/>
        <item t="data" sd="1" m="1" x="4065"/>
        <item t="data" sd="1" m="1" x="4171"/>
        <item t="data" sd="1" m="1" x="4066"/>
        <item t="data" sd="1" m="1" x="4067"/>
        <item t="data" sd="1" m="1" x="4051"/>
        <item t="data" sd="1" m="1" x="4172"/>
        <item t="data" sd="1" m="1" x="4052"/>
        <item t="data" sd="1" m="1" x="4173"/>
        <item t="data" sd="1" m="1" x="4174"/>
        <item t="data" sd="1" m="1" x="3765"/>
        <item t="data" sd="1" m="1" x="3766"/>
        <item t="data" sd="1" m="1" x="4175"/>
        <item t="data" sd="1" m="1" x="4080"/>
        <item t="data" sd="1" m="1" x="3809"/>
        <item t="data" sd="1" m="1" x="3804"/>
        <item t="data" sd="1" m="1" x="3805"/>
        <item t="data" sd="1" m="1" x="3806"/>
        <item t="data" sd="1" m="1" x="3807"/>
        <item t="data" sd="1" m="1" x="3819"/>
        <item t="data" sd="1" m="1" x="3820"/>
        <item t="data" sd="1" m="1" x="3821"/>
        <item t="data" sd="1" m="1" x="3814"/>
        <item t="data" sd="1" m="1" x="3815"/>
        <item t="data" sd="1" m="1" x="3816"/>
        <item t="data" sd="1" m="1" x="3817"/>
        <item t="data" sd="1" m="1" x="3818"/>
        <item t="data" sd="1" m="1" x="4176"/>
        <item t="data" sd="1" m="1" x="4177"/>
        <item t="data" sd="1" m="1" x="4178"/>
        <item t="data" sd="1" m="1" x="4179"/>
        <item t="data" sd="1" m="1" x="3831"/>
        <item t="data" sd="1" m="1" x="3830"/>
        <item t="data" sd="1" m="1" x="4193"/>
        <item t="data" sd="1" m="1" x="4195"/>
        <item t="data" sd="1" m="1" x="3823"/>
        <item t="data" sd="1" m="1" x="3363"/>
        <item t="data" sd="1" m="1" x="4200"/>
        <item t="data" sd="1" m="1" x="1580"/>
        <item t="data" sd="1" m="1" x="1581"/>
        <item t="data" sd="1" m="1" x="3844"/>
        <item t="data" sd="1" m="1" x="3842"/>
        <item t="data" sd="1" m="1" x="4097"/>
        <item t="data" sd="1" m="1" x="4203"/>
        <item t="data" sd="1" m="1" x="4204"/>
        <item t="data" sd="1" m="1" x="4208"/>
        <item t="data" sd="1" m="1" x="4209"/>
        <item t="data" sd="1" m="1" x="4211"/>
        <item t="data" sd="1" m="1" x="4212"/>
        <item t="data" sd="1" m="1" x="4213"/>
        <item t="data" sd="1" m="1" x="4215"/>
        <item t="data" sd="1" m="1" x="4216"/>
        <item t="data" sd="1" m="1" x="3869"/>
        <item t="data" sd="1" m="1" x="3885"/>
        <item t="data" sd="1" m="1" x="3882"/>
        <item t="data" sd="1" m="1" x="3883"/>
        <item t="data" sd="1" m="1" x="3884"/>
        <item t="data" sd="1" m="1" x="3231"/>
        <item t="data" sd="1" m="1" x="3897"/>
        <item t="data" sd="1" m="1" x="3898"/>
        <item t="data" sd="1" m="1" x="3054"/>
        <item t="data" sd="1" m="1" x="3899"/>
        <item t="data" sd="1" m="1" x="4218"/>
        <item t="data" sd="1" m="1" x="3912"/>
        <item t="data" sd="1" m="1" x="3913"/>
        <item t="data" sd="1" m="1" x="3930"/>
        <item t="data" sd="1" m="1" x="3707"/>
        <item t="data" sd="1" m="1" x="3933"/>
        <item t="data" sd="1" m="1" x="4221"/>
        <item t="data" sd="1" m="1" x="3713"/>
        <item t="data" sd="1" m="1" x="3714"/>
        <item t="data" sd="1" m="1" x="4226"/>
        <item t="data" sd="1" m="1" x="3464"/>
        <item t="data" sd="1" m="1" x="3945"/>
        <item t="data" sd="1" m="1" x="4227"/>
        <item t="data" sd="1" m="1" x="4228"/>
        <item t="data" sd="1" m="1" x="3962"/>
        <item t="data" sd="1" m="1" x="3961"/>
        <item t="data" sd="1" m="1" x="4238"/>
        <item t="data" sd="1" m="1" x="4239"/>
        <item t="data" sd="1" m="1" x="4242"/>
        <item t="data" sd="1" m="1" x="3971"/>
        <item t="data" sd="1" m="1" x="3972"/>
        <item t="data" sd="1" m="1" x="4245"/>
        <item t="data" sd="1" m="1" x="3985"/>
        <item t="data" sd="1" m="1" x="3986"/>
        <item t="data" sd="1" m="1" x="3981"/>
        <item t="data" sd="1" m="1" x="3993"/>
        <item t="data" sd="1" m="1" x="3994"/>
        <item t="data" sd="1" m="1" x="1654"/>
        <item t="data" sd="1" m="1" x="4249"/>
        <item t="data" sd="1" m="1" x="4252"/>
        <item t="data" sd="1" m="1" x="4253"/>
        <item t="data" sd="1" m="1" x="4016"/>
        <item t="data" sd="1" m="1" x="4023"/>
        <item t="data" sd="1" m="1" x="3090"/>
        <item t="data" sd="1" m="1" x="3087"/>
        <item t="data" sd="1" m="1" x="4031"/>
        <item t="data" sd="1" m="1" x="4032"/>
        <item t="data" sd="1" m="1" x="3758"/>
        <item t="data" sd="1" m="1" x="3755"/>
        <item t="data" sd="1" m="1" x="1674"/>
        <item t="data" sd="1" m="1" x="3756"/>
        <item t="data" sd="1" m="1" x="4035"/>
        <item t="data" sd="1" m="1" x="4036"/>
        <item t="data" sd="1" m="1" x="4037"/>
        <item t="data" sd="1" m="1" x="4038"/>
        <item t="data" sd="1" m="1" x="4039"/>
        <item t="data" sd="1" m="1" x="4040"/>
        <item t="data" sd="1" m="1" x="4041"/>
        <item t="data" sd="1" m="1" x="4042"/>
        <item t="data" sd="1" m="1" x="4043"/>
        <item t="data" sd="1" m="1" x="4044"/>
        <item t="data" sd="1" m="1" x="3767"/>
        <item t="data" sd="1" m="1" x="4045"/>
        <item t="data" sd="1" m="1" x="4046"/>
        <item t="data" sd="1" m="1" x="4047"/>
        <item t="data" sd="1" m="1" x="4048"/>
        <item t="data" sd="1" m="1" x="4071"/>
        <item t="data" sd="1" m="1" x="4072"/>
        <item t="data" sd="1" m="1" x="4073"/>
        <item t="data" sd="1" m="1" x="4074"/>
        <item t="data" sd="1" m="1" x="4075"/>
        <item t="data" sd="1" m="1" x="4078"/>
        <item t="data" sd="1" m="1" x="4079"/>
        <item t="data" sd="1" m="1" x="4084"/>
        <item t="data" sd="1" m="1" x="3808"/>
        <item t="data" sd="1" m="1" x="4091"/>
        <item t="data" sd="1" m="1" x="2412"/>
        <item t="data" sd="1" m="1" x="4092"/>
        <item t="data" sd="1" m="1" x="4093"/>
        <item t="data" sd="1" m="1" x="4094"/>
        <item t="data" sd="1" m="1" x="3829"/>
        <item t="data" sd="1" m="1" x="3656"/>
        <item t="data" sd="1" m="1" x="3653"/>
        <item t="data" sd="1" m="1" x="3825"/>
        <item t="data" sd="1" m="1" x="3835"/>
        <item t="data" sd="1" m="1" x="3837"/>
        <item t="data" sd="1" m="1" x="3199"/>
        <item t="data" sd="1" m="1" x="3838"/>
        <item t="data" sd="1" m="1" x="3846"/>
        <item t="data" sd="1" m="1" x="3845"/>
        <item t="data" sd="1" m="1" x="1668"/>
        <item t="data" sd="1" m="1" x="4096"/>
        <item t="data" sd="1" m="1" x="3855"/>
        <item t="data" sd="1" m="1" x="4098"/>
        <item t="data" sd="1" m="1" x="4099"/>
        <item t="data" sd="1" m="1" x="4100"/>
        <item t="data" sd="1" m="1" x="4101"/>
        <item t="data" sd="1" m="1" x="4102"/>
        <item t="data" sd="1" m="1" x="4103"/>
        <item t="data" sd="1" m="1" x="4104"/>
        <item t="data" sd="1" m="1" x="4105"/>
        <item t="data" sd="1" m="1" x="4106"/>
        <item t="data" sd="1" m="1" x="3967"/>
        <item t="data" sd="1" m="1" x="4107"/>
        <item t="data" sd="1" m="1" x="4108"/>
        <item t="data" sd="1" m="1" x="4109"/>
        <item t="data" sd="1" m="1" x="4110"/>
        <item t="data" sd="1" m="1" x="4111"/>
        <item t="data" sd="1" m="1" x="4112"/>
        <item t="data" sd="1" m="1" x="4113"/>
        <item t="data" sd="1" m="1" x="4114"/>
        <item t="data" sd="1" m="1" x="3870"/>
        <item t="data" sd="1" m="1" x="3871"/>
        <item t="data" sd="1" m="1" x="3872"/>
        <item t="data" sd="1" m="1" x="3873"/>
        <item t="data" sd="1" m="1" x="3878"/>
        <item t="data" sd="1" m="1" x="3879"/>
        <item t="data" sd="1" m="1" x="3880"/>
        <item t="data" sd="1" m="1" x="3881"/>
        <item t="data" sd="1" m="1" x="3688"/>
        <item t="data" sd="1" m="1" x="3890"/>
        <item t="data" sd="1" m="1" x="3891"/>
        <item t="data" sd="1" m="1" x="3927"/>
        <item t="data" sd="1" m="1" x="3926"/>
        <item t="data" sd="1" m="1" x="3692"/>
        <item t="data" sd="1" m="1" x="3904"/>
        <item t="data" sd="1" m="1" x="3700"/>
        <item t="data" sd="1" m="1" x="4116"/>
        <item t="data" sd="1" m="1" x="3708"/>
        <item t="data" sd="1" m="1" x="3709"/>
        <item t="data" sd="1" m="1" x="3710"/>
        <item t="data" sd="1" m="1" x="4117"/>
        <item t="data" sd="1" m="1" x="3954"/>
        <item t="data" sd="1" m="1" x="3601"/>
        <item t="data" sd="1" m="1" x="3941"/>
        <item t="data" sd="1" m="1" x="4118"/>
        <item t="data" sd="1" m="1" x="3946"/>
        <item t="data" sd="1" m="1" x="4119"/>
        <item t="data" sd="1" m="1" x="3956"/>
        <item t="data" sd="1" m="1" x="3957"/>
        <item t="data" sd="1" m="1" x="3958"/>
        <item t="data" sd="1" m="1" x="3720"/>
        <item t="data" sd="1" m="1" x="3968"/>
        <item t="data" sd="1" m="1" x="3969"/>
        <item t="data" sd="1" m="1" x="3974"/>
        <item t="data" sd="1" m="1" x="3975"/>
        <item t="data" sd="1" m="1" x="3982"/>
        <item t="data" sd="1" m="1" x="3980"/>
        <item t="data" sd="1" m="1" x="3485"/>
        <item t="data" sd="1" m="1" x="3998"/>
        <item t="data" sd="1" m="1" x="3608"/>
        <item t="data" sd="1" m="1" x="3992"/>
        <item t="data" sd="1" m="1" x="2966"/>
        <item t="data" sd="1" m="1" x="3496"/>
        <item t="data" sd="1" m="1" x="3284"/>
        <item t="data" sd="1" m="1" x="4005"/>
        <item t="data" sd="1" m="1" x="1648"/>
        <item t="data" sd="1" m="1" x="1649"/>
        <item t="data" sd="1" m="1" x="1650"/>
        <item t="data" sd="1" m="1" x="1651"/>
        <item t="data" sd="1" m="1" x="1652"/>
        <item t="data" sd="1" m="1" x="4006"/>
        <item t="data" sd="1" m="1" x="4012"/>
        <item t="data" sd="1" m="1" x="4014"/>
        <item t="data" sd="1" m="1" x="4017"/>
        <item t="data" sd="1" m="1" x="4022"/>
        <item t="data" sd="1" m="1" x="3747"/>
        <item t="data" sd="1" m="1" x="3750"/>
        <item t="data" sd="1" m="1" x="3751"/>
        <item t="data" sd="1" m="1" x="3752"/>
        <item t="data" sd="1" m="1" x="3318"/>
        <item t="data" sd="1" m="1" x="3759"/>
        <item t="data" sd="1" m="1" x="3760"/>
        <item t="data" sd="1" m="1" x="3761"/>
        <item t="data" sd="1" m="1" x="3763"/>
        <item t="data" sd="1" m="1" x="3764"/>
        <item t="data" sd="1" m="1" x="3768"/>
        <item t="data" sd="1" m="1" x="3769"/>
        <item t="data" sd="1" m="1" x="3770"/>
        <item t="data" sd="1" m="1" x="3771"/>
        <item t="data" sd="1" m="1" x="3772"/>
        <item t="data" sd="1" m="1" x="3773"/>
        <item t="data" sd="1" m="1" x="3774"/>
        <item t="data" sd="1" m="1" x="3775"/>
        <item t="data" sd="1" m="1" x="3776"/>
        <item t="data" sd="1" m="1" x="3777"/>
        <item t="data" sd="1" m="1" x="3778"/>
        <item t="data" sd="1" m="1" x="3779"/>
        <item t="data" sd="1" m="1" x="3780"/>
        <item t="data" sd="1" m="1" x="3781"/>
        <item t="data" sd="1" m="1" x="3782"/>
        <item t="data" sd="1" m="1" x="3783"/>
        <item t="data" sd="1" m="1" x="3784"/>
        <item t="data" sd="1" m="1" x="3785"/>
        <item t="data" sd="1" m="1" x="3786"/>
        <item t="data" sd="1" m="1" x="3787"/>
        <item t="data" sd="1" m="1" x="3788"/>
        <item t="data" sd="1" m="1" x="3789"/>
        <item t="data" sd="1" m="1" x="3790"/>
        <item t="data" sd="1" m="1" x="3791"/>
        <item t="data" sd="1" m="1" x="3342"/>
        <item t="data" sd="1" m="1" x="1673"/>
        <item t="data" sd="1" m="1" x="3798"/>
        <item t="data" sd="1" m="1" x="3799"/>
        <item t="data" sd="1" m="1" x="3344"/>
        <item t="data" sd="1" m="1" x="3802"/>
        <item t="data" sd="1" m="1" x="3803"/>
        <item t="data" sd="1" m="1" x="3812"/>
        <item t="data" sd="1" m="1" x="2413"/>
        <item t="data" sd="1" m="1" x="2414"/>
        <item t="data" sd="1" m="1" x="2415"/>
        <item t="data" sd="1" m="1" x="3822"/>
        <item t="data" sd="1" m="1" x="3826"/>
        <item t="data" sd="1" m="1" x="3832"/>
        <item t="data" sd="1" m="1" x="3833"/>
        <item t="data" sd="1" m="1" x="3834"/>
        <item t="data" sd="1" m="1" x="1608"/>
        <item t="data" sd="1" m="1" x="1603"/>
        <item t="data" sd="1" m="1" x="1582"/>
        <item t="data" sd="1" m="1" x="1583"/>
        <item t="data" sd="1" m="1" x="3839"/>
        <item t="data" sd="1" m="1" x="3840"/>
        <item t="data" sd="1" m="1" x="3841"/>
        <item t="data" sd="1" m="1" x="3847"/>
        <item t="data" sd="1" m="1" x="3848"/>
        <item t="data" sd="1" m="1" x="3849"/>
        <item t="data" sd="1" m="1" x="1588"/>
        <item t="data" sd="1" m="1" x="3850"/>
        <item t="data" sd="1" m="1" x="3851"/>
        <item t="data" sd="1" m="1" x="3204"/>
        <item t="data" sd="1" m="1" x="3205"/>
        <item t="data" sd="1" m="1" x="3852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5"/>
        <item t="data" sd="1" m="1" x="3866"/>
        <item t="data" sd="1" m="1" x="1601"/>
        <item t="data" sd="1" m="1" x="1578"/>
        <item t="data" sd="1" m="1" x="3230"/>
        <item t="data" sd="1" m="1" x="3874"/>
        <item t="data" sd="1" m="1" x="3875"/>
        <item t="data" sd="1" m="1" x="3876"/>
        <item t="data" sd="1" m="1" x="3877"/>
        <item t="data" sd="1" m="1" x="3892"/>
        <item t="data" sd="1" m="1" x="3893"/>
        <item t="data" sd="1" m="1" x="3894"/>
        <item t="data" sd="1" m="1" x="1615"/>
        <item t="data" sd="1" m="1" x="3929"/>
        <item t="data" sd="1" m="1" x="3935"/>
        <item t="data" sd="1" m="1" x="3936"/>
        <item t="data" sd="1" m="1" x="3937"/>
        <item t="data" sd="1" m="1" x="3938"/>
        <item t="data" sd="1" m="1" x="3940"/>
        <item t="data" sd="1" m="1" x="3942"/>
        <item t="data" sd="1" m="1" x="3943"/>
        <item t="data" sd="1" m="1" x="3427"/>
        <item t="data" sd="1" m="1" x="2979"/>
        <item t="data" sd="1" m="1" x="1612"/>
        <item t="data" sd="1" m="1" x="3267"/>
        <item t="data" sd="1" m="1" x="3965"/>
        <item t="data" sd="1" m="1" x="3966"/>
        <item t="data" sd="1" m="1" x="3973"/>
        <item t="data" sd="1" m="1" x="3732"/>
        <item t="data" sd="1" m="1" x="3977"/>
        <item t="data" sd="1" m="1" x="3978"/>
        <item t="data" sd="1" m="1" x="3979"/>
        <item t="data" sd="1" m="1" x="3736"/>
        <item t="data" sd="1" m="1" x="3990"/>
        <item t="data" sd="1" m="1" x="3991"/>
        <item t="data" sd="1" m="1" x="2974"/>
        <item t="data" sd="1" m="1" x="2975"/>
        <item t="data" sd="1" m="1" x="2976"/>
        <item t="data" sd="1" m="1" x="2980"/>
        <item t="data" sd="1" m="1" x="2977"/>
        <item t="data" sd="1" m="1" x="2978"/>
        <item t="data" sd="1" m="1" x="4002"/>
        <item t="data" sd="1" m="1" x="4003"/>
        <item t="data" sd="1" m="1" x="4004"/>
        <item t="data" sd="1" m="1" x="3287"/>
        <item t="data" sd="1" m="1" x="1653"/>
        <item t="data" sd="1" m="1" x="1647"/>
        <item t="data" sd="1" m="1" x="4007"/>
        <item t="data" sd="1" m="1" x="4011"/>
        <item t="data" sd="1" m="1" x="4024"/>
        <item t="data" sd="1" m="1" x="4025"/>
        <item t="data" sd="1" m="1" x="4026"/>
        <item t="data" sd="1" m="1" x="4027"/>
        <item t="data" sd="1" m="1" x="4028"/>
        <item t="data" sd="1" m="1" x="4029"/>
        <item t="data" sd="1" m="1" x="4030"/>
        <item t="data" sd="1" m="1" x="1672"/>
        <item t="data" sd="1" m="1" x="3634"/>
        <item t="data" sd="1" m="1" x="3310"/>
        <item t="data" sd="1" m="1" x="3635"/>
        <item t="data" sd="1" m="1" x="3636"/>
        <item t="data" sd="1" m="1" x="3637"/>
        <item t="data" sd="1" m="1" x="3638"/>
        <item t="data" sd="1" m="1" x="3639"/>
        <item t="data" sd="1" m="1" x="2804"/>
        <item t="data" sd="1" m="1" x="3127"/>
        <item t="data" sd="1" m="1" x="3513"/>
        <item t="data" sd="1" m="1" x="3286"/>
        <item t="data" sd="1" m="1" x="3640"/>
        <item t="data" sd="1" m="1" x="3641"/>
        <item t="data" sd="1" m="1" x="3642"/>
        <item t="data" sd="1" m="1" x="3643"/>
        <item t="data" sd="1" m="1" x="3644"/>
        <item t="data" sd="1" m="1" x="3336"/>
        <item t="data" sd="1" m="1" x="3645"/>
        <item t="data" sd="1" m="1" x="3646"/>
        <item t="data" sd="1" m="1" x="3647"/>
        <item t="data" sd="1" m="1" x="3648"/>
        <item t="data" sd="1" m="1" x="3649"/>
        <item t="data" sd="1" m="1" x="3544"/>
        <item t="data" sd="1" m="1" x="3545"/>
        <item t="data" sd="1" m="1" x="3546"/>
        <item t="data" sd="1" m="1" x="3172"/>
        <item t="data" sd="1" m="1" x="3349"/>
        <item t="data" sd="1" m="1" x="3345"/>
        <item t="data" sd="1" m="1" x="3348"/>
        <item t="data" sd="1" m="1" x="3650"/>
        <item t="data" sd="1" m="1" x="3651"/>
        <item t="data" sd="1" m="1" x="3652"/>
        <item t="data" sd="1" m="1" x="3180"/>
        <item t="data" sd="1" m="1" x="3179"/>
        <item t="data" sd="1" m="1" x="3183"/>
        <item t="data" sd="1" m="1" x="1619"/>
        <item t="data" sd="1" m="1" x="3188"/>
        <item t="data" sd="1" m="1" x="3658"/>
        <item t="data" sd="1" m="1" x="1291"/>
        <item t="data" sd="1" m="1" x="1606"/>
        <item t="data" sd="1" m="1" x="3659"/>
        <item t="data" sd="1" m="1" x="3660"/>
        <item t="data" sd="1" m="1" x="3661"/>
        <item t="data" sd="1" m="1" x="1604"/>
        <item t="data" sd="1" m="1" x="3563"/>
        <item t="data" sd="1" m="1" x="3564"/>
        <item t="data" sd="1" m="1" x="3662"/>
        <item t="data" sd="1" m="1" x="3663"/>
        <item t="data" sd="1" m="1" x="3664"/>
        <item t="data" sd="1" m="1" x="3665"/>
        <item t="data" sd="1" m="1" x="3666"/>
        <item t="data" sd="1" m="1" x="3667"/>
        <item t="data" sd="1" m="1" x="1590"/>
        <item t="data" sd="1" m="1" x="3198"/>
        <item t="data" sd="1" m="1" x="1589"/>
        <item t="data" sd="1" m="1" x="3568"/>
        <item t="data" sd="1" m="1" x="3206"/>
        <item t="data" sd="1" m="1" x="2646"/>
        <item t="data" sd="1" m="1" x="3212"/>
        <item t="data" sd="1" m="1" x="1602"/>
        <item t="data" sd="1" m="1" x="3570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3686"/>
        <item t="data" sd="1" m="1" x="3050"/>
        <item t="data" sd="1" m="1" x="2981"/>
        <item t="data" sd="1" m="1" x="3229"/>
        <item t="data" sd="1" m="1" x="3586"/>
        <item t="data" sd="1" m="1" x="3689"/>
        <item t="data" sd="1" m="1" x="3589"/>
        <item t="data" sd="1" m="1" x="3588"/>
        <item t="data" sd="1" m="1" x="3391"/>
        <item t="data" sd="1" m="1" x="3407"/>
        <item t="data" sd="1" m="1" x="3405"/>
        <item t="data" sd="1" m="1" x="3394"/>
        <item t="data" sd="1" m="1" x="3395"/>
        <item t="data" sd="1" m="1" x="3396"/>
        <item t="data" sd="1" m="1" x="3397"/>
        <item t="data" sd="1" m="1" x="3402"/>
        <item t="data" sd="1" m="1" x="3400"/>
        <item t="data" sd="1" m="1" x="3401"/>
        <item t="data" sd="1" m="1" x="3403"/>
        <item t="data" sd="1" m="1" x="3404"/>
        <item t="data" sd="1" m="1" x="3406"/>
        <item t="data" sd="1" m="1" x="3234"/>
        <item t="data" sd="1" m="1" x="3240"/>
        <item t="data" sd="1" m="1" x="3235"/>
        <item t="data" sd="1" m="1" x="3236"/>
        <item t="data" sd="1" m="1" x="3237"/>
        <item t="data" sd="1" m="1" x="3238"/>
        <item t="data" sd="1" m="1" x="3239"/>
        <item t="data" sd="1" m="1" x="3690"/>
        <item t="data" sd="1" m="1" x="3691"/>
        <item t="data" sd="1" m="1" x="3693"/>
        <item t="data" sd="1" m="1" x="3694"/>
        <item t="data" sd="1" m="1" x="1618"/>
        <item t="data" sd="1" m="1" x="3696"/>
        <item t="data" sd="1" m="1" x="3697"/>
        <item t="data" sd="1" m="1" x="3699"/>
        <item t="data" sd="1" m="1" x="3415"/>
        <item t="data" sd="1" m="1" x="3711"/>
        <item t="data" sd="1" m="1" x="3712"/>
        <item t="data" sd="1" m="1" x="3715"/>
        <item t="data" sd="1" m="1" x="3718"/>
        <item t="data" sd="1" m="1" x="3602"/>
        <item t="data" sd="1" m="1" x="3456"/>
        <item t="data" sd="1" m="1" x="3465"/>
        <item t="data" sd="1" m="1" x="3458"/>
        <item t="data" sd="1" m="1" x="3459"/>
        <item t="data" sd="1" m="1" x="3719"/>
        <item t="data" sd="1" m="1" x="3596"/>
        <item t="data" sd="1" m="1" x="3597"/>
        <item t="data" sd="1" m="1" x="3595"/>
        <item t="data" sd="1" m="1" x="2431"/>
        <item t="data" sd="1" m="1" x="3466"/>
        <item t="data" sd="1" m="1" x="1613"/>
        <item t="data" sd="1" m="1" x="3721"/>
        <item t="data" sd="1" m="1" x="3722"/>
        <item t="data" sd="1" m="1" x="3723"/>
        <item t="data" sd="1" m="1" x="3724"/>
        <item t="data" sd="1" m="1" x="3725"/>
        <item t="data" sd="1" m="1" x="3474"/>
        <item t="data" sd="1" m="1" x="3727"/>
        <item t="data" sd="1" m="1" x="3072"/>
        <item t="data" sd="1" m="1" x="3730"/>
        <item t="data" sd="1" m="1" x="3731"/>
        <item t="data" sd="1" m="1" x="1667"/>
        <item t="data" sd="1" m="1" x="3737"/>
        <item t="data" sd="1" m="1" x="3738"/>
        <item t="data" sd="1" m="1" x="3611"/>
        <item t="data" sd="1" m="1" x="3537"/>
        <item t="data" sd="1" m="1" x="3612"/>
        <item t="data" sd="1" m="1" x="3613"/>
        <item t="data" sd="1" m="1" x="298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988"/>
        <item t="data" sd="1" m="1" x="2989"/>
        <item t="data" sd="1" m="1" x="2990"/>
        <item t="data" sd="1" m="1" x="2991"/>
        <item t="data" sd="1" m="1" x="3486"/>
        <item t="data" sd="1" m="1" x="3487"/>
        <item t="data" sd="1" m="1" x="3285"/>
        <item t="data" sd="1" m="1" x="3299"/>
        <item t="data" sd="1" m="1" x="3283"/>
        <item t="data" sd="1" m="1" x="1646"/>
        <item t="data" sd="1" m="1" x="3629"/>
        <item t="data" sd="1" m="1" x="3744"/>
        <item t="data" sd="1" m="1" x="2781"/>
        <item t="data" sd="1" m="1" x="3082"/>
        <item t="data" sd="1" m="1" x="3084"/>
        <item t="data" sd="1" m="1" x="3745"/>
        <item t="data" sd="1" m="1" x="3746"/>
        <item t="data" sd="1" m="1" x="3504"/>
        <item t="data" sd="1" m="1" x="3748"/>
        <item t="data" sd="1" m="1" x="3505"/>
        <item t="data" sd="1" m="1" x="3309"/>
        <item t="data" sd="1" m="1" x="1663"/>
        <item t="data" sd="1" m="1" x="3506"/>
        <item t="data" sd="1" m="1" x="3507"/>
        <item t="data" sd="1" m="1" x="3508"/>
        <item t="data" sd="1" m="1" x="3509"/>
        <item t="data" sd="1" m="1" x="3510"/>
        <item t="data" sd="1" m="1" x="3511"/>
        <item t="data" sd="1" m="1" x="3120"/>
        <item t="data" sd="1" m="1" x="3462"/>
        <item t="data" sd="1" m="1" x="3357"/>
        <item t="data" sd="1" m="1" x="3324"/>
        <item t="data" sd="1" m="1" x="3512"/>
        <item t="data" sd="1" m="1" x="3314"/>
        <item t="data" sd="1" m="1" x="3515"/>
        <item t="data" sd="1" m="1" x="3516"/>
        <item t="data" sd="1" m="1" x="3517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531"/>
        <item t="data" sd="1" m="1" x="3532"/>
        <item t="data" sd="1" m="1" x="3533"/>
        <item t="data" sd="1" m="1" x="3534"/>
        <item t="data" sd="1" m="1" x="3535"/>
        <item t="data" sd="1" m="1" x="3536"/>
        <item t="data" sd="1" m="1" x="3538"/>
        <item t="data" sd="1" m="1" x="3539"/>
        <item t="data" sd="1" m="1" x="3542"/>
        <item t="data" sd="1" m="1" x="3543"/>
        <item t="data" sd="1" m="1" x="3347"/>
        <item t="data" sd="1" m="1" x="3547"/>
        <item t="data" sd="1" m="1" x="3548"/>
        <item t="data" sd="1" m="1" x="3549"/>
        <item t="data" sd="1" m="1" x="3550"/>
        <item t="data" sd="1" m="1" x="3409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1607"/>
        <item t="data" sd="1" m="1" x="2010"/>
        <item t="data" sd="1" m="1" x="3560"/>
        <item t="data" sd="1" m="1" x="3561"/>
        <item t="data" sd="1" m="1" x="3562"/>
        <item t="data" sd="1" m="1" x="3567"/>
        <item t="data" sd="1" m="1" x="1579"/>
        <item t="data" sd="1" m="1" x="1591"/>
        <item t="data" sd="1" m="1" x="3210"/>
        <item t="data" sd="1" m="1" x="3569"/>
        <item t="data" sd="1" m="1" x="3371"/>
        <item t="data" sd="1" m="1" x="3571"/>
        <item t="data" sd="1" m="1" x="3572"/>
        <item t="data" sd="1" m="1" x="3376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3081"/>
        <item t="data" sd="1" m="1" x="3579"/>
        <item t="data" sd="1" m="1" x="3379"/>
        <item t="data" sd="1" m="1" x="3381"/>
        <item t="data" sd="1" m="1" x="3582"/>
        <item t="data" sd="1" m="1" x="3583"/>
        <item t="data" sd="1" m="1" x="3584"/>
        <item t="data" sd="1" m="1" x="3585"/>
        <item t="data" sd="1" m="1" x="3587"/>
        <item t="data" sd="1" m="1" x="3389"/>
        <item t="data" sd="1" m="1" x="3390"/>
        <item t="data" sd="1" m="1" x="3408"/>
        <item t="data" sd="1" m="1" x="3398"/>
        <item t="data" sd="1" m="1" x="3399"/>
        <item t="data" sd="1" m="1" x="1574"/>
        <item t="data" sd="1" m="1" x="1611"/>
        <item t="data" sd="1" m="1" x="3590"/>
        <item t="data" sd="1" m="1" x="3591"/>
        <item t="data" sd="1" m="1" x="3592"/>
        <item t="data" sd="1" m="1" x="3593"/>
        <item t="data" sd="1" m="1" x="3594"/>
        <item t="data" sd="1" m="1" x="3296"/>
        <item t="data" sd="1" m="1" x="3257"/>
        <item t="data" sd="1" m="1" x="3457"/>
        <item t="data" sd="1" m="1" x="3461"/>
        <item t="data" sd="1" m="1" x="1659"/>
        <item t="data" sd="1" m="1" x="3599"/>
        <item t="data" sd="1" m="1" x="3600"/>
        <item t="data" sd="1" m="1" x="3603"/>
        <item t="data" sd="1" m="1" x="3268"/>
        <item t="data" sd="1" m="1" x="3473"/>
        <item t="data" sd="1" m="1" x="3468"/>
        <item t="data" sd="1" m="1" x="3472"/>
        <item t="data" sd="1" m="1" x="3469"/>
        <item t="data" sd="1" m="1" x="3470"/>
        <item t="data" sd="1" m="1" x="3471"/>
        <item t="data" sd="1" m="1" x="3604"/>
        <item t="data" sd="1" m="1" x="3605"/>
        <item t="data" sd="1" m="1" x="3476"/>
        <item t="data" sd="1" m="1" x="3606"/>
        <item t="data" sd="1" m="1" x="3607"/>
        <item t="data" sd="1" m="1" x="3609"/>
        <item t="data" sd="1" m="1" x="3610"/>
        <item t="data" sd="1" m="1" x="3614"/>
        <item t="data" sd="1" m="1" x="3615"/>
        <item t="data" sd="1" m="1" x="3616"/>
        <item t="data" sd="1" m="1" x="3301"/>
        <item t="data" sd="1" m="1" x="2782"/>
        <item t="data" sd="1" m="1" x="3497"/>
        <item t="data" sd="1" m="1" x="3617"/>
        <item t="data" sd="1" m="1" x="1660"/>
        <item t="data" sd="1" m="1" x="1661"/>
        <item t="data" sd="1" m="1" x="1664"/>
        <item t="data" sd="1" m="1" x="1662"/>
        <item t="data" sd="1" m="1" x="1665"/>
        <item t="data" sd="1" m="1" x="3626"/>
        <item t="data" sd="1" m="1" x="3627"/>
        <item t="data" sd="1" m="1" x="3628"/>
        <item t="data" sd="1" m="1" x="3502"/>
        <item t="data" sd="1" m="1" x="3083"/>
        <item t="data" sd="1" m="1" x="3630"/>
        <item t="data" sd="1" m="1" x="3631"/>
        <item t="data" sd="1" m="1" x="3632"/>
        <item t="data" sd="1" m="1" x="3092"/>
        <item t="data" sd="1" m="1" x="3307"/>
        <item t="data" sd="1" m="1" x="3308"/>
        <item t="data" sd="1" m="1" x="3311"/>
        <item t="data" sd="1" m="1" x="3312"/>
        <item t="data" sd="1" m="1" x="3313"/>
        <item t="data" sd="1" m="1" x="3316"/>
        <item t="data" sd="1" m="1" x="3317"/>
        <item t="data" sd="1" m="1" x="3321"/>
        <item t="data" sd="1" m="1" x="3322"/>
        <item t="data" sd="1" m="1" x="3325"/>
        <item t="data" sd="1" m="1" x="3326"/>
        <item t="data" sd="1" m="1" x="3126"/>
        <item t="data" sd="1" m="1" x="3124"/>
        <item t="data" sd="1" m="1" x="3012"/>
        <item t="data" sd="1" m="1" x="3327"/>
        <item t="data" sd="1" m="1" x="3328"/>
        <item t="data" sd="1" m="1" x="3329"/>
        <item t="data" sd="1" m="1" x="3330"/>
        <item t="data" sd="1" m="1" x="3331"/>
        <item t="data" sd="1" m="1" x="3332"/>
        <item t="data" sd="1" m="1" x="3333"/>
        <item t="data" sd="1" m="1" x="3334"/>
        <item t="data" sd="1" m="1" x="3335"/>
        <item t="data" sd="1" m="1" x="3337"/>
        <item t="data" sd="1" m="1" x="3338"/>
        <item t="data" sd="1" m="1" x="3343"/>
        <item t="data" sd="1" m="1" x="3346"/>
        <item t="data" sd="1" m="1" x="3350"/>
        <item t="data" sd="1" m="1" x="3352"/>
        <item t="data" sd="1" m="1" x="3353"/>
        <item t="data" sd="1" m="1" x="2016"/>
        <item t="data" sd="1" m="1" x="3182"/>
        <item t="data" sd="1" m="1" x="3358"/>
        <item t="data" sd="1" m="1" x="2288"/>
        <item t="data" sd="1" m="1" x="3361"/>
        <item t="data" sd="1" m="1" x="2778"/>
        <item t="data" sd="1" m="1" x="1599"/>
        <item t="data" sd="1" m="1" x="1600"/>
        <item t="data" sd="1" m="1" x="1594"/>
        <item t="data" sd="1" m="1" x="1592"/>
        <item t="data" sd="1" m="1" x="1593"/>
        <item t="data" sd="1" m="1" x="3200"/>
        <item t="data" sd="1" m="1" x="3364"/>
        <item t="data" sd="1" m="1" x="3365"/>
        <item t="data" sd="1" m="1" x="3211"/>
        <item t="data" sd="1" m="1" x="3366"/>
        <item t="data" sd="1" m="1" x="3035"/>
        <item t="data" sd="1" m="1" x="3036"/>
        <item t="data" sd="1" m="1" x="3037"/>
        <item t="data" sd="1" m="1" x="3038"/>
        <item t="data" sd="1" m="1" x="3039"/>
        <item t="data" sd="1" m="1" x="3040"/>
        <item t="data" sd="1" m="1" x="3372"/>
        <item t="data" sd="1" m="1" x="3378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7"/>
        <item t="data" sd="1" m="1" x="3388"/>
        <item t="data" sd="1" m="1" x="2593"/>
        <item t="data" sd="1" m="1" x="3056"/>
        <item t="data" sd="1" m="1" x="3245"/>
        <item t="data" sd="1" m="1" x="1573"/>
        <item t="data" sd="1" m="1" x="3410"/>
        <item t="data" sd="1" m="1" x="3411"/>
        <item t="data" sd="1" m="1" x="3412"/>
        <item t="data" sd="1" m="1" x="3413"/>
        <item t="data" sd="1" m="1" x="1616"/>
        <item t="data" sd="1" m="1" x="1617"/>
        <item t="data" sd="1" m="1" x="3416"/>
        <item t="data" sd="1" m="1" x="3419"/>
        <item t="data" sd="1" m="1" x="3253"/>
        <item t="data" sd="1" m="1" x="1623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3426"/>
        <item t="data" sd="1" m="1" x="3460"/>
        <item t="data" sd="1" m="1" x="3463"/>
        <item t="data" sd="1" m="1" x="678"/>
        <item t="data" sd="1" m="1" x="1624"/>
        <item t="data" sd="1" m="1" x="3477"/>
        <item t="data" sd="1" m="1" x="3274"/>
        <item t="data" sd="1" m="1" x="3478"/>
        <item t="data" sd="1" m="1" x="3479"/>
        <item t="data" sd="1" m="1" x="3481"/>
        <item t="data" sd="1" m="1" x="3482"/>
        <item t="data" sd="1" m="1" x="3484"/>
        <item t="data" sd="1" m="1" x="3488"/>
        <item t="data" sd="1" m="1" x="3489"/>
        <item t="data" sd="1" m="1" x="3490"/>
        <item t="data" sd="1" m="1" x="3491"/>
        <item t="data" sd="1" m="1" x="3492"/>
        <item t="data" sd="1" m="1" x="3493"/>
        <item t="data" sd="1" m="1" x="3494"/>
        <item t="data" sd="1" m="1" x="2866"/>
        <item t="data" sd="1" m="1" x="3282"/>
        <item t="data" sd="1" m="1" x="3300"/>
        <item t="data" sd="1" m="1" x="3281"/>
        <item t="data" sd="1" m="1" x="3498"/>
        <item t="data" sd="1" m="1" x="3304"/>
        <item t="data" sd="1" m="1" x="1655"/>
        <item t="data" sd="1" m="1" x="1656"/>
        <item t="data" sd="1" m="1" x="1657"/>
        <item t="data" sd="1" m="1" x="1658"/>
        <item t="data" sd="1" m="1" x="3500"/>
        <item t="data" sd="1" m="1" x="3501"/>
        <item t="data" sd="1" m="1" x="3091"/>
        <item t="data" sd="1" m="1" x="3093"/>
        <item t="data" sd="1" m="1" x="3094"/>
        <item t="data" sd="1" m="1" x="3095"/>
        <item t="data" sd="1" m="1" x="3096"/>
        <item t="data" sd="1" m="1" x="3097"/>
        <item t="data" sd="1" m="1" x="3098"/>
        <item t="data" sd="1" m="1" x="1609"/>
        <item t="data" sd="1" m="1" x="3099"/>
        <item t="data" sd="1" m="1" x="3100"/>
        <item t="data" sd="1" m="1" x="3101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3110"/>
        <item t="data" sd="1" m="1" x="3111"/>
        <item t="data" sd="1" m="1" x="3112"/>
        <item t="data" sd="1" m="1" x="3113"/>
        <item t="data" sd="1" m="1" x="3114"/>
        <item t="data" sd="1" m="1" x="3117"/>
        <item t="data" sd="1" m="1" x="3118"/>
        <item t="data" sd="1" m="1" x="3119"/>
        <item t="data" sd="1" m="1" x="3121"/>
        <item t="data" sd="1" m="1" x="3122"/>
        <item t="data" sd="1" m="1" x="3125"/>
        <item t="data" sd="1" m="1" x="3128"/>
        <item t="data" sd="1" m="1" x="3129"/>
        <item t="data" sd="1" m="1" x="3130"/>
        <item t="data" sd="1" m="1" x="2360"/>
        <item t="data" sd="1" m="1" x="3131"/>
        <item t="data" sd="1" m="1" x="3132"/>
        <item t="data" sd="1" m="1" x="3133"/>
        <item t="data" sd="1" m="1" x="2766"/>
        <item t="data" sd="1" m="1" x="3134"/>
        <item t="data" sd="1" m="1" x="3135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3153"/>
        <item t="data" sd="1" m="1" x="3154"/>
        <item t="data" sd="1" m="1" x="3155"/>
        <item t="data" sd="1" m="1" x="3156"/>
        <item t="data" sd="1" m="1" x="3157"/>
        <item t="data" sd="1" m="1" x="3158"/>
        <item t="data" sd="1" m="1" x="3159"/>
        <item t="data" sd="1" m="1" x="3160"/>
        <item t="data" sd="1" m="1" x="3161"/>
        <item t="data" sd="1" m="1" x="3162"/>
        <item t="data" sd="1" m="1" x="3163"/>
        <item t="data" sd="1" m="1" x="3164"/>
        <item t="data" sd="1" m="1" x="3165"/>
        <item t="data" sd="1" m="1" x="3166"/>
        <item t="data" sd="1" m="1" x="3167"/>
        <item t="data" sd="1" m="1" x="3168"/>
        <item t="data" sd="1" m="1" x="3169"/>
        <item t="data" sd="1" m="1" x="3170"/>
        <item t="data" sd="1" m="1" x="3171"/>
        <item t="data" sd="1" m="1" x="2266"/>
        <item t="data" sd="1" m="1" x="2374"/>
        <item t="data" sd="1" m="1" x="3173"/>
        <item t="data" sd="1" m="1" x="3177"/>
        <item t="data" sd="1" m="1" x="2761"/>
        <item t="data" sd="1" m="1" x="3181"/>
        <item t="data" sd="1" m="1" x="2819"/>
        <item t="data" sd="1" m="1" x="1670"/>
        <item t="data" sd="1" m="1" x="1669"/>
        <item t="data" sd="1" m="1" x="2416"/>
        <item t="data" sd="1" m="1" x="3184"/>
        <item t="data" sd="1" m="1" x="3185"/>
        <item t="data" sd="1" m="1" x="3186"/>
        <item t="data" sd="1" m="1" x="3187"/>
        <item t="data" sd="1" m="1" x="3189"/>
        <item t="data" sd="1" m="1" x="1605"/>
        <item t="data" sd="1" m="1" x="3024"/>
        <item t="data" sd="1" m="1" x="616"/>
        <item t="data" sd="1" m="1" x="3190"/>
        <item t="data" sd="1" m="1" x="3191"/>
        <item t="data" sd="1" m="1" x="3192"/>
        <item t="data" sd="1" m="1" x="1627"/>
        <item t="data" sd="1" m="1" x="3193"/>
        <item t="data" sd="1" m="1" x="3195"/>
        <item t="data" sd="1" m="1" x="1596"/>
        <item t="data" sd="1" m="1" x="1597"/>
        <item t="data" sd="1" m="1" x="1598"/>
        <item t="data" sd="1" m="1" x="3196"/>
        <item t="data" sd="1" m="1" x="1577"/>
        <item t="data" sd="1" m="1" x="2467"/>
        <item t="data" sd="1" m="1" x="669"/>
        <item t="data" sd="1" m="1" x="1585"/>
        <item t="data" sd="1" m="1" x="2489"/>
        <item t="data" sd="1" m="1" x="3201"/>
        <item t="data" sd="1" m="1" x="3202"/>
        <item t="data" sd="1" m="1" x="3207"/>
        <item t="data" sd="1" m="1" x="3208"/>
        <item t="data" sd="1" m="1" x="3209"/>
        <item t="data" sd="1" m="1" x="2826"/>
        <item t="data" sd="1" m="1" x="2828"/>
        <item t="data" sd="1" m="1" x="2436"/>
        <item t="data" sd="1" m="1" x="2684"/>
        <item t="data" sd="1" m="1" x="2541"/>
        <item t="data" sd="1" m="1" x="3034"/>
        <item t="data" sd="1" m="1" x="3213"/>
        <item t="data" sd="1" m="1" x="3214"/>
        <item t="data" sd="1" m="1" x="3215"/>
        <item t="data" sd="1" m="1" x="3216"/>
        <item t="data" sd="1" m="1" x="2232"/>
        <item t="data" sd="1" m="1" x="3217"/>
        <item t="data" sd="1" m="1" x="3223"/>
        <item t="data" sd="1" m="1" x="3224"/>
        <item t="data" sd="1" m="1" x="3225"/>
        <item t="data" sd="1" m="1" x="3226"/>
        <item t="data" sd="1" m="1" x="3227"/>
        <item t="data" sd="1" m="1" x="2687"/>
        <item t="data" sd="1" m="1" x="3232"/>
        <item t="data" sd="1" m="1" x="3233"/>
        <item t="data" sd="1" m="1" x="3241"/>
        <item t="data" sd="1" m="1" x="3244"/>
        <item t="data" sd="1" m="1" x="3053"/>
        <item t="data" sd="1" m="1" x="2686"/>
        <item t="data" sd="1" m="1" x="3246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2"/>
        <item t="data" sd="1" m="1" x="2764"/>
        <item t="data" sd="1" m="1" x="2763"/>
        <item t="data" sd="1" m="1" x="2637"/>
        <item t="data" sd="1" m="1" x="1622"/>
        <item t="data" sd="1" m="1" x="3254"/>
        <item t="data" sd="1" m="1" x="3255"/>
        <item t="data" sd="1" m="1" x="3256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1614"/>
        <item t="data" sd="1" m="1" x="3265"/>
        <item t="data" sd="1" m="1" x="3266"/>
        <item t="data" sd="1" m="1" x="2774"/>
        <item t="data" sd="1" m="1" x="2013"/>
        <item t="data" sd="1" m="1" x="1625"/>
        <item t="data" sd="1" m="1" x="3269"/>
        <item t="data" sd="1" m="1" x="3069"/>
        <item t="data" sd="1" m="1" x="2775"/>
        <item t="data" sd="1" m="1" x="1626"/>
        <item t="data" sd="1" m="1" x="1576"/>
        <item t="data" sd="1" m="1" x="3271"/>
        <item t="data" sd="1" m="1" x="3272"/>
        <item t="data" sd="1" m="1" x="3273"/>
        <item t="data" sd="1" m="1" x="1666"/>
        <item t="data" sd="1" m="1" x="3275"/>
        <item t="data" sd="1" m="1" x="3276"/>
        <item t="data" sd="1" m="1" x="3277"/>
        <item t="data" sd="1" m="1" x="3278"/>
        <item t="data" sd="1" m="1" x="2973"/>
        <item t="data" sd="1" m="1" x="2971"/>
        <item t="data" sd="1" m="1" x="2972"/>
        <item t="data" sd="1" m="1" x="3279"/>
        <item t="data" sd="1" m="1" x="3280"/>
        <item t="data" sd="1" m="1" x="3290"/>
        <item t="data" sd="1" m="1" x="3291"/>
        <item t="data" sd="1" m="1" x="2865"/>
        <item t="data" sd="1" m="1" x="3292"/>
        <item t="data" sd="1" m="1" x="2493"/>
        <item t="data" sd="1" m="1" x="3293"/>
        <item t="data" sd="1" m="1" x="3294"/>
        <item t="data" sd="1" m="1" x="3295"/>
        <item t="data" sd="1" m="1" x="3297"/>
        <item t="data" sd="1" m="1" x="3298"/>
        <item t="data" sd="1" m="1" x="3302"/>
        <item t="data" sd="1" m="1" x="3303"/>
        <item t="data" sd="1" m="1" x="1634"/>
        <item t="data" sd="1" m="1" x="1631"/>
        <item t="data" sd="1" m="1" x="1635"/>
        <item t="data" sd="1" m="1" x="1630"/>
        <item t="data" sd="1" m="1" x="1629"/>
        <item t="data" sd="1" m="1" x="1458"/>
        <item t="data" sd="1" m="1" x="1457"/>
        <item t="data" sd="1" m="1" x="1456"/>
        <item t="data" sd="1" m="1" x="1455"/>
        <item t="data" sd="1" m="1" x="1628"/>
        <item t="data" sd="1" m="1" x="1632"/>
        <item t="data" sd="1" m="1" x="1633"/>
        <item t="data" sd="1" m="1" x="3305"/>
        <item t="data" sd="1" m="1" x="3306"/>
        <item t="data" sd="1" m="1" x="2784"/>
        <item t="data" sd="1" m="1" x="2783"/>
        <item t="data" sd="1" m="1" x="2998"/>
        <item t="data" sd="1" m="1" x="2999"/>
        <item t="data" sd="1" m="1" x="3000"/>
        <item t="data" sd="1" m="1" x="3001"/>
        <item t="data" sd="1" m="1" x="3002"/>
        <item t="data" sd="1" m="1" x="2728"/>
        <item t="data" sd="1" m="1" x="3003"/>
        <item t="data" sd="1" m="1" x="3005"/>
        <item t="data" sd="1" m="1" x="2342"/>
        <item t="data" sd="1" m="1" x="2343"/>
        <item t="data" sd="1" m="1" x="2350"/>
        <item t="data" sd="1" m="1" x="3006"/>
        <item t="data" sd="1" m="1" x="3007"/>
        <item t="data" sd="1" m="1" x="2363"/>
        <item t="data" sd="1" m="1" x="2364"/>
        <item t="data" sd="1" m="1" x="2365"/>
        <item t="data" sd="1" m="1" x="3010"/>
        <item t="data" sd="1" m="1" x="3011"/>
        <item t="data" sd="1" m="1" x="1621"/>
        <item t="data" sd="1" m="1" x="3013"/>
        <item t="data" sd="1" m="1" x="3014"/>
        <item t="data" sd="1" m="1" x="3015"/>
        <item t="data" sd="1" m="1" x="3016"/>
        <item t="data" sd="1" m="1" x="2919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3"/>
        <item t="data" sd="1" m="1" x="2498"/>
        <item t="data" sd="1" m="1" x="2388"/>
        <item t="data" sd="1" m="1" x="2929"/>
        <item t="data" sd="1" m="1" x="1730"/>
        <item t="data" sd="1" m="1" x="2817"/>
        <item t="data" sd="1" m="1" x="2818"/>
        <item t="data" sd="1" m="1" x="1671"/>
        <item t="data" sd="1" m="1" x="1639"/>
        <item t="data" sd="1" m="1" x="2417"/>
        <item t="data" sd="1" m="1" x="2418"/>
        <item t="data" sd="1" m="1" x="2419"/>
        <item t="data" sd="1" m="1" x="2420"/>
        <item t="data" sd="1" m="1" x="2421"/>
        <item t="data" sd="1" m="1" x="2632"/>
        <item t="data" sd="1" m="1" x="2633"/>
        <item t="data" sd="1" m="1" x="2634"/>
        <item t="data" sd="1" m="1" x="2931"/>
        <item t="data" sd="1" m="1" x="2026"/>
        <item t="data" sd="1" m="1" x="613"/>
        <item t="data" sd="1" m="1" x="2681"/>
        <item t="data" sd="1" m="1" x="2967"/>
        <item t="data" sd="1" m="1" x="2935"/>
        <item t="data" sd="1" m="1" x="2933"/>
        <item t="data" sd="1" m="1" x="2934"/>
        <item t="data" sd="1" m="1" x="726"/>
        <item t="data" sd="1" m="1" x="2054"/>
        <item t="data" sd="1" m="1" x="2736"/>
        <item t="data" sd="1" m="1" x="2738"/>
        <item t="data" sd="1" m="1" x="2737"/>
        <item t="data" sd="1" m="1" x="3025"/>
        <item t="data" sd="1" m="1" x="2021"/>
        <item t="data" sd="1" m="1" x="1586"/>
        <item t="data" sd="1" m="1" x="1587"/>
        <item t="data" sd="1" m="1" x="3026"/>
        <item t="data" sd="1" m="1" x="1584"/>
        <item t="data" sd="1" m="1" x="2727"/>
        <item t="data" sd="1" m="1" x="2733"/>
        <item t="data" sd="1" m="1" x="2732"/>
        <item t="data" sd="1" m="1" x="2731"/>
        <item t="data" sd="1" m="1" x="532"/>
        <item t="data" sd="1" m="1" x="2918"/>
        <item t="data" sd="1" m="1" x="2936"/>
        <item t="data" sd="1" m="1" x="2827"/>
        <item t="data" sd="1" m="1" x="3027"/>
        <item t="data" sd="1" m="1" x="3028"/>
        <item t="data" sd="1" m="1" x="2521"/>
        <item t="data" sd="1" m="1" x="3029"/>
        <item t="data" sd="1" m="1" x="2830"/>
        <item t="data" sd="1" m="1" x="2291"/>
        <item t="data" sd="1" m="1" x="3031"/>
        <item t="data" sd="1" m="1" x="1690"/>
        <item t="data" sd="1" m="1" x="3032"/>
        <item t="data" sd="1" m="1" x="3033"/>
        <item t="data" sd="1" m="1" x="2401"/>
        <item t="data" sd="1" m="1" x="3047"/>
        <item t="data" sd="1" m="1" x="3048"/>
        <item t="data" sd="1" m="1" x="3049"/>
        <item t="data" sd="1" m="1" x="1571"/>
        <item t="data" sd="1" m="1" x="1595"/>
        <item t="data" sd="1" m="1" x="2938"/>
        <item t="data" sd="1" m="1" x="1572"/>
        <item t="data" sd="1" m="1" x="2683"/>
        <item t="data" sd="1" m="1" x="2682"/>
        <item t="data" sd="1" m="1" x="2678"/>
        <item t="data" sd="1" m="1" x="1575"/>
        <item t="data" sd="1" m="1" x="1764"/>
        <item t="data" sd="1" m="1" x="3058"/>
        <item t="data" sd="1" m="1" x="3059"/>
        <item t="data" sd="1" m="1" x="2844"/>
        <item t="data" sd="1" m="1" x="2945"/>
        <item t="data" sd="1" m="1" x="2940"/>
        <item t="data" sd="1" m="1" x="3060"/>
        <item t="data" sd="1" m="1" x="3061"/>
        <item t="data" sd="1" m="1" x="2767"/>
        <item t="data" sd="1" m="1" x="2768"/>
        <item t="data" sd="1" m="1" x="3062"/>
        <item t="data" sd="1" m="1" x="3063"/>
        <item t="data" sd="1" m="1" x="2405"/>
        <item t="data" sd="1" m="1" x="2849"/>
        <item t="data" sd="1" m="1" x="2616"/>
        <item t="data" sd="1" m="1" x="2615"/>
        <item t="data" sd="1" m="1" x="2614"/>
        <item t="data" sd="1" m="1" x="2621"/>
        <item t="data" sd="1" m="1" x="2613"/>
        <item t="data" sd="1" m="1" x="2402"/>
        <item t="data" sd="1" m="1" x="2599"/>
        <item t="data" sd="1" m="1" x="2600"/>
        <item t="data" sd="1" m="1" x="2601"/>
        <item t="data" sd="1" m="1" x="2602"/>
        <item t="data" sd="1" m="1" x="2603"/>
        <item t="data" sd="1" m="1" x="2612"/>
        <item t="data" sd="1" m="1" x="2948"/>
        <item t="data" sd="1" m="1" x="2949"/>
        <item t="data" sd="1" m="1" x="2505"/>
        <item t="data" sd="1" m="1" x="3064"/>
        <item t="data" sd="1" m="1" x="3065"/>
        <item t="data" sd="1" m="1" x="2857"/>
        <item t="data" sd="1" m="1" x="3066"/>
        <item t="data" sd="1" m="1" x="3067"/>
        <item t="data" sd="1" m="1" x="2430"/>
        <item t="data" sd="1" m="1" x="2507"/>
        <item t="data" sd="1" m="1" x="2952"/>
        <item t="data" sd="1" m="1" x="2759"/>
        <item t="data" sd="1" m="1" x="3068"/>
        <item t="data" sd="1" m="1" x="2955"/>
        <item t="data" sd="1" m="1" x="2956"/>
        <item t="data" sd="1" m="1" x="3074"/>
        <item t="data" sd="1" m="1" x="2957"/>
        <item t="data" sd="1" m="1" x="2962"/>
        <item t="data" sd="1" m="1" x="3075"/>
        <item t="data" sd="1" m="1" x="3076"/>
        <item t="data" sd="1" m="1" x="2963"/>
        <item t="data" sd="1" m="1" x="3077"/>
        <item t="data" sd="1" m="1" x="3078"/>
        <item t="data" sd="1" m="1" x="1638"/>
        <item t="data" sd="1" m="1" x="2648"/>
        <item t="data" sd="1" m="1" x="1640"/>
        <item t="data" sd="1" m="1" x="1642"/>
        <item t="data" sd="1" m="1" x="1643"/>
        <item t="data" sd="1" m="1" x="2647"/>
        <item t="data" sd="1" m="1" x="1641"/>
        <item t="data" sd="1" m="1" x="1644"/>
        <item t="data" sd="1" m="1" x="1645"/>
        <item t="data" sd="1" m="1" x="733"/>
        <item t="data" sd="1" m="1" x="1636"/>
        <item t="data" sd="1" m="1" x="1637"/>
        <item t="data" sd="1" m="1" x="1774"/>
        <item t="data" sd="1" m="1" x="3079"/>
        <item t="data" sd="1" m="1" x="3080"/>
        <item t="data" sd="1" m="1" x="3085"/>
        <item t="data" sd="1" m="1" x="2993"/>
        <item t="data" sd="1" m="1" x="2994"/>
        <item t="data" sd="1" m="1" x="2992"/>
        <item t="data" sd="1" m="1" x="2785"/>
        <item t="data" sd="1" m="1" x="2997"/>
        <item t="data" sd="1" m="1" x="3086"/>
        <item t="data" sd="1" m="1" x="2795"/>
        <item t="data" sd="1" m="1" x="2796"/>
        <item t="data" sd="1" m="1" x="1728"/>
        <item t="data" sd="1" m="1" x="2872"/>
        <item t="data" sd="1" m="1" x="2873"/>
        <item t="data" sd="1" m="1" x="2874"/>
        <item t="data" sd="1" m="1" x="2875"/>
        <item t="data" sd="1" m="1" x="2876"/>
        <item t="data" sd="1" m="1" x="2877"/>
        <item t="data" sd="1" m="1" x="2878"/>
        <item t="data" sd="1" m="1" x="2879"/>
        <item t="data" sd="1" m="1" x="2880"/>
        <item t="data" sd="1" m="1" x="2881"/>
        <item t="data" sd="1" m="1" x="2882"/>
        <item t="data" sd="1" m="1" x="2883"/>
        <item t="data" sd="1" m="1" x="2588"/>
        <item t="data" sd="1" m="1" x="2884"/>
        <item t="data" sd="1" m="1" x="2885"/>
        <item t="data" sd="1" m="1" x="2359"/>
        <item t="data" sd="1" m="1" x="2809"/>
        <item t="data" sd="1" m="1" x="2886"/>
        <item t="data" sd="1" m="1" x="2345"/>
        <item t="data" sd="1" m="1" x="2808"/>
        <item t="data" sd="1" m="1" x="2344"/>
        <item t="data" sd="1" m="1" x="2887"/>
        <item t="data" sd="1" m="1" x="2231"/>
        <item t="data" sd="1" m="1" x="2230"/>
        <item t="data" sd="1" m="1" x="2888"/>
        <item t="data" sd="1" m="1" x="2889"/>
        <item t="data" sd="1" m="1" x="2890"/>
        <item t="data" sd="1" m="1" x="2891"/>
        <item t="data" sd="1" m="1" x="2892"/>
        <item t="data" sd="1" m="1" x="2893"/>
        <item t="data" sd="1" m="1" x="2894"/>
        <item t="data" sd="1" m="1" x="2895"/>
        <item t="data" sd="1" m="1" x="2896"/>
        <item t="data" sd="1" m="1" x="2897"/>
        <item t="data" sd="1" m="1" x="1714"/>
        <item t="data" sd="1" m="1" x="2898"/>
        <item t="data" sd="1" m="1" x="2027"/>
        <item t="data" sd="1" m="1" x="2899"/>
        <item t="data" sd="1" m="1" x="2900"/>
        <item t="data" sd="1" m="1" x="2901"/>
        <item t="data" sd="1" m="1" x="2902"/>
        <item t="data" sd="1" m="1" x="2903"/>
        <item t="data" sd="1" m="1" x="2904"/>
        <item t="data" sd="1" m="1" x="2905"/>
        <item t="data" sd="1" m="1" x="2906"/>
        <item t="data" sd="1" m="1" x="2907"/>
        <item t="data" sd="1" m="1" x="2908"/>
        <item t="data" sd="1" m="1" x="2909"/>
        <item t="data" sd="1" m="1" x="2910"/>
        <item t="data" sd="1" m="1" x="2911"/>
        <item t="data" sd="1" m="1" x="2912"/>
        <item t="data" sd="1" m="1" x="2913"/>
        <item t="data" sd="1" m="1" x="2914"/>
        <item t="data" sd="1" m="1" x="2915"/>
        <item t="data" sd="1" m="1" x="2916"/>
        <item t="data" sd="1" m="1" x="2917"/>
        <item t="data" sd="1" m="1" x="2920"/>
        <item t="data" sd="1" m="1" x="2921"/>
        <item t="data" sd="1" m="1" x="2922"/>
        <item t="data" sd="1" m="1" x="2923"/>
        <item t="data" sd="1" m="1" x="2924"/>
        <item t="data" sd="1" m="1" x="2925"/>
        <item t="data" sd="1" m="1" x="2926"/>
        <item t="data" sd="1" m="1" x="2927"/>
        <item t="data" sd="1" m="1" x="2928"/>
        <item t="data" sd="1" m="1" x="2064"/>
        <item t="data" sd="1" m="1" x="2378"/>
        <item t="data" sd="1" m="1" x="2265"/>
        <item t="data" sd="1" m="1" x="2743"/>
        <item t="data" sd="1" m="1" x="2352"/>
        <item t="data" sd="1" m="1" x="1818"/>
        <item t="data" sd="1" m="1" x="2058"/>
        <item t="data" sd="1" m="1" x="622"/>
        <item t="data" sd="1" m="1" x="2930"/>
        <item t="data" sd="1" m="1" x="2762"/>
        <item t="data" sd="1" m="1" x="2932"/>
        <item t="data" sd="1" m="1" x="639"/>
        <item t="data" sd="1" m="1" x="2042"/>
        <item t="data" sd="1" m="1" x="1713"/>
        <item t="data" sd="1" m="1" x="558"/>
        <item t="data" sd="1" m="1" x="2735"/>
        <item t="data" sd="1" m="1" x="2729"/>
        <item t="data" sd="1" m="1" x="2730"/>
        <item t="data" sd="1" m="1" x="1708"/>
        <item t="data" sd="1" m="1" x="1707"/>
        <item t="data" sd="1" m="1" x="1710"/>
        <item t="data" sd="1" m="1" x="1705"/>
        <item t="data" sd="1" m="1" x="2829"/>
        <item t="data" sd="1" m="1" x="2937"/>
        <item t="data" sd="1" m="1" x="2437"/>
        <item t="data" sd="1" m="1" x="2353"/>
        <item t="data" sd="1" m="1" x="2356"/>
        <item t="data" sd="1" m="1" x="2051"/>
        <item t="data" sd="1" m="1" x="2354"/>
        <item t="data" sd="1" m="1" x="2355"/>
        <item t="data" sd="1" m="1" x="1712"/>
        <item t="data" sd="1" m="1" x="2939"/>
        <item t="data" sd="1" m="1" x="1719"/>
        <item t="data" sd="1" m="1" x="1680"/>
        <item t="data" sd="1" m="1" x="2680"/>
        <item t="data" sd="1" m="1" x="2838"/>
        <item t="data" sd="1" m="1" x="2839"/>
        <item t="data" sd="1" m="1" x="2842"/>
        <item t="data" sd="1" m="1" x="2843"/>
        <item t="data" sd="1" m="1" x="2941"/>
        <item t="data" sd="1" m="1" x="2942"/>
        <item t="data" sd="1" m="1" x="2943"/>
        <item t="data" sd="1" m="1" x="2944"/>
        <item t="data" sd="1" x="307"/>
        <item t="data" sd="1" m="1" x="2946"/>
        <item t="data" sd="1" m="1" x="2389"/>
        <item t="data" sd="1" m="1" x="2947"/>
        <item t="data" sd="1" m="1" x="2814"/>
        <item t="data" sd="1" m="1" x="2950"/>
        <item t="data" sd="1" m="1" x="2617"/>
        <item t="data" sd="1" m="1" x="2618"/>
        <item t="data" sd="1" m="1" x="2619"/>
        <item t="data" sd="1" m="1" x="2620"/>
        <item t="data" sd="1" m="1" x="2951"/>
        <item t="data" sd="1" m="1" x="2953"/>
        <item t="data" sd="1" m="1" x="1755"/>
        <item t="data" sd="1" m="1" x="2036"/>
        <item t="data" sd="1" m="1" x="675"/>
        <item t="data" sd="1" m="1" x="2037"/>
        <item t="data" sd="1" m="1" x="2958"/>
        <item t="data" sd="1" m="1" x="2959"/>
        <item t="data" sd="1" m="1" x="2861"/>
        <item t="data" sd="1" m="1" x="1797"/>
        <item t="data" sd="1" m="1" x="1819"/>
        <item t="data" sd="1" m="1" x="2960"/>
        <item t="data" sd="1" m="1" x="2961"/>
        <item t="data" sd="1" m="1" x="2964"/>
        <item t="data" sd="1" m="1" x="1799"/>
        <item t="data" sd="1" m="1" x="2965"/>
        <item t="data" sd="1" m="1" x="2451"/>
        <item t="data" sd="1" m="1" x="2968"/>
        <item t="data" sd="1" m="1" x="2452"/>
        <item t="data" sd="1" m="1" x="2969"/>
        <item t="data" sd="1" m="1" x="2453"/>
        <item t="data" sd="1" m="1" x="2970"/>
        <item t="data" sd="1" m="1" x="1734"/>
        <item t="data" sd="1" m="1" x="2870"/>
        <item t="data" sd="1" m="1" x="2524"/>
        <item t="data" sd="1" m="1" x="1776"/>
        <item t="data" sd="1" m="1" x="1798"/>
        <item t="data" sd="1" m="1" x="1775"/>
        <item t="data" sd="1" m="1" x="1800"/>
        <item t="data" sd="1" m="1" x="1801"/>
        <item t="data" sd="1" m="1" x="1802"/>
        <item t="data" sd="1" m="1" x="1803"/>
        <item t="data" sd="1" m="1" x="1454"/>
        <item t="data" sd="1" m="1" x="1453"/>
        <item t="data" sd="1" m="1" x="1768"/>
        <item t="data" sd="1" m="1" x="1769"/>
        <item t="data" sd="1" m="1" x="1770"/>
        <item t="data" sd="1" m="1" x="1794"/>
        <item t="data" sd="1" m="1" x="2050"/>
        <item t="data" sd="1" m="1" x="2995"/>
        <item t="data" sd="1" m="1" x="2996"/>
        <item t="data" sd="1" m="1" x="1814"/>
        <item t="data" sd="1" m="1" x="2797"/>
        <item t="data" sd="1" m="1" x="2798"/>
        <item t="data" sd="1" m="1" x="2423"/>
        <item t="data" sd="1" m="1" x="2799"/>
        <item t="data" sd="1" m="1" x="2800"/>
        <item t="data" sd="1" m="1" x="2801"/>
        <item t="data" sd="1" m="1" x="2802"/>
        <item t="data" sd="1" m="1" x="2803"/>
        <item t="data" sd="1" m="1" x="2805"/>
        <item t="data" sd="1" m="1" x="2806"/>
        <item t="data" sd="1" m="1" x="2807"/>
        <item t="data" sd="1" m="1" x="1765"/>
        <item t="data" sd="1" m="1" x="2723"/>
        <item t="data" sd="1" m="1" x="2724"/>
        <item t="data" sd="1" m="1" x="2721"/>
        <item t="data" sd="1" m="1" x="2810"/>
        <item t="data" sd="1" m="1" x="1807"/>
        <item t="data" sd="1" m="1" x="1811"/>
        <item t="data" sd="1" m="1" x="2811"/>
        <item t="data" sd="1" m="1" x="2812"/>
        <item t="data" sd="1" m="1" x="2813"/>
        <item t="data" sd="1" m="1" x="2708"/>
        <item t="data" sd="1" m="1" x="2709"/>
        <item t="data" sd="1" m="1" x="2550"/>
        <item t="data" sd="1" m="1" x="2722"/>
        <item t="data" sd="1" m="1" x="2227"/>
        <item t="data" sd="1" m="1" x="2228"/>
        <item t="data" sd="1" m="1" x="2229"/>
        <item t="data" sd="1" m="1" x="2741"/>
        <item t="data" sd="1" m="1" x="2028"/>
        <item t="data" sd="1" m="1" x="2029"/>
        <item t="data" sd="1" m="1" x="2751"/>
        <item t="data" sd="1" m="1" x="2815"/>
        <item t="data" sd="1" m="1" x="2816"/>
        <item t="data" sd="1" m="1" x="2820"/>
        <item t="data" sd="1" m="1" x="2821"/>
        <item t="data" sd="1" m="1" x="2529"/>
        <item t="data" sd="1" m="1" x="2425"/>
        <item t="data" sd="1" m="1" x="2424"/>
        <item t="data" sd="1" m="1" x="2025"/>
        <item t="data" sd="1" m="1" x="1720"/>
        <item t="data" sd="1" m="1" x="1721"/>
        <item t="data" sd="1" m="1" x="2822"/>
        <item t="data" sd="1" m="1" x="2823"/>
        <item t="data" sd="1" m="1" x="2824"/>
        <item t="data" sd="1" m="1" x="1686"/>
        <item t="data" sd="1" m="1" x="1700"/>
        <item t="data" sd="1" m="1" x="1701"/>
        <item t="data" sd="1" m="1" x="1702"/>
        <item t="data" sd="1" m="1" x="1703"/>
        <item t="data" sd="1" m="1" x="1704"/>
        <item t="data" sd="1" m="1" x="2061"/>
        <item t="data" sd="1" m="1" x="2060"/>
        <item t="data" sd="1" m="1" x="1699"/>
        <item t="data" sd="1" m="1" x="2825"/>
        <item t="data" sd="1" m="1" x="1709"/>
        <item t="data" sd="1" m="1" x="529"/>
        <item t="data" sd="1" m="1" x="2019"/>
        <item t="data" sd="1" m="1" x="2020"/>
        <item t="data" sd="1" m="1" x="2434"/>
        <item t="data" sd="1" m="1" x="2455"/>
        <item t="data" sd="1" m="1" x="2831"/>
        <item t="data" sd="1" m="1" x="2832"/>
        <item t="data" sd="1" m="1" x="2833"/>
        <item t="data" sd="1" m="1" x="2834"/>
        <item t="data" sd="1" m="1" x="1679"/>
        <item t="data" sd="1" m="1" x="2835"/>
        <item t="data" sd="1" m="1" x="2836"/>
        <item t="data" sd="1" m="1" x="2837"/>
        <item t="data" sd="1" m="1" x="2697"/>
        <item t="data" sd="1" m="1" x="2679"/>
        <item t="data" sd="1" m="1" x="2752"/>
        <item t="data" sd="1" m="1" x="2840"/>
        <item t="data" sd="1" m="1" x="2841"/>
        <item t="data" sd="1" m="1" x="1741"/>
        <item t="data" sd="1" m="1" x="2845"/>
        <item t="data" sd="1" m="1" x="2846"/>
        <item t="data" sd="1" m="1" x="2032"/>
        <item t="data" sd="1" m="1" x="2033"/>
        <item t="data" sd="1" m="1" x="1750"/>
        <item t="data" sd="1" m="1" x="1748"/>
        <item t="data" sd="1" m="1" x="2622"/>
        <item t="data" sd="1" m="1" x="2400"/>
        <item t="data" sd="1" m="1" x="2848"/>
        <item t="data" sd="1" m="1" x="2403"/>
        <item t="data" sd="1" m="1" x="2850"/>
        <item t="data" sd="1" m="1" x="2596"/>
        <item t="data" sd="1" m="1" x="2604"/>
        <item t="data" sd="1" m="1" x="2597"/>
        <item t="data" sd="1" m="1" x="2607"/>
        <item t="data" sd="1" m="1" x="2608"/>
        <item t="data" sd="1" m="1" x="2598"/>
        <item t="data" sd="1" m="1" x="2605"/>
        <item t="data" sd="1" m="1" x="2606"/>
        <item t="data" sd="1" m="1" x="2851"/>
        <item t="data" sd="1" m="1" x="2387"/>
        <item t="data" sd="1" m="1" x="2754"/>
        <item t="data" sd="1" m="1" x="2852"/>
        <item t="data" sd="1" m="1" x="2853"/>
        <item t="data" sd="1" m="1" x="2854"/>
        <item t="data" sd="1" m="1" x="2856"/>
        <item t="data" sd="1" m="1" x="2858"/>
        <item t="data" sd="1" m="1" x="1754"/>
        <item t="data" sd="1" m="1" x="1763"/>
        <item t="data" sd="1" m="1" x="2859"/>
        <item t="data" sd="1" m="1" x="2860"/>
        <item t="data" sd="1" m="1" x="2044"/>
        <item t="data" sd="1" m="1" x="2045"/>
        <item t="data" sd="1" m="1" x="2793"/>
        <item t="data" sd="1" m="1" x="2794"/>
        <item t="data" sd="1" m="1" x="2048"/>
        <item t="data" sd="1" m="1" x="2049"/>
        <item t="data" sd="1" m="1" x="2440"/>
        <item t="data" sd="1" m="1" x="2862"/>
        <item t="data" sd="1" m="1" x="2863"/>
        <item t="data" sd="1" m="1" x="2441"/>
        <item t="data" sd="1" m="1" x="2442"/>
        <item t="data" sd="1" m="1" x="2443"/>
        <item t="data" sd="1" m="1" x="2444"/>
        <item t="data" sd="1" m="1" x="2864"/>
        <item t="data" sd="1" m="1" x="2867"/>
        <item t="data" sd="1" m="1" x="2868"/>
        <item t="data" sd="1" m="1" x="2869"/>
        <item t="data" sd="1" m="1" x="1805"/>
        <item t="data" sd="1" m="1" x="1806"/>
        <item t="data" sd="1" m="1" x="1808"/>
        <item t="data" sd="1" m="1" x="1804"/>
        <item t="data" sd="1" m="1" x="1772"/>
        <item t="data" sd="1" m="1" x="734"/>
        <item t="data" sd="1" m="1" x="1771"/>
        <item t="data" sd="1" m="1" x="1809"/>
        <item t="data" sd="1" m="1" x="1810"/>
        <item t="data" sd="1" m="1" x="2385"/>
        <item t="data" sd="1" m="1" x="2780"/>
        <item t="data" sd="1" m="1" x="1999"/>
        <item t="data" sd="1" m="1" x="2871"/>
        <item t="data" sd="1" m="1" x="2650"/>
        <item t="data" sd="1" m="1" x="2660"/>
        <item t="data" sd="1" m="1" x="2531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6"/>
        <item t="data" sd="1" m="1" x="2677"/>
        <item t="data" sd="1" m="1" x="2542"/>
        <item t="data" sd="1" m="1" x="2543"/>
        <item t="data" sd="1" m="1" x="2540"/>
        <item t="data" sd="1" m="1" x="2685"/>
        <item t="data" sd="1" m="1" x="2689"/>
        <item t="data" sd="1" m="1" x="2690"/>
        <item t="data" sd="1" m="1" x="2691"/>
        <item t="data" sd="1" m="1" x="2546"/>
        <item t="data" sd="1" m="1" x="2046"/>
        <item t="data" sd="1" m="1" x="2692"/>
        <item t="data" sd="1" m="1" x="2357"/>
        <item t="data" sd="1" m="1" x="2696"/>
        <item t="data" sd="1" m="1" x="2065"/>
        <item t="data" sd="1" m="1" x="2547"/>
        <item t="data" sd="1" m="1" x="2464"/>
        <item t="data" sd="1" m="1" x="2466"/>
        <item t="data" sd="1" m="1" x="2698"/>
        <item t="data" sd="1" m="1" x="2699"/>
        <item t="data" sd="1" m="1" x="2700"/>
        <item t="data" sd="1" m="1" x="2017"/>
        <item t="data" sd="1" m="1" x="1687"/>
        <item t="data" sd="1" m="1" x="2701"/>
        <item t="data" sd="1" m="1" x="2560"/>
        <item t="data" sd="1" m="1" x="2702"/>
        <item t="data" sd="1" m="1" x="2703"/>
        <item t="data" sd="1" m="1" x="2558"/>
        <item t="data" sd="1" m="1" x="2704"/>
        <item t="data" sd="1" m="1" x="2705"/>
        <item t="data" sd="1" m="1" x="2706"/>
        <item t="data" sd="1" m="1" x="2707"/>
        <item t="data" sd="1" m="1" x="2710"/>
        <item t="data" sd="1" m="1" x="2711"/>
        <item t="data" sd="1" m="1" x="2712"/>
        <item t="data" sd="1" m="1" x="2468"/>
        <item t="data" sd="1" m="1" x="2557"/>
        <item t="data" sd="1" m="1" x="2713"/>
        <item t="data" sd="1" m="1" x="2047"/>
        <item t="data" sd="1" m="1" x="2714"/>
        <item t="data" sd="1" m="1" x="2715"/>
        <item t="data" sd="1" m="1" x="2716"/>
        <item t="data" sd="1" m="1" x="2717"/>
        <item t="data" sd="1" m="1" x="2559"/>
        <item t="data" sd="1" m="1" x="2718"/>
        <item t="data" sd="1" m="1" x="2719"/>
        <item t="data" sd="1" m="1" x="2720"/>
        <item t="data" sd="1" m="1" x="2556"/>
        <item t="data" sd="1" m="1" x="2358"/>
        <item t="data" sd="1" m="1" x="2554"/>
        <item t="data" sd="1" m="1" x="2555"/>
        <item t="data" sd="1" m="1" x="2725"/>
        <item t="data" sd="1" m="1" x="2577"/>
        <item t="data" sd="1" m="1" x="2578"/>
        <item t="data" sd="1" m="1" x="2347"/>
        <item t="data" sd="1" m="1" x="2346"/>
        <item t="data" sd="1" m="1" x="1697"/>
        <item t="data" sd="1" m="1" x="2726"/>
        <item t="data" sd="1" x="175"/>
        <item t="data" sd="1" x="176"/>
        <item t="data" sd="1" x="177"/>
        <item t="data" sd="1" m="1" x="2018"/>
        <item t="data" sd="1" m="1" x="2734"/>
        <item t="data" sd="1" m="1" x="2739"/>
        <item t="data" sd="1" m="1" x="2589"/>
        <item t="data" sd="1" m="1" x="2740"/>
        <item t="data" sd="1" m="1" x="2380"/>
        <item t="data" sd="1" m="1" x="2381"/>
        <item t="data" sd="1" m="1" x="1796"/>
        <item t="data" sd="1" m="1" x="2377"/>
        <item t="data" sd="1" m="1" x="2055"/>
        <item t="data" sd="1" m="1" x="2059"/>
        <item t="data" sd="1" m="1" x="2742"/>
        <item t="data" sd="1" m="1" x="2744"/>
        <item t="data" sd="1" m="1" x="2745"/>
        <item t="data" sd="1" m="1" x="2746"/>
        <item t="data" sd="1" m="1" x="2747"/>
        <item t="data" sd="1" m="1" x="2748"/>
        <item t="data" sd="1" m="1" x="1723"/>
        <item t="data" sd="1" m="1" x="1722"/>
        <item t="data" sd="1" m="1" x="2749"/>
        <item t="data" sd="1" m="1" x="2750"/>
        <item t="data" sd="1" m="1" x="2594"/>
        <item t="data" sd="1" m="1" x="2386"/>
        <item t="data" sd="1" m="1" x="1731"/>
        <item t="data" sd="1" m="1" x="2753"/>
        <item t="data" sd="1" m="1" x="2610"/>
        <item t="data" sd="1" m="1" x="2609"/>
        <item t="data" sd="1" m="1" x="2611"/>
        <item t="data" sd="1" m="1" x="2755"/>
        <item t="data" sd="1" m="1" x="2756"/>
        <item t="data" sd="1" m="1" x="2623"/>
        <item t="data" sd="1" m="1" x="2624"/>
        <item t="data" sd="1" m="1" x="2757"/>
        <item t="data" sd="1" m="1" x="1815"/>
        <item t="data" sd="1" m="1" x="2062"/>
        <item t="data" sd="1" m="1" x="2760"/>
        <item t="data" sd="1" m="1" x="2631"/>
        <item t="data" sd="1" m="1" x="2630"/>
        <item t="data" sd="1" m="1" x="2426"/>
        <item t="data" sd="1" m="1" x="2031"/>
        <item t="data" sd="1" m="1" x="2765"/>
        <item t="data" sd="1" m="1" x="1742"/>
        <item t="data" sd="1" m="1" x="651"/>
        <item t="data" sd="1" m="1" x="1747"/>
        <item t="data" sd="1" m="1" x="1749"/>
        <item t="data" sd="1" m="1" x="2769"/>
        <item t="data" sd="1" m="1" x="2770"/>
        <item t="data" sd="1" m="1" x="2771"/>
        <item t="data" sd="1" m="1" x="2772"/>
        <item t="data" sd="1" m="1" x="2773"/>
        <item t="data" sd="1" m="1" x="2776"/>
        <item t="data" sd="1" m="1" x="2777"/>
        <item t="data" sd="1" m="1" x="1767"/>
        <item t="data" sd="1" m="1" x="1773"/>
        <item t="data" sd="1" m="1" x="2779"/>
        <item t="data" sd="1" m="1" x="2302"/>
        <item t="data" sd="1" m="1" x="1793"/>
        <item t="data" sd="1" m="1" x="2786"/>
        <item t="data" sd="1" m="1" x="2787"/>
        <item t="data" sd="1" m="1" x="2656"/>
        <item t="data" sd="1" m="1" x="2788"/>
        <item t="data" sd="1" m="1" x="2789"/>
        <item t="data" sd="1" m="1" x="2790"/>
        <item t="data" sd="1" m="1" x="2791"/>
        <item t="data" sd="1" m="1" x="2792"/>
        <item t="data" sd="1" m="1" x="2090"/>
        <item t="data" sd="1" m="1" x="2142"/>
        <item t="data" sd="1" m="1" x="2056"/>
        <item t="data" sd="1" m="1" x="2530"/>
        <item t="data" sd="1" m="1" x="2532"/>
        <item t="data" sd="1" m="1" x="2533"/>
        <item t="data" sd="1" m="1" x="2534"/>
        <item t="data" sd="1" m="1" x="2535"/>
        <item t="data" sd="1" m="1" x="2536"/>
        <item t="data" sd="1" m="1" x="2537"/>
        <item t="data" sd="1" m="1" x="2538"/>
        <item t="data" sd="1" m="1" x="2539"/>
        <item t="data" sd="1" m="1" x="1676"/>
        <item t="data" sd="1" m="1" x="1677"/>
        <item t="data" sd="1" m="1" x="1678"/>
        <item t="data" sd="1" m="1" x="2544"/>
        <item t="data" sd="1" m="1" x="2548"/>
        <item t="data" sd="1" m="1" x="2336"/>
        <item t="data" sd="1" m="1" x="2549"/>
        <item t="data" sd="1" m="1" x="2154"/>
        <item t="data" sd="1" m="1" x="2063"/>
        <item t="data" sd="1" m="1" x="1688"/>
        <item t="data" sd="1" m="1" x="2551"/>
        <item t="data" sd="1" m="1" x="2552"/>
        <item t="data" sd="1" m="1" x="2553"/>
        <item t="data" sd="1" m="1" x="2561"/>
        <item t="data" sd="1" m="1" x="2562"/>
        <item t="data" sd="1" m="1" x="2563"/>
        <item t="data" sd="1" m="1" x="2564"/>
        <item t="data" sd="1" m="1" x="2427"/>
        <item t="data" sd="1" m="1" x="2565"/>
        <item t="data" sd="1" m="1" x="2566"/>
        <item t="data" sd="1" m="1" x="2567"/>
        <item t="data" sd="1" m="1" x="2568"/>
        <item t="data" sd="1" m="1" x="2569"/>
        <item t="data" sd="1" m="1" x="2570"/>
        <item t="data" sd="1" m="1" x="2571"/>
        <item t="data" sd="1" m="1" x="2572"/>
        <item t="data" sd="1" m="1" x="2573"/>
        <item t="data" sd="1" m="1" x="2574"/>
        <item t="data" sd="1" m="1" x="2575"/>
        <item t="data" sd="1" m="1" x="2576"/>
        <item t="data" sd="1" m="1" x="1696"/>
        <item t="data" sd="1" m="1" x="1698"/>
        <item t="data" sd="1" m="1" x="2579"/>
        <item t="data" sd="1" m="1" x="2580"/>
        <item t="data" sd="1" m="1" x="2581"/>
        <item t="data" sd="1" m="1" x="2582"/>
        <item t="data" sd="1" m="1" x="2583"/>
        <item t="data" sd="1" m="1" x="2022"/>
        <item t="data" sd="1" m="1" x="2023"/>
        <item t="data" sd="1" m="1" x="531"/>
        <item t="data" sd="1" m="1" x="2584"/>
        <item t="data" sd="1" m="1" x="2585"/>
        <item t="data" sd="1" m="1" x="2586"/>
        <item t="data" sd="1" m="1" x="2587"/>
        <item t="data" sd="1" m="1" x="557"/>
        <item t="data" sd="1" m="1" x="2024"/>
        <item t="data" sd="1" m="1" x="2375"/>
        <item t="data" sd="1" m="1" x="1718"/>
        <item t="data" sd="1" m="1" x="2379"/>
        <item t="data" sd="1" m="1" x="2590"/>
        <item t="data" sd="1" m="1" x="2591"/>
        <item t="data" sd="1" m="1" x="2592"/>
        <item t="data" sd="1" m="1" x="2595"/>
        <item t="data" sd="1" m="1" x="2404"/>
        <item t="data" sd="1" m="1" x="2625"/>
        <item t="data" sd="1" m="1" x="2626"/>
        <item t="data" sd="1" m="1" x="2627"/>
        <item t="data" sd="1" m="1" x="2628"/>
        <item t="data" sd="1" m="1" x="1743"/>
        <item t="data" sd="1" m="1" x="2030"/>
        <item t="data" sd="1" m="1" x="2629"/>
        <item t="data" sd="1" m="1" x="2509"/>
        <item t="data" sd="1" m="1" x="2433"/>
        <item t="data" sd="1" m="1" x="2635"/>
        <item t="data" sd="1" m="1" x="2511"/>
        <item t="data" sd="1" m="1" x="2636"/>
        <item t="data" sd="1" m="1" x="2034"/>
        <item t="data" sd="1" m="1" x="2638"/>
        <item t="data" sd="1" m="1" x="2435"/>
        <item t="data" sd="1" m="1" x="670"/>
        <item t="data" sd="1" m="1" x="1758"/>
        <item t="data" sd="1" m="1" x="2639"/>
        <item t="data" sd="1" m="1" x="2640"/>
        <item t="data" sd="1" m="1" x="683"/>
        <item t="data" sd="1" m="1" x="2641"/>
        <item t="data" sd="1" m="1" x="2449"/>
        <item t="data" sd="1" m="1" x="2642"/>
        <item t="data" sd="1" m="1" x="2643"/>
        <item t="data" sd="1" m="1" x="2450"/>
        <item t="data" sd="1" m="1" x="2644"/>
        <item t="data" sd="1" m="1" x="2038"/>
        <item t="data" sd="1" m="1" x="2041"/>
        <item t="data" sd="1" m="1" x="2039"/>
        <item t="data" sd="1" m="1" x="2040"/>
        <item t="data" sd="1" m="1" x="2456"/>
        <item t="data" sd="1" m="1" x="2645"/>
        <item t="data" sd="1" m="1" x="2525"/>
        <item t="data" sd="1" m="1" x="1785"/>
        <item t="data" sd="1" m="1" x="1784"/>
        <item t="data" sd="1" m="1" x="2649"/>
        <item t="data" sd="1" m="1" x="1779"/>
        <item t="data" sd="1" m="1" x="1780"/>
        <item t="data" sd="1" m="1" x="1781"/>
        <item t="data" sd="1" m="1" x="1782"/>
        <item t="data" sd="1" m="1" x="1783"/>
        <item t="data" sd="1" m="1" x="2651"/>
        <item t="data" sd="1" m="1" x="2652"/>
        <item t="data" sd="1" m="1" x="2653"/>
        <item t="data" sd="1" m="1" x="2043"/>
        <item t="data" sd="1" m="1" x="2654"/>
        <item t="data" sd="1" m="1" x="2655"/>
        <item t="data" sd="1" m="1" x="2657"/>
        <item t="data" sd="1" m="1" x="2658"/>
        <item t="data" sd="1" m="1" x="2659"/>
        <item t="data" sd="1" m="1" x="1821"/>
        <item t="data" sd="1" m="1" x="2459"/>
        <item t="data" sd="1" m="1" x="2321"/>
        <item t="data" sd="1" m="1" x="2320"/>
        <item t="data" sd="1" m="1" x="2319"/>
        <item t="data" sd="1" m="1" x="2460"/>
        <item t="data" sd="1" m="1" x="2322"/>
        <item t="data" sd="1" m="1" x="2066"/>
        <item t="data" sd="1" m="1" x="2070"/>
        <item t="data" sd="1" m="1" x="2461"/>
        <item t="data" sd="1" m="1" x="2462"/>
        <item t="data" sd="1" m="1" x="2463"/>
        <item t="data" sd="1" m="1" x="2465"/>
        <item t="data" sd="1" m="1" x="604"/>
        <item t="data" sd="1" m="1" x="2469"/>
        <item t="data" sd="1" m="1" x="2470"/>
        <item t="data" sd="1" m="1" x="2471"/>
        <item t="data" sd="1" m="1" x="2372"/>
        <item t="data" sd="1" m="1" x="2472"/>
        <item t="data" sd="1" m="1" x="2473"/>
        <item t="data" sd="1" m="1" x="2096"/>
        <item t="data" sd="1" m="1" x="2474"/>
        <item t="data" sd="1" m="1" x="2475"/>
        <item t="data" sd="1" m="1" x="2476"/>
        <item t="data" sd="1" m="1" x="2477"/>
        <item t="data" sd="1" m="1" x="2478"/>
        <item t="data" sd="1" m="1" x="2479"/>
        <item t="data" sd="1" m="1" x="2480"/>
        <item t="data" sd="1" m="1" x="2481"/>
        <item t="data" sd="1" m="1" x="2482"/>
        <item t="data" sd="1" m="1" x="2483"/>
        <item t="data" sd="1" m="1" x="2484"/>
        <item t="data" sd="1" m="1" x="2485"/>
        <item t="data" sd="1" m="1" x="2083"/>
        <item t="data" sd="1" m="1" x="2488"/>
        <item t="data" sd="1" m="1" x="535"/>
        <item t="data" sd="1" m="1" x="530"/>
        <item t="data" sd="1" m="1" x="2491"/>
        <item t="data" sd="1" m="1" x="1715"/>
        <item t="data" sd="1" m="1" x="2492"/>
        <item t="data" sd="1" m="1" x="2494"/>
        <item t="data" sd="1" m="1" x="2495"/>
        <item t="data" sd="1" m="1" x="2496"/>
        <item t="data" sd="1" m="1" x="2497"/>
        <item t="data" sd="1" m="1" x="1716"/>
        <item t="data" sd="1" m="1" x="2382"/>
        <item t="data" sd="1" m="1" x="1717"/>
        <item t="data" sd="1" m="1" x="2371"/>
        <item t="data" sd="1" m="1" x="2499"/>
        <item t="data" sd="1" m="1" x="2500"/>
        <item t="data" sd="1" m="1" x="2501"/>
        <item t="data" sd="1" m="1" x="2502"/>
        <item t="data" sd="1" m="1" x="2503"/>
        <item t="data" sd="1" m="1" x="2097"/>
        <item t="data" sd="1" m="1" x="2098"/>
        <item t="data" sd="1" m="1" x="1726"/>
        <item t="data" sd="1" m="1" x="1725"/>
        <item t="data" sd="1" m="1" x="1724"/>
        <item t="data" sd="1" m="1" x="623"/>
        <item t="data" sd="1" m="1" x="2504"/>
        <item t="data" sd="1" m="1" x="2506"/>
        <item t="data" sd="1" m="1" x="2394"/>
        <item t="data" sd="1" m="1" x="1746"/>
        <item t="data" sd="1" m="1" x="2508"/>
        <item t="data" sd="1" m="1" x="2410"/>
        <item t="data" sd="1" m="1" x="2510"/>
        <item t="data" sd="1" m="1" x="2428"/>
        <item t="data" sd="1" m="1" x="2429"/>
        <item t="data" sd="1" m="1" x="1740"/>
        <item t="data" sd="1" m="1" x="2110"/>
        <item t="data" sd="1" m="1" x="2512"/>
        <item t="data" sd="1" m="1" x="2513"/>
        <item t="data" sd="1" m="1" x="2514"/>
        <item t="data" sd="1" m="1" x="2515"/>
        <item t="data" sd="1" m="1" x="1744"/>
        <item t="data" sd="1" m="1" x="2035"/>
        <item t="data" sd="1" m="1" x="1745"/>
        <item t="data" sd="1" m="1" x="1757"/>
        <item t="data" sd="1" m="1" x="2516"/>
        <item t="data" sd="1" m="1" x="2119"/>
        <item t="data" sd="1" m="1" x="1756"/>
        <item t="data" sd="1" m="1" x="2120"/>
        <item t="data" sd="1" m="1" x="2517"/>
        <item t="data" sd="1" m="1" x="1792"/>
        <item t="data" sd="1" m="1" x="2518"/>
        <item t="data" sd="1" m="1" x="2293"/>
        <item t="data" sd="1" m="1" x="2519"/>
        <item t="data" sd="1" m="1" x="2520"/>
        <item t="data" sd="1" m="1" x="2454"/>
        <item t="data" sd="1" m="1" x="2522"/>
        <item t="data" sd="1" m="1" x="1766"/>
        <item t="data" sd="1" m="1" x="2124"/>
        <item t="data" sd="1" m="1" x="1817"/>
        <item t="data" sd="1" m="1" x="2523"/>
        <item t="data" sd="1" m="1" x="2457"/>
        <item t="data" sd="1" m="1" x="1778"/>
        <item t="data" sd="1" m="1" x="2526"/>
        <item t="data" sd="1" m="1" x="2527"/>
        <item t="data" sd="1" m="1" x="2528"/>
        <item t="data" sd="1" m="1" x="2315"/>
        <item t="data" sd="1" m="1" x="2316"/>
        <item t="data" sd="1" m="1" x="2317"/>
        <item t="data" sd="1" m="1" x="2318"/>
        <item t="data" sd="1" m="1" x="2323"/>
        <item t="data" sd="1" m="1" x="2324"/>
        <item t="data" sd="1" m="1" x="2325"/>
        <item t="data" sd="1" m="1" x="2326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137"/>
        <item t="data" sd="1" m="1" x="1675"/>
        <item t="data" sd="1" m="1" x="2067"/>
        <item t="data" sd="1" m="1" x="1681"/>
        <item t="data" sd="1" m="1" x="2069"/>
        <item t="data" sd="1" m="1" x="1683"/>
        <item t="data" sd="1" m="1" x="1684"/>
        <item t="data" sd="1" m="1" x="2071"/>
        <item t="data" sd="1" m="1" x="2233"/>
        <item t="data" sd="1" m="1" x="2234"/>
        <item t="data" sd="1" m="1" x="2235"/>
        <item t="data" sd="1" m="1" x="2337"/>
        <item t="data" sd="1" m="1" x="2338"/>
        <item t="data" sd="1" m="1" x="2339"/>
        <item t="data" sd="1" m="1" x="2340"/>
        <item t="data" sd="1" m="1" x="2341"/>
        <item t="data" sd="1" m="1" x="2147"/>
        <item t="data" sd="1" m="1" x="2087"/>
        <item t="data" sd="1" m="1" x="2084"/>
        <item t="data" sd="1" m="1" x="2264"/>
        <item t="data" sd="1" m="1" x="1692"/>
        <item t="data" sd="1" m="1" x="1693"/>
        <item t="data" sd="1" m="1" x="1694"/>
        <item t="data" sd="1" m="1" x="1695"/>
        <item t="data" sd="1" m="1" x="2085"/>
        <item t="data" sd="1" m="1" x="2086"/>
        <item t="data" sd="1" m="1" x="1706"/>
        <item t="data" sd="1" m="1" x="2351"/>
        <item t="data" sd="1" m="1" x="1711"/>
        <item t="data" sd="1" m="1" x="1272"/>
        <item t="data" sd="1" m="1" x="2362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3"/>
        <item t="data" sd="1" m="1" x="2376"/>
        <item t="data" sd="1" m="1" x="2053"/>
        <item t="data" sd="1" m="1" x="2267"/>
        <item t="data" sd="1" m="1" x="2383"/>
        <item t="data" sd="1" m="1" x="2384"/>
        <item t="data" sd="1" m="1" x="2101"/>
        <item t="data" sd="1" m="1" x="2100"/>
        <item t="data" sd="1" m="1" x="2270"/>
        <item t="data" sd="1" m="1" x="2099"/>
        <item t="data" sd="1" m="1" x="2391"/>
        <item t="data" sd="1" m="1" x="2392"/>
        <item t="data" sd="1" m="1" x="2393"/>
        <item t="data" sd="1" m="1" x="2395"/>
        <item t="data" sd="1" m="1" x="2396"/>
        <item t="data" sd="1" m="1" x="2397"/>
        <item t="data" sd="1" m="1" x="2398"/>
        <item t="data" sd="1" m="1" x="2399"/>
        <item t="data" sd="1" m="1" x="1732"/>
        <item t="data" sd="1" m="1" x="2407"/>
        <item t="data" sd="1" m="1" x="2408"/>
        <item t="data" sd="1" m="1" x="2409"/>
        <item t="data" sd="1" m="1" x="2284"/>
        <item t="data" sd="1" m="1" x="2116"/>
        <item t="data" sd="1" m="1" x="674"/>
        <item t="data" sd="1" m="1" x="663"/>
        <item t="data" sd="1" m="1" x="1759"/>
        <item t="data" sd="1" m="1" x="1760"/>
        <item t="data" sd="1" m="1" x="1761"/>
        <item t="data" sd="1" m="1" x="1762"/>
        <item t="data" sd="1" m="1" x="2294"/>
        <item t="data" sd="1" m="1" x="2438"/>
        <item t="data" sd="1" m="1" x="2439"/>
        <item t="data" sd="1" m="1" x="2123"/>
        <item t="data" sd="1" m="1" x="2445"/>
        <item t="data" sd="1" m="1" x="2446"/>
        <item t="data" sd="1" m="1" x="2447"/>
        <item t="data" sd="1" m="1" x="2448"/>
        <item t="data" sd="1" m="1" x="723"/>
        <item t="data" sd="1" m="1" x="2295"/>
        <item t="data" sd="1" m="1" x="2296"/>
        <item t="data" sd="1" m="1" x="2148"/>
        <item t="data" sd="1" m="1" x="2153"/>
        <item t="data" sd="1" m="1" x="724"/>
        <item t="data" sd="1" m="1" x="1812"/>
        <item t="data" sd="1" m="1" x="1777"/>
        <item t="data" sd="1" m="1" x="2307"/>
        <item t="data" sd="1" m="1" x="2308"/>
        <item t="data" sd="1" m="1" x="2309"/>
        <item t="data" sd="1" m="1" x="2310"/>
        <item t="data" sd="1" m="1" x="1820"/>
        <item t="data" sd="1" m="1" x="2208"/>
        <item t="data" sd="1" m="1" x="2057"/>
        <item t="data" sd="1" m="1" x="2210"/>
        <item t="data" sd="1" m="1" x="2211"/>
        <item t="data" sd="1" m="1" x="2212"/>
        <item t="data" sd="1" m="1" x="2213"/>
        <item t="data" sd="1" m="1" x="2214"/>
        <item t="data" sd="1" m="1" x="2215"/>
        <item t="data" sd="1" m="1" x="2216"/>
        <item t="data" sd="1" m="1" x="2217"/>
        <item t="data" sd="1" m="1" x="2218"/>
        <item t="data" sd="1" m="1" x="2219"/>
        <item t="data" sd="1" m="1" x="2220"/>
        <item t="data" sd="1" m="1" x="2221"/>
        <item t="data" sd="1" m="1" x="2222"/>
        <item t="data" sd="1" m="1" x="2223"/>
        <item t="data" sd="1" m="1" x="2224"/>
        <item t="data" sd="1" m="1" x="2225"/>
        <item t="data" sd="1" m="1" x="2226"/>
        <item t="data" sd="1" m="1" x="2141"/>
        <item t="data" sd="1" m="1" x="2138"/>
        <item t="data" sd="1" m="1" x="2068"/>
        <item t="data" sd="1" m="1" x="1206"/>
        <item t="data" sd="1" m="1" x="1207"/>
        <item t="data" sd="1" m="1" x="2181"/>
        <item t="data" sd="1" m="1" x="1685"/>
        <item t="data" sd="1" m="1" x="2236"/>
        <item t="data" sd="1" m="1" x="2237"/>
        <item t="data" sd="1" m="1" x="1234"/>
        <item t="data" sd="1" m="1" x="1689"/>
        <item t="data" sd="1" m="1" x="2238"/>
        <item t="data" sd="1" m="1" x="647"/>
        <item t="data" sd="1" m="1" x="2239"/>
        <item t="data" sd="1" m="1" x="2240"/>
        <item t="data" sd="1" m="1" x="2241"/>
        <item t="data" sd="1" m="1" x="2242"/>
        <item t="data" sd="1" m="1" x="2243"/>
        <item t="data" sd="1" m="1" x="2244"/>
        <item t="data" sd="1" m="1" x="2245"/>
        <item t="data" sd="1" m="1" x="2246"/>
        <item t="data" sd="1" m="1" x="2247"/>
        <item t="data" sd="1" m="1" x="2248"/>
        <item t="data" sd="1" m="1" x="2249"/>
        <item t="data" sd="1" m="1" x="2250"/>
        <item t="data" sd="1" m="1" x="2251"/>
        <item t="data" sd="1" m="1" x="2252"/>
        <item t="data" sd="1" m="1" x="2253"/>
        <item t="data" sd="1" m="1" x="2254"/>
        <item t="data" sd="1" m="1" x="2255"/>
        <item t="data" sd="1" m="1" x="2256"/>
        <item t="data" sd="1" m="1" x="2257"/>
        <item t="data" sd="1" m="1" x="2258"/>
        <item t="data" sd="1" m="1" x="2259"/>
        <item t="data" sd="1" m="1" x="2260"/>
        <item t="data" sd="1" m="1" x="2136"/>
        <item t="data" sd="1" m="1" x="2261"/>
        <item t="data" sd="1" m="1" x="2262"/>
        <item t="data" sd="1" m="1" x="533"/>
        <item t="data" sd="1" m="1" x="534"/>
        <item t="data" sd="1" m="1" x="1691"/>
        <item t="data" sd="1" m="1" x="2263"/>
        <item t="data" sd="1" m="1" x="2092"/>
        <item t="data" sd="1" m="1" x="2145"/>
        <item t="data" sd="1" m="1" x="2146"/>
        <item t="data" sd="1" m="1" x="2268"/>
        <item t="data" sd="1" m="1" x="614"/>
        <item t="data" sd="1" m="1" x="2269"/>
        <item t="data" sd="1" m="1" x="1300"/>
        <item t="data" sd="1" m="1" x="2102"/>
        <item t="data" sd="1" m="1" x="2271"/>
        <item t="data" sd="1" m="1" x="603"/>
        <item t="data" sd="1" m="1" x="1727"/>
        <item t="data" sd="1" m="1" x="2107"/>
        <item t="data" sd="1" m="1" x="2272"/>
        <item t="data" sd="1" m="1" x="2273"/>
        <item t="data" sd="1" m="1" x="1739"/>
        <item t="data" sd="1" m="1" x="2274"/>
        <item t="data" sd="1" m="1" x="2275"/>
        <item t="data" sd="1" m="1" x="2276"/>
        <item t="data" sd="1" m="1" x="2277"/>
        <item t="data" sd="1" m="1" x="2278"/>
        <item t="data" sd="1" m="1" x="2279"/>
        <item t="data" sd="1" m="1" x="2280"/>
        <item t="data" sd="1" m="1" x="2281"/>
        <item t="data" sd="1" m="1" x="2282"/>
        <item t="data" sd="1" m="1" x="2140"/>
        <item t="data" sd="1" m="1" x="1737"/>
        <item t="data" sd="1" m="1" x="1738"/>
        <item t="data" sd="1" m="1" x="1736"/>
        <item t="data" sd="1" m="1" x="1733"/>
        <item t="data" sd="1" m="1" x="1735"/>
        <item t="data" sd="1" m="1" x="2283"/>
        <item t="data" sd="1" m="1" x="2285"/>
        <item t="data" sd="1" m="1" x="2286"/>
        <item t="data" sd="1" m="1" x="2112"/>
        <item t="data" sd="1" m="1" x="1813"/>
        <item t="data" sd="1" m="1" x="2287"/>
        <item t="data" sd="1" m="1" x="2113"/>
        <item t="data" sd="1" m="1" x="2290"/>
        <item t="data" sd="1" m="1" x="2292"/>
        <item t="data" sd="1" m="1" x="1752"/>
        <item t="data" sd="1" m="1" x="1753"/>
        <item t="data" sd="1" m="1" x="2014"/>
        <item t="data" sd="1" m="1" x="2297"/>
        <item t="data" sd="1" m="1" x="2298"/>
        <item t="data" sd="1" m="1" x="2299"/>
        <item t="data" sd="1" m="1" x="2151"/>
        <item t="data" sd="1" x="424"/>
        <item t="data" sd="1" m="1" x="1788"/>
        <item t="data" sd="1" m="1" x="1787"/>
        <item t="data" sd="1" m="1" x="2300"/>
        <item t="data" sd="1" m="1" x="2301"/>
        <item t="data" sd="1" m="1" x="2303"/>
        <item t="data" sd="1" m="1" x="1795"/>
        <item t="data" sd="1" m="1" x="2304"/>
        <item t="data" sd="1" m="1" x="2305"/>
        <item t="data" sd="1" m="1" x="2306"/>
        <item t="data" sd="1" m="1" x="2311"/>
        <item t="data" sd="1" m="1" x="2312"/>
        <item t="data" sd="1" m="1" x="2313"/>
        <item t="data" sd="1" m="1" x="2314"/>
        <item t="data" sd="1" m="1" x="2109"/>
        <item t="data" sd="1" m="1" x="2052"/>
        <item t="data" sd="1" m="1" x="1822"/>
        <item t="data" sd="1" m="1" x="1682"/>
        <item t="data" sd="1" m="1" x="2072"/>
        <item t="data" sd="1" m="1" x="2073"/>
        <item t="data" sd="1" m="1" x="2074"/>
        <item t="data" sd="1" m="1" x="2075"/>
        <item t="data" sd="1" m="1" x="2076"/>
        <item t="data" sd="1" m="1" x="2077"/>
        <item t="data" sd="1" m="1" x="2078"/>
        <item t="data" sd="1" m="1" x="2079"/>
        <item t="data" sd="1" m="1" x="2080"/>
        <item t="data" sd="1" m="1" x="1829"/>
        <item t="data" sd="1" m="1" x="2081"/>
        <item t="data" sd="1" m="1" x="2082"/>
        <item t="data" sd="1" m="1" x="2088"/>
        <item t="data" sd="1" m="1" x="2089"/>
        <item t="data" sd="1" m="1" x="2091"/>
        <item t="data" sd="1" m="1" x="574"/>
        <item t="data" sd="1" m="1" x="2093"/>
        <item t="data" sd="1" m="1" x="2094"/>
        <item t="data" sd="1" x="55"/>
        <item t="data" sd="1" m="1" x="2095"/>
        <item t="data" sd="1" m="1" x="2103"/>
        <item t="data" sd="1" m="1" x="2104"/>
        <item t="data" sd="1" m="1" x="2105"/>
        <item t="data" sd="1" m="1" x="2106"/>
        <item t="data" sd="1" m="1" x="1850"/>
        <item t="data" sd="1" m="1" x="1848"/>
        <item t="data" sd="1" m="1" x="2108"/>
        <item t="data" sd="1" m="1" x="1849"/>
        <item t="data" sd="1" m="1" x="1851"/>
        <item t="data" sd="1" m="1" x="1860"/>
        <item t="data" sd="1" m="1" x="1870"/>
        <item t="data" sd="1" m="1" x="2111"/>
        <item t="data" sd="1" m="1" x="1876"/>
        <item t="data" sd="1" m="1" x="2114"/>
        <item t="data" sd="1" m="1" x="2115"/>
        <item t="data" sd="1" m="1" x="1751"/>
        <item t="data" sd="1" m="1" x="2117"/>
        <item t="data" sd="1" m="1" x="2118"/>
        <item t="data" sd="1" m="1" x="1892"/>
        <item t="data" sd="1" m="1" x="2121"/>
        <item t="data" sd="1" m="1" x="2122"/>
        <item t="data" sd="1" m="1" x="1786"/>
        <item t="data" sd="1" m="1" x="1789"/>
        <item t="data" sd="1" m="1" x="1790"/>
        <item t="data" sd="1" m="1" x="1791"/>
        <item t="data" sd="1" m="1" x="1903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9"/>
        <item t="data" sd="1" m="1" x="2125"/>
        <item t="data" sd="1" m="1" x="2126"/>
        <item t="data" sd="1" m="1" x="2128"/>
        <item t="data" sd="1" m="1" x="2129"/>
        <item t="data" sd="1" m="1" x="2130"/>
        <item t="data" sd="1" m="1" x="2131"/>
        <item t="data" sd="1" m="1" x="2132"/>
        <item t="data" sd="1" x="425"/>
        <item t="data" sd="1" m="1" x="2133"/>
        <item t="data" sd="1" m="1" x="2134"/>
        <item t="data" sd="1" m="1" x="2135"/>
        <item t="data" sd="1" m="1" x="2139"/>
        <item t="data" sd="1" m="1" x="2143"/>
        <item t="data" sd="1" m="1" x="2144"/>
        <item t="data" sd="1" m="1" x="2149"/>
        <item t="data" sd="1" m="1" x="2150"/>
        <item t="data" sd="1" m="1" x="2152"/>
        <item t="data" sd="1" m="1" x="2155"/>
        <item t="data" sd="1" m="1" x="1916"/>
        <item t="data" sd="1" m="1" x="1833"/>
        <item t="data" sd="1" m="1" x="2156"/>
        <item t="data" sd="1" m="1" x="518"/>
        <item t="data" sd="1" m="1" x="2157"/>
        <item t="data" sd="1" m="1" x="1841"/>
        <item t="data" sd="1" m="1" x="2158"/>
        <item t="data" sd="1" m="1" x="2159"/>
        <item t="data" sd="1" m="1" x="2160"/>
        <item t="data" sd="1" m="1" x="2161"/>
        <item t="data" sd="1" x="220"/>
        <item t="data" sd="1" m="1" x="2162"/>
        <item t="data" sd="1" m="1" x="1847"/>
        <item t="data" sd="1" m="1" x="1861"/>
        <item t="data" sd="1" m="1" x="1862"/>
        <item t="data" sd="1" m="1" x="2163"/>
        <item t="data" sd="1" m="1" x="2164"/>
        <item t="data" sd="1" m="1" x="1873"/>
        <item t="data" sd="1" m="1" x="2165"/>
        <item t="data" sd="1" m="1" x="1880"/>
        <item t="data" sd="1" m="1" x="1881"/>
        <item t="data" sd="1" m="1" x="2166"/>
        <item t="data" sd="1" m="1" x="2167"/>
        <item t="data" sd="1" m="1" x="2168"/>
        <item t="data" sd="1" m="1" x="2169"/>
        <item t="data" sd="1" m="1" x="2170"/>
        <item t="data" sd="1" m="1" x="2171"/>
        <item t="data" sd="1" m="1" x="2172"/>
        <item t="data" sd="1" m="1" x="2173"/>
        <item t="data" sd="1" m="1" x="2174"/>
        <item t="data" sd="1" m="1" x="2175"/>
        <item t="data" sd="1" m="1" x="2176"/>
        <item t="data" sd="1" m="1" x="2177"/>
        <item t="data" sd="1" m="1" x="2178"/>
        <item t="data" sd="1" m="1" x="2179"/>
        <item t="data" sd="1" m="1" x="2180"/>
        <item t="data" sd="1" m="1" x="2182"/>
        <item t="data" sd="1" m="1" x="2183"/>
        <item t="data" sd="1" m="1" x="2184"/>
        <item t="data" sd="1" m="1" x="2185"/>
        <item t="data" sd="1" m="1" x="2186"/>
        <item t="data" sd="1" m="1" x="2187"/>
        <item t="data" sd="1" m="1" x="2188"/>
        <item t="data" sd="1" m="1" x="2189"/>
        <item t="data" sd="1" m="1" x="2190"/>
        <item t="data" sd="1" m="1" x="2191"/>
        <item t="data" sd="1" m="1" x="2192"/>
        <item t="data" sd="1" m="1" x="2193"/>
        <item t="data" sd="1" m="1" x="2194"/>
        <item t="data" sd="1" m="1" x="2195"/>
        <item t="data" sd="1" m="1" x="2196"/>
        <item t="data" sd="1" m="1" x="2197"/>
        <item t="data" sd="1" m="1" x="2198"/>
        <item t="data" sd="1" m="1" x="2199"/>
        <item t="data" sd="1" m="1" x="2200"/>
        <item t="data" sd="1" m="1" x="2201"/>
        <item t="data" sd="1" m="1" x="2202"/>
        <item t="data" sd="1" m="1" x="2203"/>
        <item t="data" sd="1" m="1" x="2204"/>
        <item t="data" sd="1" m="1" x="2205"/>
        <item t="data" sd="1" m="1" x="2206"/>
        <item t="data" sd="1" m="1" x="2207"/>
        <item t="data" sd="1" m="1" x="2209"/>
        <item t="data" sd="1" m="1" x="1463"/>
        <item t="data" sd="1" m="1" x="1464"/>
        <item t="data" sd="1" m="1" x="1465"/>
        <item t="data" sd="1" m="1" x="1466"/>
        <item t="data" sd="1" m="1" x="1467"/>
        <item t="data" sd="1" m="1" x="1729"/>
        <item t="data" sd="1" m="1" x="610"/>
        <item t="data" sd="1" m="1" x="1816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30"/>
        <item t="data" sd="1" m="1" x="1831"/>
        <item t="data" sd="1" m="1" x="1832"/>
        <item t="data" sd="1" x="400"/>
        <item t="data" sd="1" m="1" x="1271"/>
        <item t="data" sd="1" m="1" x="1834"/>
        <item t="data" sd="1" m="1" x="556"/>
        <item t="data" sd="1" m="1" x="559"/>
        <item t="data" sd="1" m="1" x="1835"/>
        <item t="data" sd="1" m="1" x="1836"/>
        <item t="data" sd="1" m="1" x="1837"/>
        <item t="data" sd="1" m="1" x="1838"/>
        <item t="data" sd="1" m="1" x="1839"/>
        <item t="data" sd="1" x="132"/>
        <item t="data" sd="1" m="1" x="1840"/>
        <item t="data" sd="1" m="1" x="1842"/>
        <item t="data" sd="1" x="172"/>
        <item t="data" sd="1" m="1" x="1843"/>
        <item t="data" sd="1" x="234"/>
        <item t="data" sd="1" m="1" x="617"/>
        <item t="data" sd="1" m="1" x="1844"/>
        <item t="data" sd="1" m="1" x="1845"/>
        <item t="data" sd="1" m="1" x="1846"/>
        <item t="data" sd="1" m="1" x="1852"/>
        <item t="data" sd="1" m="1" x="1853"/>
        <item t="data" sd="1" m="1" x="1854"/>
        <item t="data" sd="1" m="1" x="1855"/>
        <item t="data" sd="1" m="1" x="1856"/>
        <item t="data" sd="1" m="1" x="1857"/>
        <item t="data" sd="1" m="1" x="1858"/>
        <item t="data" sd="1" m="1" x="1859"/>
        <item t="data" sd="1" m="1" x="1863"/>
        <item t="data" sd="1" m="1" x="1864"/>
        <item t="data" sd="1" m="1" x="1865"/>
        <item t="data" sd="1" m="1" x="1866"/>
        <item t="data" sd="1" m="1" x="1867"/>
        <item t="data" sd="1" m="1" x="1868"/>
        <item t="data" sd="1" m="1" x="1869"/>
        <item t="data" sd="1" m="1" x="633"/>
        <item t="data" sd="1" m="1" x="1871"/>
        <item t="data" sd="1" m="1" x="1872"/>
        <item t="data" sd="1" m="1" x="1874"/>
        <item t="data" sd="1" m="1" x="1875"/>
        <item t="data" sd="1" m="1" x="1877"/>
        <item t="data" sd="1" m="1" x="1878"/>
        <item t="data" sd="1" m="1" x="1879"/>
        <item t="data" sd="1" m="1" x="1882"/>
        <item t="data" sd="1" m="1" x="1883"/>
        <item t="data" sd="1" m="1" x="1884"/>
        <item t="data" sd="1" m="1" x="1885"/>
        <item t="data" sd="1" m="1" x="1886"/>
        <item t="data" sd="1" m="1" x="1887"/>
        <item t="data" sd="1" m="1" x="1888"/>
        <item t="data" sd="1" m="1" x="1889"/>
        <item t="data" sd="1" x="399"/>
        <item t="data" sd="1" m="1" x="1890"/>
        <item t="data" sd="1" m="1" x="1891"/>
        <item t="data" sd="1" m="1" x="1893"/>
        <item t="data" sd="1" m="1" x="1894"/>
        <item t="data" sd="1" m="1" x="725"/>
        <item t="data" sd="1" m="1" x="1895"/>
        <item t="data" sd="1" m="1" x="1896"/>
        <item t="data" sd="1" m="1" x="1897"/>
        <item t="data" sd="1" m="1" x="1904"/>
        <item t="data" sd="1" m="1" x="1905"/>
        <item t="data" sd="1" m="1" x="1906"/>
        <item t="data" sd="1" m="1" x="1907"/>
        <item t="data" sd="1" m="1" x="1908"/>
        <item t="data" sd="1" m="1" x="1910"/>
        <item t="data" sd="1" m="1" x="1911"/>
        <item t="data" sd="1" m="1" x="1912"/>
        <item t="data" sd="1" m="1" x="1913"/>
        <item t="data" sd="1" m="1" x="1914"/>
        <item t="data" sd="1" m="1" x="1915"/>
        <item t="data" sd="1" m="1" x="1917"/>
        <item t="data" sd="1" m="1" x="1918"/>
        <item t="data" sd="1" m="1" x="1919"/>
        <item t="data" sd="1" m="1" x="1920"/>
        <item t="data" sd="1" m="1" x="1921"/>
        <item t="data" sd="1" m="1" x="1922"/>
        <item t="data" sd="1" m="1" x="1923"/>
        <item t="data" sd="1" m="1" x="1924"/>
        <item t="data" sd="1" m="1" x="1925"/>
        <item t="data" sd="1" m="1" x="1926"/>
        <item t="data" sd="1" m="1" x="1927"/>
        <item t="data" sd="1" m="1" x="1928"/>
        <item t="data" sd="1" m="1" x="1929"/>
        <item t="data" sd="1" m="1" x="1930"/>
        <item t="data" sd="1" m="1" x="1931"/>
        <item t="data" sd="1" m="1" x="1932"/>
        <item t="data" sd="1" m="1" x="1933"/>
        <item t="data" sd="1" m="1" x="1934"/>
        <item t="data" sd="1" m="1" x="1935"/>
        <item t="data" sd="1" m="1" x="1936"/>
        <item t="data" sd="1" m="1" x="1937"/>
        <item t="data" sd="1" m="1" x="1938"/>
        <item t="data" sd="1" m="1" x="1939"/>
        <item t="data" sd="1" m="1" x="1940"/>
        <item t="data" sd="1" m="1" x="1941"/>
        <item t="data" sd="1" m="1" x="1942"/>
        <item t="data" sd="1" m="1" x="1943"/>
        <item t="data" sd="1" m="1" x="1944"/>
        <item t="data" sd="1" m="1" x="1945"/>
        <item t="data" sd="1" m="1" x="1946"/>
        <item t="data" sd="1" m="1" x="1947"/>
        <item t="data" sd="1" m="1" x="1948"/>
        <item t="data" sd="1" m="1" x="1949"/>
        <item t="data" sd="1" m="1" x="1950"/>
        <item t="data" sd="1" m="1" x="1951"/>
        <item t="data" sd="1" m="1" x="1952"/>
        <item t="data" sd="1" m="1" x="1953"/>
        <item t="data" sd="1" m="1" x="1954"/>
        <item t="data" sd="1" m="1" x="1955"/>
        <item t="data" sd="1" m="1" x="1956"/>
        <item t="data" sd="1" m="1" x="1957"/>
        <item t="data" sd="1" m="1" x="1958"/>
        <item t="data" sd="1" m="1" x="1959"/>
        <item t="data" sd="1" m="1" x="1960"/>
        <item t="data" sd="1" m="1" x="1961"/>
        <item t="data" sd="1" m="1" x="1962"/>
        <item t="data" sd="1" m="1" x="1963"/>
        <item t="data" sd="1" m="1" x="1964"/>
        <item t="data" sd="1" m="1" x="1965"/>
        <item t="data" sd="1" m="1" x="1966"/>
        <item t="data" sd="1" m="1" x="1967"/>
        <item t="data" sd="1" m="1" x="1968"/>
        <item t="data" sd="1" m="1" x="1969"/>
        <item t="data" sd="1" m="1" x="1970"/>
        <item t="data" sd="1" m="1" x="1971"/>
        <item t="data" sd="1" m="1" x="1972"/>
        <item t="data" sd="1" m="1" x="1973"/>
        <item t="data" sd="1" m="1" x="1974"/>
        <item t="data" sd="1" m="1" x="1975"/>
        <item t="data" sd="1" m="1" x="1976"/>
        <item t="data" sd="1" m="1" x="1977"/>
        <item t="data" sd="1" m="1" x="1978"/>
        <item t="data" sd="1" m="1" x="638"/>
        <item t="data" sd="1" m="1" x="1979"/>
        <item t="data" sd="1" m="1" x="1980"/>
        <item t="data" sd="1" m="1" x="1981"/>
        <item t="data" sd="1" m="1" x="1982"/>
        <item t="data" sd="1" m="1" x="1983"/>
        <item t="data" sd="1" m="1" x="1984"/>
        <item t="data" sd="1" m="1" x="1985"/>
        <item t="data" sd="1" m="1" x="1986"/>
        <item t="data" sd="1" m="1" x="1987"/>
        <item t="data" sd="1" m="1" x="1988"/>
        <item t="data" sd="1" m="1" x="1989"/>
        <item t="data" sd="1" m="1" x="1990"/>
        <item t="data" sd="1" m="1" x="1991"/>
        <item t="data" sd="1" m="1" x="1992"/>
        <item t="data" sd="1" m="1" x="1993"/>
        <item t="data" sd="1" m="1" x="1994"/>
        <item t="data" sd="1" m="1" x="1995"/>
        <item t="data" sd="1" m="1" x="1996"/>
        <item t="data" sd="1" m="1" x="1997"/>
        <item t="data" sd="1" m="1" x="1998"/>
        <item t="data" sd="1" m="1" x="748"/>
        <item t="data" sd="1" m="1" x="749"/>
        <item t="data" sd="1" x="0"/>
        <item t="data" sd="1" x="1"/>
        <item t="data" sd="1" m="1" x="750"/>
        <item t="data" sd="1" m="1" x="751"/>
        <item t="data" sd="1" x="2"/>
        <item t="data" sd="1" m="1" x="752"/>
        <item t="data" sd="1" x="3"/>
        <item t="data" sd="1" x="4"/>
        <item t="data" sd="1" m="1" x="640"/>
        <item t="data" sd="1" m="1" x="491"/>
        <item t="data" sd="1" m="1" x="753"/>
        <item t="data" sd="1" x="7"/>
        <item t="data" sd="1" m="1" x="754"/>
        <item t="data" sd="1" m="1" x="755"/>
        <item t="data" sd="1" m="1" x="756"/>
        <item t="data" sd="1" m="1" x="757"/>
        <item t="data" sd="1" m="1" x="758"/>
        <item t="data" sd="1" m="1" x="759"/>
        <item t="data" sd="1" m="1" x="760"/>
        <item t="data" sd="1" m="1" x="761"/>
        <item t="data" sd="1" m="1" x="762"/>
        <item t="data" sd="1" m="1" x="763"/>
        <item t="data" sd="1" m="1" x="764"/>
        <item t="data" sd="1" m="1" x="765"/>
        <item t="data" sd="1" m="1" x="766"/>
        <item t="data" sd="1" m="1" x="767"/>
        <item t="data" sd="1" m="1" x="768"/>
        <item t="data" sd="1" m="1" x="769"/>
        <item t="data" sd="1" m="1" x="770"/>
        <item t="data" sd="1" m="1" x="771"/>
        <item t="data" sd="1" m="1" x="772"/>
        <item t="data" sd="1" m="1" x="773"/>
        <item t="data" sd="1" m="1" x="774"/>
        <item t="data" sd="1" m="1" x="775"/>
        <item t="data" sd="1" m="1" x="776"/>
        <item t="data" sd="1" m="1" x="777"/>
        <item t="data" sd="1" m="1" x="778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x="29"/>
        <item t="data" sd="1" m="1" x="786"/>
        <item t="data" sd="1" m="1" x="787"/>
        <item t="data" sd="1" x="147"/>
        <item t="data" sd="1" m="1" x="788"/>
        <item t="data" sd="1" m="1" x="656"/>
        <item t="data" sd="1" m="1" x="789"/>
        <item t="data" sd="1" x="264"/>
        <item t="data" sd="1" m="1" x="790"/>
        <item t="data" sd="1" m="1" x="791"/>
        <item t="data" sd="1" m="1" x="792"/>
        <item t="data" sd="1" m="1" x="793"/>
        <item t="data" sd="1" m="1" x="794"/>
        <item t="data" sd="1" m="1" x="795"/>
        <item t="data" sd="1" x="296"/>
        <item t="data" sd="1" m="1" x="796"/>
        <item t="data" sd="1" m="1" x="797"/>
        <item t="data" sd="1" m="1" x="798"/>
        <item t="data" sd="1" m="1" x="799"/>
        <item t="data" sd="1" m="1" x="800"/>
        <item t="data" sd="1" m="1" x="801"/>
        <item t="data" sd="1" m="1" x="802"/>
        <item t="data" sd="1" m="1" x="803"/>
        <item t="data" sd="1" m="1" x="804"/>
        <item t="data" sd="1" m="1" x="805"/>
        <item t="data" sd="1" m="1" x="806"/>
        <item t="data" sd="1" m="1" x="807"/>
        <item t="data" sd="1" m="1" x="808"/>
        <item t="data" sd="1" m="1" x="809"/>
        <item t="data" sd="1" m="1" x="810"/>
        <item t="data" sd="1" m="1" x="811"/>
        <item t="data" sd="1" m="1" x="812"/>
        <item t="data" sd="1" m="1" x="813"/>
        <item t="data" sd="1" m="1" x="814"/>
        <item t="data" sd="1" m="1" x="815"/>
        <item t="data" sd="1" x="26"/>
        <item t="data" sd="1" m="1" x="816"/>
        <item t="data" sd="1" m="1" x="817"/>
        <item t="data" sd="1" m="1" x="818"/>
        <item t="data" sd="1" x="27"/>
        <item t="data" sd="1" m="1" x="819"/>
        <item t="data" sd="1" m="1" x="820"/>
        <item t="data" sd="1" m="1" x="821"/>
        <item t="data" sd="1" m="1" x="822"/>
        <item t="data" sd="1" m="1" x="823"/>
        <item t="data" sd="1" m="1" x="824"/>
        <item t="data" sd="1" m="1" x="825"/>
        <item t="data" sd="1" x="31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x="32"/>
        <item t="data" sd="1" m="1" x="833"/>
        <item t="data" sd="1" m="1" x="834"/>
        <item t="data" sd="1" m="1" x="835"/>
        <item t="data" sd="1" x="30"/>
        <item t="data" sd="1" m="1" x="836"/>
        <item t="data" sd="1" x="28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495"/>
        <item t="data" sd="1" m="1" x="496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m="1" x="858"/>
        <item t="data" sd="1" m="1" x="859"/>
        <item t="data" sd="1" m="1" x="860"/>
        <item t="data" sd="1" m="1" x="861"/>
        <item t="data" sd="1" m="1" x="862"/>
        <item t="data" sd="1" x="97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x="393"/>
        <item t="data" sd="1" m="1" x="881"/>
        <item t="data" sd="1" m="1" x="882"/>
        <item t="data" sd="1" m="1" x="883"/>
        <item t="data" sd="1" x="477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x="189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494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x="102"/>
        <item t="data" sd="1" m="1" x="906"/>
        <item t="data" sd="1" m="1" x="907"/>
        <item t="data" sd="1" m="1" x="908"/>
        <item t="data" sd="1" x="241"/>
        <item t="data" sd="1" m="1" x="909"/>
        <item t="data" sd="1" m="1" x="910"/>
        <item t="data" sd="1" m="1" x="911"/>
        <item t="data" sd="1" m="1" x="912"/>
        <item t="data" sd="1" m="1" x="913"/>
        <item t="data" sd="1" m="1" x="589"/>
        <item t="data" sd="1" m="1" x="642"/>
        <item t="data" sd="1" m="1" x="914"/>
        <item t="data" sd="1" m="1" x="631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m="1" x="949"/>
        <item t="data" sd="1" m="1" x="950"/>
        <item t="data" sd="1" m="1" x="951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m="1" x="967"/>
        <item t="data" sd="1" m="1" x="968"/>
        <item t="data" sd="1" m="1" x="969"/>
        <item t="data" sd="1" m="1" x="970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986"/>
        <item t="data" sd="1" m="1" x="987"/>
        <item t="data" sd="1" m="1" x="988"/>
        <item t="data" sd="1" m="1" x="492"/>
        <item t="data" sd="1" m="1" x="493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732"/>
        <item t="data" sd="1" m="1" x="1006"/>
        <item t="data" sd="1" m="1" x="1007"/>
        <item t="data" sd="1" m="1" x="1008"/>
        <item t="data" sd="1" m="1" x="72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740"/>
        <item t="data" sd="1" m="1" x="1015"/>
        <item t="data" sd="1" m="1" x="1016"/>
        <item t="data" sd="1" m="1" x="555"/>
        <item t="data" sd="1" m="1" x="1017"/>
        <item t="data" sd="1" x="254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554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646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x="463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502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524"/>
        <item t="data" sd="1" m="1" x="1205"/>
        <item t="data" sd="1" x="39"/>
        <item t="data" sd="1" x="40"/>
        <item t="data" sd="1" x="42"/>
        <item t="data" sd="1" x="41"/>
        <item t="data" sd="1" x="45"/>
        <item t="data" sd="1" m="1" x="501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x="57"/>
        <item t="data" sd="1" x="56"/>
        <item t="data" sd="1" m="1" x="504"/>
        <item t="data" sd="1" x="58"/>
        <item t="data" sd="1" m="1" x="503"/>
        <item t="data" sd="1" x="59"/>
        <item t="data" sd="1" m="1" x="1208"/>
        <item t="data" sd="1" m="1" x="1209"/>
        <item t="data" sd="1" m="1" x="1210"/>
        <item t="data" sd="1" m="1" x="1211"/>
        <item t="data" sd="1" m="1" x="505"/>
        <item t="data" sd="1" m="1" x="1212"/>
        <item t="data" sd="1" m="1" x="1213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214"/>
        <item t="data" sd="1" m="1" x="506"/>
        <item t="data" sd="1" x="78"/>
        <item t="data" sd="1" x="76"/>
        <item t="data" sd="1" m="1" x="507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x="79"/>
        <item t="data" sd="1" x="94"/>
        <item t="data" sd="1" x="93"/>
        <item t="data" sd="1" m="1" x="509"/>
        <item t="data" sd="1" m="1" x="1226"/>
        <item t="data" sd="1" m="1" x="1227"/>
        <item t="data" sd="1" m="1" x="1228"/>
        <item t="data" sd="1" x="95"/>
        <item t="data" sd="1" m="1" x="1229"/>
        <item t="data" sd="1" m="1" x="1230"/>
        <item t="data" sd="1" m="1" x="512"/>
        <item t="data" sd="1" m="1" x="511"/>
        <item t="data" sd="1" m="1" x="510"/>
        <item t="data" sd="1" x="100"/>
        <item t="data" sd="1" m="1" x="515"/>
        <item t="data" sd="1" m="1" x="1231"/>
        <item t="data" sd="1" x="103"/>
        <item t="data" sd="1" m="1" x="1232"/>
        <item t="data" sd="1" x="107"/>
        <item t="data" sd="1" x="106"/>
        <item t="data" sd="1" x="105"/>
        <item t="data" sd="1" m="1" x="1233"/>
        <item t="data" sd="1" m="1" x="516"/>
        <item t="data" sd="1" m="1" x="517"/>
        <item t="data" sd="1" x="111"/>
        <item t="data" sd="1" x="115"/>
        <item t="data" sd="1" x="116"/>
        <item t="data" sd="1" m="1" x="521"/>
        <item t="data" sd="1" m="1" x="520"/>
        <item t="data" sd="1" m="1" x="519"/>
        <item t="data" sd="1" x="117"/>
        <item t="data" sd="1" x="113"/>
        <item t="data" sd="1" x="114"/>
        <item t="data" sd="1" x="118"/>
        <item t="data" sd="1" x="119"/>
        <item t="data" sd="1" x="120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x="121"/>
        <item t="data" sd="1" x="127"/>
        <item t="data" sd="1" x="131"/>
        <item t="data" sd="1" m="1" x="1256"/>
        <item t="data" sd="1" m="1" x="1257"/>
        <item t="data" sd="1" x="128"/>
        <item t="data" sd="1" m="1" x="1258"/>
        <item t="data" sd="1" x="134"/>
        <item t="data" sd="1" x="133"/>
        <item t="data" sd="1" x="135"/>
        <item t="data" sd="1" x="130"/>
        <item t="data" sd="1" x="129"/>
        <item t="data" sd="1" m="1" x="1259"/>
        <item t="data" sd="1" m="1" x="1260"/>
        <item t="data" sd="1" m="1" x="1261"/>
        <item t="data" sd="1" m="1" x="526"/>
        <item t="data" sd="1" m="1" x="527"/>
        <item t="data" sd="1" x="136"/>
        <item t="data" sd="1" x="137"/>
        <item t="data" sd="1" m="1" x="525"/>
        <item t="data" sd="1" x="138"/>
        <item t="data" sd="1" x="139"/>
        <item t="data" sd="1" x="140"/>
        <item t="data" sd="1" x="141"/>
        <item t="data" sd="1" x="142"/>
        <item t="data" sd="1" x="151"/>
        <item t="data" sd="1" x="152"/>
        <item t="data" sd="1" x="150"/>
        <item t="data" sd="1" x="188"/>
        <item t="data" sd="1" m="1" x="544"/>
        <item t="data" sd="1" x="144"/>
        <item t="data" sd="1" m="1" x="536"/>
        <item t="data" sd="1" x="145"/>
        <item t="data" sd="1" x="146"/>
        <item t="data" sd="1" m="1" x="538"/>
        <item t="data" sd="1" x="190"/>
        <item t="data" sd="1" m="1" x="549"/>
        <item t="data" sd="1" m="1" x="550"/>
        <item t="data" sd="1" m="1" x="548"/>
        <item t="data" sd="1" x="173"/>
        <item t="data" sd="1" x="174"/>
        <item t="data" sd="1" m="1" x="545"/>
        <item t="data" sd="1" x="171"/>
        <item t="data" sd="1" m="1" x="553"/>
        <item t="data" sd="1" m="1" x="551"/>
        <item t="data" sd="1" m="1" x="552"/>
        <item t="data" sd="1" x="153"/>
        <item t="data" sd="1" x="154"/>
        <item t="data" sd="1" m="1" x="528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3"/>
        <item t="data" sd="1" x="194"/>
        <item t="data" sd="1" x="195"/>
        <item t="data" sd="1" m="1" x="563"/>
        <item t="data" sd="1" m="1" x="560"/>
        <item t="data" sd="1" m="1" x="561"/>
        <item t="data" sd="1" x="202"/>
        <item t="data" sd="1" m="1" x="562"/>
        <item t="data" sd="1" m="1" x="565"/>
        <item t="data" sd="1" m="1" x="564"/>
        <item t="data" sd="1" m="1" x="1274"/>
        <item t="data" sd="1" m="1" x="1275"/>
        <item t="data" sd="1" m="1" x="1276"/>
        <item t="data" sd="1" m="1" x="1277"/>
        <item t="data" sd="1" m="1" x="1278"/>
        <item t="data" sd="1" x="204"/>
        <item t="data" sd="1" x="205"/>
        <item t="data" sd="1" m="1" x="567"/>
        <item t="data" sd="1" m="1" x="568"/>
        <item t="data" sd="1" m="1" x="566"/>
        <item t="data" sd="1" m="1" x="569"/>
        <item t="data" sd="1" x="203"/>
        <item t="data" sd="1" x="199"/>
        <item t="data" sd="1" m="1" x="570"/>
        <item t="data" sd="1" x="201"/>
        <item t="data" sd="1" x="200"/>
        <item t="data" sd="1" m="1" x="1279"/>
        <item t="data" sd="1" x="207"/>
        <item t="data" sd="1" x="208"/>
        <item t="data" sd="1" m="1" x="1280"/>
        <item t="data" sd="1" m="1" x="1281"/>
        <item t="data" sd="1" x="213"/>
        <item t="data" sd="1" m="1" x="1282"/>
        <item t="data" sd="1" m="1" x="571"/>
        <item t="data" sd="1" m="1" x="573"/>
        <item t="data" sd="1" x="215"/>
        <item t="data" sd="1" m="1" x="575"/>
        <item t="data" sd="1" x="216"/>
        <item t="data" sd="1" m="1" x="577"/>
        <item t="data" sd="1" m="1" x="579"/>
        <item t="data" sd="1" m="1" x="578"/>
        <item t="data" sd="1" m="1" x="580"/>
        <item t="data" sd="1" m="1" x="572"/>
        <item t="data" sd="1" m="1" x="576"/>
        <item t="data" sd="1" m="1" x="1283"/>
        <item t="data" sd="1" m="1" x="1284"/>
        <item t="data" sd="1" m="1" x="582"/>
        <item t="data" sd="1" m="1" x="584"/>
        <item t="data" sd="1" m="1" x="581"/>
        <item t="data" sd="1" m="1" x="1285"/>
        <item t="data" sd="1" m="1" x="1286"/>
        <item t="data" sd="1" x="221"/>
        <item t="data" sd="1" x="222"/>
        <item t="data" sd="1" m="1" x="1287"/>
        <item t="data" sd="1" x="223"/>
        <item t="data" sd="1" x="224"/>
        <item t="data" sd="1" m="1" x="1288"/>
        <item t="data" sd="1" m="1" x="1289"/>
        <item t="data" sd="1" x="219"/>
        <item t="data" sd="1" m="1" x="1290"/>
        <item t="data" sd="1" x="218"/>
        <item t="data" sd="1" m="1" x="585"/>
        <item t="data" sd="1" m="1" x="586"/>
        <item t="data" sd="1" m="1" x="587"/>
        <item t="data" sd="1" m="1" x="1292"/>
        <item t="data" sd="1" m="1" x="590"/>
        <item t="data" sd="1" m="1" x="591"/>
        <item t="data" sd="1" m="1" x="593"/>
        <item t="data" sd="1" m="1" x="595"/>
        <item t="data" sd="1" m="1" x="594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596"/>
        <item t="data" sd="1" m="1" x="597"/>
        <item t="data" sd="1" m="1" x="598"/>
        <item t="data" sd="1" x="236"/>
        <item t="data" sd="1" m="1" x="1299"/>
        <item t="data" sd="1" m="1" x="599"/>
        <item t="data" sd="1" m="1" x="600"/>
        <item t="data" sd="1" m="1" x="609"/>
        <item t="data" sd="1" m="1" x="605"/>
        <item t="data" sd="1" m="1" x="606"/>
        <item t="data" sd="1" m="1" x="607"/>
        <item t="data" sd="1" m="1" x="601"/>
        <item t="data" sd="1" m="1" x="602"/>
        <item t="data" sd="1" m="1" x="618"/>
        <item t="data" sd="1" m="1" x="619"/>
        <item t="data" sd="1" x="240"/>
        <item t="data" sd="1" m="1" x="612"/>
        <item t="data" sd="1" m="1" x="611"/>
        <item t="data" sd="1" m="1" x="621"/>
        <item t="data" sd="1" x="268"/>
        <item t="data" sd="1" x="252"/>
        <item t="data" sd="1" x="253"/>
        <item t="data" sd="1" x="245"/>
        <item t="data" sd="1" x="247"/>
        <item t="data" sd="1" x="248"/>
        <item t="data" sd="1" x="246"/>
        <item t="data" sd="1" x="249"/>
        <item t="data" sd="1" x="250"/>
        <item t="data" sd="1" x="251"/>
        <item t="data" sd="1" x="255"/>
        <item t="data" sd="1" m="1" x="1301"/>
        <item t="data" sd="1" x="257"/>
        <item t="data" sd="1" x="259"/>
        <item t="data" sd="1" x="258"/>
        <item t="data" sd="1" x="260"/>
        <item t="data" sd="1" m="1" x="624"/>
        <item t="data" sd="1" m="1" x="1302"/>
        <item t="data" sd="1" m="1" x="1303"/>
        <item t="data" sd="1" m="1" x="1304"/>
        <item t="data" sd="1" m="1" x="1305"/>
        <item t="data" sd="1" m="1" x="743"/>
        <item t="data" sd="1" x="300"/>
        <item t="data" sd="1" m="1" x="1306"/>
        <item t="data" sd="1" x="266"/>
        <item t="data" sd="1" m="1" x="1307"/>
        <item t="data" sd="1" x="269"/>
        <item t="data" sd="1" m="1" x="1308"/>
        <item t="data" sd="1" m="1" x="1309"/>
        <item t="data" sd="1" m="1" x="1310"/>
        <item t="data" sd="1" x="261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626"/>
        <item t="data" sd="1" x="278"/>
        <item t="data" sd="1" x="279"/>
        <item t="data" sd="1" x="280"/>
        <item t="data" sd="1" x="281"/>
        <item t="data" sd="1" m="1" x="1335"/>
        <item t="data" sd="1" m="1" x="1336"/>
        <item t="data" sd="1" m="1" x="1337"/>
        <item t="data" sd="1" m="1" x="1338"/>
        <item t="data" sd="1" m="1" x="1339"/>
        <item t="data" sd="1" x="276"/>
        <item t="data" sd="1" x="275"/>
        <item t="data" sd="1" m="1" x="1340"/>
        <item t="data" sd="1" m="1" x="629"/>
        <item t="data" sd="1" x="286"/>
        <item t="data" sd="1" x="285"/>
        <item t="data" sd="1" x="282"/>
        <item t="data" sd="1" x="284"/>
        <item t="data" sd="1" m="1" x="1341"/>
        <item t="data" sd="1" m="1" x="1342"/>
        <item t="data" sd="1" m="1" x="1343"/>
        <item t="data" sd="1" x="295"/>
        <item t="data" sd="1" m="1" x="1344"/>
        <item t="data" sd="1" x="408"/>
        <item t="data" sd="1" m="1" x="1345"/>
        <item t="data" sd="1" m="1" x="1346"/>
        <item t="data" sd="1" x="297"/>
        <item t="data" sd="1" m="1" x="1347"/>
        <item t="data" sd="1" x="289"/>
        <item t="data" sd="1" m="1" x="1348"/>
        <item t="data" sd="1" m="1" x="1349"/>
        <item t="data" sd="1" m="1" x="632"/>
        <item t="data" sd="1" m="1" x="1350"/>
        <item t="data" sd="1" x="298"/>
        <item t="data" sd="1" m="1" x="637"/>
        <item t="data" sd="1" m="1" x="636"/>
        <item t="data" sd="1" m="1" x="635"/>
        <item t="data" sd="1" m="1" x="634"/>
        <item t="data" sd="1" x="306"/>
        <item t="data" sd="1" m="1" x="1351"/>
        <item t="data" sd="1" m="1" x="648"/>
        <item t="data" sd="1" m="1" x="644"/>
        <item t="data" sd="1" m="1" x="645"/>
        <item t="data" sd="1" m="1" x="641"/>
        <item t="data" sd="1" m="1" x="1352"/>
        <item t="data" sd="1" x="265"/>
        <item t="data" sd="1" x="299"/>
        <item t="data" sd="1" m="1" x="1353"/>
        <item t="data" sd="1" m="1" x="649"/>
        <item t="data" sd="1" m="1" x="1354"/>
        <item t="data" sd="1" m="1" x="653"/>
        <item t="data" sd="1" m="1" x="654"/>
        <item t="data" sd="1" m="1" x="1355"/>
        <item t="data" sd="1" m="1" x="1356"/>
        <item t="data" sd="1" m="1" x="655"/>
        <item t="data" sd="1" x="310"/>
        <item t="data" sd="1" m="1" x="1357"/>
        <item t="data" sd="1" m="1" x="1358"/>
        <item t="data" sd="1" x="314"/>
        <item t="data" sd="1" m="1" x="1359"/>
        <item t="data" sd="1" x="313"/>
        <item t="data" sd="1" m="1" x="1360"/>
        <item t="data" sd="1" m="1" x="1361"/>
        <item t="data" sd="1" m="1" x="1362"/>
        <item t="data" sd="1" m="1" x="1363"/>
        <item t="data" sd="1" m="1" x="1364"/>
        <item t="data" sd="1" x="315"/>
        <item t="data" sd="1" x="43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x="332"/>
        <item t="data" sd="1" m="1" x="660"/>
        <item t="data" sd="1" m="1" x="1372"/>
        <item t="data" sd="1" m="1" x="1373"/>
        <item t="data" sd="1" m="1" x="1374"/>
        <item t="data" sd="1" x="331"/>
        <item t="data" sd="1" m="1" x="1375"/>
        <item t="data" sd="1" m="1" x="1376"/>
        <item t="data" sd="1" m="1" x="1377"/>
        <item t="data" sd="1" m="1" x="1378"/>
        <item t="data" sd="1" x="352"/>
        <item t="data" sd="1" x="353"/>
        <item t="data" sd="1" x="350"/>
        <item t="data" sd="1" x="351"/>
        <item t="data" sd="1" x="349"/>
        <item t="data" sd="1" m="1" x="1379"/>
        <item t="data" sd="1" m="1" x="1380"/>
        <item t="data" sd="1" x="359"/>
        <item t="data" sd="1" m="1" x="659"/>
        <item t="data" sd="1" m="1" x="661"/>
        <item t="data" sd="1" x="362"/>
        <item t="data" sd="1" x="363"/>
        <item t="data" sd="1" m="1" x="673"/>
        <item t="data" sd="1" m="1" x="665"/>
        <item t="data" sd="1" m="1" x="667"/>
        <item t="data" sd="1" m="1" x="668"/>
        <item t="data" sd="1" m="1" x="671"/>
        <item t="data" sd="1" m="1" x="672"/>
        <item t="data" sd="1" m="1" x="666"/>
        <item t="data" sd="1" m="1" x="664"/>
        <item t="data" sd="1" x="365"/>
        <item t="data" sd="1" m="1" x="662"/>
        <item t="data" sd="1" x="369"/>
        <item t="data" sd="1" x="366"/>
        <item t="data" sd="1" x="367"/>
        <item t="data" sd="1" x="368"/>
        <item t="data" sd="1" m="1" x="676"/>
        <item t="data" sd="1" x="360"/>
        <item t="data" sd="1" m="1" x="677"/>
        <item t="data" sd="1" m="1" x="1381"/>
        <item t="data" sd="1" m="1" x="1382"/>
        <item t="data" sd="1" m="1" x="1383"/>
        <item t="data" sd="1" m="1" x="1384"/>
        <item t="data" sd="1" m="1" x="1385"/>
        <item t="data" sd="1" x="361"/>
        <item t="data" sd="1" m="1" x="1386"/>
        <item t="data" sd="1" m="1" x="1387"/>
        <item t="data" sd="1" m="1" x="1388"/>
        <item t="data" sd="1" x="375"/>
        <item t="data" sd="1" x="376"/>
        <item t="data" sd="1" m="1" x="679"/>
        <item t="data" sd="1" x="373"/>
        <item t="data" sd="1" x="374"/>
        <item t="data" sd="1" x="371"/>
        <item t="data" sd="1" x="372"/>
        <item t="data" sd="1" m="1" x="680"/>
        <item t="data" sd="1" m="1" x="1389"/>
        <item t="data" sd="1" m="1" x="1390"/>
        <item t="data" sd="1" m="1" x="1391"/>
        <item t="data" sd="1" x="383"/>
        <item t="data" sd="1" m="1" x="682"/>
        <item t="data" sd="1" x="386"/>
        <item t="data" sd="1" x="388"/>
        <item t="data" sd="1" m="1" x="1392"/>
        <item t="data" sd="1" x="387"/>
        <item t="data" sd="1" m="1" x="685"/>
        <item t="data" sd="1" m="1" x="690"/>
        <item t="data" sd="1" x="392"/>
        <item t="data" sd="1" x="396"/>
        <item t="data" sd="1" m="1" x="1393"/>
        <item t="data" sd="1" x="397"/>
        <item t="data" sd="1" x="398"/>
        <item t="data" sd="1" m="1" x="1394"/>
        <item t="data" sd="1" x="401"/>
        <item t="data" sd="1" x="402"/>
        <item t="data" sd="1" m="1" x="1395"/>
        <item t="data" sd="1" m="1" x="1396"/>
        <item t="data" sd="1" m="1" x="692"/>
        <item t="data" sd="1" m="1" x="693"/>
        <item t="data" sd="1" m="1" x="701"/>
        <item t="data" sd="1" m="1" x="698"/>
        <item t="data" sd="1" m="1" x="1397"/>
        <item t="data" sd="1" m="1" x="702"/>
        <item t="data" sd="1" m="1" x="707"/>
        <item t="data" sd="1" m="1" x="706"/>
        <item t="data" sd="1" m="1" x="709"/>
        <item t="data" sd="1" m="1" x="704"/>
        <item t="data" sd="1" m="1" x="697"/>
        <item t="data" sd="1" m="1" x="699"/>
        <item t="data" sd="1" m="1" x="705"/>
        <item t="data" sd="1" m="1" x="708"/>
        <item t="data" sd="1" m="1" x="703"/>
        <item t="data" sd="1" m="1" x="700"/>
        <item t="data" sd="1" m="1" x="710"/>
        <item t="data" sd="1" x="409"/>
        <item t="data" sd="1" x="406"/>
        <item t="data" sd="1" x="407"/>
        <item t="data" sd="1" m="1" x="711"/>
        <item t="data" sd="1" m="1" x="712"/>
        <item t="data" sd="1" m="1" x="713"/>
        <item t="data" sd="1" m="1" x="1398"/>
        <item t="data" sd="1" m="1" x="714"/>
        <item t="data" sd="1" m="1" x="715"/>
        <item t="data" sd="1" m="1" x="1399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m="1" x="722"/>
        <item t="data" sd="1" x="423"/>
        <item t="data" sd="1" x="426"/>
        <item t="data" sd="1" x="427"/>
        <item t="data" sd="1" m="1" x="1400"/>
        <item t="data" sd="1" m="1" x="1401"/>
        <item t="data" sd="1" m="1" x="1402"/>
        <item t="data" sd="1" x="432"/>
        <item t="data" sd="1" m="1" x="1403"/>
        <item t="data" sd="1" m="1" x="1404"/>
        <item t="data" sd="1" x="447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x="433"/>
        <item t="data" sd="1" x="436"/>
        <item t="data" sd="1" x="435"/>
        <item t="data" sd="1" x="440"/>
        <item t="data" sd="1" x="441"/>
        <item t="data" sd="1" m="1" x="1416"/>
        <item t="data" sd="1" m="1" x="1417"/>
        <item t="data" sd="1" x="439"/>
        <item t="data" sd="1" m="1" x="1418"/>
        <item t="data" sd="1" x="437"/>
        <item t="data" sd="1" x="438"/>
        <item t="data" sd="1" m="1" x="1419"/>
        <item t="data" sd="1" m="1" x="1420"/>
        <item t="data" sd="1" m="1" x="1421"/>
        <item t="data" sd="1" x="442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x="446"/>
        <item t="data" sd="1" x="444"/>
        <item t="data" sd="1" x="443"/>
        <item t="data" sd="1" m="1" x="1449"/>
        <item t="data" sd="1" x="445"/>
        <item t="data" sd="1" m="1" x="1450"/>
        <item t="data" sd="1" m="1" x="1451"/>
        <item t="data" sd="1" m="1" x="1452"/>
        <item t="data" sd="1" m="1" x="1459"/>
        <item t="data" sd="1" m="1" x="1460"/>
        <item t="data" sd="1" x="467"/>
        <item t="data" sd="1" m="1" x="739"/>
        <item t="data" sd="1" x="469"/>
        <item t="data" sd="1" x="468"/>
        <item t="data" sd="1" m="1" x="1461"/>
        <item t="data" sd="1" x="472"/>
        <item t="data" sd="1" m="1" x="741"/>
        <item t="data" sd="1" m="1" x="736"/>
        <item t="data" sd="1" m="1" x="745"/>
        <item t="data" sd="1" m="1" x="746"/>
        <item t="data" sd="1" m="1" x="747"/>
        <item t="data" sd="1" x="485"/>
        <item t="data" sd="1" x="482"/>
        <item t="data" sd="1" m="1" x="1462"/>
        <item t="data" sd="1" x="484"/>
        <item t="data" sd="1" x="483"/>
        <item t="data" sd="1" x="478"/>
        <item t="data" sd="1" m="1" x="488"/>
        <item t="data" sd="1" m="1" x="489"/>
        <item t="data" sd="1" m="1" x="490"/>
        <item t="data" sd="1" m="1" x="497"/>
        <item t="data" sd="1" m="1" x="498"/>
        <item t="data" sd="1" m="1" x="499"/>
        <item t="data" sd="1" m="1" x="500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08"/>
        <item t="data" sd="1" x="88"/>
        <item t="data" sd="1" x="89"/>
        <item t="data" sd="1" m="1" x="513"/>
        <item t="data" sd="1" m="1" x="514"/>
        <item t="data" sd="1" m="1" x="522"/>
        <item t="data" sd="1" m="1" x="523"/>
        <item t="data" sd="1" x="148"/>
        <item t="data" sd="1" m="1" x="537"/>
        <item t="data" sd="1" m="1" x="539"/>
        <item t="data" sd="1" m="1" x="540"/>
        <item t="data" sd="1" m="1" x="541"/>
        <item t="data" sd="1" x="168"/>
        <item t="data" sd="1" m="1" x="542"/>
        <item t="data" sd="1" m="1" x="543"/>
        <item t="data" sd="1" m="1" x="546"/>
        <item t="data" sd="1" m="1" x="547"/>
        <item t="data" sd="1" x="178"/>
        <item t="data" sd="1" x="198"/>
        <item t="data" sd="1" x="196"/>
        <item t="data" sd="1" x="197"/>
        <item t="data" sd="1" m="1" x="583"/>
        <item t="data" sd="1" m="1" x="588"/>
        <item t="data" sd="1" m="1" x="592"/>
        <item t="data" sd="1" x="235"/>
        <item t="data" sd="1" m="1" x="608"/>
        <item t="data" sd="1" m="1" x="615"/>
        <item t="data" sd="1" m="1" x="620"/>
        <item t="data" sd="1" m="1" x="625"/>
        <item t="data" sd="1" x="263"/>
        <item t="data" sd="1" x="273"/>
        <item t="data" sd="1" m="1" x="627"/>
        <item t="data" sd="1" m="1" x="628"/>
        <item t="data" sd="1" x="283"/>
        <item t="data" sd="1" m="1" x="630"/>
        <item t="data" sd="1" x="294"/>
        <item t="data" sd="1" x="292"/>
        <item t="data" sd="1" x="293"/>
        <item t="data" sd="1" m="1" x="643"/>
        <item t="data" sd="1" x="301"/>
        <item t="data" sd="1" x="302"/>
        <item t="data" sd="1" m="1" x="650"/>
        <item t="data" sd="1" m="1" x="652"/>
        <item t="data" sd="1" x="450"/>
        <item t="data" sd="1" m="1" x="657"/>
        <item t="data" sd="1" x="316"/>
        <item t="data" sd="1" m="1" x="658"/>
        <item t="data" sd="1" x="318"/>
        <item t="data" sd="1" x="320"/>
        <item t="data" sd="1" x="321"/>
        <item t="data" sd="1" x="319"/>
        <item t="data" sd="1" x="333"/>
        <item t="data" sd="1" x="325"/>
        <item t="data" sd="1" x="326"/>
        <item t="data" sd="1" x="335"/>
        <item t="data" sd="1" x="334"/>
        <item t="data" sd="1" x="354"/>
        <item t="data" sd="1" x="370"/>
        <item t="data" sd="1" m="1" x="681"/>
        <item t="data" sd="1" m="1" x="684"/>
        <item t="data" sd="1" m="1" x="686"/>
        <item t="data" sd="1" x="231"/>
        <item t="data" sd="1" m="1" x="687"/>
        <item t="data" sd="1" m="1" x="688"/>
        <item t="data" sd="1" m="1" x="689"/>
        <item t="data" sd="1" m="1" x="691"/>
        <item t="data" sd="1" x="394"/>
        <item t="data" sd="1" m="1" x="694"/>
        <item t="data" sd="1" m="1" x="695"/>
        <item t="data" sd="1" m="1" x="696"/>
        <item t="data" sd="1" m="1" x="716"/>
        <item t="data" sd="1" m="1" x="717"/>
        <item t="data" sd="1" m="1" x="718"/>
        <item t="data" sd="1" m="1" x="719"/>
        <item t="data" sd="1" m="1" x="720"/>
        <item t="data" sd="1" m="1" x="721"/>
        <item t="data" sd="1" m="1" x="727"/>
        <item t="data" sd="1" m="1" x="729"/>
        <item t="data" sd="1" m="1" x="730"/>
        <item t="data" sd="1" m="1" x="731"/>
        <item t="data" sd="1" x="448"/>
        <item t="data" sd="1" x="449"/>
        <item t="data" sd="1" m="1" x="735"/>
        <item t="data" sd="1" x="465"/>
        <item t="data" sd="1" m="1" x="737"/>
        <item t="data" sd="1" m="1" x="738"/>
        <item t="data" sd="1" x="473"/>
        <item t="data" sd="1" m="1" x="742"/>
        <item t="data" sd="1" m="1" x="744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8"/>
        <item t="data" sd="1" x="99"/>
        <item t="data" sd="1" x="101"/>
        <item t="data" sd="1" x="104"/>
        <item t="data" sd="1" x="108"/>
        <item t="data" sd="1" x="109"/>
        <item t="data" sd="1" x="110"/>
        <item t="data" sd="1" x="112"/>
        <item t="data" sd="1" x="122"/>
        <item t="data" sd="1" x="123"/>
        <item t="data" sd="1" x="124"/>
        <item t="data" sd="1" x="125"/>
        <item t="data" sd="1" x="126"/>
        <item t="data" sd="1" x="143"/>
        <item t="data" sd="1" x="149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9"/>
        <item t="data" sd="1" x="170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91"/>
        <item t="data" sd="1" x="192"/>
        <item t="data" sd="1" x="193"/>
        <item t="data" sd="1" x="206"/>
        <item t="data" sd="1" x="209"/>
        <item t="data" sd="1" x="210"/>
        <item t="data" sd="1" x="211"/>
        <item t="data" sd="1" x="212"/>
        <item t="data" sd="1" x="214"/>
        <item t="data" sd="1" x="217"/>
        <item t="data" sd="1" x="225"/>
        <item t="data" sd="1" x="226"/>
        <item t="data" sd="1" x="227"/>
        <item t="data" sd="1" x="228"/>
        <item t="data" sd="1" x="229"/>
        <item t="data" sd="1" x="230"/>
        <item t="data" sd="1" x="232"/>
        <item t="data" sd="1" x="233"/>
        <item t="data" sd="1" x="237"/>
        <item t="data" sd="1" x="238"/>
        <item t="data" sd="1" x="239"/>
        <item t="data" sd="1" x="242"/>
        <item t="data" sd="1" x="243"/>
        <item t="data" sd="1" x="244"/>
        <item t="data" sd="1" x="256"/>
        <item t="data" sd="1" x="262"/>
        <item t="data" sd="1" x="267"/>
        <item t="data" sd="1" x="270"/>
        <item t="data" sd="1" x="271"/>
        <item t="data" sd="1" x="272"/>
        <item t="data" sd="1" x="274"/>
        <item t="data" sd="1" x="277"/>
        <item t="data" sd="1" x="287"/>
        <item t="data" sd="1" x="288"/>
        <item t="data" sd="1" x="290"/>
        <item t="data" sd="1" x="291"/>
        <item t="data" sd="1" x="303"/>
        <item t="data" sd="1" x="304"/>
        <item t="data" sd="1" x="305"/>
        <item t="data" sd="1" x="308"/>
        <item t="data" sd="1" x="311"/>
        <item t="data" sd="1" x="312"/>
        <item t="data" sd="1" x="317"/>
        <item t="data" sd="1" x="322"/>
        <item t="data" sd="1" x="323"/>
        <item t="data" sd="1" x="324"/>
        <item t="data" sd="1" x="327"/>
        <item t="data" sd="1" x="328"/>
        <item t="data" sd="1" x="329"/>
        <item t="data" sd="1" x="330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55"/>
        <item t="data" sd="1" x="356"/>
        <item t="data" sd="1" x="357"/>
        <item t="data" sd="1" x="358"/>
        <item t="data" sd="1" x="364"/>
        <item t="data" sd="1" x="377"/>
        <item t="data" sd="1" x="378"/>
        <item t="data" sd="1" x="379"/>
        <item t="data" sd="1" x="380"/>
        <item t="data" sd="1" x="381"/>
        <item t="data" sd="1" x="382"/>
        <item t="data" sd="1" x="384"/>
        <item t="data" sd="1" x="385"/>
        <item t="data" sd="1" x="389"/>
        <item t="data" sd="1" x="390"/>
        <item t="data" sd="1" x="391"/>
        <item t="data" sd="1" x="395"/>
        <item t="data" sd="1" x="403"/>
        <item t="data" sd="1" x="404"/>
        <item t="data" sd="1" x="405"/>
        <item t="data" sd="1" x="410"/>
        <item t="data" sd="1" x="411"/>
        <item t="data" sd="1" x="412"/>
        <item t="data" sd="1" x="413"/>
        <item t="data" sd="1" x="414"/>
        <item t="data" sd="1" x="428"/>
        <item t="data" sd="1" x="429"/>
        <item t="data" sd="1" x="430"/>
        <item t="data" sd="1" x="431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4"/>
        <item t="data" sd="1" x="466"/>
        <item t="data" sd="1" x="470"/>
        <item t="data" sd="1" x="471"/>
        <item t="data" sd="1" x="474"/>
        <item t="data" sd="1" x="475"/>
        <item t="data" sd="1" x="476"/>
        <item t="data" sd="1" x="479"/>
        <item t="data" sd="1" x="480"/>
        <item t="data" sd="1" x="481"/>
        <item t="data" sd="1" x="48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0"/>
        <item t="data" sd="1" m="1" x="2673"/>
        <item t="data" sd="1" x="132"/>
        <item t="data" sd="1" x="131"/>
        <item t="data" sd="1" m="1" x="477"/>
        <item t="data" sd="1" m="1" x="6594"/>
        <item t="data" sd="1" m="1" x="7334"/>
        <item t="data" sd="1" m="1" x="649"/>
        <item t="data" sd="1" x="418"/>
        <item t="data" sd="1" x="104"/>
        <item t="data" sd="1" m="1" x="4613"/>
        <item t="data" sd="1" m="1" x="1608"/>
        <item t="data" sd="1" x="64"/>
        <item t="data" sd="1" x="351"/>
        <item t="data" sd="1" m="1" x="1620"/>
        <item t="data" sd="1" x="189"/>
        <item t="data" sd="1" m="1" x="2486"/>
        <item t="data" sd="1" x="254"/>
        <item t="data" sd="1" x="397"/>
        <item t="data" sd="1" m="1" x="3250"/>
        <item t="data" sd="1" x="177"/>
        <item t="data" sd="1" m="1" x="576"/>
        <item t="data" sd="1" x="70"/>
        <item t="data" sd="1" x="58"/>
        <item t="data" sd="1" m="1" x="580"/>
        <item t="data" sd="1" x="54"/>
        <item t="data" sd="1" m="1" x="605"/>
        <item t="data" sd="1" x="261"/>
        <item t="data" sd="1" x="301"/>
        <item t="data" sd="1" m="1" x="2115"/>
        <item t="data" sd="1" x="2"/>
        <item t="data" sd="1" m="1" x="5207"/>
        <item t="data" sd="1" m="1" x="6547"/>
        <item t="data" sd="1" x="221"/>
        <item t="data" sd="1" m="1" x="1770"/>
        <item t="data" sd="1" m="1" x="626"/>
        <item t="data" sd="1" m="1" x="3105"/>
        <item t="data" sd="1" x="446"/>
        <item t="data" sd="1" x="93"/>
        <item t="data" sd="1" m="1" x="1630"/>
        <item t="data" sd="1" m="1" x="1666"/>
        <item t="data" h="1" sd="1" m="1" x="593"/>
        <item t="data" sd="1" m="1" x="1995"/>
        <item t="data" sd="1" m="1" x="1668"/>
        <item t="data" sd="1" m="1" x="1421"/>
        <item t="data" sd="1" m="1" x="5000"/>
        <item t="data" sd="1" x="135"/>
        <item t="data" sd="1" m="1" x="1559"/>
        <item t="data" sd="1" m="1" x="1673"/>
        <item t="data" sd="1" m="1" x="1415"/>
        <item t="data" sd="1" m="1" x="1678"/>
        <item t="data" sd="1" m="1" x="3704"/>
        <item t="data" sd="1" m="1" x="2418"/>
        <item t="data" sd="1" m="1" x="486"/>
        <item t="data" sd="1" m="1" x="634"/>
        <item t="data" sd="1" x="140"/>
        <item t="data" sd="1" m="1" x="488"/>
        <item t="data" sd="1" x="227"/>
        <item t="data" sd="1" m="1" x="597"/>
        <item t="data" sd="1" x="176"/>
        <item t="data" sd="1" x="300"/>
        <item t="data" sd="1" m="1" x="1585"/>
        <item t="data" sd="1" m="1" x="596"/>
        <item t="data" sd="1" x="202"/>
        <item t="data" sd="1" m="1" x="1411"/>
        <item t="data" sd="1" m="1" x="5450"/>
        <item t="data" sd="1" m="1" x="2861"/>
        <item t="data" sd="1" x="228"/>
        <item t="data" sd="1" x="392"/>
        <item t="data" sd="1" m="1" x="4182"/>
        <item t="data" sd="1" m="1" x="595"/>
        <item t="data" sd="1" m="1" x="4105"/>
        <item t="data" sd="1" x="138"/>
        <item t="data" sd="1" m="1" x="592"/>
        <item t="data" sd="1" x="256"/>
        <item t="data" sd="1" m="1" x="784"/>
        <item t="data" sd="1" m="1" x="1548"/>
        <item t="data" sd="1" m="1" x="4896"/>
        <item t="data" h="1" sd="1" m="1" x="2644"/>
        <item t="data" h="1" sd="1" m="1" x="878"/>
        <item t="data" sd="1" x="102"/>
        <item t="data" h="1" sd="1" x="287"/>
        <item t="data" h="1" sd="1" m="1" x="1621"/>
        <item t="data" h="1" sd="1" x="375"/>
        <item t="data" h="1" sd="1" x="142"/>
        <item t="data" h="1" sd="1" x="216"/>
        <item t="data" h="1" sd="1" x="173"/>
        <item t="data" h="1" sd="1" m="1" x="503"/>
        <item t="data" h="1" sd="1" m="1" x="485"/>
        <item t="data" h="1" sd="1" m="1" x="5247"/>
        <item t="data" h="1" sd="1" m="1" x="1754"/>
        <item t="data" h="1" sd="1" m="1" x="1659"/>
        <item t="data" h="1" sd="1" m="1" x="1744"/>
        <item t="data" h="1" sd="1" m="1" x="2321"/>
        <item t="data" h="1" sd="1" m="1" x="6777"/>
        <item t="data" h="1" sd="1" m="1" x="614"/>
        <item t="data" h="1" sd="1" x="69"/>
        <item t="data" h="1" sd="1" m="1" x="1801"/>
        <item t="data" h="1" sd="1" m="1" x="487"/>
        <item t="data" h="1" sd="1" m="1" x="712"/>
        <item t="data" h="1" sd="1" m="1" x="1413"/>
        <item t="data" h="1" sd="1" m="1" x="636"/>
        <item t="data" h="1" sd="1" m="1" x="3313"/>
        <item t="data" h="1" sd="1" m="1" x="2117"/>
        <item t="data" h="1" sd="1" x="59"/>
        <item t="data" h="1" sd="1" m="1" x="1730"/>
        <item t="data" h="1" sd="1" m="1" x="484"/>
        <item t="data" h="1" sd="1" m="1" x="2333"/>
        <item t="data" h="1" sd="1" x="288"/>
        <item t="data" h="1" sd="1" x="376"/>
        <item t="data" h="1" sd="1" x="92"/>
        <item t="data" h="1" sd="1" x="1"/>
        <item t="data" h="1" sd="1" m="1" x="1635"/>
        <item t="data" h="1" sd="1" x="280"/>
        <item t="data" h="1" sd="1" x="159"/>
        <item t="data" h="1" sd="1" x="62"/>
        <item t="data" h="1" sd="1" x="175"/>
        <item t="data" h="1" sd="1" m="1" x="1629"/>
        <item t="data" h="1" sd="1" m="1" x="532"/>
        <item t="data" h="1" sd="1" m="1" x="3586"/>
        <item t="data" h="1" sd="1" m="1" x="1725"/>
        <item t="data" h="1" sd="1" m="1" x="1676"/>
        <item t="data" h="1" sd="1" m="1" x="6851"/>
        <item t="data" h="1" sd="1" m="1" x="1663"/>
        <item t="data" h="1" sd="1" m="1" x="1648"/>
        <item t="data" h="1" sd="1" x="383"/>
        <item t="data" h="1" sd="1" x="249"/>
        <item t="data" h="1" sd="1" m="1" x="6564"/>
        <item t="data" h="1" sd="1" m="1" x="5322"/>
        <item t="data" h="1" sd="1" m="1" x="4700"/>
        <item t="data" h="1" sd="1" m="1" x="4655"/>
        <item t="data" h="1" sd="1" m="1" x="2403"/>
        <item t="data" h="1" sd="1" m="1" x="606"/>
        <item t="data" h="1" sd="1" m="1" x="7794"/>
        <item t="data" h="1" sd="1" x="251"/>
        <item t="data" h="1" sd="1" m="1" x="1704"/>
        <item t="data" h="1" sd="1" m="1" x="2042"/>
        <item t="data" h="1" sd="1" m="1" x="1642"/>
        <item t="data" h="1" sd="1" m="1" x="7486"/>
        <item t="data" h="1" sd="1" m="1" x="520"/>
        <item t="data" h="1" sd="1" m="1" x="1722"/>
        <item t="data" h="1" sd="1" m="1" x="7326"/>
        <item t="data" h="1" sd="1" m="1" x="5445"/>
        <item t="data" h="1" sd="1" m="1" x="3648"/>
        <item t="data" h="1" sd="1" m="1" x="552"/>
        <item t="data" h="1" sd="1" m="1" x="1454"/>
        <item t="data" h="1" sd="1" m="1" x="3926"/>
        <item t="data" h="1" sd="1" m="1" x="1708"/>
        <item t="data" h="1" sd="1" m="1" x="6880"/>
        <item t="data" h="1" sd="1" m="1" x="1656"/>
        <item t="data" h="1" sd="1" m="1" x="2020"/>
        <item t="data" h="1" sd="1" m="1" x="5452"/>
        <item t="data" h="1" sd="1" m="1" x="7317"/>
        <item t="data" h="1" sd="1" x="271"/>
        <item t="data" h="1" sd="1" x="215"/>
        <item t="data" h="1" sd="1" m="1" x="3001"/>
        <item t="data" h="1" sd="1" m="1" x="3035"/>
        <item t="data" h="1" sd="1" x="411"/>
        <item t="data" h="1" sd="1" x="349"/>
        <item t="data" h="1" sd="1" m="1" x="1686"/>
        <item t="data" h="1" sd="1" m="1" x="4681"/>
        <item t="data" h="1" sd="1" m="1" x="1670"/>
        <item t="data" h="1" sd="1" m="1" x="1583"/>
        <item t="data" h="1" sd="1" m="1" x="7122"/>
        <item t="data" h="1" sd="1" x="393"/>
        <item t="data" h="1" sd="1" m="1" x="648"/>
        <item t="data" h="1" sd="1" m="1" x="2782"/>
        <item t="data" h="1" sd="1" m="1" x="3137"/>
        <item t="data" h="1" sd="1" x="262"/>
        <item t="data" h="1" sd="1" m="1" x="1616"/>
        <item t="data" h="1" sd="1" m="1" x="1652"/>
        <item t="data" h="1" sd="1" m="1" x="729"/>
        <item t="data" h="1" sd="1" x="226"/>
        <item t="data" h="1" sd="1" x="61"/>
        <item t="data" h="1" sd="1" m="1" x="654"/>
        <item t="data" h="1" sd="1" m="1" x="6468"/>
        <item t="data" h="1" sd="1" m="1" x="6009"/>
        <item t="data" h="1" sd="1" m="1" x="519"/>
        <item t="data" h="1" sd="1" m="1" x="2027"/>
        <item t="data" h="1" sd="1" m="1" x="7190"/>
        <item t="data" h="1" sd="1" m="1" x="4163"/>
        <item t="data" h="1" sd="1" m="1" x="652"/>
        <item t="data" h="1" sd="1" m="1" x="1698"/>
        <item t="data" h="1" sd="1" m="1" x="2424"/>
        <item t="data" h="1" sd="1" m="1" x="1821"/>
        <item t="data" h="1" sd="1" m="1" x="5232"/>
        <item t="data" h="1" sd="1" m="1" x="7771"/>
        <item t="data" h="1" sd="1" m="1" x="1654"/>
        <item t="data" h="1" sd="1" m="1" x="1449"/>
        <item t="data" h="1" sd="1" m="1" x="4214"/>
        <item t="data" h="1" sd="1" m="1" x="1977"/>
        <item t="data" h="1" sd="1" m="1" x="1623"/>
        <item t="data" h="1" sd="1" x="67"/>
        <item t="data" h="1" sd="1" m="1" x="3111"/>
        <item t="data" h="1" sd="1" x="297"/>
        <item t="data" h="1" sd="1" x="408"/>
        <item t="data" h="1" sd="1" m="1" x="6885"/>
        <item t="data" h="1" sd="1" x="231"/>
        <item t="data" h="1" sd="1" m="1" x="600"/>
        <item t="data" h="1" sd="1" m="1" x="3536"/>
        <item t="data" h="1" sd="1" m="1" x="5432"/>
        <item t="data" h="1" sd="1" m="1" x="5699"/>
        <item t="data" h="1" sd="1" m="1" x="6145"/>
        <item t="data" h="1" sd="1" m="1" x="7977"/>
        <item t="data" h="1" sd="1" m="1" x="5328"/>
        <item t="data" h="1" sd="1" m="1" x="1556"/>
        <item t="data" h="1" sd="1" m="1" x="7040"/>
        <item t="data" h="1" sd="1" m="1" x="7012"/>
        <item t="data" h="1" sd="1" x="298"/>
        <item t="data" h="1" sd="1" m="1" x="4620"/>
        <item t="data" h="1" sd="1" m="1" x="5158"/>
        <item t="data" h="1" sd="1" m="1" x="3196"/>
        <item t="data" h="1" sd="1" m="1" x="4963"/>
        <item t="data" h="1" sd="1" m="1" x="476"/>
        <item t="data" h="1" sd="1" m="1" x="2306"/>
        <item t="data" h="1" sd="1" m="1" x="2359"/>
        <item t="data" h="1" sd="1" m="1" x="6247"/>
        <item t="data" h="1" sd="1" x="299"/>
        <item t="data" h="1" sd="1" m="1" x="1674"/>
        <item t="data" h="1" sd="1" m="1" x="7652"/>
        <item t="data" h="1" sd="1" m="1" x="5692"/>
        <item t="data" h="1" sd="1" m="1" x="7555"/>
        <item t="data" h="1" sd="1" m="1" x="1756"/>
        <item t="data" h="1" sd="1" m="1" x="7305"/>
        <item t="data" h="1" sd="1" m="1" x="7864"/>
        <item t="data" h="1" sd="1" m="1" x="1374"/>
        <item t="data" h="1" sd="1" m="1" x="1512"/>
        <item t="data" h="1" sd="1" x="174"/>
        <item t="data" h="1" sd="1" m="1" x="3703"/>
        <item t="data" h="1" sd="1" m="1" x="799"/>
        <item t="data" h="1" sd="1" m="1" x="7889"/>
        <item t="data" h="1" sd="1" x="225"/>
        <item t="data" h="1" sd="1" m="1" x="887"/>
        <item t="data" h="1" sd="1" x="210"/>
        <item t="data" h="1" sd="1" m="1" x="1786"/>
        <item t="data" h="1" sd="1" m="1" x="1877"/>
        <item t="data" h="1" sd="1" m="1" x="6550"/>
        <item t="data" h="1" sd="1" m="1" x="7857"/>
        <item t="data" h="1" sd="1" m="1" x="2874"/>
        <item t="data" h="1" sd="1" m="1" x="2812"/>
        <item t="data" h="1" sd="1" m="1" x="3146"/>
        <item t="data" h="1" sd="1" m="1" x="1752"/>
        <item t="data" h="1" sd="1" m="1" x="7321"/>
        <item t="data" h="1" sd="1" m="1" x="7023"/>
        <item t="data" h="1" sd="1" m="1" x="4268"/>
        <item t="data" h="1" sd="1" m="1" x="4308"/>
        <item t="data" h="1" sd="1" x="217"/>
        <item t="data" h="1" sd="1" m="1" x="7859"/>
        <item t="data" h="1" sd="1" m="1" x="7408"/>
        <item t="data" h="1" sd="1" m="1" x="5956"/>
        <item t="data" h="1" sd="1" m="1" x="1505"/>
        <item t="data" h="1" sd="1" m="1" x="6875"/>
        <item t="data" h="1" sd="1" m="1" x="1450"/>
        <item t="data" h="1" sd="1" m="1" x="5202"/>
        <item t="data" h="1" sd="1" m="1" x="2777"/>
        <item t="data" h="1" sd="1" m="1" x="7407"/>
        <item t="data" h="1" sd="1" m="1" x="3652"/>
        <item t="data" h="1" sd="1" x="218"/>
        <item t="data" h="1" sd="1" m="1" x="6607"/>
        <item t="data" h="1" sd="1" m="1" x="7385"/>
        <item t="data" h="1" sd="1" m="1" x="2697"/>
        <item t="data" h="1" sd="1" m="1" x="561"/>
        <item t="data" h="1" sd="1" m="1" x="533"/>
        <item t="data" h="1" sd="1" m="1" x="7862"/>
        <item t="data" h="1" sd="1" m="1" x="3514"/>
        <item t="data" h="1" sd="1" m="1" x="1909"/>
        <item t="data" h="1" sd="1" m="1" x="7275"/>
        <item t="data" h="1" sd="1" m="1" x="7149"/>
        <item t="data" h="1" sd="1" m="1" x="7655"/>
        <item t="data" h="1" sd="1" m="1" x="5101"/>
        <item t="data" h="1" sd="1" m="1" x="1709"/>
        <item t="data" h="1" sd="1" m="1" x="5010"/>
        <item t="data" h="1" sd="1" m="1" x="7150"/>
        <item t="data" h="1" sd="1" m="1" x="3209"/>
        <item t="data" h="1" sd="1" m="1" x="7196"/>
        <item t="data" h="1" sd="1" x="382"/>
        <item t="data" h="1" sd="1" m="1" x="1905"/>
        <item t="data" h="1" sd="1" m="1" x="7072"/>
        <item t="data" h="1" sd="1" m="1" x="6206"/>
        <item t="data" h="1" sd="1" m="1" x="6622"/>
        <item t="data" h="1" sd="1" m="1" x="7622"/>
        <item t="data" h="1" sd="1" m="1" x="4195"/>
        <item t="data" h="1" sd="1" m="1" x="7861"/>
        <item t="data" h="1" sd="1" m="1" x="1699"/>
        <item t="data" h="1" sd="1" m="1" x="3838"/>
        <item t="data" h="1" sd="1" m="1" x="500"/>
        <item t="data" h="1" sd="1" m="1" x="5203"/>
        <item t="data" h="1" sd="1" m="1" x="6353"/>
        <item t="data" h="1" sd="1" m="1" x="5469"/>
        <item t="data" h="1" sd="1" m="1" x="4143"/>
        <item t="data" h="1" sd="1" m="1" x="2041"/>
        <item t="data" h="1" sd="1" m="1" x="6582"/>
        <item t="data" h="1" sd="1" m="1" x="6790"/>
        <item t="data" h="1" sd="1" m="1" x="6360"/>
        <item t="data" h="1" sd="1" m="1" x="7833"/>
        <item t="data" h="1" sd="1" m="1" x="1632"/>
        <item t="data" h="1" sd="1" m="1" x="4954"/>
        <item t="data" h="1" sd="1" m="1" x="6958"/>
        <item t="data" h="1" sd="1" x="402"/>
        <item t="data" h="1" sd="1" m="1" x="3115"/>
        <item t="data" h="1" sd="1" x="252"/>
        <item t="data" h="1" sd="1" m="1" x="2978"/>
        <item t="data" h="1" sd="1" m="1" x="7831"/>
        <item t="data" h="1" sd="1" x="388"/>
        <item t="data" h="1" sd="1" m="1" x="7832"/>
        <item t="data" h="1" sd="1" m="1" x="3486"/>
        <item t="data" h="1" sd="1" m="1" x="2875"/>
        <item t="data" h="1" sd="1" m="1" x="2077"/>
        <item t="data" h="1" sd="1" m="1" x="2005"/>
        <item t="data" h="1" sd="1" m="1" x="5842"/>
        <item t="data" h="1" sd="1" m="1" x="7235"/>
        <item t="data" h="1" sd="1" m="1" x="7178"/>
        <item t="data" h="1" sd="1" m="1" x="7778"/>
        <item t="data" h="1" sd="1" m="1" x="7878"/>
        <item t="data" h="1" sd="1" m="1" x="5587"/>
        <item t="data" h="1" sd="1" m="1" x="6101"/>
        <item t="data" h="1" sd="1" m="1" x="7209"/>
        <item t="data" h="1" sd="1" m="1" x="4309"/>
        <item t="data" h="1" sd="1" m="1" x="6378"/>
        <item t="data" h="1" sd="1" m="1" x="6852"/>
        <item t="data" h="1" sd="1" m="1" x="6260"/>
        <item t="data" h="1" sd="1" m="1" x="5155"/>
        <item t="data" h="1" sd="1" m="1" x="7908"/>
        <item t="data" h="1" sd="1" m="1" x="4306"/>
        <item t="data" h="1" sd="1" x="378"/>
        <item t="data" h="1" sd="1" m="1" x="7489"/>
        <item t="data" h="1" sd="1" m="1" x="7870"/>
        <item t="data" h="1" sd="1" m="1" x="7505"/>
        <item t="data" h="1" sd="1" m="1" x="7360"/>
        <item t="data" h="1" sd="1" m="1" x="7787"/>
        <item t="data" h="1" sd="1" m="1" x="834"/>
        <item t="data" h="1" sd="1" m="1" x="4167"/>
        <item t="data" h="1" sd="1" m="1" x="7637"/>
        <item t="data" h="1" sd="1" m="1" x="7057"/>
        <item t="data" h="1" sd="1" m="1" x="6998"/>
        <item t="data" h="1" sd="1" m="1" x="4674"/>
        <item t="data" h="1" sd="1" m="1" x="1717"/>
        <item t="data" h="1" sd="1" m="1" x="7254"/>
        <item t="data" h="1" sd="1" m="1" x="5241"/>
        <item t="data" h="1" sd="1" m="1" x="6629"/>
        <item t="data" h="1" sd="1" m="1" x="4196"/>
        <item t="data" h="1" sd="1" m="1" x="909"/>
        <item t="data" h="1" sd="1" m="1" x="913"/>
        <item t="data" h="1" sd="1" x="253"/>
        <item t="data" h="1" sd="1" m="1" x="6532"/>
        <item t="data" h="1" sd="1" m="1" x="7285"/>
        <item t="data" h="1" sd="1" m="1" x="2778"/>
        <item t="data" h="1" sd="1" m="1" x="7343"/>
        <item t="data" h="1" sd="1" m="1" x="7981"/>
        <item t="data" h="1" sd="1" m="1" x="7519"/>
        <item t="data" h="1" sd="1" m="1" x="5860"/>
        <item t="data" h="1" sd="1" m="1" x="1562"/>
        <item t="data" h="1" sd="1" m="1" x="7654"/>
        <item t="data" h="1" sd="1" m="1" x="3194"/>
        <item t="data" h="1" sd="1" m="1" x="612"/>
        <item t="data" h="1" sd="1" m="1" x="2873"/>
        <item t="data" h="1" sd="1" m="1" x="3946"/>
        <item t="data" h="1" sd="1" m="1" x="7077"/>
        <item t="data" h="1" sd="1" x="264"/>
        <item t="data" h="1" sd="1" x="158"/>
        <item t="data" h="1" sd="1" m="1" x="544"/>
        <item t="data" h="1" sd="1" m="1" x="6833"/>
        <item t="data" h="1" sd="1" m="1" x="7271"/>
        <item t="data" h="1" sd="1" m="1" x="4704"/>
        <item t="data" h="1" sd="1" m="1" x="1298"/>
        <item t="data" h="1" sd="1" m="1" x="7589"/>
        <item t="data" h="1" sd="1" m="1" x="7093"/>
        <item t="data" h="1" sd="1" m="1" x="3208"/>
        <item t="data" h="1" sd="1" m="1" x="1605"/>
        <item t="data" h="1" sd="1" m="1" x="4643"/>
        <item t="data" h="1" sd="1" m="1" x="7998"/>
        <item t="data" h="1" sd="1" m="1" x="6229"/>
        <item t="data" h="1" sd="1" m="1" x="2479"/>
        <item t="data" h="1" sd="1" m="1" x="3600"/>
        <item t="data" h="1" sd="1" m="1" x="1657"/>
        <item t="data" h="1" sd="1" m="1" x="4254"/>
        <item t="data" h="1" sd="1" m="1" x="5719"/>
        <item t="data" h="1" sd="1" m="1" x="7268"/>
        <item t="data" h="1" sd="1" m="1" x="3096"/>
        <item t="data" h="1" sd="1" m="1" x="1837"/>
        <item t="data" h="1" sd="1" m="1" x="2582"/>
        <item t="data" h="1" sd="1" m="1" x="6744"/>
        <item t="data" h="1" sd="1" m="1" x="6929"/>
        <item t="data" h="1" sd="1" m="1" x="3587"/>
        <item t="data" h="1" sd="1" m="1" x="3277"/>
        <item t="data" h="1" sd="1" m="1" x="7581"/>
        <item t="data" h="1" sd="1" m="1" x="2000"/>
        <item t="data" h="1" sd="1" m="1" x="7179"/>
        <item t="data" h="1" sd="1" m="1" x="7071"/>
        <item t="data" h="1" sd="1" m="1" x="6589"/>
        <item t="data" h="1" sd="1" m="1" x="4307"/>
        <item t="data" h="1" sd="1" m="1" x="4243"/>
        <item t="data" h="1" sd="1" m="1" x="7919"/>
        <item t="data" h="1" sd="1" m="1" x="3507"/>
        <item t="data" h="1" sd="1" m="1" x="6441"/>
        <item t="data" h="1" sd="1" m="1" x="1577"/>
        <item t="data" h="1" sd="1" m="1" x="3501"/>
        <item t="data" h="1" sd="1" m="1" x="1696"/>
        <item t="data" h="1" sd="1" m="1" x="7409"/>
        <item t="data" h="1" sd="1" m="1" x="6064"/>
        <item t="data" h="1" sd="1" m="1" x="7970"/>
        <item t="data" h="1" sd="1" m="1" x="1811"/>
        <item t="data" h="1" sd="1" m="1" x="4005"/>
        <item t="data" h="1" sd="1" m="1" x="2322"/>
        <item t="data" h="1" sd="1" m="1" x="6800"/>
        <item t="data" h="1" sd="1" m="1" x="6288"/>
        <item t="data" h="1" sd="1" m="1" x="6975"/>
        <item t="data" h="1" sd="1" m="1" x="5186"/>
        <item t="data" h="1" sd="1" m="1" x="7860"/>
        <item t="data" h="1" sd="1" m="1" x="6449"/>
        <item t="data" h="1" sd="1" m="1" x="542"/>
        <item t="data" h="1" sd="1" m="1" x="6379"/>
        <item t="data" h="1" sd="1" m="1" x="1672"/>
        <item t="data" h="1" sd="1" m="1" x="583"/>
        <item t="data" h="1" sd="1" m="1" x="5295"/>
        <item t="data" h="1" sd="1" m="1" x="1805"/>
        <item t="data" h="1" sd="1" m="1" x="2870"/>
        <item t="data" h="1" sd="1" m="1" x="7132"/>
        <item t="data" h="1" sd="1" m="1" x="1359"/>
        <item t="data" h="1" sd="1" m="1" x="2556"/>
        <item t="data" h="1" sd="1" m="1" x="527"/>
        <item t="data" h="1" sd="1" m="1" x="5751"/>
        <item t="data" h="1" sd="1" m="1" x="3951"/>
        <item t="data" h="1" sd="1" m="1" x="7015"/>
        <item t="data" h="1" sd="1" m="1" x="5868"/>
        <item t="data" h="1" sd="1" m="1" x="4763"/>
        <item t="data" h="1" sd="1" m="1" x="1728"/>
        <item t="data" h="1" sd="1" m="1" x="1546"/>
        <item t="data" h="1" sd="1" m="1" x="2116"/>
        <item t="data" h="1" sd="1" m="1" x="6420"/>
        <item t="data" h="1" sd="1" m="1" x="2576"/>
        <item t="data" h="1" sd="1" m="1" x="1906"/>
        <item t="data" h="1" sd="1" m="1" x="1631"/>
        <item t="data" h="1" sd="1" m="1" x="6296"/>
        <item t="data" h="1" sd="1" m="1" x="4595"/>
        <item t="data" h="1" sd="1" m="1" x="7153"/>
        <item t="data" h="1" sd="1" m="1" x="5758"/>
        <item t="data" h="1" sd="1" m="1" x="6962"/>
        <item t="data" h="1" sd="1" m="1" x="7022"/>
        <item t="data" h="1" sd="1" m="1" x="4906"/>
        <item t="data" h="1" sd="1" m="1" x="6472"/>
        <item t="data" h="1" sd="1" m="1" x="2120"/>
        <item t="data" h="1" sd="1" m="1" x="2787"/>
        <item t="data" h="1" sd="1" m="1" x="2467"/>
        <item t="data" h="1" sd="1" m="1" x="4434"/>
        <item t="data" h="1" sd="1" m="1" x="1844"/>
        <item t="data" h="1" sd="1" m="1" x="3095"/>
        <item t="data" h="1" sd="1" m="1" x="4998"/>
        <item t="data" h="1" sd="1" m="1" x="5921"/>
        <item t="data" h="1" sd="1" m="1" x="6463"/>
        <item t="data" h="1" sd="1" m="1" x="7459"/>
        <item t="data" h="1" sd="1" m="1" x="6754"/>
        <item t="data" h="1" sd="1" m="1" x="6860"/>
        <item t="data" h="1" sd="1" m="1" x="5177"/>
        <item t="data" h="1" sd="1" m="1" x="4102"/>
        <item t="data" h="1" sd="1" m="1" x="1782"/>
        <item t="data" h="1" sd="1" m="1" x="6832"/>
        <item t="data" h="1" sd="1" m="1" x="4688"/>
        <item t="data" h="1" sd="1" m="1" x="6344"/>
        <item t="data" h="1" sd="1" m="1" x="6345"/>
        <item t="data" h="1" sd="1" m="1" x="3517"/>
        <item t="data" h="1" sd="1" m="1" x="2453"/>
        <item t="data" h="1" sd="1" m="1" x="3922"/>
        <item t="data" h="1" sd="1" m="1" x="4125"/>
        <item t="data" h="1" sd="1" m="1" x="7871"/>
        <item t="data" h="1" sd="1" m="1" x="5345"/>
        <item t="data" h="1" sd="1" m="1" x="3837"/>
        <item t="data" h="1" sd="1" m="1" x="3487"/>
        <item t="data" h="1" sd="1" m="1" x="5019"/>
        <item t="data" h="1" sd="1" m="1" x="5813"/>
        <item t="data" h="1" sd="1" m="1" x="2349"/>
        <item t="data" h="1" sd="1" m="1" x="2348"/>
        <item t="data" h="1" sd="1" m="1" x="3945"/>
        <item t="data" h="1" sd="1" m="1" x="6964"/>
        <item t="data" h="1" sd="1" m="1" x="535"/>
        <item t="data" h="1" sd="1" m="1" x="6895"/>
        <item t="data" h="1" sd="1" m="1" x="3800"/>
        <item t="data" h="1" sd="1" m="1" x="5922"/>
        <item t="data" h="1" sd="1" m="1" x="719"/>
        <item t="data" h="1" sd="1" m="1" x="638"/>
        <item t="data" h="1" sd="1" m="1" x="6389"/>
        <item t="data" h="1" sd="1" m="1" x="5245"/>
        <item t="data" h="1" sd="1" m="1" x="3653"/>
        <item t="data" h="1" sd="1" m="1" x="5298"/>
        <item t="data" h="1" sd="1" m="1" x="7629"/>
        <item t="data" h="1" sd="1" m="1" x="3221"/>
        <item t="data" h="1" sd="1" m="1" x="1482"/>
        <item t="data" h="1" sd="1" m="1" x="6595"/>
        <item t="data" h="1" sd="1" m="1" x="5422"/>
        <item t="data" h="1" sd="1" m="1" x="4425"/>
        <item t="data" h="1" sd="1" m="1" x="7825"/>
        <item t="data" h="1" sd="1" m="1" x="5360"/>
        <item t="data" h="1" sd="1" m="1" x="3407"/>
        <item t="data" h="1" sd="1" m="1" x="2771"/>
        <item t="data" h="1" sd="1" x="332"/>
        <item t="data" h="1" sd="1" m="1" x="3647"/>
        <item t="data" h="1" sd="1" m="1" x="6432"/>
        <item t="data" h="1" sd="1" m="1" x="3147"/>
        <item t="data" h="1" sd="1" m="1" x="2999"/>
        <item t="data" h="1" sd="1" m="1" x="4964"/>
        <item t="data" h="1" sd="1" m="1" x="3772"/>
        <item t="data" h="1" sd="1" m="1" x="7990"/>
        <item t="data" h="1" sd="1" m="1" x="4907"/>
        <item t="data" h="1" sd="1" m="1" x="5311"/>
        <item t="data" h="1" sd="1" m="1" x="6827"/>
        <item t="data" h="1" sd="1" m="1" x="464"/>
        <item t="data" h="1" sd="1" m="1" x="3193"/>
        <item t="data" h="1" sd="1" m="1" x="1597"/>
        <item t="data" h="1" sd="1" m="1" x="7980"/>
        <item t="data" h="1" sd="1" m="1" x="6580"/>
        <item t="data" h="1" sd="1" m="1" x="2788"/>
        <item t="data" h="1" sd="1" m="1" x="3938"/>
        <item t="data" h="1" sd="1" m="1" x="2337"/>
        <item t="data" h="1" sd="1" m="1" x="1697"/>
        <item t="data" h="1" sd="1" m="1" x="7430"/>
        <item t="data" h="1" sd="1" m="1" x="2981"/>
        <item t="data" h="1" sd="1" m="1" x="7988"/>
        <item t="data" h="1" sd="1" m="1" x="6837"/>
        <item t="data" h="1" sd="1" m="1" x="3003"/>
        <item t="data" h="1" sd="1" m="1" x="1070"/>
        <item t="data" h="1" sd="1" m="1" x="5589"/>
        <item t="data" h="1" sd="1" m="1" x="2065"/>
        <item t="data" h="1" sd="1" m="1" x="4209"/>
        <item t="data" h="1" sd="1" m="1" x="4970"/>
        <item t="data" h="1" sd="1" m="1" x="670"/>
        <item t="data" h="1" sd="1" x="381"/>
        <item t="data" h="1" sd="1" m="1" x="3331"/>
        <item t="data" h="1" sd="1" m="1" x="3455"/>
        <item t="data" h="1" sd="1" m="1" x="5934"/>
        <item t="data" h="1" sd="1" m="1" x="822"/>
        <item t="data" h="1" sd="1" m="1" x="4807"/>
        <item t="data" h="1" sd="1" m="1" x="4924"/>
        <item t="data" h="1" sd="1" m="1" x="2119"/>
        <item t="data" h="1" sd="1" m="1" x="7756"/>
        <item t="data" h="1" sd="1" m="1" x="1974"/>
        <item t="data" h="1" sd="1" m="1" x="7312"/>
        <item t="data" h="1" sd="1" m="1" x="7165"/>
        <item t="data" h="1" sd="1" m="1" x="5175"/>
        <item t="data" h="1" sd="1" m="1" x="1736"/>
        <item t="data" h="1" sd="1" m="1" x="6834"/>
        <item t="data" h="1" sd="1" m="1" x="4542"/>
        <item t="data" h="1" sd="1" m="1" x="3681"/>
        <item t="data" h="1" sd="1" m="1" x="4847"/>
        <item t="data" h="1" sd="1" m="1" x="6276"/>
        <item t="data" h="1" sd="1" m="1" x="6458"/>
        <item t="data" h="1" sd="1" m="1" x="645"/>
        <item t="data" h="1" sd="1" m="1" x="4677"/>
        <item t="data" h="1" sd="1" m="1" x="6769"/>
        <item t="data" h="1" sd="1" m="1" x="3345"/>
        <item t="data" h="1" sd="1" m="1" x="3522"/>
        <item t="data" h="1" sd="1" m="1" x="827"/>
        <item t="data" h="1" sd="1" m="1" x="7989"/>
        <item t="data" h="1" sd="1" m="1" x="5420"/>
        <item t="data" h="1" sd="1" m="1" x="2571"/>
        <item t="data" h="1" sd="1" m="1" x="6845"/>
        <item t="data" h="1" sd="1" m="1" x="5978"/>
        <item t="data" h="1" sd="1" m="1" x="4134"/>
        <item t="data" h="1" sd="1" m="1" x="6773"/>
        <item t="data" h="1" sd="1" x="398"/>
        <item t="data" h="1" sd="1" m="1" x="4739"/>
        <item t="data" h="1" sd="1" m="1" x="1182"/>
        <item t="data" h="1" sd="1" m="1" x="4895"/>
        <item t="data" h="1" sd="1" m="1" x="2118"/>
        <item t="data" h="1" sd="1" m="1" x="5924"/>
        <item t="data" h="1" sd="1" m="1" x="3831"/>
        <item t="data" h="1" sd="1" m="1" x="6982"/>
        <item t="data" h="1" sd="1" m="1" x="4135"/>
        <item t="data" h="1" sd="1" m="1" x="6251"/>
        <item t="data" h="1" sd="1" m="1" x="5012"/>
        <item t="data" h="1" sd="1" m="1" x="3521"/>
        <item t="data" h="1" sd="1" x="203"/>
        <item t="data" h="1" sd="1" m="1" x="633"/>
        <item t="data" h="1" sd="1" m="1" x="1122"/>
        <item t="data" h="1" sd="1" m="1" x="2245"/>
        <item t="data" h="1" sd="1" m="1" x="504"/>
        <item t="data" h="1" sd="1" m="1" x="1787"/>
        <item t="data" h="1" sd="1" m="1" x="4962"/>
        <item t="data" h="1" sd="1" m="1" x="2512"/>
        <item t="data" h="1" sd="1" m="1" x="4913"/>
        <item t="data" h="1" sd="1" m="1" x="6546"/>
        <item t="data" h="1" sd="1" m="1" x="6394"/>
        <item t="data" h="1" sd="1" m="1" x="1619"/>
        <item t="data" h="1" sd="1" m="1" x="6143"/>
        <item t="data" h="1" sd="1" m="1" x="7191"/>
        <item t="data" h="1" sd="1" m="1" x="3156"/>
        <item t="data" h="1" sd="1" m="1" x="7620"/>
        <item t="data" h="1" sd="1" m="1" x="3433"/>
        <item t="data" h="1" sd="1" m="1" x="546"/>
        <item t="data" h="1" sd="1" x="284"/>
        <item t="data" h="1" sd="1" m="1" x="2083"/>
        <item t="data" h="1" sd="1" m="1" x="6411"/>
        <item t="data" h="1" sd="1" m="1" x="6412"/>
        <item t="data" h="1" sd="1" m="1" x="6142"/>
        <item t="data" h="1" sd="1" m="1" x="6413"/>
        <item t="data" h="1" sd="1" m="1" x="6907"/>
        <item t="data" h="1" sd="1" m="1" x="4522"/>
        <item t="data" h="1" sd="1" m="1" x="3426"/>
        <item t="data" h="1" sd="1" m="1" x="1484"/>
        <item t="data" h="1" sd="1" x="289"/>
        <item t="data" h="1" sd="1" m="1" x="3810"/>
        <item t="data" h="1" sd="1" m="1" x="483"/>
        <item t="data" h="1" sd="1" x="267"/>
        <item t="data" h="1" sd="1" m="1" x="3792"/>
        <item t="data" h="1" sd="1" m="1" x="3242"/>
        <item t="data" h="1" sd="1" m="1" x="3804"/>
        <item t="data" h="1" sd="1" m="1" x="3077"/>
        <item t="data" h="1" sd="1" m="1" x="5926"/>
        <item t="data" h="1" sd="1" m="1" x="1567"/>
        <item t="data" h="1" sd="1" m="1" x="5256"/>
        <item t="data" h="1" sd="1" m="1" x="4248"/>
        <item t="data" h="1" sd="1" m="1" x="5386"/>
        <item t="data" h="1" sd="1" m="1" x="750"/>
        <item t="data" h="1" sd="1" m="1" x="6805"/>
        <item t="data" h="1" sd="1" m="1" x="7598"/>
        <item t="data" h="1" sd="1" m="1" x="5796"/>
        <item t="data" h="1" sd="1" m="1" x="1828"/>
        <item t="data" h="1" sd="1" m="1" x="1835"/>
        <item t="data" h="1" sd="1" m="1" x="7995"/>
        <item t="data" h="1" sd="1" m="1" x="3934"/>
        <item t="data" h="1" sd="1" x="50"/>
        <item t="data" h="1" sd="1" m="1" x="4818"/>
        <item t="data" h="1" sd="1" m="1" x="5745"/>
        <item t="data" h="1" sd="1" m="1" x="2842"/>
        <item t="data" h="1" sd="1" m="1" x="3291"/>
        <item t="data" h="1" sd="1" m="1" x="6175"/>
        <item t="data" h="1" sd="1" m="1" x="5185"/>
        <item t="data" h="1" sd="1" m="1" x="5184"/>
        <item t="data" h="1" sd="1" m="1" x="7775"/>
        <item t="data" h="1" sd="1" m="1" x="7302"/>
        <item t="data" h="1" sd="1" m="1" x="7999"/>
        <item t="data" h="1" sd="1" m="1" x="7705"/>
        <item t="data" h="1" sd="1" m="1" x="7893"/>
        <item t="data" h="1" sd="1" m="1" x="7830"/>
        <item t="data" h="1" sd="1" m="1" x="4779"/>
        <item t="data" h="1" sd="1" m="1" x="7909"/>
        <item t="data" h="1" sd="1" m="1" x="1110"/>
        <item t="data" h="1" sd="1" m="1" x="4745"/>
        <item t="data" h="1" sd="1" m="1" x="1272"/>
        <item t="data" h="1" sd="1" m="1" x="4742"/>
        <item t="data" h="1" sd="1" m="1" x="1081"/>
        <item t="data" h="1" sd="1" m="1" x="7774"/>
        <item t="data" h="1" sd="1" m="1" x="7973"/>
        <item t="data" h="1" sd="1" m="1" x="7865"/>
        <item t="data" h="1" sd="1" m="1" x="7874"/>
        <item t="data" h="1" sd="1" m="1" x="6829"/>
        <item t="data" h="1" sd="1" m="1" x="5884"/>
        <item t="data" h="1" sd="1" m="1" x="5927"/>
        <item t="data" h="1" sd="1" x="90"/>
        <item t="data" h="1" sd="1" m="1" x="6317"/>
        <item t="data" h="1" sd="1" m="1" x="1334"/>
        <item t="data" h="1" sd="1" m="1" x="893"/>
        <item t="data" h="1" sd="1" m="1" x="6186"/>
        <item t="data" h="1" sd="1" m="1" x="6330"/>
        <item t="data" h="1" sd="1" m="1" x="7515"/>
        <item t="data" h="1" sd="1" m="1" x="7967"/>
        <item t="data" h="1" sd="1" m="1" x="7773"/>
        <item t="data" h="1" sd="1" m="1" x="5183"/>
        <item t="data" h="1" sd="1" m="1" x="7868"/>
        <item t="data" h="1" sd="1" m="1" x="7869"/>
        <item t="data" h="1" sd="1" m="1" x="6236"/>
        <item t="data" h="1" sd="1" m="1" x="1669"/>
        <item t="data" h="1" sd="1" m="1" x="3921"/>
        <item t="data" h="1" sd="1" m="1" x="4908"/>
        <item t="data" h="1" sd="1" m="1" x="7779"/>
        <item t="data" h="1" sd="1" m="1" x="7906"/>
        <item t="data" h="1" sd="1" m="1" x="7772"/>
        <item t="data" h="1" sd="1" m="1" x="7533"/>
        <item t="data" h="1" sd="1" m="1" x="7948"/>
        <item t="data" h="1" sd="1" m="1" x="7737"/>
        <item t="data" h="1" sd="1" m="1" x="2765"/>
        <item t="data" h="1" sd="1" m="1" x="2764"/>
        <item t="data" h="1" sd="1" m="1" x="3434"/>
        <item t="data" h="1" sd="1" m="1" x="7867"/>
        <item t="data" h="1" sd="1" m="1" x="7978"/>
        <item t="data" h="1" sd="1" m="1" x="7982"/>
        <item t="data" h="1" sd="1" m="1" x="7983"/>
        <item t="data" h="1" sd="1" m="1" x="7984"/>
        <item t="data" h="1" sd="1" m="1" x="1628"/>
        <item t="data" h="1" sd="1" m="1" x="5585"/>
        <item t="data" h="1" sd="1" x="405"/>
        <item t="data" h="1" sd="1" m="1" x="6830"/>
        <item t="data" h="1" sd="1" m="1" x="1978"/>
        <item t="data" h="1" sd="1" m="1" x="7783"/>
        <item t="data" h="1" sd="1" m="1" x="7562"/>
        <item t="data" h="1" sd="1" m="1" x="7789"/>
        <item t="data" h="1" sd="1" m="1" x="7790"/>
        <item t="data" h="1" sd="1" m="1" x="7793"/>
        <item t="data" h="1" sd="1" m="1" x="7945"/>
        <item t="data" h="1" sd="1" m="1" x="875"/>
        <item t="data" h="1" sd="1" m="1" x="453"/>
        <item t="data" h="1" sd="1" m="1" x="7627"/>
        <item t="data" h="1" sd="1" m="1" x="7242"/>
        <item t="data" h="1" sd="1" m="1" x="721"/>
        <item t="data" h="1" sd="1" m="1" x="7807"/>
        <item t="data" h="1" sd="1" m="1" x="7966"/>
        <item t="data" h="1" sd="1" m="1" x="7972"/>
        <item t="data" h="1" sd="1" m="1" x="6828"/>
        <item t="data" h="1" sd="1" m="1" x="7841"/>
        <item t="data" h="1" sd="1" m="1" x="7872"/>
        <item t="data" h="1" sd="1" m="1" x="7876"/>
        <item t="data" h="1" sd="1" m="1" x="5613"/>
        <item t="data" h="1" sd="1" m="1" x="7769"/>
        <item t="data" h="1" sd="1" m="1" x="5760"/>
        <item t="data" h="1" sd="1" m="1" x="3895"/>
        <item t="data" h="1" sd="1" m="1" x="7891"/>
        <item t="data" h="1" sd="1" m="1" x="7322"/>
        <item t="data" h="1" sd="1" m="1" x="7791"/>
        <item t="data" h="1" sd="1" m="1" x="7942"/>
        <item t="data" h="1" sd="1" m="1" x="7736"/>
        <item t="data" h="1" sd="1" m="1" x="7798"/>
        <item t="data" h="1" sd="1" m="1" x="7949"/>
        <item t="data" h="1" sd="1" m="1" x="2678"/>
        <item t="data" h="1" sd="1" m="1" x="7806"/>
        <item t="data" h="1" sd="1" m="1" x="7822"/>
        <item t="data" h="1" sd="1" m="1" x="6388"/>
        <item t="data" h="1" sd="1" m="1" x="7823"/>
        <item t="data" h="1" sd="1" m="1" x="7964"/>
        <item t="data" h="1" sd="1" m="1" x="2794"/>
        <item t="data" h="1" sd="1" m="1" x="7768"/>
        <item t="data" h="1" sd="1" m="1" x="7971"/>
        <item t="data" h="1" sd="1" m="1" x="3673"/>
        <item t="data" h="1" sd="1" m="1" x="7843"/>
        <item t="data" h="1" sd="1" m="1" x="7846"/>
        <item t="data" h="1" sd="1" m="1" x="5675"/>
        <item t="data" h="1" sd="1" m="1" x="7976"/>
        <item t="data" h="1" sd="1" m="1" x="7875"/>
        <item t="data" h="1" sd="1" m="1" x="7993"/>
        <item t="data" h="1" sd="1" m="1" x="7992"/>
        <item t="data" h="1" sd="1" m="1" x="3515"/>
        <item t="data" h="1" sd="1" m="1" x="3870"/>
        <item t="data" h="1" sd="1" m="1" x="2982"/>
        <item t="data" h="1" sd="1" m="1" x="7888"/>
        <item t="data" h="1" sd="1" m="1" x="7887"/>
        <item t="data" h="1" sd="1" x="188"/>
        <item t="data" h="1" sd="1" m="1" x="7892"/>
        <item t="data" h="1" sd="1" m="1" x="7767"/>
        <item t="data" h="1" sd="1" m="1" x="7766"/>
        <item t="data" h="1" sd="1" m="1" x="7907"/>
        <item t="data" h="1" sd="1" m="1" x="7704"/>
        <item t="data" h="1" sd="1" m="1" x="6376"/>
        <item t="data" h="1" sd="1" m="1" x="7782"/>
        <item t="data" h="1" sd="1" m="1" x="7788"/>
        <item t="data" h="1" sd="1" m="1" x="7914"/>
        <item t="data" h="1" sd="1" m="1" x="7915"/>
        <item t="data" h="1" sd="1" m="1" x="7916"/>
        <item t="data" h="1" sd="1" m="1" x="7917"/>
        <item t="data" h="1" sd="1" m="1" x="7918"/>
        <item t="data" h="1" sd="1" m="1" x="6324"/>
        <item t="data" h="1" sd="1" m="1" x="7920"/>
        <item t="data" h="1" sd="1" m="1" x="7921"/>
        <item t="data" h="1" sd="1" m="1" x="7922"/>
        <item t="data" h="1" sd="1" m="1" x="7923"/>
        <item t="data" h="1" sd="1" m="1" x="7924"/>
        <item t="data" h="1" sd="1" m="1" x="1050"/>
        <item t="data" h="1" sd="1" m="1" x="7925"/>
        <item t="data" h="1" sd="1" m="1" x="7926"/>
        <item t="data" h="1" sd="1" m="1" x="7927"/>
        <item t="data" h="1" sd="1" m="1" x="7928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937"/>
        <item t="data" h="1" sd="1" m="1" x="7938"/>
        <item t="data" h="1" sd="1" m="1" x="7939"/>
        <item t="data" h="1" sd="1" m="1" x="7940"/>
        <item t="data" h="1" sd="1" m="1" x="7941"/>
        <item t="data" h="1" sd="1" m="1" x="7943"/>
        <item t="data" h="1" sd="1" m="1" x="7944"/>
        <item t="data" h="1" sd="1" m="1" x="5843"/>
        <item t="data" h="1" sd="1" m="1" x="7800"/>
        <item t="data" h="1" sd="1" m="1" x="7738"/>
        <item t="data" h="1" sd="1" m="1" x="7745"/>
        <item t="data" h="1" sd="1" m="1" x="7946"/>
        <item t="data" h="1" sd="1" m="1" x="7947"/>
        <item t="data" h="1" sd="1" m="1" x="6635"/>
        <item t="data" h="1" sd="1" m="1" x="3266"/>
        <item t="data" h="1" sd="1" m="1" x="7950"/>
        <item t="data" h="1" sd="1" m="1" x="7951"/>
        <item t="data" h="1" sd="1" m="1" x="7952"/>
        <item t="data" h="1" sd="1" m="1" x="7953"/>
        <item t="data" h="1" sd="1" m="1" x="7954"/>
        <item t="data" h="1" sd="1" m="1" x="7955"/>
        <item t="data" h="1" sd="1" m="1" x="7956"/>
        <item t="data" h="1" sd="1" m="1" x="2840"/>
        <item t="data" h="1" sd="1" m="1" x="7805"/>
        <item t="data" h="1" sd="1" m="1" x="7957"/>
        <item t="data" h="1" sd="1" m="1" x="7801"/>
        <item t="data" h="1" sd="1" m="1" x="7958"/>
        <item t="data" h="1" sd="1" m="1" x="7802"/>
        <item t="data" h="1" sd="1" m="1" x="7959"/>
        <item t="data" h="1" sd="1" m="1" x="7960"/>
        <item t="data" h="1" sd="1" m="1" x="7961"/>
        <item t="data" h="1" sd="1" m="1" x="7962"/>
        <item t="data" h="1" sd="1" m="1" x="7963"/>
        <item t="data" h="1" sd="1" m="1" x="7803"/>
        <item t="data" h="1" sd="1" m="1" x="7804"/>
        <item t="data" h="1" sd="1" m="1" x="7584"/>
        <item t="data" h="1" sd="1" m="1" x="5925"/>
        <item t="data" h="1" sd="1" m="1" x="5923"/>
        <item t="data" h="1" sd="1" m="1" x="7739"/>
        <item t="data" h="1" sd="1" m="1" x="5123"/>
        <item t="data" h="1" sd="1" m="1" x="7965"/>
        <item t="data" h="1" sd="1" m="1" x="7968"/>
        <item t="data" h="1" sd="1" m="1" x="7969"/>
        <item t="data" h="1" sd="1" m="1" x="3006"/>
        <item t="data" h="1" sd="1" m="1" x="7836"/>
        <item t="data" h="1" sd="1" m="1" x="7837"/>
        <item t="data" h="1" sd="1" m="1" x="7838"/>
        <item t="data" h="1" sd="1" m="1" x="7839"/>
        <item t="data" h="1" sd="1" m="1" x="6831"/>
        <item t="data" h="1" sd="1" m="1" x="7974"/>
        <item t="data" h="1" sd="1" m="1" x="7844"/>
        <item t="data" h="1" sd="1" m="1" x="7975"/>
        <item t="data" h="1" sd="1" m="1" x="7850"/>
        <item t="data" h="1" sd="1" m="1" x="7851"/>
        <item t="data" h="1" sd="1" m="1" x="7852"/>
        <item t="data" h="1" sd="1" m="1" x="7853"/>
        <item t="data" h="1" sd="1" m="1" x="7863"/>
        <item t="data" h="1" sd="1" m="1" x="7437"/>
        <item t="data" h="1" sd="1" m="1" x="7866"/>
        <item t="data" h="1" sd="1" m="1" x="7979"/>
        <item t="data" h="1" sd="1" m="1" x="7985"/>
        <item t="data" h="1" sd="1" m="1" x="7986"/>
        <item t="data" h="1" sd="1" m="1" x="7987"/>
        <item t="data" h="1" sd="1" m="1" x="7991"/>
        <item t="data" h="1" sd="1" m="1" x="5161"/>
        <item t="data" h="1" sd="1" m="1" x="7994"/>
        <item t="data" h="1" sd="1" m="1" x="7881"/>
        <item t="data" h="1" sd="1" m="1" x="6457"/>
        <item t="data" h="1" sd="1" m="1" x="7885"/>
        <item t="data" h="1" sd="1" m="1" x="7309"/>
        <item t="data" h="1" sd="1" m="1" x="5876"/>
        <item t="data" h="1" sd="1" m="1" x="7996"/>
        <item t="data" h="1" sd="1" m="1" x="7997"/>
        <item t="data" h="1" sd="1" m="1" x="715"/>
        <item t="data" h="1" sd="1" m="1" x="7894"/>
        <item t="data" h="1" sd="1" m="1" x="7895"/>
        <item t="data" h="1" sd="1" m="1" x="7899"/>
        <item t="data" h="1" sd="1" m="1" x="7905"/>
        <item t="data" h="1" sd="1" m="1" x="7901"/>
        <item t="data" h="1" sd="1" m="1" x="7902"/>
        <item t="data" h="1" sd="1" m="1" x="7903"/>
        <item t="data" h="1" sd="1" m="1" x="7904"/>
        <item t="data" h="1" sd="1" m="1" x="7614"/>
        <item t="data" h="1" sd="1" m="1" x="7471"/>
        <item t="data" h="1" sd="1" m="1" x="7912"/>
        <item t="data" h="1" sd="1" m="1" x="7913"/>
        <item t="data" h="1" sd="1" m="1" x="7752"/>
        <item t="data" h="1" sd="1" m="1" x="7780"/>
        <item t="data" h="1" sd="1" m="1" x="7781"/>
        <item t="data" h="1" sd="1" m="1" x="7335"/>
        <item t="data" h="1" sd="1" m="1" x="7784"/>
        <item t="data" h="1" sd="1" m="1" x="7785"/>
        <item t="data" h="1" sd="1" m="1" x="7786"/>
        <item t="data" h="1" sd="1" m="1" x="7770"/>
        <item t="data" h="1" sd="1" m="1" x="7792"/>
        <item t="data" h="1" sd="1" m="1" x="7750"/>
        <item t="data" h="1" sd="1" m="1" x="7795"/>
        <item t="data" h="1" sd="1" m="1" x="7796"/>
        <item t="data" h="1" sd="1" m="1" x="7797"/>
        <item t="data" h="1" sd="1" m="1" x="7749"/>
        <item t="data" h="1" sd="1" m="1" x="7799"/>
        <item t="data" h="1" sd="1" m="1" x="7765"/>
        <item t="data" h="1" sd="1" m="1" x="7808"/>
        <item t="data" h="1" sd="1" m="1" x="7809"/>
        <item t="data" h="1" sd="1" m="1" x="7810"/>
        <item t="data" h="1" sd="1" m="1" x="7811"/>
        <item t="data" h="1" sd="1" m="1" x="3602"/>
        <item t="data" h="1" sd="1" m="1" x="7812"/>
        <item t="data" h="1" sd="1" m="1" x="7813"/>
        <item t="data" h="1" sd="1" m="1" x="7814"/>
        <item t="data" h="1" sd="1" m="1" x="7815"/>
        <item t="data" h="1" sd="1" m="1" x="7816"/>
        <item t="data" h="1" sd="1" m="1" x="7817"/>
        <item t="data" h="1" sd="1" m="1" x="7818"/>
        <item t="data" h="1" sd="1" m="1" x="7819"/>
        <item t="data" h="1" sd="1" m="1" x="7820"/>
        <item t="data" h="1" sd="1" m="1" x="7757"/>
        <item t="data" h="1" sd="1" m="1" x="7821"/>
        <item t="data" h="1" sd="1" m="1" x="7824"/>
        <item t="data" h="1" sd="1" m="1" x="7776"/>
        <item t="data" h="1" sd="1" m="1" x="5564"/>
        <item t="data" h="1" sd="1" m="1" x="5565"/>
        <item t="data" h="1" sd="1" m="1" x="5563"/>
        <item t="data" h="1" sd="1" m="1" x="7826"/>
        <item t="data" h="1" sd="1" m="1" x="7827"/>
        <item t="data" h="1" sd="1" m="1" x="7828"/>
        <item t="data" h="1" sd="1" m="1" x="7829"/>
        <item t="data" h="1" sd="1" m="1" x="7759"/>
        <item t="data" h="1" sd="1" m="1" x="7758"/>
        <item t="data" h="1" sd="1" m="1" x="7762"/>
        <item t="data" h="1" sd="1" m="1" x="3010"/>
        <item t="data" h="1" sd="1" m="1" x="7834"/>
        <item t="data" h="1" sd="1" m="1" x="7748"/>
        <item t="data" h="1" sd="1" m="1" x="6017"/>
        <item t="data" h="1" sd="1" m="1" x="7835"/>
        <item t="data" h="1" sd="1" m="1" x="7840"/>
        <item t="data" h="1" sd="1" m="1" x="6381"/>
        <item t="data" h="1" sd="1" m="1" x="7842"/>
        <item t="data" h="1" sd="1" m="1" x="5182"/>
        <item t="data" h="1" sd="1" m="1" x="7292"/>
        <item t="data" h="1" sd="1" m="1" x="7845"/>
        <item t="data" h="1" sd="1" m="1" x="7847"/>
        <item t="data" h="1" sd="1" m="1" x="7848"/>
        <item t="data" h="1" sd="1" m="1" x="7849"/>
        <item t="data" h="1" sd="1" m="1" x="7854"/>
        <item t="data" h="1" sd="1" m="1" x="7855"/>
        <item t="data" h="1" sd="1" m="1" x="7856"/>
        <item t="data" h="1" sd="1" m="1" x="7601"/>
        <item t="data" h="1" sd="1" m="1" x="7858"/>
        <item t="data" h="1" sd="1" m="1" x="7603"/>
        <item t="data" h="1" sd="1" m="1" x="2072"/>
        <item t="data" h="1" sd="1" m="1" x="7873"/>
        <item t="data" h="1" sd="1" m="1" x="7877"/>
        <item t="data" h="1" sd="1" m="1" x="7879"/>
        <item t="data" h="1" sd="1" m="1" x="2713"/>
        <item t="data" h="1" sd="1" m="1" x="7880"/>
        <item t="data" h="1" sd="1" m="1" x="7420"/>
        <item t="data" h="1" sd="1" m="1" x="7882"/>
        <item t="data" h="1" sd="1" m="1" x="7883"/>
        <item t="data" h="1" sd="1" m="1" x="7764"/>
        <item t="data" h="1" sd="1" m="1" x="7763"/>
        <item t="data" h="1" sd="1" m="1" x="7686"/>
        <item t="data" h="1" sd="1" m="1" x="6114"/>
        <item t="data" h="1" sd="1" m="1" x="7307"/>
        <item t="data" h="1" sd="1" m="1" x="7884"/>
        <item t="data" h="1" sd="1" m="1" x="7886"/>
        <item t="data" h="1" sd="1" m="1" x="7304"/>
        <item t="data" h="1" sd="1" m="1" x="5877"/>
        <item t="data" h="1" sd="1" m="1" x="7890"/>
        <item t="data" h="1" sd="1" m="1" x="7609"/>
        <item t="data" h="1" sd="1" m="1" x="7610"/>
        <item t="data" h="1" sd="1" m="1" x="7751"/>
        <item t="data" h="1" sd="1" m="1" x="6961"/>
        <item t="data" h="1" sd="1" m="1" x="7896"/>
        <item t="data" h="1" sd="1" m="1" x="7897"/>
        <item t="data" h="1" sd="1" m="1" x="7898"/>
        <item t="data" h="1" sd="1" m="1" x="7440"/>
        <item t="data" h="1" sd="1" m="1" x="7900"/>
        <item t="data" h="1" sd="1" m="1" x="7458"/>
        <item t="data" h="1" sd="1" m="1" x="7561"/>
        <item t="data" h="1" sd="1" m="1" x="7560"/>
        <item t="data" h="1" sd="1" m="1" x="7910"/>
        <item t="data" h="1" sd="1" m="1" x="7911"/>
        <item t="data" h="1" sd="1" m="1" x="6609"/>
        <item t="data" h="1" sd="1" m="1" x="7333"/>
        <item t="data" h="1" sd="1" m="1" x="7728"/>
        <item t="data" h="1" sd="1" m="1" x="7717"/>
        <item t="data" h="1" sd="1" m="1" x="7718"/>
        <item t="data" h="1" sd="1" m="1" x="7231"/>
        <item t="data" h="1" sd="1" m="1" x="6488"/>
        <item t="data" h="1" sd="1" m="1" x="7735"/>
        <item t="data" h="1" sd="1" m="1" x="7761"/>
        <item t="data" h="1" sd="1" m="1" x="7726"/>
        <item t="data" h="1" sd="1" m="1" x="7746"/>
        <item t="data" h="1" sd="1" m="1" x="7479"/>
        <item t="data" h="1" sd="1" m="1" x="7727"/>
        <item t="data" h="1" sd="1" m="1" x="7721"/>
        <item t="data" h="1" sd="1" m="1" x="7723"/>
        <item t="data" h="1" sd="1" m="1" x="7747"/>
        <item t="data" h="1" sd="1" m="1" x="7733"/>
        <item t="data" h="1" sd="1" m="1" x="7643"/>
        <item t="data" h="1" sd="1" m="1" x="7644"/>
        <item t="data" h="1" sd="1" m="1" x="7729"/>
        <item t="data" h="1" sd="1" m="1" x="7719"/>
        <item t="data" h="1" sd="1" m="1" x="7640"/>
        <item t="data" h="1" sd="1" m="1" x="7722"/>
        <item t="data" h="1" sd="1" m="1" x="7724"/>
        <item t="data" h="1" sd="1" m="1" x="7760"/>
        <item t="data" h="1" sd="1" m="1" x="7659"/>
        <item t="data" h="1" sd="1" m="1" x="2463"/>
        <item t="data" h="1" sd="1" m="1" x="7599"/>
        <item t="data" h="1" sd="1" m="1" x="6956"/>
        <item t="data" h="1" sd="1" m="1" x="6957"/>
        <item t="data" h="1" sd="1" m="1" x="7660"/>
        <item t="data" h="1" sd="1" m="1" x="7661"/>
        <item t="data" h="1" sd="1" m="1" x="6963"/>
        <item t="data" h="1" sd="1" m="1" x="7665"/>
        <item t="data" h="1" sd="1" m="1" x="7734"/>
        <item t="data" h="1" sd="1" m="1" x="7725"/>
        <item t="data" h="1" sd="1" m="1" x="7741"/>
        <item t="data" h="1" sd="1" m="1" x="7720"/>
        <item t="data" h="1" sd="1" m="1" x="7743"/>
        <item t="data" h="1" sd="1" m="1" x="7742"/>
        <item t="data" h="1" sd="1" m="1" x="3456"/>
        <item t="data" h="1" sd="1" m="1" x="7676"/>
        <item t="data" h="1" sd="1" m="1" x="7675"/>
        <item t="data" h="1" sd="1" m="1" x="7677"/>
        <item t="data" h="1" sd="1" m="1" x="7558"/>
        <item t="data" h="1" sd="1" m="1" x="7740"/>
        <item t="data" h="1" sd="1" m="1" x="7732"/>
        <item t="data" h="1" sd="1" m="1" x="7777"/>
        <item t="data" h="1" sd="1" m="1" x="7682"/>
        <item t="data" h="1" sd="1" m="1" x="5732"/>
        <item t="data" h="1" sd="1" m="1" x="5733"/>
        <item t="data" h="1" sd="1" m="1" x="7194"/>
        <item t="data" h="1" sd="1" m="1" x="1720"/>
        <item t="data" h="1" sd="1" m="1" x="7687"/>
        <item t="data" h="1" sd="1" m="1" x="7753"/>
        <item t="data" h="1" sd="1" m="1" x="6212"/>
        <item t="data" h="1" sd="1" m="1" x="6113"/>
        <item t="data" h="1" sd="1" m="1" x="7185"/>
        <item t="data" h="1" sd="1" m="1" x="6959"/>
        <item t="data" h="1" sd="1" m="1" x="5797"/>
        <item t="data" h="1" sd="1" m="1" x="6960"/>
        <item t="data" h="1" sd="1" m="1" x="7690"/>
        <item t="data" h="1" sd="1" m="1" x="7691"/>
        <item t="data" h="1" sd="1" m="1" x="7692"/>
        <item t="data" h="1" sd="1" m="1" x="7694"/>
        <item t="data" h="1" sd="1" m="1" x="7695"/>
        <item t="data" h="1" sd="1" m="1" x="7453"/>
        <item t="data" h="1" sd="1" m="1" x="7700"/>
        <item t="data" h="1" sd="1" m="1" x="7701"/>
        <item t="data" h="1" sd="1" m="1" x="7702"/>
        <item t="data" h="1" sd="1" m="1" x="7703"/>
        <item t="data" h="1" sd="1" m="1" x="7559"/>
        <item t="data" h="1" sd="1" m="1" x="7755"/>
        <item t="data" h="1" sd="1" m="1" x="7754"/>
        <item t="data" h="1" sd="1" m="1" x="7706"/>
        <item t="data" h="1" sd="1" m="1" x="7707"/>
        <item t="data" h="1" sd="1" m="1" x="7708"/>
        <item t="data" h="1" sd="1" m="1" x="7731"/>
        <item t="data" h="1" sd="1" m="1" x="7730"/>
        <item t="data" h="1" sd="1" m="1" x="7744"/>
        <item t="data" h="1" sd="1" m="1" x="7710"/>
        <item t="data" h="1" sd="1" m="1" x="7712"/>
        <item t="data" h="1" sd="1" m="1" x="7713"/>
        <item t="data" h="1" sd="1" m="1" x="6618"/>
        <item t="data" h="1" sd="1" m="1" x="7714"/>
        <item t="data" h="1" sd="1" m="1" x="7715"/>
        <item t="data" h="1" sd="1" m="1" x="7467"/>
        <item t="data" h="1" sd="1" m="1" x="7474"/>
        <item t="data" h="1" sd="1" m="1" x="7711"/>
        <item t="data" h="1" sd="1" m="1" x="7616"/>
        <item t="data" h="1" sd="1" m="1" x="7617"/>
        <item t="data" h="1" sd="1" m="1" x="7618"/>
        <item t="data" h="1" sd="1" m="1" x="7619"/>
        <item t="data" h="1" sd="1" m="1" x="7621"/>
        <item t="data" h="1" sd="1" m="1" x="5523"/>
        <item t="data" h="1" sd="1" m="1" x="5524"/>
        <item t="data" h="1" sd="1" m="1" x="7623"/>
        <item t="data" h="1" sd="1" m="1" x="7624"/>
        <item t="data" h="1" sd="1" m="1" x="7625"/>
        <item t="data" h="1" sd="1" m="1" x="7626"/>
        <item t="data" h="1" sd="1" m="1" x="7628"/>
        <item t="data" h="1" sd="1" m="1" x="7577"/>
        <item t="data" h="1" sd="1" m="1" x="7578"/>
        <item t="data" h="1" sd="1" m="1" x="7630"/>
        <item t="data" h="1" sd="1" m="1" x="7631"/>
        <item t="data" h="1" sd="1" m="1" x="7632"/>
        <item t="data" h="1" sd="1" m="1" x="7633"/>
        <item t="data" h="1" sd="1" m="1" x="7344"/>
        <item t="data" h="1" sd="1" m="1" x="7244"/>
        <item t="data" h="1" sd="1" m="1" x="7634"/>
        <item t="data" h="1" sd="1" m="1" x="7635"/>
        <item t="data" h="1" sd="1" m="1" x="7636"/>
        <item t="data" h="1" sd="1" m="1" x="7638"/>
        <item t="data" h="1" sd="1" m="1" x="7639"/>
        <item t="data" h="1" sd="1" m="1" x="7243"/>
        <item t="data" h="1" sd="1" m="1" x="7641"/>
        <item t="data" h="1" sd="1" m="1" x="7642"/>
        <item t="data" h="1" sd="1" m="1" x="7645"/>
        <item t="data" h="1" sd="1" m="1" x="7646"/>
        <item t="data" h="1" sd="1" m="1" x="7647"/>
        <item t="data" h="1" sd="1" m="1" x="7573"/>
        <item t="data" h="1" sd="1" m="1" x="7574"/>
        <item t="data" h="1" sd="1" m="1" x="7648"/>
        <item t="data" h="1" sd="1" m="1" x="7245"/>
        <item t="data" h="1" sd="1" m="1" x="7649"/>
        <item t="data" h="1" sd="1" m="1" x="7650"/>
        <item t="data" h="1" sd="1" m="1" x="7651"/>
        <item t="data" h="1" sd="1" m="1" x="3090"/>
        <item t="data" h="1" sd="1" m="1" x="7653"/>
        <item t="data" h="1" sd="1" m="1" x="7656"/>
        <item t="data" h="1" sd="1" m="1" x="7657"/>
        <item t="data" h="1" sd="1" m="1" x="7658"/>
        <item t="data" h="1" sd="1" m="1" x="6969"/>
        <item t="data" h="1" sd="1" m="1" x="7662"/>
        <item t="data" h="1" sd="1" m="1" x="7663"/>
        <item t="data" h="1" sd="1" m="1" x="7664"/>
        <item t="data" h="1" sd="1" m="1" x="7402"/>
        <item t="data" h="1" sd="1" m="1" x="7556"/>
        <item t="data" h="1" sd="1" m="1" x="7666"/>
        <item t="data" h="1" sd="1" m="1" x="7667"/>
        <item t="data" h="1" sd="1" m="1" x="7668"/>
        <item t="data" h="1" sd="1" m="1" x="7669"/>
        <item t="data" h="1" sd="1" m="1" x="7670"/>
        <item t="data" h="1" sd="1" m="1" x="7671"/>
        <item t="data" h="1" sd="1" m="1" x="7672"/>
        <item t="data" h="1" sd="1" m="1" x="7673"/>
        <item t="data" h="1" sd="1" m="1" x="7674"/>
        <item t="data" h="1" sd="1" m="1" x="5685"/>
        <item t="data" h="1" sd="1" m="1" x="5686"/>
        <item t="data" h="1" sd="1" m="1" x="7600"/>
        <item t="data" h="1" sd="1" m="1" x="1969"/>
        <item t="data" h="1" sd="1" m="1" x="5586"/>
        <item t="data" h="1" sd="1" m="1" x="1868"/>
        <item t="data" h="1" sd="1" m="1" x="7678"/>
        <item t="data" h="1" sd="1" m="1" x="7679"/>
        <item t="data" h="1" sd="1" m="1" x="7680"/>
        <item t="data" h="1" sd="1" m="1" x="7681"/>
        <item t="data" h="1" sd="1" m="1" x="7606"/>
        <item t="data" h="1" sd="1" m="1" x="7416"/>
        <item t="data" h="1" sd="1" m="1" x="7419"/>
        <item t="data" h="1" sd="1" m="1" x="5730"/>
        <item t="data" h="1" sd="1" m="1" x="6669"/>
        <item t="data" h="1" sd="1" m="1" x="7683"/>
        <item t="data" h="1" sd="1" m="1" x="7684"/>
        <item t="data" h="1" sd="1" m="1" x="7685"/>
        <item t="data" h="1" sd="1" m="1" x="4867"/>
        <item t="data" h="1" sd="1" m="1" x="7303"/>
        <item t="data" h="1" sd="1" m="1" x="7557"/>
        <item t="data" h="1" sd="1" m="1" x="7186"/>
        <item t="data" h="1" sd="1" m="1" x="6208"/>
        <item t="data" h="1" sd="1" m="1" x="6112"/>
        <item t="data" h="1" sd="1" m="1" x="6418"/>
        <item t="data" h="1" sd="1" m="1" x="7313"/>
        <item t="data" h="1" sd="1" m="1" x="7688"/>
        <item t="data" h="1" sd="1" m="1" x="7689"/>
        <item t="data" h="1" sd="1" m="1" x="607"/>
        <item t="data" h="1" sd="1" x="394"/>
        <item t="data" h="1" sd="1" m="1" x="6973"/>
        <item t="data" h="1" sd="1" m="1" x="7693"/>
        <item t="data" h="1" sd="1" m="1" x="7696"/>
        <item t="data" h="1" sd="1" m="1" x="7613"/>
        <item t="data" h="1" sd="1" m="1" x="7697"/>
        <item t="data" h="1" sd="1" m="1" x="7698"/>
        <item t="data" h="1" sd="1" m="1" x="7699"/>
        <item t="data" h="1" sd="1" m="1" x="7325"/>
        <item t="data" h="1" sd="1" m="1" x="7709"/>
        <item t="data" h="1" sd="1" m="1" x="5547"/>
        <item t="data" h="1" sd="1" m="1" x="6029"/>
        <item t="data" h="1" sd="1" m="1" x="6030"/>
        <item t="data" h="1" sd="1" m="1" x="7716"/>
        <item t="data" h="1" sd="1" m="1" x="7563"/>
        <item t="data" h="1" sd="1" m="1" x="7564"/>
        <item t="data" h="1" sd="1" m="1" x="7337"/>
        <item t="data" h="1" sd="1" m="1" x="5180"/>
        <item t="data" h="1" sd="1" m="1" x="7565"/>
        <item t="data" h="1" sd="1" m="1" x="7566"/>
        <item t="data" h="1" sd="1" m="1" x="7567"/>
        <item t="data" h="1" sd="1" m="1" x="7568"/>
        <item t="data" h="1" sd="1" m="1" x="7569"/>
        <item t="data" h="1" sd="1" m="1" x="7570"/>
        <item t="data" h="1" sd="1" m="1" x="7571"/>
        <item t="data" h="1" sd="1" m="1" x="7246"/>
        <item t="data" h="1" sd="1" m="1" x="1518"/>
        <item t="data" h="1" sd="1" m="1" x="7572"/>
        <item t="data" h="1" sd="1" m="1" x="7575"/>
        <item t="data" h="1" sd="1" m="1" x="7576"/>
        <item t="data" h="1" sd="1" m="1" x="718"/>
        <item t="data" h="1" sd="1" m="1" x="7579"/>
        <item t="data" h="1" sd="1" m="1" x="7580"/>
        <item t="data" h="1" sd="1" m="1" x="7582"/>
        <item t="data" h="1" sd="1" m="1" x="7583"/>
        <item t="data" h="1" sd="1" m="1" x="7585"/>
        <item t="data" h="1" sd="1" m="1" x="7586"/>
        <item t="data" h="1" sd="1" m="1" x="7587"/>
        <item t="data" h="1" sd="1" m="1" x="7588"/>
        <item t="data" h="1" sd="1" m="1" x="4849"/>
        <item t="data" h="1" sd="1" m="1" x="7378"/>
        <item t="data" h="1" sd="1" m="1" x="7590"/>
        <item t="data" h="1" sd="1" m="1" x="7591"/>
        <item t="data" h="1" sd="1" m="1" x="7592"/>
        <item t="data" h="1" sd="1" m="1" x="7593"/>
        <item t="data" h="1" sd="1" m="1" x="7594"/>
        <item t="data" h="1" sd="1" m="1" x="7595"/>
        <item t="data" h="1" sd="1" m="1" x="7596"/>
        <item t="data" h="1" sd="1" m="1" x="7597"/>
        <item t="data" h="1" sd="1" m="1" x="5588"/>
        <item t="data" h="1" sd="1" m="1" x="6970"/>
        <item t="data" h="1" sd="1" m="1" x="4569"/>
        <item t="data" h="1" sd="1" m="1" x="7392"/>
        <item t="data" h="1" sd="1" m="1" x="7390"/>
        <item t="data" h="1" sd="1" m="1" x="7393"/>
        <item t="data" h="1" sd="1" m="1" x="7395"/>
        <item t="data" h="1" sd="1" m="1" x="7396"/>
        <item t="data" h="1" sd="1" m="1" x="4940"/>
        <item t="data" h="1" sd="1" m="1" x="5597"/>
        <item t="data" h="1" sd="1" m="1" x="7550"/>
        <item t="data" h="1" sd="1" m="1" x="7602"/>
        <item t="data" h="1" sd="1" m="1" x="7604"/>
        <item t="data" h="1" sd="1" m="1" x="7605"/>
        <item t="data" h="1" sd="1" m="1" x="7548"/>
        <item t="data" h="1" sd="1" m="1" x="7546"/>
        <item t="data" h="1" sd="1" m="1" x="7552"/>
        <item t="data" h="1" sd="1" m="1" x="7549"/>
        <item t="data" h="1" sd="1" m="1" x="7551"/>
        <item t="data" h="1" sd="1" x="371"/>
        <item t="data" h="1" sd="1" m="1" x="7413"/>
        <item t="data" h="1" sd="1" m="1" x="6900"/>
        <item t="data" h="1" sd="1" m="1" x="7415"/>
        <item t="data" h="1" sd="1" m="1" x="7417"/>
        <item t="data" h="1" sd="1" m="1" x="7547"/>
        <item t="data" h="1" sd="1" m="1" x="7424"/>
        <item t="data" h="1" sd="1" m="1" x="7607"/>
        <item t="data" h="1" sd="1" m="1" x="7481"/>
        <item t="data" h="1" sd="1" m="1" x="6127"/>
        <item t="data" h="1" sd="1" m="1" x="7187"/>
        <item t="data" h="1" sd="1" m="1" x="7553"/>
        <item t="data" h="1" sd="1" m="1" x="7192"/>
        <item t="data" h="1" sd="1" m="1" x="7431"/>
        <item t="data" h="1" sd="1" m="1" x="5774"/>
        <item t="data" h="1" sd="1" m="1" x="7608"/>
        <item t="data" h="1" sd="1" m="1" x="7611"/>
        <item t="data" h="1" sd="1" m="1" x="7612"/>
        <item t="data" h="1" sd="1" m="1" x="7442"/>
        <item t="data" h="1" sd="1" m="1" x="7443"/>
        <item t="data" h="1" sd="1" m="1" x="7444"/>
        <item t="data" h="1" sd="1" m="1" x="7445"/>
        <item t="data" h="1" sd="1" m="1" x="7449"/>
        <item t="data" h="1" sd="1" m="1" x="7450"/>
        <item t="data" h="1" sd="1" m="1" x="7454"/>
        <item t="data" h="1" sd="1" m="1" x="7545"/>
        <item t="data" h="1" sd="1" m="1" x="7554"/>
        <item t="data" h="1" sd="1" m="1" x="6295"/>
        <item t="data" h="1" sd="1" m="1" x="7615"/>
        <item t="data" h="1" sd="1" m="1" x="7461"/>
        <item t="data" h="1" sd="1" m="1" x="7473"/>
        <item t="data" h="1" sd="1" m="1" x="7544"/>
        <item t="data" h="1" sd="1" m="1" x="7472"/>
        <item t="data" h="1" sd="1" m="1" x="7465"/>
        <item t="data" h="1" sd="1" m="1" x="7466"/>
        <item t="data" h="1" sd="1" m="1" x="5834"/>
        <item t="data" h="1" sd="1" m="1" x="6286"/>
        <item t="data" h="1" sd="1" m="1" x="6016"/>
        <item t="data" h="1" sd="1" m="1" x="7470"/>
        <item t="data" h="1" sd="1" m="1" x="7527"/>
        <item t="data" h="1" sd="1" m="1" x="7342"/>
        <item t="data" h="1" sd="1" m="1" x="7341"/>
        <item t="data" h="1" sd="1" m="1" x="7478"/>
        <item t="data" h="1" sd="1" m="1" x="7338"/>
        <item t="data" h="1" sd="1" m="1" x="7339"/>
        <item t="data" h="1" sd="1" m="1" x="7340"/>
        <item t="data" h="1" sd="1" m="1" x="7537"/>
        <item t="data" h="1" sd="1" m="1" x="7482"/>
        <item t="data" h="1" sd="1" m="1" x="5484"/>
        <item t="data" h="1" sd="1" m="1" x="7534"/>
        <item t="data" h="1" sd="1" m="1" x="7543"/>
        <item t="data" h="1" sd="1" m="1" x="5772"/>
        <item t="data" h="1" sd="1" m="1" x="7353"/>
        <item t="data" h="1" sd="1" m="1" x="7485"/>
        <item t="data" h="1" sd="1" m="1" x="7484"/>
        <item t="data" h="1" sd="1" m="1" x="7483"/>
        <item t="data" h="1" sd="1" x="30"/>
        <item t="data" h="1" sd="1" m="1" x="7354"/>
        <item t="data" h="1" sd="1" m="1" x="7477"/>
        <item t="data" h="1" sd="1" m="1" x="7476"/>
        <item t="data" h="1" sd="1" m="1" x="7475"/>
        <item t="data" h="1" sd="1" m="1" x="7355"/>
        <item t="data" h="1" sd="1" m="1" x="7352"/>
        <item t="data" h="1" sd="1" m="1" x="7351"/>
        <item t="data" h="1" sd="1" m="1" x="3385"/>
        <item t="data" h="1" sd="1" m="1" x="7499"/>
        <item t="data" h="1" sd="1" m="1" x="7508"/>
        <item t="data" h="1" sd="1" m="1" x="7348"/>
        <item t="data" h="1" sd="1" m="1" x="7509"/>
        <item t="data" h="1" sd="1" m="1" x="7350"/>
        <item t="data" h="1" sd="1" m="1" x="6914"/>
        <item t="data" h="1" sd="1" m="1" x="7349"/>
        <item t="data" h="1" sd="1" m="1" x="7518"/>
        <item t="data" h="1" sd="1" m="1" x="7517"/>
        <item t="data" h="1" sd="1" m="1" x="7516"/>
        <item t="data" h="1" sd="1" m="1" x="7514"/>
        <item t="data" h="1" sd="1" m="1" x="7536"/>
        <item t="data" h="1" sd="1" m="1" x="7538"/>
        <item t="data" h="1" sd="1" m="1" x="7345"/>
        <item t="data" h="1" sd="1" m="1" x="7535"/>
        <item t="data" h="1" sd="1" m="1" x="7542"/>
        <item t="data" h="1" sd="1" m="1" x="7541"/>
        <item t="data" h="1" sd="1" m="1" x="7540"/>
        <item t="data" h="1" sd="1" m="1" x="7346"/>
        <item t="data" h="1" sd="1" m="1" x="7528"/>
        <item t="data" h="1" sd="1" m="1" x="7523"/>
        <item t="data" h="1" sd="1" m="1" x="7524"/>
        <item t="data" h="1" sd="1" m="1" x="7347"/>
        <item t="data" h="1" sd="1" m="1" x="7522"/>
        <item t="data" h="1" sd="1" m="1" x="7506"/>
        <item t="data" h="1" sd="1" m="1" x="7507"/>
        <item t="data" h="1" sd="1" m="1" x="7498"/>
        <item t="data" h="1" sd="1" m="1" x="7497"/>
        <item t="data" h="1" sd="1" m="1" x="7503"/>
        <item t="data" h="1" sd="1" m="1" x="7532"/>
        <item t="data" h="1" sd="1" m="1" x="7379"/>
        <item t="data" h="1" sd="1" m="1" x="7383"/>
        <item t="data" h="1" sd="1" m="1" x="505"/>
        <item t="data" h="1" sd="1" m="1" x="6835"/>
        <item t="data" h="1" sd="1" m="1" x="6540"/>
        <item t="data" h="1" sd="1" m="1" x="7513"/>
        <item t="data" h="1" sd="1" m="1" x="7512"/>
        <item t="data" h="1" sd="1" m="1" x="7394"/>
        <item t="data" h="1" sd="1" m="1" x="7387"/>
        <item t="data" h="1" sd="1" m="1" x="2049"/>
        <item t="data" h="1" sd="1" m="1" x="7388"/>
        <item t="data" h="1" sd="1" m="1" x="5590"/>
        <item t="data" h="1" sd="1" m="1" x="7495"/>
        <item t="data" h="1" sd="1" m="1" x="7401"/>
        <item t="data" h="1" sd="1" m="1" x="7400"/>
        <item t="data" h="1" sd="1" m="1" x="5616"/>
        <item t="data" h="1" sd="1" m="1" x="7531"/>
        <item t="data" h="1" sd="1" m="1" x="7530"/>
        <item t="data" h="1" sd="1" m="1" x="7529"/>
        <item t="data" h="1" sd="1" m="1" x="7490"/>
        <item t="data" h="1" sd="1" m="1" x="6494"/>
        <item t="data" h="1" sd="1" m="1" x="7406"/>
        <item t="data" h="1" sd="1" m="1" x="3410"/>
        <item t="data" h="1" sd="1" m="1" x="7487"/>
        <item t="data" h="1" sd="1" m="1" x="5704"/>
        <item t="data" h="1" sd="1" m="1" x="7526"/>
        <item t="data" h="1" sd="1" m="1" x="7510"/>
        <item t="data" h="1" sd="1" m="1" x="7488"/>
        <item t="data" h="1" sd="1" m="1" x="7525"/>
        <item t="data" h="1" sd="1" m="1" x="7496"/>
        <item t="data" h="1" sd="1" m="1" x="6613"/>
        <item t="data" h="1" sd="1" m="1" x="6590"/>
        <item t="data" h="1" sd="1" m="1" x="5722"/>
        <item t="data" h="1" sd="1" m="1" x="7414"/>
        <item t="data" h="1" sd="1" m="1" x="2010"/>
        <item t="data" h="1" sd="1" m="1" x="3954"/>
        <item t="data" h="1" sd="1" m="1" x="7422"/>
        <item t="data" h="1" sd="1" m="1" x="7520"/>
        <item t="data" h="1" sd="1" m="1" x="7418"/>
        <item t="data" h="1" sd="1" m="1" x="7421"/>
        <item t="data" h="1" sd="1" m="1" x="5736"/>
        <item t="data" h="1" sd="1" m="1" x="5735"/>
        <item t="data" h="1" sd="1" m="1" x="5005"/>
        <item t="data" h="1" sd="1" m="1" x="7428"/>
        <item t="data" h="1" sd="1" m="1" x="5744"/>
        <item t="data" h="1" sd="1" m="1" x="5965"/>
        <item t="data" h="1" sd="1" m="1" x="6417"/>
        <item t="data" h="1" sd="1" m="1" x="5006"/>
        <item t="data" h="1" sd="1" m="1" x="5007"/>
        <item t="data" h="1" sd="1" m="1" x="5008"/>
        <item t="data" h="1" sd="1" m="1" x="7193"/>
        <item t="data" h="1" sd="1" m="1" x="7539"/>
        <item t="data" h="1" sd="1" m="1" x="6745"/>
        <item t="data" h="1" sd="1" m="1" x="7432"/>
        <item t="data" h="1" sd="1" m="1" x="7315"/>
        <item t="data" h="1" sd="1" m="1" x="7433"/>
        <item t="data" h="1" sd="1" m="1" x="7434"/>
        <item t="data" h="1" sd="1" m="1" x="7435"/>
        <item t="data" h="1" sd="1" m="1" x="7511"/>
        <item t="data" h="1" sd="1" m="1" x="7436"/>
        <item t="data" h="1" sd="1" m="1" x="6972"/>
        <item t="data" h="1" sd="1" m="1" x="7480"/>
        <item t="data" h="1" sd="1" m="1" x="2568"/>
        <item t="data" h="1" sd="1" m="1" x="7504"/>
        <item t="data" h="1" sd="1" m="1" x="7492"/>
        <item t="data" h="1" sd="1" m="1" x="7491"/>
        <item t="data" h="1" sd="1" x="399"/>
        <item t="data" h="1" sd="1" m="1" x="7448"/>
        <item t="data" h="1" sd="1" m="1" x="7439"/>
        <item t="data" h="1" sd="1" m="1" x="7441"/>
        <item t="data" h="1" sd="1" m="1" x="7455"/>
        <item t="data" h="1" sd="1" m="1" x="7456"/>
        <item t="data" h="1" sd="1" m="1" x="7451"/>
        <item t="data" h="1" sd="1" m="1" x="7521"/>
        <item t="data" h="1" sd="1" m="1" x="7324"/>
        <item t="data" h="1" sd="1" m="1" x="7494"/>
        <item t="data" h="1" sd="1" m="1" x="7493"/>
        <item t="data" h="1" sd="1" m="1" x="5952"/>
        <item t="data" h="1" sd="1" m="1" x="7502"/>
        <item t="data" h="1" sd="1" m="1" x="7469"/>
        <item t="data" h="1" sd="1" m="1" x="7501"/>
        <item t="data" h="1" sd="1" m="1" x="7463"/>
        <item t="data" h="1" sd="1" m="1" x="7464"/>
        <item t="data" h="1" sd="1" m="1" x="6270"/>
        <item t="data" h="1" sd="1" m="1" x="7500"/>
        <item t="data" h="1" sd="1" m="1" x="7462"/>
        <item t="data" h="1" sd="1" m="1" x="3841"/>
        <item t="data" h="1" sd="1" m="1" x="7336"/>
        <item t="data" h="1" sd="1" m="1" x="5840"/>
        <item t="data" h="1" sd="1" m="1" x="5841"/>
        <item t="data" h="1" sd="1" m="1" x="7356"/>
        <item t="data" h="1" sd="1" m="1" x="7357"/>
        <item t="data" h="1" sd="1" m="1" x="7358"/>
        <item t="data" h="1" sd="1" m="1" x="7359"/>
        <item t="data" h="1" sd="1" m="1" x="7361"/>
        <item t="data" h="1" sd="1" m="1" x="7362"/>
        <item t="data" h="1" sd="1" m="1" x="7363"/>
        <item t="data" h="1" sd="1" m="1" x="7364"/>
        <item t="data" h="1" sd="1" m="1" x="7365"/>
        <item t="data" h="1" sd="1" m="1" x="7366"/>
        <item t="data" h="1" sd="1" m="1" x="7367"/>
        <item t="data" h="1" sd="1" m="1" x="7368"/>
        <item t="data" h="1" sd="1" m="1" x="7369"/>
        <item t="data" h="1" sd="1" m="1" x="7370"/>
        <item t="data" h="1" sd="1" m="1" x="7371"/>
        <item t="data" h="1" sd="1" m="1" x="7372"/>
        <item t="data" h="1" sd="1" m="1" x="7373"/>
        <item t="data" h="1" sd="1" m="1" x="7374"/>
        <item t="data" h="1" sd="1" m="1" x="7375"/>
        <item t="data" h="1" sd="1" m="1" x="7376"/>
        <item t="data" h="1" sd="1" m="1" x="7003"/>
        <item t="data" h="1" sd="1" m="1" x="7377"/>
        <item t="data" h="1" sd="1" m="1" x="7273"/>
        <item t="data" h="1" sd="1" m="1" x="7274"/>
        <item t="data" h="1" sd="1" m="1" x="7380"/>
        <item t="data" h="1" sd="1" m="1" x="7381"/>
        <item t="data" h="1" sd="1" m="1" x="7382"/>
        <item t="data" h="1" sd="1" m="1" x="7384"/>
        <item t="data" h="1" sd="1" m="1" x="7386"/>
        <item t="data" h="1" sd="1" m="1" x="6544"/>
        <item t="data" h="1" sd="1" m="1" x="6543"/>
        <item t="data" h="1" sd="1" m="1" x="7281"/>
        <item t="data" h="1" sd="1" m="1" x="7282"/>
        <item t="data" h="1" sd="1" m="1" x="7280"/>
        <item t="data" h="1" sd="1" m="1" x="4990"/>
        <item t="data" h="1" sd="1" m="1" x="7287"/>
        <item t="data" h="1" sd="1" m="1" x="6836"/>
        <item t="data" h="1" sd="1" m="1" x="4989"/>
        <item t="data" h="1" sd="1" m="1" x="3485"/>
        <item t="data" h="1" sd="1" m="1" x="6971"/>
        <item t="data" h="1" sd="1" m="1" x="6974"/>
        <item t="data" h="1" sd="1" m="1" x="7389"/>
        <item t="data" h="1" sd="1" m="1" x="7391"/>
        <item t="data" h="1" sd="1" m="1" x="7288"/>
        <item t="data" h="1" sd="1" m="1" x="4946"/>
        <item t="data" h="1" sd="1" m="1" x="4949"/>
        <item t="data" h="1" sd="1" m="1" x="4948"/>
        <item t="data" h="1" sd="1" m="1" x="7397"/>
        <item t="data" h="1" sd="1" m="1" x="7398"/>
        <item t="data" h="1" sd="1" m="1" x="6965"/>
        <item t="data" h="1" sd="1" m="1" x="5596"/>
        <item t="data" h="1" sd="1" m="1" x="7399"/>
        <item t="data" h="1" sd="1" m="1" x="3605"/>
        <item t="data" h="1" sd="1" m="1" x="6966"/>
        <item t="data" h="1" sd="1" m="1" x="6967"/>
        <item t="data" h="1" sd="1" m="1" x="7291"/>
        <item t="data" h="1" sd="1" m="1" x="5659"/>
        <item t="data" h="1" sd="1" m="1" x="5658"/>
        <item t="data" h="1" sd="1" m="1" x="5650"/>
        <item t="data" h="1" sd="1" m="1" x="5656"/>
        <item t="data" h="1" sd="1" m="1" x="5657"/>
        <item t="data" h="1" sd="1" m="1" x="5644"/>
        <item t="data" h="1" sd="1" m="1" x="5645"/>
        <item t="data" h="1" sd="1" m="1" x="5670"/>
        <item t="data" h="1" sd="1" m="1" x="5662"/>
        <item t="data" h="1" sd="1" m="1" x="5663"/>
        <item t="data" h="1" sd="1" m="1" x="5661"/>
        <item t="data" h="1" sd="1" m="1" x="5664"/>
        <item t="data" h="1" sd="1" m="1" x="5665"/>
        <item t="data" h="1" sd="1" m="1" x="5660"/>
        <item t="data" h="1" sd="1" m="1" x="5625"/>
        <item t="data" h="1" sd="1" m="1" x="5629"/>
        <item t="data" h="1" sd="1" m="1" x="5626"/>
        <item t="data" h="1" sd="1" m="1" x="5627"/>
        <item t="data" h="1" sd="1" m="1" x="5628"/>
        <item t="data" h="1" sd="1" m="1" x="5630"/>
        <item t="data" h="1" sd="1" m="1" x="5631"/>
        <item t="data" h="1" sd="1" m="1" x="5632"/>
        <item t="data" h="1" sd="1" m="1" x="6968"/>
        <item t="data" h="1" sd="1" m="1" x="7403"/>
        <item t="data" h="1" sd="1" m="1" x="7404"/>
        <item t="data" h="1" sd="1" m="1" x="7405"/>
        <item t="data" h="1" sd="1" m="1" x="5703"/>
        <item t="data" h="1" sd="1" m="1" x="7410"/>
        <item t="data" h="1" sd="1" m="1" x="7411"/>
        <item t="data" h="1" sd="1" m="1" x="7412"/>
        <item t="data" h="1" sd="1" m="1" x="5721"/>
        <item t="data" h="1" sd="1" m="1" x="6409"/>
        <item t="data" h="1" sd="1" m="1" x="6410"/>
        <item t="data" h="1" sd="1" m="1" x="7423"/>
        <item t="data" h="1" sd="1" m="1" x="7425"/>
        <item t="data" h="1" sd="1" m="1" x="7301"/>
        <item t="data" h="1" sd="1" m="1" x="7426"/>
        <item t="data" h="1" sd="1" m="1" x="7427"/>
        <item t="data" h="1" sd="1" m="1" x="5734"/>
        <item t="data" h="1" sd="1" m="1" x="5958"/>
        <item t="data" h="1" sd="1" m="1" x="7429"/>
        <item t="data" h="1" sd="1" m="1" x="6211"/>
        <item t="data" h="1" sd="1" m="1" x="6116"/>
        <item t="data" h="1" sd="1" m="1" x="7308"/>
        <item t="data" h="1" sd="1" m="1" x="7188"/>
        <item t="data" h="1" sd="1" m="1" x="7189"/>
        <item t="data" h="1" sd="1" m="1" x="6746"/>
        <item t="data" h="1" sd="1" m="1" x="7438"/>
        <item t="data" h="1" sd="1" m="1" x="7446"/>
        <item t="data" h="1" sd="1" m="1" x="7447"/>
        <item t="data" h="1" sd="1" m="1" x="7452"/>
        <item t="data" h="1" sd="1" m="1" x="7457"/>
        <item t="data" h="1" sd="1" m="1" x="6012"/>
        <item t="data" h="1" sd="1" m="1" x="1836"/>
        <item t="data" h="1" sd="1" m="1" x="7323"/>
        <item t="data" h="1" sd="1" m="1" x="7327"/>
        <item t="data" h="1" sd="1" m="1" x="7460"/>
        <item t="data" h="1" sd="1" m="1" x="6675"/>
        <item t="data" h="1" sd="1" m="1" x="7468"/>
        <item t="data" h="1" sd="1" m="1" x="7215"/>
        <item t="data" h="1" sd="1" m="1" x="7222"/>
        <item t="data" h="1" sd="1" m="1" x="7223"/>
        <item t="data" h="1" sd="1" m="1" x="7224"/>
        <item t="data" h="1" sd="1" m="1" x="7225"/>
        <item t="data" h="1" sd="1" m="1" x="7226"/>
        <item t="data" h="1" sd="1" m="1" x="7227"/>
        <item t="data" h="1" sd="1" m="1" x="1453"/>
        <item t="data" h="1" sd="1" m="1" x="7228"/>
        <item t="data" h="1" sd="1" m="1" x="7229"/>
        <item t="data" h="1" sd="1" m="1" x="7230"/>
        <item t="data" h="1" sd="1" m="1" x="7232"/>
        <item t="data" h="1" sd="1" m="1" x="7233"/>
        <item t="data" h="1" sd="1" m="1" x="7234"/>
        <item t="data" h="1" sd="1" m="1" x="7236"/>
        <item t="data" h="1" sd="1" m="1" x="7237"/>
        <item t="data" h="1" sd="1" m="1" x="6861"/>
        <item t="data" h="1" sd="1" m="1" x="7238"/>
        <item t="data" h="1" sd="1" m="1" x="7239"/>
        <item t="data" h="1" sd="1" m="1" x="7240"/>
        <item t="data" h="1" sd="1" m="1" x="7241"/>
        <item t="data" h="1" sd="1" m="1" x="7247"/>
        <item t="data" h="1" sd="1" m="1" x="7248"/>
        <item t="data" h="1" sd="1" m="1" x="7249"/>
        <item t="data" h="1" sd="1" m="1" x="7250"/>
        <item t="data" h="1" sd="1" m="1" x="7251"/>
        <item t="data" h="1" sd="1" m="1" x="7252"/>
        <item t="data" h="1" sd="1" m="1" x="7253"/>
        <item t="data" h="1" sd="1" m="1" x="7255"/>
        <item t="data" h="1" sd="1" m="1" x="7256"/>
        <item t="data" h="1" sd="1" m="1" x="7257"/>
        <item t="data" h="1" sd="1" m="1" x="7258"/>
        <item t="data" h="1" sd="1" m="1" x="7259"/>
        <item t="data" h="1" sd="1" m="1" x="7260"/>
        <item t="data" h="1" sd="1" m="1" x="7261"/>
        <item t="data" h="1" sd="1" m="1" x="7262"/>
        <item t="data" h="1" sd="1" m="1" x="7263"/>
        <item t="data" h="1" sd="1" m="1" x="7264"/>
        <item t="data" h="1" sd="1" m="1" x="7265"/>
        <item t="data" h="1" sd="1" m="1" x="7266"/>
        <item t="data" h="1" sd="1" m="1" x="7267"/>
        <item t="data" h="1" sd="1" m="1" x="7269"/>
        <item t="data" h="1" sd="1" m="1" x="7270"/>
        <item t="data" h="1" sd="1" m="1" x="7272"/>
        <item t="data" h="1" sd="1" m="1" x="7276"/>
        <item t="data" h="1" sd="1" m="1" x="5395"/>
        <item t="data" h="1" sd="1" m="1" x="7277"/>
        <item t="data" h="1" sd="1" m="1" x="7278"/>
        <item t="data" h="1" sd="1" m="1" x="7279"/>
        <item t="data" h="1" sd="1" m="1" x="7283"/>
        <item t="data" h="1" sd="1" m="1" x="7284"/>
        <item t="data" h="1" sd="1" m="1" x="7286"/>
        <item t="data" h="1" sd="1" m="1" x="6983"/>
        <item t="data" h="1" sd="1" m="1" x="7154"/>
        <item t="data" h="1" sd="1" m="1" x="6542"/>
        <item t="data" h="1" sd="1" m="1" x="7156"/>
        <item t="data" h="1" sd="1" m="1" x="7289"/>
        <item t="data" h="1" sd="1" m="1" x="7290"/>
        <item t="data" h="1" sd="1" m="1" x="6541"/>
        <item t="data" h="1" sd="1" m="1" x="6977"/>
        <item t="data" h="1" sd="1" m="1" x="6978"/>
        <item t="data" h="1" sd="1" m="1" x="6979"/>
        <item t="data" h="1" sd="1" m="1" x="6980"/>
        <item t="data" h="1" sd="1" m="1" x="7158"/>
        <item t="data" h="1" sd="1" m="1" x="7159"/>
        <item t="data" h="1" sd="1" m="1" x="6981"/>
        <item t="data" h="1" sd="1" m="1" x="5623"/>
        <item t="data" h="1" sd="1" m="1" x="5624"/>
        <item t="data" h="1" sd="1" m="1" x="5620"/>
        <item t="data" h="1" sd="1" m="1" x="5621"/>
        <item t="data" h="1" sd="1" m="1" x="5622"/>
        <item t="data" h="1" sd="1" m="1" x="7293"/>
        <item t="data" h="1" sd="1" m="1" x="7294"/>
        <item t="data" h="1" sd="1" m="1" x="6747"/>
        <item t="data" h="1" sd="1" m="1" x="7295"/>
        <item t="data" h="1" sd="1" m="1" x="7296"/>
        <item t="data" h="1" sd="1" m="1" x="7297"/>
        <item t="data" h="1" sd="1" m="1" x="2506"/>
        <item t="data" h="1" sd="1" m="1" x="7298"/>
        <item t="data" h="1" sd="1" m="1" x="7299"/>
        <item t="data" h="1" sd="1" m="1" x="5702"/>
        <item t="data" h="1" sd="1" m="1" x="3256"/>
        <item t="data" h="1" sd="1" m="1" x="7173"/>
        <item t="data" h="1" sd="1" m="1" x="7176"/>
        <item t="data" h="1" sd="1" m="1" x="7300"/>
        <item t="data" h="1" sd="1" m="1" x="6847"/>
        <item t="data" h="1" sd="1" m="1" x="497"/>
        <item t="data" h="1" sd="1" m="1" x="3265"/>
        <item t="data" h="1" sd="1" m="1" x="7181"/>
        <item t="data" h="1" sd="1" m="1" x="7182"/>
        <item t="data" h="1" sd="1" m="1" x="7183"/>
        <item t="data" h="1" sd="1" m="1" x="7184"/>
        <item t="data" h="1" sd="1" m="1" x="7306"/>
        <item t="data" h="1" sd="1" m="1" x="6241"/>
        <item t="data" h="1" sd="1" m="1" x="7310"/>
        <item t="data" h="1" sd="1" m="1" x="7311"/>
        <item t="data" h="1" sd="1" m="1" x="7314"/>
        <item t="data" h="1" sd="1" m="1" x="7316"/>
        <item t="data" h="1" sd="1" m="1" x="7318"/>
        <item t="data" h="1" sd="1" m="1" x="7319"/>
        <item t="data" h="1" sd="1" m="1" x="7320"/>
        <item t="data" h="1" sd="1" m="1" x="1711"/>
        <item t="data" h="1" sd="1" m="1" x="7208"/>
        <item t="data" h="1" sd="1" m="1" x="6996"/>
        <item t="data" h="1" sd="1" m="1" x="7210"/>
        <item t="data" h="1" sd="1" m="1" x="1634"/>
        <item t="data" h="1" sd="1" m="1" x="5181"/>
        <item t="data" h="1" sd="1" m="1" x="6013"/>
        <item t="data" h="1" sd="1" m="1" x="7328"/>
        <item t="data" h="1" sd="1" m="1" x="7329"/>
        <item t="data" h="1" sd="1" m="1" x="7330"/>
        <item t="data" h="1" sd="1" m="1" x="7331"/>
        <item t="data" h="1" sd="1" m="1" x="7332"/>
        <item t="data" h="1" sd="1" m="1" x="6267"/>
        <item t="data" h="1" sd="1" m="1" x="7221"/>
        <item t="data" h="1" sd="1" m="1" x="5835"/>
        <item t="data" h="1" sd="1" m="1" x="7214"/>
        <item t="data" h="1" sd="1" m="1" x="6991"/>
        <item t="data" h="1" sd="1" m="1" x="7220"/>
        <item t="data" h="1" sd="1" m="1" x="7216"/>
        <item t="data" h="1" sd="1" m="1" x="6506"/>
        <item t="data" h="1" sd="1" m="1" x="6507"/>
        <item t="data" h="1" sd="1" m="1" x="7007"/>
        <item t="data" h="1" sd="1" m="1" x="7090"/>
        <item t="data" h="1" sd="1" m="1" x="5156"/>
        <item t="data" h="1" sd="1" m="1" x="7091"/>
        <item t="data" h="1" sd="1" m="1" x="7092"/>
        <item t="data" h="1" sd="1" m="1" x="7094"/>
        <item t="data" h="1" sd="1" m="1" x="7095"/>
        <item t="data" h="1" sd="1" m="1" x="7096"/>
        <item t="data" h="1" sd="1" m="1" x="7097"/>
        <item t="data" h="1" sd="1" m="1" x="7098"/>
        <item t="data" h="1" sd="1" m="1" x="7099"/>
        <item t="data" h="1" sd="1" m="1" x="7100"/>
        <item t="data" h="1" sd="1" m="1" x="7101"/>
        <item t="data" h="1" sd="1" m="1" x="7102"/>
        <item t="data" h="1" sd="1" m="1" x="7103"/>
        <item t="data" h="1" sd="1" m="1" x="5512"/>
        <item t="data" h="1" sd="1" m="1" x="6755"/>
        <item t="data" h="1" sd="1" m="1" x="7104"/>
        <item t="data" h="1" sd="1" m="1" x="7105"/>
        <item t="data" h="1" sd="1" m="1" x="7106"/>
        <item t="data" h="1" sd="1" m="1" x="7107"/>
        <item t="data" h="1" sd="1" m="1" x="6428"/>
        <item t="data" h="1" sd="1" m="1" x="6429"/>
        <item t="data" h="1" sd="1" m="1" x="6183"/>
        <item t="data" h="1" sd="1" m="1" x="7108"/>
        <item t="data" h="1" sd="1" m="1" x="6843"/>
        <item t="data" h="1" sd="1" m="1" x="7109"/>
        <item t="data" h="1" sd="1" m="1" x="7110"/>
        <item t="data" h="1" sd="1" m="1" x="6863"/>
        <item t="data" h="1" sd="1" m="1" x="7111"/>
        <item t="data" h="1" sd="1" m="1" x="7112"/>
        <item t="data" h="1" sd="1" m="1" x="7113"/>
        <item t="data" h="1" sd="1" m="1" x="7114"/>
        <item t="data" h="1" sd="1" m="1" x="6760"/>
        <item t="data" h="1" sd="1" m="1" x="7115"/>
        <item t="data" h="1" sd="1" m="1" x="7116"/>
        <item t="data" h="1" sd="1" m="1" x="7117"/>
        <item t="data" h="1" sd="1" m="1" x="7118"/>
        <item t="data" h="1" sd="1" m="1" x="7119"/>
        <item t="data" h="1" sd="1" m="1" x="7120"/>
        <item t="data" h="1" sd="1" m="1" x="7121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129"/>
        <item t="data" h="1" sd="1" m="1" x="7130"/>
        <item t="data" h="1" sd="1" m="1" x="7131"/>
        <item t="data" h="1" sd="1" m="1" x="7133"/>
        <item t="data" h="1" sd="1" m="1" x="7134"/>
        <item t="data" h="1" sd="1" m="1" x="7000"/>
        <item t="data" h="1" sd="1" m="1" x="7135"/>
        <item t="data" h="1" sd="1" m="1" x="7136"/>
        <item t="data" h="1" sd="1" m="1" x="7001"/>
        <item t="data" h="1" sd="1" m="1" x="7137"/>
        <item t="data" h="1" sd="1" m="1" x="7138"/>
        <item t="data" h="1" sd="1" m="1" x="7139"/>
        <item t="data" h="1" sd="1" x="312"/>
        <item t="data" h="1" sd="1" m="1" x="7005"/>
        <item t="data" h="1" sd="1" m="1" x="7004"/>
        <item t="data" h="1" sd="1" m="1" x="7140"/>
        <item t="data" h="1" sd="1" m="1" x="582"/>
        <item t="data" h="1" sd="1" m="1" x="7141"/>
        <item t="data" h="1" sd="1" m="1" x="7142"/>
        <item t="data" h="1" sd="1" m="1" x="6838"/>
        <item t="data" h="1" sd="1" m="1" x="7143"/>
        <item t="data" h="1" sd="1" m="1" x="7144"/>
        <item t="data" h="1" sd="1" m="1" x="7145"/>
        <item t="data" h="1" sd="1" m="1" x="7146"/>
        <item t="data" h="1" sd="1" m="1" x="5571"/>
        <item t="data" h="1" sd="1" m="1" x="5570"/>
        <item t="data" h="1" sd="1" m="1" x="5569"/>
        <item t="data" h="1" sd="1" m="1" x="7006"/>
        <item t="data" h="1" sd="1" m="1" x="7147"/>
        <item t="data" h="1" sd="1" m="1" x="7148"/>
        <item t="data" h="1" sd="1" m="1" x="5575"/>
        <item t="data" h="1" sd="1" m="1" x="7151"/>
        <item t="data" h="1" sd="1" m="1" x="7152"/>
        <item t="data" h="1" sd="1" m="1" x="6844"/>
        <item t="data" h="1" sd="1" m="1" x="7155"/>
        <item t="data" h="1" sd="1" m="1" x="5858"/>
        <item t="data" h="1" sd="1" m="1" x="7157"/>
        <item t="data" h="1" sd="1" m="1" x="4947"/>
        <item t="data" h="1" sd="1" m="1" x="7160"/>
        <item t="data" h="1" sd="1" m="1" x="7161"/>
        <item t="data" h="1" sd="1" m="1" x="7162"/>
        <item t="data" h="1" sd="1" m="1" x="7163"/>
        <item t="data" h="1" sd="1" m="1" x="7164"/>
        <item t="data" h="1" sd="1" m="1" x="6853"/>
        <item t="data" h="1" sd="1" m="1" x="4679"/>
        <item t="data" h="1" sd="1" m="1" x="7166"/>
        <item t="data" h="1" sd="1" m="1" x="7167"/>
        <item t="data" h="1" sd="1" m="1" x="5667"/>
        <item t="data" h="1" sd="1" m="1" x="5651"/>
        <item t="data" h="1" sd="1" m="1" x="5652"/>
        <item t="data" h="1" sd="1" m="1" x="7168"/>
        <item t="data" h="1" sd="1" m="1" x="6839"/>
        <item t="data" h="1" sd="1" m="1" x="7169"/>
        <item t="data" h="1" sd="1" m="1" x="6976"/>
        <item t="data" h="1" sd="1" m="1" x="7170"/>
        <item t="data" h="1" sd="1" m="1" x="6545"/>
        <item t="data" h="1" sd="1" m="1" x="7171"/>
        <item t="data" h="1" sd="1" m="1" x="7172"/>
        <item t="data" h="1" sd="1" m="1" x="6758"/>
        <item t="data" h="1" sd="1" m="1" x="7008"/>
        <item t="data" h="1" sd="1" m="1" x="7174"/>
        <item t="data" h="1" sd="1" m="1" x="7175"/>
        <item t="data" h="1" sd="1" m="1" x="7177"/>
        <item t="data" h="1" sd="1" m="1" x="6846"/>
        <item t="data" h="1" sd="1" m="1" x="6464"/>
        <item t="data" h="1" sd="1" m="1" x="5731"/>
        <item t="data" h="1" sd="1" m="1" x="7180"/>
        <item t="data" h="1" sd="1" m="1" x="7195"/>
        <item t="data" h="1" sd="1" m="1" x="6416"/>
        <item t="data" h="1" sd="1" m="1" x="7197"/>
        <item t="data" h="1" sd="1" m="1" x="5157"/>
        <item t="data" h="1" sd="1" m="1" x="7198"/>
        <item t="data" h="1" sd="1" m="1" x="6984"/>
        <item t="data" h="1" sd="1" m="1" x="7199"/>
        <item t="data" h="1" sd="1" m="1" x="6985"/>
        <item t="data" h="1" sd="1" m="1" x="6986"/>
        <item t="data" h="1" sd="1" m="1" x="6023"/>
        <item t="data" h="1" sd="1" m="1" x="7200"/>
        <item t="data" h="1" sd="1" m="1" x="7201"/>
        <item t="data" h="1" sd="1" m="1" x="7202"/>
        <item t="data" h="1" sd="1" m="1" x="7203"/>
        <item t="data" h="1" sd="1" m="1" x="7204"/>
        <item t="data" h="1" sd="1" m="1" x="7205"/>
        <item t="data" h="1" sd="1" m="1" x="1028"/>
        <item t="data" h="1" sd="1" m="1" x="7206"/>
        <item t="data" h="1" sd="1" m="1" x="7207"/>
        <item t="data" h="1" sd="1" m="1" x="7211"/>
        <item t="data" h="1" sd="1" m="1" x="7212"/>
        <item t="data" h="1" sd="1" m="1" x="6987"/>
        <item t="data" h="1" sd="1" m="1" x="6850"/>
        <item t="data" h="1" sd="1" m="1" x="7213"/>
        <item t="data" h="1" sd="1" m="1" x="1816"/>
        <item t="data" h="1" sd="1" m="1" x="6849"/>
        <item t="data" h="1" sd="1" m="1" x="6848"/>
        <item t="data" h="1" sd="1" m="1" x="6495"/>
        <item t="data" h="1" sd="1" m="1" x="6496"/>
        <item t="data" h="1" sd="1" m="1" x="6990"/>
        <item t="data" h="1" sd="1" m="1" x="6025"/>
        <item t="data" h="1" sd="1" m="1" x="6018"/>
        <item t="data" h="1" sd="1" m="1" x="7217"/>
        <item t="data" h="1" sd="1" m="1" x="7218"/>
        <item t="data" h="1" sd="1" m="1" x="7219"/>
        <item t="data" h="1" sd="1" m="1" x="2098"/>
        <item t="data" h="1" sd="1" m="1" x="6459"/>
        <item t="data" h="1" sd="1" m="1" x="4967"/>
        <item t="data" h="1" sd="1" m="1" x="6213"/>
        <item t="data" h="1" sd="1" m="1" x="6122"/>
        <item t="data" h="1" sd="1" m="1" x="6841"/>
        <item t="data" h="1" sd="1" m="1" x="6123"/>
        <item t="data" h="1" sd="1" m="1" x="6559"/>
        <item t="data" h="1" sd="1" m="1" x="6124"/>
        <item t="data" h="1" sd="1" m="1" x="6988"/>
        <item t="data" h="1" sd="1" m="1" x="6989"/>
        <item t="data" h="1" sd="1" m="1" x="6992"/>
        <item t="data" h="1" sd="1" m="1" x="6993"/>
        <item t="data" h="1" sd="1" m="1" x="6994"/>
        <item t="data" h="1" sd="1" m="1" x="6995"/>
        <item t="data" h="1" sd="1" m="1" x="6855"/>
        <item t="data" h="1" sd="1" m="1" x="6316"/>
        <item t="data" h="1" sd="1" m="1" x="5087"/>
        <item t="data" h="1" sd="1" m="1" x="5747"/>
        <item t="data" h="1" sd="1" m="1" x="5742"/>
        <item t="data" h="1" sd="1" m="1" x="5746"/>
        <item t="data" h="1" sd="1" m="1" x="6997"/>
        <item t="data" h="1" sd="1" m="1" x="6999"/>
        <item t="data" h="1" sd="1" m="1" x="5741"/>
        <item t="data" h="1" sd="1" m="1" x="6705"/>
        <item t="data" h="1" sd="1" m="1" x="6867"/>
        <item t="data" h="1" sd="1" m="1" x="6866"/>
        <item t="data" h="1" sd="1" m="1" x="7002"/>
        <item t="data" h="1" sd="1" m="1" x="5172"/>
        <item t="data" h="1" sd="1" m="1" x="6210"/>
        <item t="data" h="1" sd="1" m="1" x="6209"/>
        <item t="data" h="1" sd="1" m="1" x="6442"/>
        <item t="data" h="1" sd="1" m="1" x="7009"/>
        <item t="data" h="1" sd="1" m="1" x="7010"/>
        <item t="data" h="1" sd="1" m="1" x="7011"/>
        <item t="data" h="1" sd="1" m="1" x="1822"/>
        <item t="data" h="1" sd="1" m="1" x="7013"/>
        <item t="data" h="1" sd="1" m="1" x="7014"/>
        <item t="data" h="1" sd="1" m="1" x="7016"/>
        <item t="data" h="1" sd="1" m="1" x="7017"/>
        <item t="data" h="1" sd="1" m="1" x="6548"/>
        <item t="data" h="1" sd="1" m="1" x="7018"/>
        <item t="data" h="1" sd="1" m="1" x="5562"/>
        <item t="data" h="1" sd="1" m="1" x="7019"/>
        <item t="data" h="1" sd="1" m="1" x="7020"/>
        <item t="data" h="1" sd="1" m="1" x="6840"/>
        <item t="data" h="1" sd="1" m="1" x="7021"/>
        <item t="data" h="1" sd="1" m="1" x="7024"/>
        <item t="data" h="1" sd="1" m="1" x="2863"/>
        <item t="data" h="1" sd="1" m="1" x="7025"/>
        <item t="data" h="1" sd="1" m="1" x="6551"/>
        <item t="data" h="1" sd="1" m="1" x="6552"/>
        <item t="data" h="1" sd="1" m="1" x="6553"/>
        <item t="data" h="1" sd="1" m="1" x="6554"/>
        <item t="data" h="1" sd="1" m="1" x="7026"/>
        <item t="data" h="1" sd="1" m="1" x="6556"/>
        <item t="data" h="1" sd="1" m="1" x="7027"/>
        <item t="data" h="1" sd="1" m="1" x="7028"/>
        <item t="data" h="1" sd="1" m="1" x="6842"/>
        <item t="data" h="1" sd="1" m="1" x="6557"/>
        <item t="data" h="1" sd="1" m="1" x="6558"/>
        <item t="data" h="1" sd="1" m="1" x="7029"/>
        <item t="data" h="1" sd="1" m="1" x="7030"/>
        <item t="data" h="1" sd="1" m="1" x="6752"/>
        <item t="data" h="1" sd="1" m="1" x="6753"/>
        <item t="data" h="1" sd="1" m="1" x="6771"/>
        <item t="data" h="1" sd="1" m="1" x="7031"/>
        <item t="data" h="1" sd="1" m="1" x="4991"/>
        <item t="data" h="1" sd="1" m="1" x="7032"/>
        <item t="data" h="1" sd="1" m="1" x="7033"/>
        <item t="data" h="1" sd="1" m="1" x="6414"/>
        <item t="data" h="1" sd="1" m="1" x="7034"/>
        <item t="data" h="1" sd="1" m="1" x="7035"/>
        <item t="data" h="1" sd="1" m="1" x="7036"/>
        <item t="data" h="1" sd="1" m="1" x="7037"/>
        <item t="data" h="1" sd="1" m="1" x="7038"/>
        <item t="data" h="1" sd="1" m="1" x="5401"/>
        <item t="data" h="1" sd="1" m="1" x="7039"/>
        <item t="data" h="1" sd="1" m="1" x="7041"/>
        <item t="data" h="1" sd="1" m="1" x="7042"/>
        <item t="data" h="1" sd="1" m="1" x="7043"/>
        <item t="data" h="1" sd="1" m="1" x="7044"/>
        <item t="data" h="1" sd="1" m="1" x="7045"/>
        <item t="data" h="1" sd="1" m="1" x="5970"/>
        <item t="data" h="1" sd="1" m="1" x="7046"/>
        <item t="data" h="1" sd="1" m="1" x="7047"/>
        <item t="data" h="1" sd="1" m="1" x="7048"/>
        <item t="data" h="1" sd="1" m="1" x="6868"/>
        <item t="data" h="1" sd="1" m="1" x="7049"/>
        <item t="data" h="1" sd="1" m="1" x="7050"/>
        <item t="data" h="1" sd="1" m="1" x="7051"/>
        <item t="data" h="1" sd="1" m="1" x="7052"/>
        <item t="data" h="1" sd="1" m="1" x="7053"/>
        <item t="data" h="1" sd="1" m="1" x="6750"/>
        <item t="data" h="1" sd="1" m="1" x="7054"/>
        <item t="data" h="1" sd="1" m="1" x="6854"/>
        <item t="data" h="1" sd="1" m="1" x="6857"/>
        <item t="data" h="1" sd="1" m="1" x="6856"/>
        <item t="data" h="1" sd="1" m="1" x="6757"/>
        <item t="data" h="1" sd="1" m="1" x="6859"/>
        <item t="data" h="1" sd="1" m="1" x="5672"/>
        <item t="data" h="1" sd="1" m="1" x="5567"/>
        <item t="data" h="1" sd="1" m="1" x="5566"/>
        <item t="data" h="1" sd="1" m="1" x="5771"/>
        <item t="data" h="1" sd="1" m="1" x="6862"/>
        <item t="data" h="1" sd="1" m="1" x="7055"/>
        <item t="data" h="1" sd="1" m="1" x="5617"/>
        <item t="data" h="1" sd="1" m="1" x="5618"/>
        <item t="data" h="1" sd="1" m="1" x="6173"/>
        <item t="data" h="1" sd="1" m="1" x="7056"/>
        <item t="data" h="1" sd="1" m="1" x="7058"/>
        <item t="data" h="1" sd="1" m="1" x="2676"/>
        <item t="data" h="1" sd="1" m="1" x="7059"/>
        <item t="data" h="1" sd="1" m="1" x="5619"/>
        <item t="data" h="1" sd="1" m="1" x="6337"/>
        <item t="data" h="1" sd="1" m="1" x="7060"/>
        <item t="data" h="1" sd="1" m="1" x="6513"/>
        <item t="data" h="1" sd="1" m="1" x="5752"/>
        <item t="data" h="1" sd="1" m="1" x="7061"/>
        <item t="data" h="1" sd="1" m="1" x="6346"/>
        <item t="data" h="1" sd="1" m="1" x="6347"/>
        <item t="data" h="1" sd="1" m="1" x="6348"/>
        <item t="data" h="1" sd="1" m="1" x="6350"/>
        <item t="data" h="1" sd="1" m="1" x="6351"/>
        <item t="data" h="1" sd="1" m="1" x="7062"/>
        <item t="data" h="1" sd="1" m="1" x="7063"/>
        <item t="data" h="1" sd="1" m="1" x="6354"/>
        <item t="data" h="1" sd="1" m="1" x="6359"/>
        <item t="data" h="1" sd="1" m="1" x="6357"/>
        <item t="data" h="1" sd="1" m="1" x="6358"/>
        <item t="data" h="1" sd="1" m="1" x="6355"/>
        <item t="data" h="1" sd="1" m="1" x="6356"/>
        <item t="data" h="1" sd="1" m="1" x="7064"/>
        <item t="data" h="1" sd="1" m="1" x="6761"/>
        <item t="data" h="1" sd="1" m="1" x="864"/>
        <item t="data" h="1" sd="1" m="1" x="7065"/>
        <item t="data" h="1" sd="1" m="1" x="7066"/>
        <item t="data" h="1" sd="1" m="1" x="7067"/>
        <item t="data" h="1" sd="1" m="1" x="7068"/>
        <item t="data" h="1" sd="1" m="1" x="6865"/>
        <item t="data" h="1" sd="1" m="1" x="6864"/>
        <item t="data" h="1" sd="1" m="1" x="7069"/>
        <item t="data" h="1" sd="1" m="1" x="6374"/>
        <item t="data" h="1" sd="1" m="1" x="7070"/>
        <item t="data" h="1" sd="1" m="1" x="6570"/>
        <item t="data" h="1" sd="1" m="1" x="6572"/>
        <item t="data" h="1" sd="1" m="1" x="6571"/>
        <item t="data" h="1" sd="1" m="1" x="6953"/>
        <item t="data" h="1" sd="1" m="1" x="1706"/>
        <item t="data" h="1" sd="1" m="1" x="5873"/>
        <item t="data" h="1" sd="1" m="1" x="7073"/>
        <item t="data" h="1" sd="1" m="1" x="7074"/>
        <item t="data" h="1" sd="1" m="1" x="7075"/>
        <item t="data" h="1" sd="1" m="1" x="7076"/>
        <item t="data" h="1" sd="1" m="1" x="1305"/>
        <item t="data" h="1" sd="1" m="1" x="7078"/>
        <item t="data" h="1" sd="1" m="1" x="5684"/>
        <item t="data" h="1" sd="1" m="1" x="7079"/>
        <item t="data" h="1" sd="1" m="1" x="7080"/>
        <item t="data" h="1" sd="1" m="1" x="7081"/>
        <item t="data" h="1" sd="1" m="1" x="7082"/>
        <item t="data" h="1" sd="1" m="1" x="7083"/>
        <item t="data" h="1" sd="1" m="1" x="7084"/>
        <item t="data" h="1" sd="1" m="1" x="6943"/>
        <item t="data" h="1" sd="1" m="1" x="7085"/>
        <item t="data" h="1" sd="1" m="1" x="7086"/>
        <item t="data" h="1" sd="1" m="1" x="7087"/>
        <item t="data" h="1" sd="1" m="1" x="7088"/>
        <item t="data" h="1" sd="1" m="1" x="1082"/>
        <item t="data" h="1" sd="1" m="1" x="7089"/>
        <item t="data" h="1" sd="1" m="1" x="5319"/>
        <item t="data" h="1" sd="1" m="1" x="6858"/>
        <item t="data" h="1" sd="1" m="1" x="6869"/>
        <item t="data" h="1" sd="1" m="1" x="6870"/>
        <item t="data" h="1" sd="1" m="1" x="4923"/>
        <item t="data" h="1" sd="1" m="1" x="6871"/>
        <item t="data" h="1" sd="1" m="1" x="6872"/>
        <item t="data" h="1" sd="1" m="1" x="6873"/>
        <item t="data" h="1" sd="1" m="1" x="6748"/>
        <item t="data" h="1" sd="1" m="1" x="6874"/>
        <item t="data" h="1" sd="1" m="1" x="6706"/>
        <item t="data" h="1" sd="1" m="1" x="4968"/>
        <item t="data" h="1" sd="1" m="1" x="6876"/>
        <item t="data" h="1" sd="1" m="1" x="6877"/>
        <item t="data" h="1" sd="1" m="1" x="6878"/>
        <item t="data" h="1" sd="1" m="1" x="6879"/>
        <item t="data" h="1" sd="1" m="1" x="6455"/>
        <item t="data" h="1" sd="1" m="1" x="6881"/>
        <item t="data" h="1" sd="1" m="1" x="6882"/>
        <item t="data" h="1" sd="1" m="1" x="6883"/>
        <item t="data" h="1" sd="1" m="1" x="6884"/>
        <item t="data" h="1" sd="1" m="1" x="6886"/>
        <item t="data" h="1" sd="1" m="1" x="6749"/>
        <item t="data" h="1" sd="1" m="1" x="6779"/>
        <item t="data" h="1" sd="1" m="1" x="6560"/>
        <item t="data" h="1" sd="1" m="1" x="6887"/>
        <item t="data" h="1" sd="1" m="1" x="6888"/>
        <item t="data" h="1" sd="1" m="1" x="6889"/>
        <item t="data" h="1" sd="1" m="1" x="6890"/>
        <item t="data" h="1" sd="1" m="1" x="6891"/>
        <item t="data" h="1" sd="1" m="1" x="6892"/>
        <item t="data" h="1" sd="1" m="1" x="6893"/>
        <item t="data" h="1" sd="1" m="1" x="1903"/>
        <item t="data" h="1" sd="1" m="1" x="4496"/>
        <item t="data" h="1" sd="1" m="1" x="6894"/>
        <item t="data" h="1" sd="1" m="1" x="6561"/>
        <item t="data" h="1" sd="1" m="1" x="6896"/>
        <item t="data" h="1" sd="1" m="1" x="4999"/>
        <item t="data" h="1" sd="1" m="1" x="6897"/>
        <item t="data" h="1" sd="1" m="1" x="1892"/>
        <item t="data" h="1" sd="1" x="168"/>
        <item t="data" h="1" sd="1" m="1" x="6898"/>
        <item t="data" h="1" sd="1" m="1" x="6899"/>
        <item t="data" h="1" sd="1" m="1" x="6751"/>
        <item t="data" h="1" sd="1" m="1" x="5461"/>
        <item t="data" h="1" sd="1" m="1" x="5995"/>
        <item t="data" h="1" sd="1" m="1" x="6473"/>
        <item t="data" h="1" sd="1" m="1" x="6901"/>
        <item t="data" h="1" sd="1" m="1" x="6902"/>
        <item t="data" h="1" sd="1" m="1" x="6903"/>
        <item t="data" h="1" sd="1" m="1" x="6904"/>
        <item t="data" h="1" sd="1" m="1" x="1923"/>
        <item t="data" h="1" sd="1" m="1" x="6905"/>
        <item t="data" h="1" sd="1" m="1" x="6568"/>
        <item t="data" h="1" sd="1" m="1" x="3955"/>
        <item t="data" h="1" sd="1" m="1" x="5887"/>
        <item t="data" h="1" sd="1" m="1" x="6906"/>
        <item t="data" h="1" sd="1" m="1" x="5695"/>
        <item t="data" h="1" sd="1" m="1" x="6908"/>
        <item t="data" h="1" sd="1" m="1" x="6756"/>
        <item t="data" h="1" sd="1" m="1" x="6909"/>
        <item t="data" h="1" sd="1" m="1" x="6910"/>
        <item t="data" h="1" sd="1" m="1" x="5682"/>
        <item t="data" h="1" sd="1" m="1" x="5683"/>
        <item t="data" h="1" sd="1" m="1" x="6911"/>
        <item t="data" h="1" sd="1" m="1" x="6912"/>
        <item t="data" h="1" sd="1" m="1" x="6913"/>
        <item t="data" h="1" sd="1" m="1" x="6915"/>
        <item t="data" h="1" sd="1" m="1" x="6916"/>
        <item t="data" h="1" sd="1" m="1" x="958"/>
        <item t="data" h="1" sd="1" m="1" x="6759"/>
        <item t="data" h="1" sd="1" m="1" x="6917"/>
        <item t="data" h="1" sd="1" m="1" x="6918"/>
        <item t="data" h="1" sd="1" m="1" x="6919"/>
        <item t="data" h="1" sd="1" m="1" x="5096"/>
        <item t="data" h="1" sd="1" m="1" x="6920"/>
        <item t="data" h="1" sd="1" m="1" x="6921"/>
        <item t="data" h="1" sd="1" m="1" x="6922"/>
        <item t="data" h="1" sd="1" m="1" x="6923"/>
        <item t="data" h="1" sd="1" m="1" x="6924"/>
        <item t="data" h="1" sd="1" m="1" x="6925"/>
        <item t="data" h="1" sd="1" m="1" x="6926"/>
        <item t="data" h="1" sd="1" m="1" x="6927"/>
        <item t="data" h="1" sd="1" m="1" x="5122"/>
        <item t="data" h="1" sd="1" m="1" x="5612"/>
        <item t="data" h="1" sd="1" m="1" x="5826"/>
        <item t="data" h="1" sd="1" m="1" x="6928"/>
        <item t="data" h="1" sd="1" m="1" x="5149"/>
        <item t="data" h="1" sd="1" m="1" x="6930"/>
        <item t="data" h="1" sd="1" m="1" x="6931"/>
        <item t="data" h="1" sd="1" m="1" x="6932"/>
        <item t="data" h="1" sd="1" m="1" x="6933"/>
        <item t="data" h="1" sd="1" m="1" x="6934"/>
        <item t="data" h="1" sd="1" m="1" x="6935"/>
        <item t="data" h="1" sd="1" m="1" x="6936"/>
        <item t="data" h="1" sd="1" m="1" x="6937"/>
        <item t="data" h="1" sd="1" m="1" x="6762"/>
        <item t="data" h="1" sd="1" m="1" x="6938"/>
        <item t="data" h="1" sd="1" m="1" x="6767"/>
        <item t="data" h="1" sd="1" m="1" x="6939"/>
        <item t="data" h="1" sd="1" m="1" x="6940"/>
        <item t="data" h="1" sd="1" m="1" x="6763"/>
        <item t="data" h="1" sd="1" m="1" x="6941"/>
        <item t="data" h="1" sd="1" m="1" x="6942"/>
        <item t="data" h="1" sd="1" m="1" x="6764"/>
        <item t="data" h="1" sd="1" x="220"/>
        <item t="data" h="1" sd="1" m="1" x="6765"/>
        <item t="data" h="1" sd="1" m="1" x="6766"/>
        <item t="data" h="1" sd="1" m="1" x="6768"/>
        <item t="data" h="1" sd="1" m="1" x="5174"/>
        <item t="data" h="1" sd="1" m="1" x="6770"/>
        <item t="data" h="1" sd="1" m="1" x="6944"/>
        <item t="data" h="1" sd="1" m="1" x="6945"/>
        <item t="data" h="1" sd="1" m="1" x="6946"/>
        <item t="data" h="1" sd="1" m="1" x="6947"/>
        <item t="data" h="1" sd="1" m="1" x="6948"/>
        <item t="data" h="1" sd="1" m="1" x="6949"/>
        <item t="data" h="1" sd="1" m="1" x="6950"/>
        <item t="data" h="1" sd="1" m="1" x="6951"/>
        <item t="data" h="1" sd="1" m="1" x="6952"/>
        <item t="data" h="1" sd="1" m="1" x="6772"/>
        <item t="data" h="1" sd="1" m="1" x="6954"/>
        <item t="data" h="1" sd="1" m="1" x="1161"/>
        <item t="data" h="1" sd="1" m="1" x="6955"/>
        <item t="data" h="1" sd="1" m="1" x="6825"/>
        <item t="data" h="1" sd="1" m="1" x="4955"/>
        <item t="data" h="1" sd="1" m="1" x="6710"/>
        <item t="data" h="1" sd="1" m="1" x="6221"/>
        <item t="data" h="1" sd="1" m="1" x="6549"/>
        <item t="data" h="1" sd="1" m="1" x="6451"/>
        <item t="data" h="1" sd="1" m="1" x="572"/>
        <item t="data" h="1" sd="1" m="1" x="6605"/>
        <item t="data" h="1" sd="1" m="1" x="6774"/>
        <item t="data" h="1" sd="1" m="1" x="4972"/>
        <item t="data" h="1" sd="1" m="1" x="6555"/>
        <item t="data" h="1" sd="1" m="1" x="6244"/>
        <item t="data" h="1" sd="1" m="1" x="6775"/>
        <item t="data" h="1" sd="1" m="1" x="6776"/>
        <item t="data" h="1" sd="1" m="1" x="6778"/>
        <item t="data" h="1" sd="1" m="1" x="6780"/>
        <item t="data" h="1" sd="1" m="1" x="6781"/>
        <item t="data" h="1" sd="1" m="1" x="6712"/>
        <item t="data" h="1" sd="1" m="1" x="6713"/>
        <item t="data" h="1" sd="1" m="1" x="6782"/>
        <item t="data" h="1" sd="1" m="1" x="3160"/>
        <item t="data" h="1" sd="1" m="1" x="6562"/>
        <item t="data" h="1" sd="1" m="1" x="6563"/>
        <item t="data" h="1" sd="1" m="1" x="6259"/>
        <item t="data" h="1" sd="1" m="1" x="6783"/>
        <item t="data" h="1" sd="1" m="1" x="5447"/>
        <item t="data" h="1" sd="1" m="1" x="6565"/>
        <item t="data" h="1" sd="1" m="1" x="6784"/>
        <item t="data" h="1" sd="1" m="1" x="6566"/>
        <item t="data" h="1" sd="1" m="1" x="6567"/>
        <item t="data" h="1" sd="1" m="1" x="6614"/>
        <item t="data" h="1" sd="1" m="1" x="6475"/>
        <item t="data" h="1" sd="1" m="1" x="6476"/>
        <item t="data" h="1" sd="1" m="1" x="6477"/>
        <item t="data" h="1" sd="1" m="1" x="6707"/>
        <item t="data" h="1" sd="1" m="1" x="6625"/>
        <item t="data" h="1" sd="1" m="1" x="5058"/>
        <item t="data" h="1" sd="1" m="1" x="6569"/>
        <item t="data" h="1" sd="1" m="1" x="6628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6791"/>
        <item t="data" h="1" sd="1" m="1" x="6792"/>
        <item t="data" h="1" sd="1" m="1" x="6793"/>
        <item t="data" h="1" sd="1" m="1" x="6794"/>
        <item t="data" h="1" sd="1" m="1" x="5693"/>
        <item t="data" h="1" sd="1" m="1" x="6795"/>
        <item t="data" h="1" sd="1" m="1" x="6796"/>
        <item t="data" h="1" sd="1" m="1" x="6797"/>
        <item t="data" h="1" sd="1" m="1" x="6798"/>
        <item t="data" h="1" sd="1" m="1" x="6799"/>
        <item t="data" h="1" sd="1" m="1" x="6801"/>
        <item t="data" h="1" sd="1" m="1" x="6802"/>
        <item t="data" h="1" sd="1" m="1" x="6708"/>
        <item t="data" h="1" sd="1" m="1" x="6803"/>
        <item t="data" h="1" sd="1" m="1" x="6720"/>
        <item t="data" h="1" sd="1" m="1" x="5580"/>
        <item t="data" h="1" sd="1" m="1" x="6804"/>
        <item t="data" h="1" sd="1" m="1" x="6721"/>
        <item t="data" h="1" sd="1" m="1" x="6806"/>
        <item t="data" h="1" sd="1" m="1" x="6807"/>
        <item t="data" h="1" sd="1" m="1" x="6352"/>
        <item t="data" h="1" sd="1" m="1" x="6808"/>
        <item t="data" h="1" sd="1" m="1" x="6809"/>
        <item t="data" h="1" sd="1" m="1" x="6423"/>
        <item t="data" h="1" sd="1" m="1" x="6810"/>
        <item t="data" h="1" sd="1" m="1" x="6811"/>
        <item t="data" h="1" sd="1" m="1" x="4012"/>
        <item t="data" h="1" sd="1" m="1" x="6812"/>
        <item t="data" h="1" sd="1" m="1" x="6813"/>
        <item t="data" h="1" sd="1" m="1" x="6814"/>
        <item t="data" h="1" sd="1" m="1" x="6815"/>
        <item t="data" h="1" sd="1" m="1" x="6816"/>
        <item t="data" h="1" sd="1" m="1" x="6817"/>
        <item t="data" h="1" sd="1" m="1" x="6818"/>
        <item t="data" h="1" sd="1" m="1" x="6819"/>
        <item t="data" h="1" sd="1" m="1" x="6820"/>
        <item t="data" h="1" sd="1" m="1" x="6821"/>
        <item t="data" h="1" sd="1" m="1" x="6822"/>
        <item t="data" h="1" sd="1" m="1" x="6823"/>
        <item t="data" h="1" sd="1" m="1" x="6824"/>
        <item t="data" h="1" sd="1" m="1" x="6826"/>
        <item t="data" h="1" sd="1" m="1" x="6573"/>
        <item t="data" h="1" sd="1" m="1" x="6332"/>
        <item t="data" h="1" sd="1" m="1" x="6709"/>
        <item t="data" h="1" sd="1" m="1" x="6443"/>
        <item t="data" h="1" sd="1" m="1" x="6574"/>
        <item t="data" h="1" sd="1" m="1" x="6575"/>
        <item t="data" h="1" sd="1" m="1" x="2776"/>
        <item t="data" h="1" sd="1" m="1" x="6576"/>
        <item t="data" h="1" sd="1" m="1" x="4295"/>
        <item t="data" h="1" sd="1" m="1" x="5828"/>
        <item t="data" h="1" sd="1" m="1" x="6447"/>
        <item t="data" h="1" sd="1" m="1" x="6581"/>
        <item t="data" h="1" sd="1" m="1" x="5593"/>
        <item t="data" h="1" sd="1" m="1" x="5594"/>
        <item t="data" h="1" sd="1" m="1" x="5595"/>
        <item t="data" h="1" sd="1" m="1" x="4969"/>
        <item t="data" h="1" sd="1" m="1" x="6604"/>
        <item t="data" h="1" sd="1" m="1" x="5574"/>
        <item t="data" h="1" sd="1" m="1" x="6606"/>
        <item t="data" h="1" sd="1" m="1" x="6711"/>
        <item t="data" h="1" sd="1" m="1" x="6588"/>
        <item t="data" h="1" sd="1" m="1" x="1777"/>
        <item t="data" h="1" sd="1" m="1" x="6462"/>
        <item t="data" h="1" sd="1" m="1" x="6599"/>
        <item t="data" h="1" sd="1" m="1" x="6596"/>
        <item t="data" h="1" sd="1" m="1" x="6597"/>
        <item t="data" h="1" sd="1" m="1" x="6598"/>
        <item t="data" h="1" sd="1" m="1" x="4367"/>
        <item t="data" h="1" sd="1" m="1" x="2894"/>
        <item t="data" h="1" sd="1" m="1" x="6600"/>
        <item t="data" h="1" sd="1" m="1" x="6601"/>
        <item t="data" h="1" sd="1" m="1" x="6602"/>
        <item t="data" h="1" sd="1" m="1" x="6610"/>
        <item t="data" h="1" sd="1" m="1" x="6612"/>
        <item t="data" h="1" sd="1" m="1" x="6615"/>
        <item t="data" h="1" sd="1" m="1" x="3754"/>
        <item t="data" h="1" sd="1" m="1" x="6616"/>
        <item t="data" h="1" sd="1" m="1" x="6617"/>
        <item t="data" h="1" sd="1" m="1" x="6619"/>
        <item t="data" h="1" sd="1" m="1" x="6479"/>
        <item t="data" h="1" sd="1" m="1" x="6621"/>
        <item t="data" h="1" sd="1" m="1" x="6714"/>
        <item t="data" h="1" sd="1" m="1" x="6626"/>
        <item t="data" h="1" sd="1" m="1" x="6685"/>
        <item t="data" h="1" sd="1" m="1" x="3893"/>
        <item t="data" h="1" sd="1" m="1" x="6632"/>
        <item t="data" h="1" sd="1" m="1" x="6630"/>
        <item t="data" h="1" sd="1" m="1" x="6631"/>
        <item t="data" h="1" sd="1" m="1" x="6633"/>
        <item t="data" h="1" sd="1" m="1" x="6715"/>
        <item t="data" h="1" sd="1" m="1" x="5691"/>
        <item t="data" h="1" sd="1" m="1" x="6634"/>
        <item t="data" h="1" sd="1" m="1" x="3214"/>
        <item t="data" h="1" sd="1" m="1" x="6716"/>
        <item t="data" h="1" sd="1" m="1" x="6717"/>
        <item t="data" h="1" sd="1" m="1" x="6489"/>
        <item t="data" h="1" sd="1" m="1" x="6070"/>
        <item t="data" h="1" sd="1" m="1" x="6718"/>
        <item t="data" h="1" sd="1" m="1" x="6719"/>
        <item t="data" h="1" sd="1" m="1" x="5655"/>
        <item t="data" h="1" sd="1" m="1" x="5654"/>
        <item t="data" h="1" sd="1" m="1" x="6722"/>
        <item t="data" h="1" sd="1" m="1" x="6723"/>
        <item t="data" h="1" sd="1" m="1" x="6724"/>
        <item t="data" h="1" sd="1" m="1" x="6725"/>
        <item t="data" h="1" sd="1" m="1" x="6726"/>
        <item t="data" h="1" sd="1" m="1" x="6727"/>
        <item t="data" h="1" sd="1" m="1" x="6728"/>
        <item t="data" h="1" sd="1" m="1" x="6729"/>
        <item t="data" h="1" sd="1" m="1" x="6730"/>
        <item t="data" h="1" sd="1" m="1" x="5687"/>
        <item t="data" h="1" sd="1" m="1" x="5688"/>
        <item t="data" h="1" sd="1" m="1" x="5707"/>
        <item t="data" h="1" sd="1" m="1" x="6731"/>
        <item t="data" h="1" sd="1" m="1" x="6732"/>
        <item t="data" h="1" sd="1" m="1" x="6733"/>
        <item t="data" h="1" sd="1" m="1" x="6659"/>
        <item t="data" h="1" sd="1" m="1" x="6734"/>
        <item t="data" h="1" sd="1" m="1" x="6735"/>
        <item t="data" h="1" sd="1" m="1" x="6736"/>
        <item t="data" h="1" sd="1" m="1" x="6737"/>
        <item t="data" h="1" sd="1" m="1" x="6738"/>
        <item t="data" h="1" sd="1" m="1" x="6739"/>
        <item t="data" h="1" sd="1" m="1" x="6740"/>
        <item t="data" h="1" sd="1" m="1" x="6741"/>
        <item t="data" h="1" sd="1" m="1" x="5178"/>
        <item t="data" h="1" sd="1" m="1" x="6539"/>
        <item t="data" h="1" sd="1" m="1" x="6742"/>
        <item t="data" h="1" sd="1" m="1" x="6743"/>
        <item t="data" h="1" sd="1" m="1" x="4218"/>
        <item t="data" h="1" sd="1" m="1" x="6577"/>
        <item t="data" h="1" sd="1" m="1" x="6578"/>
        <item t="data" h="1" sd="1" m="1" x="6579"/>
        <item t="data" h="1" sd="1" m="1" x="6583"/>
        <item t="data" h="1" sd="1" m="1" x="4216"/>
        <item t="data" h="1" sd="1" m="1" x="6584"/>
        <item t="data" h="1" sd="1" m="1" x="6585"/>
        <item t="data" h="1" sd="1" m="1" x="6586"/>
        <item t="data" h="1" sd="1" m="1" x="6587"/>
        <item t="data" h="1" sd="1" m="1" x="6471"/>
        <item t="data" h="1" sd="1" m="1" x="6591"/>
        <item t="data" h="1" sd="1" m="1" x="6592"/>
        <item t="data" h="1" sd="1" m="1" x="6408"/>
        <item t="data" h="1" sd="1" m="1" x="6593"/>
        <item t="data" h="1" sd="1" m="1" x="6465"/>
        <item t="data" h="1" sd="1" m="1" x="6603"/>
        <item t="data" h="1" sd="1" m="1" x="6608"/>
        <item t="data" h="1" sd="1" m="1" x="6611"/>
        <item t="data" h="1" sd="1" m="1" x="6620"/>
        <item t="data" h="1" sd="1" m="1" x="6248"/>
        <item t="data" h="1" sd="1" m="1" x="6623"/>
        <item t="data" h="1" sd="1" m="1" x="5963"/>
        <item t="data" h="1" sd="1" m="1" x="6624"/>
        <item t="data" h="1" sd="1" m="1" x="6627"/>
        <item t="data" h="1" sd="1" m="1" x="5526"/>
        <item t="data" h="1" sd="1" m="1" x="5208"/>
        <item t="data" h="1" sd="1" m="1" x="6483"/>
        <item t="data" h="1" sd="1" m="1" x="6636"/>
        <item t="data" h="1" sd="1" m="1" x="6637"/>
        <item t="data" h="1" sd="1" m="1" x="6638"/>
        <item t="data" h="1" sd="1" m="1" x="6639"/>
        <item t="data" h="1" sd="1" m="1" x="6640"/>
        <item t="data" h="1" sd="1" m="1" x="6498"/>
        <item t="data" h="1" sd="1" m="1" x="6641"/>
        <item t="data" h="1" sd="1" m="1" x="6642"/>
        <item t="data" h="1" sd="1" m="1" x="6643"/>
        <item t="data" h="1" sd="1" m="1" x="6644"/>
        <item t="data" h="1" sd="1" m="1" x="6645"/>
        <item t="data" h="1" sd="1" m="1" x="5815"/>
        <item t="data" h="1" sd="1" m="1" x="5749"/>
        <item t="data" h="1" sd="1" m="1" x="6646"/>
        <item t="data" h="1" sd="1" m="1" x="6647"/>
        <item t="data" h="1" sd="1" m="1" x="6648"/>
        <item t="data" h="1" sd="1" m="1" x="5510"/>
        <item t="data" h="1" sd="1" m="1" x="6649"/>
        <item t="data" h="1" sd="1" m="1" x="6650"/>
        <item t="data" h="1" sd="1" m="1" x="6651"/>
        <item t="data" h="1" sd="1" m="1" x="6652"/>
        <item t="data" h="1" sd="1" m="1" x="6653"/>
        <item t="data" h="1" sd="1" m="1" x="6654"/>
        <item t="data" h="1" sd="1" m="1" x="6655"/>
        <item t="data" h="1" sd="1" m="1" x="5361"/>
        <item t="data" h="1" sd="1" m="1" x="1151"/>
        <item t="data" h="1" sd="1" m="1" x="6656"/>
        <item t="data" h="1" sd="1" m="1" x="6657"/>
        <item t="data" h="1" sd="1" m="1" x="6658"/>
        <item t="data" h="1" sd="1" m="1" x="6660"/>
        <item t="data" h="1" sd="1" m="1" x="6661"/>
        <item t="data" h="1" sd="1" m="1" x="6662"/>
        <item t="data" h="1" sd="1" m="1" x="6663"/>
        <item t="data" h="1" sd="1" m="1" x="515"/>
        <item t="data" h="1" sd="1" m="1" x="5408"/>
        <item t="data" h="1" sd="1" m="1" x="6664"/>
        <item t="data" h="1" sd="1" m="1" x="5163"/>
        <item t="data" h="1" sd="1" m="1" x="1476"/>
        <item t="data" h="1" sd="1" m="1" x="6665"/>
        <item t="data" h="1" sd="1" m="1" x="6666"/>
        <item t="data" h="1" sd="1" m="1" x="6667"/>
        <item t="data" h="1" sd="1" m="1" x="6668"/>
        <item t="data" h="1" sd="1" m="1" x="3919"/>
        <item t="data" h="1" sd="1" m="1" x="6670"/>
        <item t="data" h="1" sd="1" m="1" x="6671"/>
        <item t="data" h="1" sd="1" m="1" x="6672"/>
        <item t="data" h="1" sd="1" m="1" x="6673"/>
        <item t="data" h="1" sd="1" m="1" x="3463"/>
        <item t="data" h="1" sd="1" m="1" x="6674"/>
        <item t="data" h="1" sd="1" m="1" x="6031"/>
        <item t="data" h="1" sd="1" m="1" x="6676"/>
        <item t="data" h="1" sd="1" m="1" x="6677"/>
        <item t="data" h="1" sd="1" m="1" x="6678"/>
        <item t="data" h="1" sd="1" m="1" x="6679"/>
        <item t="data" h="1" sd="1" m="1" x="6680"/>
        <item t="data" h="1" sd="1" m="1" x="6681"/>
        <item t="data" h="1" sd="1" m="1" x="6682"/>
        <item t="data" h="1" sd="1" m="1" x="6683"/>
        <item t="data" h="1" sd="1" m="1" x="6684"/>
        <item t="data" h="1" sd="1" m="1" x="6686"/>
        <item t="data" h="1" sd="1" m="1" x="6687"/>
        <item t="data" h="1" sd="1" m="1" x="6688"/>
        <item t="data" h="1" sd="1" m="1" x="6689"/>
        <item t="data" h="1" sd="1" m="1" x="6690"/>
        <item t="data" h="1" sd="1" m="1" x="6691"/>
        <item t="data" h="1" sd="1" m="1" x="6692"/>
        <item t="data" h="1" sd="1" m="1" x="6693"/>
        <item t="data" h="1" sd="1" m="1" x="3864"/>
        <item t="data" h="1" sd="1" m="1" x="6694"/>
        <item t="data" h="1" sd="1" m="1" x="6695"/>
        <item t="data" h="1" sd="1" m="1" x="6696"/>
        <item t="data" h="1" sd="1" m="1" x="6697"/>
        <item t="data" h="1" sd="1" m="1" x="5756"/>
        <item t="data" h="1" sd="1" m="1" x="5757"/>
        <item t="data" h="1" sd="1" m="1" x="6698"/>
        <item t="data" h="1" sd="1" m="1" x="5739"/>
        <item t="data" h="1" sd="1" m="1" x="5754"/>
        <item t="data" h="1" sd="1" m="1" x="6339"/>
        <item t="data" h="1" sd="1" m="1" x="5777"/>
        <item t="data" h="1" sd="1" m="1" x="5800"/>
        <item t="data" h="1" sd="1" m="1" x="5690"/>
        <item t="data" h="1" sd="1" m="1" x="6699"/>
        <item t="data" h="1" sd="1" m="1" x="4892"/>
        <item t="data" h="1" sd="1" m="1" x="6700"/>
        <item t="data" h="1" sd="1" m="1" x="6701"/>
        <item t="data" h="1" sd="1" m="1" x="6702"/>
        <item t="data" h="1" sd="1" m="1" x="6703"/>
        <item t="data" h="1" sd="1" m="1" x="5468"/>
        <item t="data" h="1" sd="1" m="1" x="6704"/>
        <item t="data" h="1" sd="1" m="1" x="6383"/>
        <item t="data" h="1" sd="1" m="1" x="6214"/>
        <item t="data" h="1" sd="1" m="1" x="6444"/>
        <item t="data" h="1" sd="1" m="1" x="6445"/>
        <item t="data" h="1" sd="1" m="1" x="6446"/>
        <item t="data" h="1" sd="1" m="1" x="6218"/>
        <item t="data" h="1" sd="1" m="1" x="6385"/>
        <item t="data" h="1" sd="1" m="1" x="6386"/>
        <item t="data" h="1" sd="1" m="1" x="6220"/>
        <item t="data" h="1" sd="1" m="1" x="2683"/>
        <item t="data" h="1" sd="1" m="1" x="6448"/>
        <item t="data" h="1" sd="1" m="1" x="2809"/>
        <item t="data" h="1" sd="1" m="1" x="6232"/>
        <item t="data" h="1" sd="1" m="1" x="5317"/>
        <item t="data" h="1" sd="1" m="1" x="4800"/>
        <item t="data" h="1" sd="1" m="1" x="6450"/>
        <item t="data" h="1" sd="1" m="1" x="6078"/>
        <item t="data" h="1" sd="1" m="1" x="4573"/>
        <item t="data" h="1" sd="1" m="1" x="3199"/>
        <item t="data" h="1" sd="1" m="1" x="2461"/>
        <item t="data" h="1" sd="1" m="1" x="6452"/>
        <item t="data" h="1" sd="1" m="1" x="4220"/>
        <item t="data" h="1" sd="1" m="1" x="6382"/>
        <item t="data" h="1" sd="1" m="1" x="6453"/>
        <item t="data" h="1" sd="1" m="1" x="6454"/>
        <item t="data" h="1" sd="1" m="1" x="6456"/>
        <item t="data" h="1" sd="1" m="1" x="6390"/>
        <item t="data" h="1" sd="1" m="1" x="6391"/>
        <item t="data" h="1" sd="1" m="1" x="6392"/>
        <item t="data" h="1" sd="1" m="1" x="6393"/>
        <item t="data" h="1" sd="1" m="1" x="6243"/>
        <item t="data" h="1" sd="1" m="1" x="5964"/>
        <item t="data" h="1" sd="1" m="1" x="6246"/>
        <item t="data" h="1" sd="1" m="1" x="6460"/>
        <item t="data" h="1" sd="1" m="1" x="651"/>
        <item t="data" h="1" sd="1" m="1" x="6089"/>
        <item t="data" h="1" sd="1" m="1" x="6397"/>
        <item t="data" h="1" sd="1" m="1" x="6088"/>
        <item t="data" h="1" sd="1" m="1" x="6384"/>
        <item t="data" h="1" sd="1" m="1" x="6249"/>
        <item t="data" h="1" sd="1" m="1" x="6399"/>
        <item t="data" h="1" sd="1" m="1" x="6257"/>
        <item t="data" h="1" sd="1" m="1" x="6254"/>
        <item t="data" h="1" sd="1" m="1" x="6255"/>
        <item t="data" h="1" sd="1" m="1" x="3123"/>
        <item t="data" h="1" sd="1" m="1" x="6461"/>
        <item t="data" h="1" sd="1" m="1" x="6466"/>
        <item t="data" h="1" sd="1" m="1" x="6467"/>
        <item t="data" h="1" sd="1" m="1" x="6469"/>
        <item t="data" h="1" sd="1" m="1" x="4221"/>
        <item t="data" h="1" sd="1" m="1" x="6400"/>
        <item t="data" h="1" sd="1" m="1" x="6470"/>
        <item t="data" h="1" sd="1" m="1" x="6134"/>
        <item t="data" h="1" sd="1" m="1" x="5929"/>
        <item t="data" h="1" sd="1" m="1" x="6415"/>
        <item t="data" h="1" sd="1" m="1" x="772"/>
        <item t="data" h="1" sd="1" m="1" x="5020"/>
        <item t="data" h="1" sd="1" m="1" x="6266"/>
        <item t="data" h="1" sd="1" m="1" x="6269"/>
        <item t="data" h="1" sd="1" m="1" x="6272"/>
        <item t="data" h="1" sd="1" m="1" x="5991"/>
        <item t="data" h="1" sd="1" m="1" x="6273"/>
        <item t="data" h="1" sd="1" m="1" x="6474"/>
        <item t="data" h="1" sd="1" m="1" x="6478"/>
        <item t="data" h="1" sd="1" m="1" x="6480"/>
        <item t="data" h="1" sd="1" m="1" x="5584"/>
        <item t="data" h="1" sd="1" m="1" x="6010"/>
        <item t="data" h="1" sd="1" m="1" x="6277"/>
        <item t="data" h="1" sd="1" m="1" x="6293"/>
        <item t="data" h="1" sd="1" m="1" x="6291"/>
        <item t="data" h="1" sd="1" m="1" x="6481"/>
        <item t="data" h="1" sd="1" m="1" x="6292"/>
        <item t="data" h="1" sd="1" m="1" x="6289"/>
        <item t="data" h="1" sd="1" m="1" x="5389"/>
        <item t="data" h="1" sd="1" m="1" x="5816"/>
        <item t="data" h="1" sd="1" m="1" x="5823"/>
        <item t="data" h="1" sd="1" m="1" x="5824"/>
        <item t="data" h="1" sd="1" m="1" x="5817"/>
        <item t="data" h="1" sd="1" m="1" x="5818"/>
        <item t="data" h="1" sd="1" m="1" x="5819"/>
        <item t="data" h="1" sd="1" m="1" x="6482"/>
        <item t="data" h="1" sd="1" m="1" x="6307"/>
        <item t="data" h="1" sd="1" m="1" x="5939"/>
        <item t="data" h="1" sd="1" m="1" x="6484"/>
        <item t="data" h="1" sd="1" m="1" x="6485"/>
        <item t="data" h="1" sd="1" m="1" x="6486"/>
        <item t="data" h="1" sd="1" m="1" x="6487"/>
        <item t="data" h="1" sd="1" m="1" x="6490"/>
        <item t="data" h="1" sd="1" m="1" x="6491"/>
        <item t="data" h="1" sd="1" m="1" x="6492"/>
        <item t="data" h="1" sd="1" m="1" x="5789"/>
        <item t="data" h="1" sd="1" m="1" x="6493"/>
        <item t="data" h="1" sd="1" m="1" x="6422"/>
        <item t="data" h="1" sd="1" m="1" x="5647"/>
        <item t="data" h="1" sd="1" m="1" x="5822"/>
        <item t="data" h="1" sd="1" m="1" x="5825"/>
        <item t="data" h="1" sd="1" m="1" x="588"/>
        <item t="data" h="1" sd="1" m="1" x="6497"/>
        <item t="data" h="1" sd="1" m="1" x="5827"/>
        <item t="data" h="1" sd="1" m="1" x="6499"/>
        <item t="data" h="1" sd="1" m="1" x="5516"/>
        <item t="data" h="1" sd="1" m="1" x="6500"/>
        <item t="data" h="1" sd="1" m="1" x="6501"/>
        <item t="data" h="1" sd="1" m="1" x="6502"/>
        <item t="data" h="1" sd="1" m="1" x="6503"/>
        <item t="data" h="1" sd="1" m="1" x="847"/>
        <item t="data" h="1" sd="1" m="1" x="6504"/>
        <item t="data" h="1" sd="1" m="1" x="6080"/>
        <item t="data" h="1" sd="1" m="1" x="6505"/>
        <item t="data" h="1" sd="1" m="1" x="1947"/>
        <item t="data" h="1" sd="1" m="1" x="6508"/>
        <item t="data" h="1" sd="1" m="1" x="5084"/>
        <item t="data" h="1" sd="1" m="1" x="6509"/>
        <item t="data" h="1" sd="1" m="1" x="6510"/>
        <item t="data" h="1" sd="1" m="1" x="5766"/>
        <item t="data" h="1" sd="1" m="1" x="6511"/>
        <item t="data" h="1" sd="1" m="1" x="6512"/>
        <item t="data" h="1" sd="1" m="1" x="5775"/>
        <item t="data" h="1" sd="1" m="1" x="5755"/>
        <item t="data" h="1" sd="1" m="1" x="6090"/>
        <item t="data" h="1" sd="1" m="1" x="6514"/>
        <item t="data" h="1" sd="1" m="1" x="5753"/>
        <item t="data" h="1" sd="1" m="1" x="6091"/>
        <item t="data" h="1" sd="1" m="1" x="6340"/>
        <item t="data" h="1" sd="1" m="1" x="6515"/>
        <item t="data" h="1" sd="1" m="1" x="5968"/>
        <item t="data" h="1" sd="1" m="1" x="6516"/>
        <item t="data" h="1" sd="1" m="1" x="5778"/>
        <item t="data" h="1" sd="1" m="1" x="6517"/>
        <item t="data" h="1" sd="1" m="1" x="6518"/>
        <item t="data" h="1" sd="1" m="1" x="6519"/>
        <item t="data" h="1" sd="1" m="1" x="6520"/>
        <item t="data" h="1" sd="1" m="1" x="5649"/>
        <item t="data" h="1" sd="1" m="1" x="6521"/>
        <item t="data" h="1" sd="1" m="1" x="5809"/>
        <item t="data" h="1" sd="1" m="1" x="4872"/>
        <item t="data" h="1" sd="1" m="1" x="4873"/>
        <item t="data" h="1" sd="1" m="1" x="5764"/>
        <item t="data" h="1" sd="1" m="1" x="5761"/>
        <item t="data" h="1" sd="1" m="1" x="6522"/>
        <item t="data" h="1" sd="1" m="1" x="6523"/>
        <item t="data" h="1" sd="1" m="1" x="5525"/>
        <item t="data" h="1" sd="1" m="1" x="5648"/>
        <item t="data" h="1" sd="1" m="1" x="5467"/>
        <item t="data" h="1" sd="1" m="1" x="6437"/>
        <item t="data" h="1" sd="1" m="1" x="6524"/>
        <item t="data" h="1" sd="1" m="1" x="6074"/>
        <item t="data" h="1" sd="1" m="1" x="5705"/>
        <item t="data" h="1" sd="1" m="1" x="6525"/>
        <item t="data" h="1" sd="1" m="1" x="6526"/>
        <item t="data" h="1" sd="1" m="1" x="6527"/>
        <item t="data" h="1" sd="1" m="1" x="5415"/>
        <item t="data" h="1" sd="1" m="1" x="6528"/>
        <item t="data" h="1" sd="1" m="1" x="6529"/>
        <item t="data" h="1" sd="1" m="1" x="6530"/>
        <item t="data" h="1" sd="1" m="1" x="6531"/>
        <item t="data" h="1" sd="1" m="1" x="5689"/>
        <item t="data" h="1" sd="1" m="1" x="6533"/>
        <item t="data" h="1" sd="1" m="1" x="6534"/>
        <item t="data" h="1" sd="1" m="1" x="6535"/>
        <item t="data" h="1" sd="1" m="1" x="6536"/>
        <item t="data" h="1" sd="1" m="1" x="6537"/>
        <item t="data" h="1" sd="1" m="1" x="5681"/>
        <item t="data" h="1" sd="1" m="1" x="6538"/>
        <item t="data" h="1" sd="1" m="1" x="4222"/>
        <item t="data" h="1" sd="1" m="1" x="5646"/>
        <item t="data" h="1" sd="1" m="1" x="6201"/>
        <item t="data" h="1" sd="1" m="1" x="6072"/>
        <item t="data" h="1" sd="1" m="1" x="6207"/>
        <item t="data" h="1" sd="1" m="1" x="6073"/>
        <item t="data" h="1" sd="1" m="1" x="6071"/>
        <item t="data" h="1" sd="1" m="1" x="5190"/>
        <item t="data" h="1" sd="1" m="1" x="6217"/>
        <item t="data" h="1" sd="1" m="1" x="6108"/>
        <item t="data" h="1" sd="1" m="1" x="6219"/>
        <item t="data" h="1" sd="1" m="1" x="4219"/>
        <item t="data" h="1" sd="1" m="1" x="6387"/>
        <item t="data" h="1" sd="1" m="1" x="6223"/>
        <item t="data" h="1" sd="1" m="1" x="6222"/>
        <item t="data" h="1" sd="1" m="1" x="6231"/>
        <item t="data" h="1" sd="1" m="1" x="6233"/>
        <item t="data" h="1" sd="1" m="1" x="2039"/>
        <item t="data" h="1" sd="1" m="1" x="6238"/>
        <item t="data" h="1" sd="1" m="1" x="6239"/>
        <item t="data" h="1" sd="1" m="1" x="1372"/>
        <item t="data" h="1" sd="1" m="1" x="5393"/>
        <item t="data" h="1" sd="1" m="1" x="4910"/>
        <item t="data" h="1" sd="1" m="1" x="4657"/>
        <item t="data" h="1" sd="1" m="1" x="6240"/>
        <item t="data" h="1" sd="1" m="1" x="6245"/>
        <item t="data" h="1" sd="1" m="1" x="6120"/>
        <item t="data" h="1" sd="1" m="1" x="6121"/>
        <item t="data" h="1" sd="1" m="1" x="6395"/>
        <item t="data" h="1" sd="1" m="1" x="6396"/>
        <item t="data" h="1" sd="1" m="1" x="3833"/>
        <item t="data" h="1" sd="1" m="1" x="6398"/>
        <item t="data" h="1" sd="1" m="1" x="6138"/>
        <item t="data" h="1" sd="1" m="1" x="6401"/>
        <item t="data" h="1" sd="1" m="1" x="6402"/>
        <item t="data" h="1" sd="1" m="1" x="6403"/>
        <item t="data" h="1" sd="1" m="1" x="6404"/>
        <item t="data" h="1" sd="1" m="1" x="5398"/>
        <item t="data" h="1" sd="1" m="1" x="6252"/>
        <item t="data" h="1" sd="1" m="1" x="6253"/>
        <item t="data" h="1" sd="1" m="1" x="6405"/>
        <item t="data" h="1" sd="1" m="1" x="6406"/>
        <item t="data" h="1" sd="1" m="1" x="6407"/>
        <item t="data" h="1" sd="1" m="1" x="6256"/>
        <item t="data" h="1" sd="1" m="1" x="4656"/>
        <item t="data" h="1" sd="1" m="1" x="6264"/>
        <item t="data" h="1" sd="1" m="1" x="3518"/>
        <item t="data" h="1" sd="1" m="1" x="6261"/>
        <item t="data" h="1" sd="1" m="1" x="4230"/>
        <item t="data" h="1" sd="1" m="1" x="6263"/>
        <item t="data" h="1" sd="1" m="1" x="4802"/>
        <item t="data" h="1" sd="1" m="1" x="6271"/>
        <item t="data" h="1" sd="1" m="1" x="5882"/>
        <item t="data" h="1" sd="1" m="1" x="6274"/>
        <item t="data" h="1" sd="1" m="1" x="539"/>
        <item t="data" h="1" sd="1" m="1" x="6280"/>
        <item t="data" h="1" sd="1" m="1" x="6281"/>
        <item t="data" h="1" sd="1" m="1" x="6020"/>
        <item t="data" h="1" sd="1" m="1" x="4819"/>
        <item t="data" h="1" sd="1" m="1" x="6008"/>
        <item t="data" h="1" sd="1" m="1" x="6298"/>
        <item t="data" h="1" sd="1" m="1" x="6299"/>
        <item t="data" h="1" sd="1" m="1" x="6290"/>
        <item t="data" h="1" sd="1" m="1" x="4233"/>
        <item t="data" h="1" sd="1" m="1" x="6301"/>
        <item t="data" h="1" sd="1" m="1" x="6302"/>
        <item t="data" h="1" sd="1" m="1" x="6303"/>
        <item t="data" h="1" sd="1" m="1" x="6304"/>
        <item t="data" h="1" sd="1" m="1" x="6305"/>
        <item t="data" h="1" sd="1" m="1" x="6312"/>
        <item t="data" h="1" sd="1" m="1" x="6315"/>
        <item t="data" h="1" sd="1" m="1" x="6419"/>
        <item t="data" h="1" sd="1" m="1" x="6308"/>
        <item t="data" h="1" sd="1" m="1" x="6421"/>
        <item t="data" h="1" sd="1" m="1" x="4835"/>
        <item t="data" h="1" sd="1" m="1" x="6334"/>
        <item t="data" h="1" sd="1" m="1" x="6424"/>
        <item t="data" h="1" sd="1" m="1" x="5614"/>
        <item t="data" h="1" sd="1" m="1" x="6425"/>
        <item t="data" h="1" sd="1" m="1" x="6320"/>
        <item t="data" h="1" sd="1" m="1" x="6426"/>
        <item t="data" h="1" sd="1" m="1" x="6323"/>
        <item t="data" h="1" sd="1" m="1" x="6427"/>
        <item t="data" h="1" sd="1" m="1" x="5669"/>
        <item t="data" h="1" sd="1" m="1" x="6430"/>
        <item t="data" h="1" sd="1" m="1" x="6431"/>
        <item t="data" h="1" sd="1" m="1" x="5641"/>
        <item t="data" h="1" sd="1" m="1" x="6433"/>
        <item t="data" h="1" sd="1" m="1" x="5668"/>
        <item t="data" h="1" sd="1" m="1" x="6434"/>
        <item t="data" h="1" sd="1" m="1" x="5634"/>
        <item t="data" h="1" sd="1" m="1" x="6435"/>
        <item t="data" h="1" sd="1" m="1" x="6436"/>
        <item t="data" h="1" sd="1" m="1" x="5636"/>
        <item t="data" h="1" sd="1" m="1" x="5639"/>
        <item t="data" h="1" sd="1" m="1" x="5642"/>
        <item t="data" h="1" sd="1" m="1" x="5640"/>
        <item t="data" h="1" sd="1" m="1" x="5643"/>
        <item t="data" h="1" sd="1" m="1" x="5635"/>
        <item t="data" h="1" sd="1" m="1" x="5638"/>
        <item t="data" h="1" sd="1" m="1" x="5637"/>
        <item t="data" h="1" sd="1" m="1" x="6011"/>
        <item t="data" h="1" sd="1" m="1" x="6369"/>
        <item t="data" h="1" sd="1" m="1" x="6438"/>
        <item t="data" h="1" sd="1" m="1" x="6371"/>
        <item t="data" h="1" sd="1" m="1" x="6366"/>
        <item t="data" h="1" sd="1" m="1" x="6191"/>
        <item t="data" h="1" sd="1" m="1" x="6363"/>
        <item t="data" h="1" sd="1" m="1" x="5633"/>
        <item t="data" h="1" sd="1" m="1" x="6439"/>
        <item t="data" h="1" sd="1" m="1" x="6440"/>
        <item t="data" h="1" sd="1" m="1" x="6380"/>
        <item t="data" h="1" sd="1" m="1" x="6215"/>
        <item t="data" h="1" sd="1" m="1" x="6216"/>
        <item t="data" h="1" sd="1" m="1" x="5413"/>
        <item t="data" h="1" sd="1" m="1" x="5412"/>
        <item t="data" h="1" sd="1" m="1" x="6224"/>
        <item t="data" h="1" sd="1" m="1" x="6225"/>
        <item t="data" h="1" sd="1" m="1" x="6226"/>
        <item t="data" h="1" sd="1" m="1" x="6227"/>
        <item t="data" h="1" sd="1" m="1" x="6228"/>
        <item t="data" h="1" sd="1" m="1" x="4943"/>
        <item t="data" h="1" sd="1" m="1" x="5941"/>
        <item t="data" h="1" sd="1" m="1" x="6230"/>
        <item t="data" h="1" sd="1" m="1" x="6234"/>
        <item t="data" h="1" sd="1" m="1" x="6235"/>
        <item t="data" h="1" sd="1" m="1" x="6237"/>
        <item t="data" h="1" sd="1" m="1" x="4225"/>
        <item t="data" h="1" sd="1" m="1" x="4226"/>
        <item t="data" h="1" sd="1" m="1" x="3198"/>
        <item t="data" h="1" sd="1" m="1" x="6118"/>
        <item t="data" h="1" sd="1" m="1" x="6242"/>
        <item t="data" h="1" sd="1" m="1" x="525"/>
        <item t="data" h="1" sd="1" m="1" x="3022"/>
        <item t="data" h="1" sd="1" m="1" x="6250"/>
        <item t="data" h="1" sd="1" m="1" x="6140"/>
        <item t="data" h="1" sd="1" m="1" x="6258"/>
        <item t="data" h="1" sd="1" m="1" x="6262"/>
        <item t="data" h="1" sd="1" m="1" x="6265"/>
        <item t="data" h="1" sd="1" m="1" x="6268"/>
        <item t="data" h="1" sd="1" m="1" x="1474"/>
        <item t="data" h="1" sd="1" m="1" x="6144"/>
        <item t="data" h="1" sd="1" m="1" x="472"/>
        <item t="data" h="1" sd="1" m="1" x="6275"/>
        <item t="data" h="1" sd="1" m="1" x="6278"/>
        <item t="data" h="1" sd="1" m="1" x="6279"/>
        <item t="data" h="1" sd="1" m="1" x="6148"/>
        <item t="data" h="1" sd="1" m="1" x="6282"/>
        <item t="data" h="1" sd="1" m="1" x="6283"/>
        <item t="data" h="1" sd="1" m="1" x="6149"/>
        <item t="data" h="1" sd="1" m="1" x="6284"/>
        <item t="data" h="1" sd="1" m="1" x="6285"/>
        <item t="data" h="1" sd="1" m="1" x="6147"/>
        <item t="data" h="1" sd="1" m="1" x="6287"/>
        <item t="data" h="1" sd="1" m="1" x="6294"/>
        <item t="data" h="1" sd="1" m="1" x="6297"/>
        <item t="data" h="1" sd="1" m="1" x="6300"/>
        <item t="data" h="1" sd="1" m="1" x="5794"/>
        <item t="data" h="1" sd="1" m="1" x="5959"/>
        <item t="data" h="1" sd="1" m="1" x="6306"/>
        <item t="data" h="1" sd="1" m="1" x="6158"/>
        <item t="data" h="1" sd="1" m="1" x="6309"/>
        <item t="data" h="1" sd="1" m="1" x="6310"/>
        <item t="data" h="1" sd="1" m="1" x="6311"/>
        <item t="data" h="1" sd="1" m="1" x="6313"/>
        <item t="data" h="1" sd="1" m="1" x="6314"/>
        <item t="data" h="1" sd="1" m="1" x="6318"/>
        <item t="data" h="1" sd="1" m="1" x="6319"/>
        <item t="data" h="1" sd="1" m="1" x="6321"/>
        <item t="data" h="1" sd="1" m="1" x="6322"/>
        <item t="data" h="1" sd="1" m="1" x="6168"/>
        <item t="data" h="1" sd="1" m="1" x="6325"/>
        <item t="data" h="1" sd="1" m="1" x="6326"/>
        <item t="data" h="1" sd="1" m="1" x="6327"/>
        <item t="data" h="1" sd="1" m="1" x="6328"/>
        <item t="data" h="1" sd="1" m="1" x="6329"/>
        <item t="data" h="1" sd="1" m="1" x="5666"/>
        <item t="data" h="1" sd="1" m="1" x="6176"/>
        <item t="data" h="1" sd="1" m="1" x="6331"/>
        <item t="data" h="1" sd="1" m="1" x="5697"/>
        <item t="data" h="1" sd="1" m="1" x="5486"/>
        <item t="data" h="1" sd="1" m="1" x="5769"/>
        <item t="data" h="1" sd="1" m="1" x="6333"/>
        <item t="data" h="1" sd="1" m="1" x="5750"/>
        <item t="data" h="1" sd="1" m="1" x="4859"/>
        <item t="data" h="1" sd="1" m="1" x="6335"/>
        <item t="data" h="1" sd="1" m="1" x="5743"/>
        <item t="data" h="1" sd="1" m="1" x="4860"/>
        <item t="data" h="1" sd="1" m="1" x="5740"/>
        <item t="data" h="1" sd="1" m="1" x="6336"/>
        <item t="data" h="1" sd="1" m="1" x="6338"/>
        <item t="data" h="1" sd="1" m="1" x="6341"/>
        <item t="data" h="1" sd="1" m="1" x="6342"/>
        <item t="data" h="1" sd="1" m="1" x="6343"/>
        <item t="data" h="1" sd="1" m="1" x="6349"/>
        <item t="data" h="1" sd="1" m="1" x="6184"/>
        <item t="data" h="1" sd="1" m="1" x="6361"/>
        <item t="data" h="1" sd="1" m="1" x="6197"/>
        <item t="data" h="1" sd="1" m="1" x="6362"/>
        <item t="data" h="1" sd="1" m="1" x="697"/>
        <item t="data" h="1" sd="1" m="1" x="6364"/>
        <item t="data" h="1" sd="1" m="1" x="6365"/>
        <item t="data" h="1" sd="1" m="1" x="6367"/>
        <item t="data" h="1" sd="1" m="1" x="6368"/>
        <item t="data" h="1" sd="1" m="1" x="6370"/>
        <item t="data" h="1" sd="1" m="1" x="6199"/>
        <item t="data" h="1" sd="1" m="1" x="6372"/>
        <item t="data" h="1" sd="1" m="1" x="6373"/>
        <item t="data" h="1" sd="1" m="1" x="6375"/>
        <item t="data" h="1" sd="1" m="1" x="6377"/>
        <item t="data" h="1" sd="1" m="1" x="4232"/>
        <item t="data" h="1" sd="1" m="1" x="6104"/>
        <item t="data" h="1" sd="1" m="1" x="6105"/>
        <item t="data" h="1" sd="1" m="1" x="6106"/>
        <item t="data" h="1" sd="1" m="1" x="6107"/>
        <item t="data" h="1" sd="1" m="1" x="5946"/>
        <item t="data" h="1" sd="1" m="1" x="5947"/>
        <item t="data" h="1" sd="1" m="1" x="4660"/>
        <item t="data" h="1" sd="1" m="1" x="5192"/>
        <item t="data" h="1" sd="1" m="1" x="6109"/>
        <item t="data" h="1" sd="1" m="1" x="6110"/>
        <item t="data" h="1" sd="1" m="1" x="4223"/>
        <item t="data" h="1" sd="1" m="1" x="5936"/>
        <item t="data" h="1" sd="1" m="1" x="5402"/>
        <item t="data" h="1" sd="1" m="1" x="4224"/>
        <item t="data" h="1" sd="1" m="1" x="2692"/>
        <item t="data" h="1" sd="1" m="1" x="534"/>
        <item t="data" h="1" sd="1" m="1" x="6111"/>
        <item t="data" h="1" sd="1" m="1" x="4658"/>
        <item t="data" h="1" sd="1" m="1" x="6115"/>
        <item t="data" h="1" sd="1" m="1" x="6117"/>
        <item t="data" h="1" sd="1" m="1" x="6119"/>
        <item t="data" h="1" sd="1" m="1" x="6125"/>
        <item t="data" h="1" sd="1" m="1" x="6126"/>
        <item t="data" h="1" sd="1" m="1" x="5875"/>
        <item t="data" h="1" sd="1" m="1" x="4228"/>
        <item t="data" h="1" sd="1" m="1" x="4227"/>
        <item t="data" h="1" sd="1" m="1" x="6128"/>
        <item t="data" h="1" sd="1" m="1" x="6129"/>
        <item t="data" h="1" sd="1" m="1" x="6130"/>
        <item t="data" h="1" sd="1" m="1" x="6131"/>
        <item t="data" h="1" sd="1" m="1" x="6132"/>
        <item t="data" h="1" sd="1" m="1" x="5200"/>
        <item t="data" h="1" sd="1" m="1" x="6133"/>
        <item t="data" h="1" sd="1" m="1" x="4986"/>
        <item t="data" h="1" sd="1" m="1" x="6135"/>
        <item t="data" h="1" sd="1" m="1" x="6136"/>
        <item t="data" h="1" sd="1" m="1" x="6137"/>
        <item t="data" h="1" sd="1" m="1" x="6139"/>
        <item t="data" h="1" sd="1" m="1" x="5399"/>
        <item t="data" h="1" sd="1" m="1" x="5954"/>
        <item t="data" h="1" sd="1" m="1" x="5955"/>
        <item t="data" h="1" sd="1" m="1" x="4659"/>
        <item t="data" h="1" sd="1" m="1" x="5957"/>
        <item t="data" h="1" sd="1" m="1" x="4527"/>
        <item t="data" h="1" sd="1" m="1" x="4229"/>
        <item t="data" h="1" sd="1" m="1" x="4529"/>
        <item t="data" h="1" sd="1" m="1" x="4528"/>
        <item t="data" h="1" sd="1" m="1" x="6141"/>
        <item t="data" h="1" sd="1" x="369"/>
        <item t="data" h="1" sd="1" m="1" x="4231"/>
        <item t="data" h="1" sd="1" m="1" x="5933"/>
        <item t="data" h="1" sd="1" m="1" x="6146"/>
        <item t="data" h="1" sd="1" m="1" x="3523"/>
        <item t="data" h="1" sd="1" m="1" x="518"/>
        <item t="data" h="1" sd="1" m="1" x="5987"/>
        <item t="data" h="1" sd="1" m="1" x="5997"/>
        <item t="data" h="1" sd="1" m="1" x="5998"/>
        <item t="data" h="1" sd="1" m="1" x="5986"/>
        <item t="data" h="1" sd="1" m="1" x="5988"/>
        <item t="data" h="1" sd="1" m="1" x="5989"/>
        <item t="data" h="1" sd="1" m="1" x="5990"/>
        <item t="data" h="1" sd="1" m="1" x="5453"/>
        <item t="data" h="1" sd="1" m="1" x="4037"/>
        <item t="data" h="1" sd="1" m="1" x="5205"/>
        <item t="data" h="1" sd="1" m="1" x="5206"/>
        <item t="data" h="1" sd="1" m="1" x="6026"/>
        <item t="data" h="1" sd="1" m="1" x="6027"/>
        <item t="data" h="1" sd="1" m="1" x="6150"/>
        <item t="data" h="1" sd="1" m="1" x="6151"/>
        <item t="data" h="1" sd="1" m="1" x="6152"/>
        <item t="data" h="1" sd="1" m="1" x="5985"/>
        <item t="data" h="1" sd="1" m="1" x="6153"/>
        <item t="data" h="1" sd="1" m="1" x="5974"/>
        <item t="data" h="1" sd="1" m="1" x="5984"/>
        <item t="data" h="1" sd="1" m="1" x="5979"/>
        <item t="data" h="1" sd="1" m="1" x="4234"/>
        <item t="data" h="1" sd="1" m="1" x="6154"/>
        <item t="data" h="1" sd="1" m="1" x="6155"/>
        <item t="data" h="1" sd="1" m="1" x="6156"/>
        <item t="data" h="1" sd="1" m="1" x="6157"/>
        <item t="data" h="1" sd="1" m="1" x="6159"/>
        <item t="data" h="1" sd="1" m="1" x="6160"/>
        <item t="data" h="1" sd="1" m="1" x="5911"/>
        <item t="data" h="1" sd="1" m="1" x="5912"/>
        <item t="data" h="1" sd="1" m="1" x="3224"/>
        <item t="data" h="1" sd="1" m="1" x="6161"/>
        <item t="data" h="1" sd="1" m="1" x="6162"/>
        <item t="data" h="1" sd="1" m="1" x="6163"/>
        <item t="data" h="1" sd="1" m="1" x="6164"/>
        <item t="data" h="1" sd="1" m="1" x="5759"/>
        <item t="data" h="1" sd="1" m="1" x="6165"/>
        <item t="data" h="1" sd="1" m="1" x="5226"/>
        <item t="data" h="1" sd="1" m="1" x="6166"/>
        <item t="data" h="1" sd="1" m="1" x="6167"/>
        <item t="data" h="1" sd="1" m="1" x="6169"/>
        <item t="data" h="1" sd="1" m="1" x="6170"/>
        <item t="data" h="1" sd="1" m="1" x="6171"/>
        <item t="data" h="1" sd="1" m="1" x="6172"/>
        <item t="data" h="1" sd="1" m="1" x="6081"/>
        <item t="data" h="1" sd="1" m="1" x="6174"/>
        <item t="data" h="1" sd="1" m="1" x="5738"/>
        <item t="data" h="1" sd="1" m="1" x="6177"/>
        <item t="data" h="1" sd="1" m="1" x="6178"/>
        <item t="data" h="1" sd="1" m="1" x="5768"/>
        <item t="data" h="1" sd="1" m="1" x="6179"/>
        <item t="data" h="1" sd="1" m="1" x="5779"/>
        <item t="data" h="1" sd="1" m="1" x="5780"/>
        <item t="data" h="1" sd="1" m="1" x="5767"/>
        <item t="data" h="1" sd="1" m="1" x="6095"/>
        <item t="data" h="1" sd="1" m="1" x="6180"/>
        <item t="data" h="1" sd="1" m="1" x="4837"/>
        <item t="data" h="1" sd="1" m="1" x="4838"/>
        <item t="data" h="1" sd="1" m="1" x="6000"/>
        <item t="data" h="1" sd="1" m="1" x="6098"/>
        <item t="data" h="1" sd="1" m="1" x="5762"/>
        <item t="data" h="1" sd="1" m="1" x="5791"/>
        <item t="data" h="1" sd="1" m="1" x="5792"/>
        <item t="data" h="1" sd="1" m="1" x="6181"/>
        <item t="data" h="1" sd="1" m="1" x="3076"/>
        <item t="data" h="1" sd="1" m="1" x="6182"/>
        <item t="data" h="1" sd="1" m="1" x="6185"/>
        <item t="data" h="1" sd="1" m="1" x="6187"/>
        <item t="data" h="1" sd="1" m="1" x="6188"/>
        <item t="data" h="1" sd="1" m="1" x="6189"/>
        <item t="data" h="1" sd="1" m="1" x="6190"/>
        <item t="data" h="1" sd="1" m="1" x="6192"/>
        <item t="data" h="1" sd="1" m="1" x="6193"/>
        <item t="data" h="1" sd="1" m="1" x="6194"/>
        <item t="data" h="1" sd="1" m="1" x="6195"/>
        <item t="data" h="1" sd="1" m="1" x="6196"/>
        <item t="data" h="1" sd="1" m="1" x="6198"/>
        <item t="data" h="1" sd="1" m="1" x="6200"/>
        <item t="data" h="1" sd="1" m="1" x="5572"/>
        <item t="data" h="1" sd="1" m="1" x="5573"/>
        <item t="data" h="1" sd="1" m="1" x="5821"/>
        <item t="data" h="1" sd="1" m="1" x="6202"/>
        <item t="data" h="1" sd="1" m="1" x="6203"/>
        <item t="data" h="1" sd="1" m="1" x="6204"/>
        <item t="data" h="1" sd="1" m="1" x="6205"/>
        <item t="data" h="1" sd="1" m="1" x="2560"/>
        <item t="data" h="1" sd="1" m="1" x="3816"/>
        <item t="data" h="1" sd="1" m="1" x="4905"/>
        <item t="data" h="1" sd="1" m="1" x="5321"/>
        <item t="data" h="1" sd="1" m="1" x="4246"/>
        <item t="data" h="1" sd="1" m="1" x="5378"/>
        <item t="data" h="1" sd="1" m="1" x="6032"/>
        <item t="data" h="1" sd="1" m="1" x="6033"/>
        <item t="data" h="1" sd="1" m="1" x="6034"/>
        <item t="data" h="1" sd="1" m="1" x="6035"/>
        <item t="data" h="1" sd="1" m="1" x="5465"/>
        <item t="data" h="1" sd="1" m="1" x="6036"/>
        <item t="data" h="1" sd="1" m="1" x="3175"/>
        <item t="data" h="1" sd="1" m="1" x="5193"/>
        <item t="data" h="1" sd="1" m="1" x="6037"/>
        <item t="data" h="1" sd="1" m="1" x="6038"/>
        <item t="data" h="1" sd="1" m="1" x="5518"/>
        <item t="data" h="1" sd="1" m="1" x="5519"/>
        <item t="data" h="1" sd="1" m="1" x="6039"/>
        <item t="data" h="1" sd="1" m="1" x="6040"/>
        <item t="data" h="1" sd="1" m="1" x="866"/>
        <item t="data" h="1" sd="1" m="1" x="6041"/>
        <item t="data" h="1" sd="1" m="1" x="6042"/>
        <item t="data" h="1" sd="1" m="1" x="6043"/>
        <item t="data" h="1" sd="1" m="1" x="6044"/>
        <item t="data" h="1" sd="1" m="1" x="6045"/>
        <item t="data" h="1" sd="1" m="1" x="6046"/>
        <item t="data" h="1" sd="1" m="1" x="6047"/>
        <item t="data" h="1" sd="1" m="1" x="6048"/>
        <item t="data" h="1" sd="1" m="1" x="6049"/>
        <item t="data" h="1" sd="1" m="1" x="6050"/>
        <item t="data" h="1" sd="1" m="1" x="6051"/>
        <item t="data" h="1" sd="1" m="1" x="6052"/>
        <item t="data" h="1" sd="1" m="1" x="6053"/>
        <item t="data" h="1" sd="1" m="1" x="5916"/>
        <item t="data" h="1" sd="1" m="1" x="5917"/>
        <item t="data" h="1" sd="1" m="1" x="6054"/>
        <item t="data" h="1" sd="1" m="1" x="6055"/>
        <item t="data" h="1" sd="1" m="1" x="6056"/>
        <item t="data" h="1" sd="1" m="1" x="6057"/>
        <item t="data" h="1" sd="1" m="1" x="6058"/>
        <item t="data" h="1" sd="1" m="1" x="6059"/>
        <item t="data" h="1" sd="1" m="1" x="6060"/>
        <item t="data" h="1" sd="1" m="1" x="6061"/>
        <item t="data" h="1" sd="1" m="1" x="6062"/>
        <item t="data" h="1" sd="1" m="1" x="6063"/>
        <item t="data" h="1" sd="1" m="1" x="6065"/>
        <item t="data" h="1" sd="1" m="1" x="6066"/>
        <item t="data" h="1" sd="1" m="1" x="6067"/>
        <item t="data" h="1" sd="1" m="1" x="6068"/>
        <item t="data" h="1" sd="1" m="1" x="3359"/>
        <item t="data" h="1" sd="1" m="1" x="5920"/>
        <item t="data" h="1" sd="1" m="1" x="6069"/>
        <item t="data" h="1" sd="1" m="1" x="5856"/>
        <item t="data" h="1" sd="1" m="1" x="6075"/>
        <item t="data" h="1" sd="1" m="1" x="4662"/>
        <item t="data" h="1" sd="1" m="1" x="6076"/>
        <item t="data" h="1" sd="1" m="1" x="6077"/>
        <item t="data" h="1" sd="1" m="1" x="4304"/>
        <item t="data" h="1" sd="1" m="1" x="4661"/>
        <item t="data" h="1" sd="1" m="1" x="5201"/>
        <item t="data" h="1" sd="1" m="1" x="5931"/>
        <item t="data" h="1" sd="1" m="1" x="5318"/>
        <item t="data" h="1" sd="1" m="1" x="5060"/>
        <item t="data" h="1" sd="1" m="1" x="6079"/>
        <item t="data" h="1" sd="1" m="1" x="5347"/>
        <item t="data" h="1" sd="1" m="1" x="5671"/>
        <item t="data" h="1" sd="1" m="1" x="5944"/>
        <item t="data" h="1" sd="1" m="1" x="5942"/>
        <item t="data" h="1" sd="1" m="1" x="5943"/>
        <item t="data" h="1" sd="1" m="1" x="5701"/>
        <item t="data" h="1" sd="1" m="1" x="6082"/>
        <item t="data" h="1" sd="1" m="1" x="6083"/>
        <item t="data" h="1" sd="1" m="1" x="6084"/>
        <item t="data" h="1" sd="1" m="1" x="5421"/>
        <item t="data" h="1" sd="1" m="1" x="5951"/>
        <item t="data" h="1" sd="1" m="1" x="4993"/>
        <item t="data" h="1" sd="1" m="1" x="5950"/>
        <item t="data" h="1" sd="1" m="1" x="5728"/>
        <item t="data" h="1" sd="1" m="1" x="1625"/>
        <item t="data" h="1" sd="1" m="1" x="4244"/>
        <item t="data" h="1" sd="1" m="1" x="4663"/>
        <item t="data" h="1" sd="1" m="1" x="6085"/>
        <item t="data" h="1" sd="1" m="1" x="5737"/>
        <item t="data" h="1" sd="1" m="1" x="5962"/>
        <item t="data" h="1" sd="1" m="1" x="5863"/>
        <item t="data" h="1" sd="1" m="1" x="5961"/>
        <item t="data" h="1" sd="1" m="1" x="5781"/>
        <item t="data" h="1" sd="1" m="1" x="6086"/>
        <item t="data" h="1" sd="1" m="1" x="5770"/>
        <item t="data" h="1" sd="1" m="1" x="5776"/>
        <item t="data" h="1" sd="1" m="1" x="6087"/>
        <item t="data" h="1" sd="1" m="1" x="4240"/>
        <item t="data" h="1" sd="1" m="1" x="5966"/>
        <item t="data" h="1" sd="1" m="1" x="4241"/>
        <item t="data" h="1" sd="1" m="1" x="5874"/>
        <item t="data" h="1" sd="1" m="1" x="5783"/>
        <item t="data" h="1" sd="1" m="1" x="5784"/>
        <item t="data" h="1" sd="1" m="1" x="6092"/>
        <item t="data" h="1" sd="1" m="1" x="6093"/>
        <item t="data" h="1" sd="1" m="1" x="6094"/>
        <item t="data" h="1" sd="1" m="1" x="6096"/>
        <item t="data" h="1" sd="1" m="1" x="6097"/>
        <item t="data" h="1" sd="1" m="1" x="5969"/>
        <item t="data" h="1" sd="1" m="1" x="5438"/>
        <item t="data" h="1" sd="1" m="1" x="5439"/>
        <item t="data" h="1" sd="1" m="1" x="5795"/>
        <item t="data" h="1" sd="1" m="1" x="501"/>
        <item t="data" h="1" sd="1" m="1" x="4664"/>
        <item t="data" h="1" sd="1" m="1" x="5883"/>
        <item t="data" h="1" sd="1" m="1" x="5975"/>
        <item t="data" h="1" sd="1" m="1" x="5976"/>
        <item t="data" h="1" sd="1" m="1" x="5977"/>
        <item t="data" h="1" sd="1" m="1" x="5808"/>
        <item t="data" h="1" sd="1" m="1" x="5996"/>
        <item t="data" h="1" sd="1" m="1" x="6099"/>
        <item t="data" h="1" sd="1" m="1" x="5820"/>
        <item t="data" h="1" sd="1" m="1" x="6006"/>
        <item t="data" h="1" sd="1" m="1" x="6007"/>
        <item t="data" h="1" sd="1" m="1" x="1646"/>
        <item t="data" h="1" sd="1" m="1" x="6100"/>
        <item t="data" h="1" sd="1" m="1" x="6102"/>
        <item t="data" h="1" sd="1" m="1" x="5886"/>
        <item t="data" h="1" sd="1" m="1" x="6028"/>
        <item t="data" h="1" sd="1" m="1" x="5889"/>
        <item t="data" h="1" sd="1" m="1" x="6019"/>
        <item t="data" h="1" sd="1" m="1" x="6103"/>
        <item t="data" h="1" sd="1" m="1" x="4247"/>
        <item t="data" h="1" sd="1" m="1" x="5462"/>
        <item t="data" h="1" sd="1" m="1" x="5892"/>
        <item t="data" h="1" sd="1" m="1" x="5893"/>
        <item t="data" h="1" sd="1" m="1" x="5894"/>
        <item t="data" h="1" sd="1" m="1" x="5480"/>
        <item t="data" h="1" sd="1" m="1" x="5466"/>
        <item t="data" h="1" sd="1" m="1" x="5477"/>
        <item t="data" h="1" sd="1" m="1" x="5479"/>
        <item t="data" h="1" sd="1" m="1" x="5478"/>
        <item t="data" h="1" sd="1" m="1" x="3965"/>
        <item t="data" h="1" sd="1" m="1" x="5476"/>
        <item t="data" h="1" sd="1" m="1" x="3964"/>
        <item t="data" h="1" sd="1" m="1" x="5470"/>
        <item t="data" h="1" sd="1" m="1" x="3966"/>
        <item t="data" h="1" sd="1" m="1" x="5475"/>
        <item t="data" h="1" sd="1" m="1" x="5472"/>
        <item t="data" h="1" sd="1" m="1" x="5473"/>
        <item t="data" h="1" sd="1" m="1" x="5471"/>
        <item t="data" h="1" sd="1" m="1" x="5474"/>
        <item t="data" h="1" sd="1" m="1" x="5488"/>
        <item t="data" h="1" sd="1" m="1" x="5494"/>
        <item t="data" h="1" sd="1" m="1" x="5483"/>
        <item t="data" h="1" sd="1" m="1" x="5490"/>
        <item t="data" h="1" sd="1" m="1" x="5487"/>
        <item t="data" h="1" sd="1" m="1" x="5492"/>
        <item t="data" h="1" sd="1" m="1" x="5496"/>
        <item t="data" h="1" sd="1" m="1" x="5489"/>
        <item t="data" h="1" sd="1" m="1" x="5491"/>
        <item t="data" h="1" sd="1" m="1" x="5504"/>
        <item t="data" h="1" sd="1" m="1" x="5498"/>
        <item t="data" h="1" sd="1" m="1" x="5499"/>
        <item t="data" h="1" sd="1" m="1" x="5497"/>
        <item t="data" h="1" sd="1" m="1" x="5502"/>
        <item t="data" h="1" sd="1" m="1" x="5503"/>
        <item t="data" h="1" sd="1" m="1" x="5495"/>
        <item t="data" h="1" sd="1" m="1" x="5481"/>
        <item t="data" h="1" sd="1" m="1" x="5482"/>
        <item t="data" h="1" sd="1" m="1" x="5501"/>
        <item t="data" h="1" sd="1" m="1" x="5500"/>
        <item t="data" h="1" sd="1" m="1" x="5493"/>
        <item t="data" h="1" sd="1" m="1" x="5485"/>
        <item t="data" h="1" sd="1" m="1" x="5509"/>
        <item t="data" h="1" sd="1" m="1" x="5508"/>
        <item t="data" h="1" sd="1" m="1" x="5194"/>
        <item t="data" h="1" sd="1" m="1" x="5895"/>
        <item t="data" h="1" sd="1" m="1" x="5511"/>
        <item t="data" h="1" sd="1" m="1" x="5896"/>
        <item t="data" h="1" sd="1" m="1" x="5515"/>
        <item t="data" h="1" sd="1" m="1" x="5514"/>
        <item t="data" h="1" sd="1" m="1" x="5897"/>
        <item t="data" h="1" sd="1" m="1" x="5521"/>
        <item t="data" h="1" sd="1" m="1" x="5522"/>
        <item t="data" h="1" sd="1" m="1" x="4804"/>
        <item t="data" h="1" sd="1" m="1" x="5898"/>
        <item t="data" h="1" sd="1" m="1" x="5899"/>
        <item t="data" h="1" sd="1" m="1" x="5900"/>
        <item t="data" h="1" sd="1" m="1" x="5901"/>
        <item t="data" h="1" sd="1" m="1" x="5902"/>
        <item t="data" h="1" sd="1" m="1" x="5903"/>
        <item t="data" h="1" sd="1" m="1" x="5904"/>
        <item t="data" h="1" sd="1" m="1" x="5905"/>
        <item t="data" h="1" sd="1" m="1" x="5906"/>
        <item t="data" h="1" sd="1" m="1" x="5907"/>
        <item t="data" h="1" sd="1" m="1" x="5855"/>
        <item t="data" h="1" sd="1" m="1" x="5908"/>
        <item t="data" h="1" sd="1" m="1" x="2146"/>
        <item t="data" h="1" sd="1" m="1" x="5909"/>
        <item t="data" h="1" sd="1" m="1" x="1011"/>
        <item t="data" h="1" sd="1" m="1" x="5910"/>
        <item t="data" h="1" sd="1" m="1" x="5913"/>
        <item t="data" h="1" sd="1" m="1" x="5914"/>
        <item t="data" h="1" sd="1" m="1" x="5915"/>
        <item t="data" h="1" sd="1" m="1" x="5918"/>
        <item t="data" h="1" sd="1" m="1" x="5919"/>
        <item t="data" h="1" sd="1" m="1" x="4250"/>
        <item t="data" h="1" sd="1" m="1" x="4249"/>
        <item t="data" h="1" sd="1" m="1" x="5568"/>
        <item t="data" h="1" sd="1" m="1" x="5121"/>
        <item t="data" h="1" sd="1" m="1" x="5928"/>
        <item t="data" h="1" sd="1" m="1" x="5148"/>
        <item t="data" h="1" sd="1" m="1" x="5577"/>
        <item t="data" h="1" sd="1" m="1" x="4423"/>
        <item t="data" h="1" sd="1" m="1" x="5930"/>
        <item t="data" h="1" sd="1" m="1" x="4242"/>
        <item t="data" h="1" sd="1" m="1" x="5932"/>
        <item t="data" h="1" sd="1" m="1" x="5935"/>
        <item t="data" h="1" sd="1" m="1" x="5592"/>
        <item t="data" h="1" sd="1" m="1" x="5406"/>
        <item t="data" h="1" sd="1" m="1" x="5937"/>
        <item t="data" h="1" sd="1" m="1" x="5405"/>
        <item t="data" h="1" sd="1" m="1" x="5611"/>
        <item t="data" h="1" sd="1" m="1" x="5653"/>
        <item t="data" h="1" sd="1" m="1" x="5299"/>
        <item t="data" h="1" sd="1" m="1" x="5300"/>
        <item t="data" h="1" sd="1" m="1" x="5677"/>
        <item t="data" h="1" sd="1" m="1" x="5938"/>
        <item t="data" h="1" sd="1" m="1" x="620"/>
        <item t="data" h="1" sd="1" m="1" x="5940"/>
        <item t="data" h="1" sd="1" m="1" x="5696"/>
        <item t="data" h="1" sd="1" m="1" x="5414"/>
        <item t="data" h="1" sd="1" m="1" x="1607"/>
        <item t="data" h="1" sd="1" m="1" x="2641"/>
        <item t="data" h="1" sd="1" m="1" x="4255"/>
        <item t="data" h="1" sd="1" m="1" x="4673"/>
        <item t="data" h="1" sd="1" m="1" x="5945"/>
        <item t="data" h="1" sd="1" m="1" x="5948"/>
        <item t="data" h="1" sd="1" m="1" x="5949"/>
        <item t="data" h="1" sd="1" m="1" x="5708"/>
        <item t="data" h="1" sd="1" m="1" x="5709"/>
        <item t="data" h="1" sd="1" m="1" x="5710"/>
        <item t="data" h="1" sd="1" m="1" x="4051"/>
        <item t="data" h="1" sd="1" m="1" x="5141"/>
        <item t="data" h="1" sd="1" m="1" x="5718"/>
        <item t="data" h="1" sd="1" m="1" x="5711"/>
        <item t="data" h="1" sd="1" m="1" x="5712"/>
        <item t="data" h="1" sd="1" m="1" x="5953"/>
        <item t="data" h="1" sd="1" m="1" x="4245"/>
        <item t="data" h="1" sd="1" m="1" x="5424"/>
        <item t="data" h="1" sd="1" m="1" x="5866"/>
        <item t="data" h="1" sd="1" m="1" x="5960"/>
        <item t="data" h="1" sd="1" m="1" x="5748"/>
        <item t="data" h="1" sd="1" m="1" x="5763"/>
        <item t="data" h="1" sd="1" m="1" x="4236"/>
        <item t="data" h="1" sd="1" m="1" x="4237"/>
        <item t="data" h="1" sd="1" m="1" x="4238"/>
        <item t="data" h="1" sd="1" m="1" x="4239"/>
        <item t="data" h="1" sd="1" m="1" x="4251"/>
        <item t="data" h="1" sd="1" m="1" x="4911"/>
        <item t="data" h="1" sd="1" m="1" x="4912"/>
        <item t="data" h="1" sd="1" m="1" x="4813"/>
        <item t="data" h="1" sd="1" m="1" x="5870"/>
        <item t="data" h="1" sd="1" m="1" x="5967"/>
        <item t="data" h="1" sd="1" m="1" x="5871"/>
        <item t="data" h="1" sd="1" m="1" x="5872"/>
        <item t="data" h="1" sd="1" m="1" x="5248"/>
        <item t="data" h="1" sd="1" m="1" x="5773"/>
        <item t="data" h="1" sd="1" m="1" x="5785"/>
        <item t="data" h="1" sd="1" m="1" x="5788"/>
        <item t="data" h="1" sd="1" m="1" x="5444"/>
        <item t="data" h="1" sd="1" m="1" x="5971"/>
        <item t="data" h="1" sd="1" m="1" x="5972"/>
        <item t="data" h="1" sd="1" m="1" x="5973"/>
        <item t="data" h="1" sd="1" m="1" x="5980"/>
        <item t="data" h="1" sd="1" m="1" x="5981"/>
        <item t="data" h="1" sd="1" m="1" x="5982"/>
        <item t="data" h="1" sd="1" m="1" x="5983"/>
        <item t="data" h="1" sd="1" m="1" x="5880"/>
        <item t="data" h="1" sd="1" m="1" x="5992"/>
        <item t="data" h="1" sd="1" m="1" x="5993"/>
        <item t="data" h="1" sd="1" m="1" x="5994"/>
        <item t="data" h="1" sd="1" m="1" x="5999"/>
        <item t="data" h="1" sd="1" m="1" x="6001"/>
        <item t="data" h="1" sd="1" m="1" x="6002"/>
        <item t="data" h="1" sd="1" m="1" x="1387"/>
        <item t="data" h="1" sd="1" m="1" x="6003"/>
        <item t="data" h="1" sd="1" m="1" x="6004"/>
        <item t="data" h="1" sd="1" m="1" x="6005"/>
        <item t="data" h="1" sd="1" m="1" x="6014"/>
        <item t="data" h="1" sd="1" m="1" x="5885"/>
        <item t="data" h="1" sd="1" m="1" x="6015"/>
        <item t="data" h="1" sd="1" m="1" x="5888"/>
        <item t="data" h="1" sd="1" m="1" x="4671"/>
        <item t="data" h="1" sd="1" m="1" x="6021"/>
        <item t="data" h="1" sd="1" m="1" x="6022"/>
        <item t="data" h="1" sd="1" m="1" x="6024"/>
        <item t="data" h="1" sd="1" m="1" x="5052"/>
        <item t="data" h="1" sd="1" m="1" x="4554"/>
        <item t="data" h="1" sd="1" m="1" x="5463"/>
        <item t="data" h="1" sd="1" m="1" x="5836"/>
        <item t="data" h="1" sd="1" m="1" x="5837"/>
        <item t="data" h="1" sd="1" m="1" x="5838"/>
        <item t="data" h="1" sd="1" m="1" x="5839"/>
        <item t="data" h="1" sd="1" m="1" x="5382"/>
        <item t="data" h="1" sd="1" m="1" x="5195"/>
        <item t="data" h="1" sd="1" m="1" x="5844"/>
        <item t="data" h="1" sd="1" m="1" x="4803"/>
        <item t="data" h="1" sd="1" m="1" x="4531"/>
        <item t="data" h="1" sd="1" m="1" x="4532"/>
        <item t="data" h="1" sd="1" m="1" x="5845"/>
        <item t="data" h="1" sd="1" m="1" x="4866"/>
        <item t="data" h="1" sd="1" m="1" x="5520"/>
        <item t="data" h="1" sd="1" m="1" x="3634"/>
        <item t="data" h="1" sd="1" m="1" x="5846"/>
        <item t="data" h="1" sd="1" m="1" x="5847"/>
        <item t="data" h="1" sd="1" m="1" x="5848"/>
        <item t="data" h="1" sd="1" m="1" x="5557"/>
        <item t="data" h="1" sd="1" m="1" x="5849"/>
        <item t="data" h="1" sd="1" m="1" x="5850"/>
        <item t="data" h="1" sd="1" m="1" x="5851"/>
        <item t="data" h="1" sd="1" m="1" x="5530"/>
        <item t="data" h="1" sd="1" m="1" x="5531"/>
        <item t="data" h="1" sd="1" m="1" x="5532"/>
        <item t="data" h="1" sd="1" m="1" x="5556"/>
        <item t="data" h="1" sd="1" m="1" x="5537"/>
        <item t="data" h="1" sd="1" m="1" x="5555"/>
        <item t="data" h="1" sd="1" m="1" x="1231"/>
        <item t="data" h="1" sd="1" m="1" x="5554"/>
        <item t="data" h="1" sd="1" m="1" x="5558"/>
        <item t="data" h="1" sd="1" m="1" x="5559"/>
        <item t="data" h="1" sd="1" m="1" x="5538"/>
        <item t="data" h="1" sd="1" m="1" x="5852"/>
        <item t="data" h="1" sd="1" m="1" x="5853"/>
        <item t="data" h="1" sd="1" m="1" x="5854"/>
        <item t="data" h="1" sd="1" x="37"/>
        <item t="data" h="1" sd="1" m="1" x="5546"/>
        <item t="data" h="1" sd="1" m="1" x="5543"/>
        <item t="data" h="1" sd="1" m="1" x="5544"/>
        <item t="data" h="1" sd="1" m="1" x="5545"/>
        <item t="data" h="1" sd="1" m="1" x="5539"/>
        <item t="data" h="1" sd="1" m="1" x="5540"/>
        <item t="data" h="1" sd="1" m="1" x="5541"/>
        <item t="data" h="1" sd="1" m="1" x="5542"/>
        <item t="data" h="1" sd="1" m="1" x="5548"/>
        <item t="data" h="1" sd="1" m="1" x="4253"/>
        <item t="data" h="1" sd="1" m="1" x="5857"/>
        <item t="data" h="1" sd="1" m="1" x="5578"/>
        <item t="data" h="1" sd="1" m="1" x="5038"/>
        <item t="data" h="1" sd="1" m="1" x="5581"/>
        <item t="data" h="1" sd="1" m="1" x="5582"/>
        <item t="data" h="1" sd="1" m="1" x="5859"/>
        <item t="data" h="1" sd="1" m="1" x="5591"/>
        <item t="data" h="1" sd="1" m="1" x="2448"/>
        <item t="data" h="1" sd="1" m="1" x="5404"/>
        <item t="data" h="1" sd="1" x="263"/>
        <item t="data" h="1" sd="1" m="1" x="5598"/>
        <item t="data" h="1" sd="1" m="1" x="5599"/>
        <item t="data" h="1" sd="1" m="1" x="5600"/>
        <item t="data" h="1" sd="1" m="1" x="5601"/>
        <item t="data" h="1" sd="1" m="1" x="5602"/>
        <item t="data" h="1" sd="1" m="1" x="5610"/>
        <item t="data" h="1" sd="1" m="1" x="5609"/>
        <item t="data" h="1" sd="1" m="1" x="5606"/>
        <item t="data" h="1" sd="1" m="1" x="5607"/>
        <item t="data" h="1" sd="1" m="1" x="5608"/>
        <item t="data" h="1" sd="1" m="1" x="5604"/>
        <item t="data" h="1" sd="1" m="1" x="5605"/>
        <item t="data" h="1" sd="1" m="1" x="3103"/>
        <item t="data" h="1" sd="1" m="1" x="5301"/>
        <item t="data" h="1" sd="1" m="1" x="4530"/>
        <item t="data" h="1" sd="1" m="1" x="5694"/>
        <item t="data" h="1" sd="1" m="1" x="5713"/>
        <item t="data" h="1" sd="1" m="1" x="5861"/>
        <item t="data" h="1" sd="1" m="1" x="5727"/>
        <item t="data" h="1" sd="1" m="1" x="1614"/>
        <item t="data" h="1" sd="1" m="1" x="5862"/>
        <item t="data" h="1" sd="1" m="1" x="1613"/>
        <item t="data" h="1" sd="1" m="1" x="5729"/>
        <item t="data" h="1" sd="1" m="1" x="5864"/>
        <item t="data" h="1" sd="1" m="1" x="5865"/>
        <item t="data" h="1" sd="1" m="1" x="5867"/>
        <item t="data" h="1" sd="1" m="1" x="5869"/>
        <item t="data" h="1" sd="1" m="1" x="5786"/>
        <item t="data" h="1" sd="1" m="1" x="5787"/>
        <item t="data" h="1" sd="1" m="1" x="5442"/>
        <item t="data" h="1" sd="1" m="1" x="5793"/>
        <item t="data" h="1" sd="1" m="1" x="1810"/>
        <item t="data" h="1" sd="1" m="1" x="4670"/>
        <item t="data" h="1" sd="1" m="1" x="5878"/>
        <item t="data" h="1" sd="1" m="1" x="5807"/>
        <item t="data" h="1" sd="1" m="1" x="5879"/>
        <item t="data" h="1" sd="1" m="1" x="3268"/>
        <item t="data" h="1" sd="1" m="1" x="5881"/>
        <item t="data" h="1" sd="1" m="1" x="4210"/>
        <item t="data" h="1" sd="1" m="1" x="5204"/>
        <item t="data" h="1" sd="1" m="1" x="5814"/>
        <item t="data" h="1" sd="1" m="1" x="2888"/>
        <item t="data" h="1" sd="1" m="1" x="4672"/>
        <item t="data" h="1" sd="1" m="1" x="4212"/>
        <item t="data" h="1" sd="1" m="1" x="2122"/>
        <item t="data" h="1" sd="1" m="1" x="2736"/>
        <item t="data" h="1" sd="1" m="1" x="5890"/>
        <item t="data" h="1" sd="1" m="1" x="5891"/>
        <item t="data" h="1" sd="1" m="1" x="5460"/>
        <item t="data" h="1" sd="1" m="1" x="5464"/>
        <item t="data" h="1" sd="1" m="1" x="5505"/>
        <item t="data" h="1" sd="1" m="1" x="5506"/>
        <item t="data" h="1" sd="1" m="1" x="5507"/>
        <item t="data" h="1" sd="1" m="1" x="5513"/>
        <item t="data" h="1" sd="1" m="1" x="5517"/>
        <item t="data" h="1" sd="1" m="1" x="5527"/>
        <item t="data" h="1" sd="1" m="1" x="5528"/>
        <item t="data" h="1" sd="1" m="1" x="5529"/>
        <item t="data" h="1" sd="1" m="1" x="4832"/>
        <item t="data" h="1" sd="1" m="1" x="3876"/>
        <item t="data" h="1" sd="1" m="1" x="4830"/>
        <item t="data" h="1" sd="1" m="1" x="4831"/>
        <item t="data" h="1" sd="1" m="1" x="5533"/>
        <item t="data" h="1" sd="1" m="1" x="5534"/>
        <item t="data" h="1" sd="1" m="1" x="5535"/>
        <item t="data" h="1" sd="1" m="1" x="5536"/>
        <item t="data" h="1" sd="1" m="1" x="5549"/>
        <item t="data" h="1" sd="1" m="1" x="5550"/>
        <item t="data" h="1" sd="1" m="1" x="5551"/>
        <item t="data" h="1" sd="1" m="1" x="5552"/>
        <item t="data" h="1" sd="1" m="1" x="5553"/>
        <item t="data" h="1" sd="1" m="1" x="5560"/>
        <item t="data" h="1" sd="1" m="1" x="5561"/>
        <item t="data" h="1" sd="1" m="1" x="5576"/>
        <item t="data" h="1" sd="1" m="1" x="2696"/>
        <item t="data" h="1" sd="1" m="1" x="3351"/>
        <item t="data" h="1" sd="1" m="1" x="1876"/>
        <item t="data" h="1" sd="1" m="1" x="4992"/>
        <item t="data" h="1" sd="1" m="1" x="2605"/>
        <item t="data" h="1" sd="1" m="1" x="5579"/>
        <item t="data" h="1" sd="1" m="1" x="5583"/>
        <item t="data" h="1" sd="1" m="1" x="5454"/>
        <item t="data" h="1" sd="1" m="1" x="4981"/>
        <item t="data" h="1" sd="1" m="1" x="5403"/>
        <item t="data" h="1" sd="1" m="1" x="5407"/>
        <item t="data" h="1" sd="1" m="1" x="5603"/>
        <item t="data" h="1" sd="1" m="1" x="5615"/>
        <item t="data" h="1" sd="1" m="1" x="1612"/>
        <item t="data" h="1" sd="1" m="1" x="1611"/>
        <item t="data" h="1" sd="1" m="1" x="5410"/>
        <item t="data" h="1" sd="1" m="1" x="5673"/>
        <item t="data" h="1" sd="1" m="1" x="5674"/>
        <item t="data" h="1" sd="1" m="1" x="5676"/>
        <item t="data" h="1" sd="1" m="1" x="5191"/>
        <item t="data" h="1" sd="1" m="1" x="5678"/>
        <item t="data" h="1" sd="1" m="1" x="5679"/>
        <item t="data" h="1" sd="1" m="1" x="5680"/>
        <item t="data" h="1" sd="1" m="1" x="5313"/>
        <item t="data" h="1" sd="1" m="1" x="5698"/>
        <item t="data" h="1" sd="1" m="1" x="5700"/>
        <item t="data" h="1" sd="1" m="1" x="5706"/>
        <item t="data" h="1" sd="1" m="1" x="5120"/>
        <item t="data" h="1" sd="1" m="1" x="5714"/>
        <item t="data" h="1" sd="1" m="1" x="5715"/>
        <item t="data" h="1" sd="1" m="1" x="5716"/>
        <item t="data" h="1" sd="1" m="1" x="5717"/>
        <item t="data" h="1" sd="1" m="1" x="5720"/>
        <item t="data" h="1" sd="1" m="1" x="5723"/>
        <item t="data" h="1" sd="1" m="1" x="5724"/>
        <item t="data" h="1" sd="1" m="1" x="5725"/>
        <item t="data" h="1" sd="1" m="1" x="5726"/>
        <item t="data" h="1" sd="1" m="1" x="5257"/>
        <item t="data" h="1" sd="1" m="1" x="4534"/>
        <item t="data" h="1" sd="1" m="1" x="4982"/>
        <item t="data" h="1" sd="1" m="1" x="4235"/>
        <item t="data" h="1" sd="1" m="1" x="5765"/>
        <item t="data" h="1" sd="1" m="1" x="5782"/>
        <item t="data" h="1" sd="1" m="1" x="5330"/>
        <item t="data" h="1" sd="1" m="1" x="5375"/>
        <item t="data" h="1" sd="1" m="1" x="5790"/>
        <item t="data" h="1" sd="1" m="1" x="5443"/>
        <item t="data" h="1" sd="1" m="1" x="5446"/>
        <item t="data" h="1" sd="1" m="1" x="1377"/>
        <item t="data" h="1" sd="1" m="1" x="1610"/>
        <item t="data" h="1" sd="1" m="1" x="5033"/>
        <item t="data" h="1" sd="1" m="1" x="4936"/>
        <item t="data" h="1" sd="1" m="1" x="5798"/>
        <item t="data" h="1" sd="1" m="1" x="5799"/>
        <item t="data" h="1" sd="1" m="1" x="5801"/>
        <item t="data" h="1" sd="1" m="1" x="5802"/>
        <item t="data" h="1" sd="1" m="1" x="1304"/>
        <item t="data" h="1" sd="1" m="1" x="5062"/>
        <item t="data" h="1" sd="1" m="1" x="5803"/>
        <item t="data" h="1" sd="1" m="1" x="5804"/>
        <item t="data" h="1" sd="1" m="1" x="5805"/>
        <item t="data" h="1" sd="1" m="1" x="5806"/>
        <item t="data" h="1" sd="1" m="1" x="3541"/>
        <item t="data" h="1" sd="1" m="1" x="5810"/>
        <item t="data" h="1" sd="1" m="1" x="1803"/>
        <item t="data" h="1" sd="1" m="1" x="5811"/>
        <item t="data" h="1" sd="1" m="1" x="5056"/>
        <item t="data" h="1" sd="1" m="1" x="5812"/>
        <item t="data" h="1" sd="1" m="1" x="3443"/>
        <item t="data" h="1" sd="1" m="1" x="4371"/>
        <item t="data" h="1" sd="1" m="1" x="3246"/>
        <item t="data" h="1" sd="1" m="1" x="2277"/>
        <item t="data" h="1" sd="1" m="1" x="2909"/>
        <item t="data" h="1" sd="1" m="1" x="2096"/>
        <item t="data" h="1" sd="1" m="1" x="3445"/>
        <item t="data" h="1" sd="1" m="1" x="5216"/>
        <item t="data" h="1" sd="1" m="1" x="5829"/>
        <item t="data" h="1" sd="1" m="1" x="5830"/>
        <item t="data" h="1" sd="1" m="1" x="2480"/>
        <item t="data" h="1" sd="1" m="1" x="5831"/>
        <item t="data" h="1" sd="1" m="1" x="5832"/>
        <item t="data" h="1" sd="1" m="1" x="5833"/>
        <item t="data" h="1" sd="1" m="1" x="5379"/>
        <item t="data" h="1" sd="1" m="1" x="5380"/>
        <item t="data" h="1" sd="1" m="1" x="5381"/>
        <item t="data" h="1" sd="1" m="1" x="5383"/>
        <item t="data" h="1" sd="1" m="1" x="5384"/>
        <item t="data" h="1" sd="1" m="1" x="5323"/>
        <item t="data" h="1" sd="1" m="1" x="4776"/>
        <item t="data" h="1" sd="1" m="1" x="5385"/>
        <item t="data" h="1" sd="1" m="1" x="5387"/>
        <item t="data" h="1" sd="1" m="1" x="5388"/>
        <item t="data" h="1" sd="1" m="1" x="5390"/>
        <item t="data" h="1" sd="1" m="1" x="5391"/>
        <item t="data" h="1" sd="1" m="1" x="5333"/>
        <item t="data" h="1" sd="1" m="1" x="5392"/>
        <item t="data" h="1" sd="1" m="1" x="4131"/>
        <item t="data" h="1" sd="1" m="1" x="3204"/>
        <item t="data" h="1" sd="1" m="1" x="5394"/>
        <item t="data" h="1" sd="1" m="1" x="3201"/>
        <item t="data" h="1" sd="1" m="1" x="5326"/>
        <item t="data" h="1" sd="1" m="1" x="4021"/>
        <item t="data" h="1" sd="1" m="1" x="5325"/>
        <item t="data" h="1" sd="1" m="1" x="5252"/>
        <item t="data" h="1" sd="1" m="1" x="5396"/>
        <item t="data" h="1" sd="1" m="1" x="5251"/>
        <item t="data" h="1" sd="1" m="1" x="5250"/>
        <item t="data" h="1" sd="1" m="1" x="5397"/>
        <item t="data" h="1" sd="1" m="1" x="4754"/>
        <item t="data" h="1" sd="1" m="1" x="3900"/>
        <item t="data" h="1" sd="1" m="1" x="3901"/>
        <item t="data" h="1" sd="1" m="1" x="3902"/>
        <item t="data" h="1" sd="1" m="1" x="1973"/>
        <item t="data" h="1" sd="1" m="1" x="4372"/>
        <item t="data" h="1" sd="1" m="1" x="5400"/>
        <item t="data" h="1" sd="1" m="1" x="5106"/>
        <item t="data" h="1" sd="1" m="1" x="5078"/>
        <item t="data" h="1" sd="1" m="1" x="5079"/>
        <item t="data" h="1" sd="1" m="1" x="5409"/>
        <item t="data" h="1" sd="1" m="1" x="4472"/>
        <item t="data" h="1" sd="1" m="1" x="4473"/>
        <item t="data" h="1" sd="1" m="1" x="4474"/>
        <item t="data" h="1" sd="1" m="1" x="4475"/>
        <item t="data" h="1" sd="1" m="1" x="5150"/>
        <item t="data" h="1" sd="1" m="1" x="5112"/>
        <item t="data" h="1" sd="1" m="1" x="4914"/>
        <item t="data" h="1" sd="1" m="1" x="5108"/>
        <item t="data" h="1" sd="1" m="1" x="4256"/>
        <item t="data" h="1" sd="1" m="1" x="594"/>
        <item t="data" h="1" sd="1" m="1" x="1617"/>
        <item t="data" h="1" sd="1" m="1" x="5307"/>
        <item t="data" h="1" sd="1" m="1" x="4916"/>
        <item t="data" h="1" sd="1" m="1" x="5411"/>
        <item t="data" h="1" sd="1" m="1" x="5308"/>
        <item t="data" h="1" sd="1" m="1" x="5309"/>
        <item t="data" h="1" sd="1" m="1" x="5136"/>
        <item t="data" h="1" sd="1" m="1" x="1609"/>
        <item t="data" h="1" sd="1" m="1" x="1615"/>
        <item t="data" h="1" sd="1" m="1" x="4796"/>
        <item t="data" h="1" sd="1" m="1" x="5416"/>
        <item t="data" h="1" sd="1" m="1" x="5417"/>
        <item t="data" h="1" sd="1" m="1" x="5418"/>
        <item t="data" h="1" sd="1" m="1" x="2936"/>
        <item t="data" h="1" sd="1" m="1" x="5419"/>
        <item t="data" h="1" sd="1" m="1" x="5423"/>
        <item t="data" h="1" sd="1" m="1" x="4667"/>
        <item t="data" h="1" sd="1" m="1" x="4669"/>
        <item t="data" h="1" sd="1" m="1" x="4666"/>
        <item t="data" h="1" sd="1" m="1" x="4668"/>
        <item t="data" h="1" sd="1" m="1" x="4533"/>
        <item t="data" h="1" sd="1" m="1" x="4665"/>
        <item t="data" h="1" sd="1" m="1" x="1618"/>
        <item t="data" h="1" sd="1" m="1" x="3933"/>
        <item t="data" h="1" sd="1" m="1" x="5009"/>
        <item t="data" h="1" sd="1" m="1" x="4810"/>
        <item t="data" h="1" sd="1" m="1" x="4811"/>
        <item t="data" h="1" sd="1" m="1" x="4812"/>
        <item t="data" h="1" sd="1" m="1" x="5129"/>
        <item t="data" h="1" sd="1" m="1" x="5425"/>
        <item t="data" h="1" sd="1" m="1" x="5426"/>
        <item t="data" h="1" sd="1" m="1" x="5427"/>
        <item t="data" h="1" sd="1" m="1" x="5428"/>
        <item t="data" h="1" sd="1" m="1" x="5429"/>
        <item t="data" h="1" sd="1" m="1" x="3283"/>
        <item t="data" h="1" sd="1" m="1" x="3284"/>
        <item t="data" h="1" sd="1" m="1" x="3688"/>
        <item t="data" h="1" sd="1" m="1" x="4257"/>
        <item t="data" h="1" sd="1" m="1" x="5430"/>
        <item t="data" h="1" sd="1" m="1" x="5431"/>
        <item t="data" h="1" sd="1" m="1" x="5246"/>
        <item t="data" h="1" sd="1" m="1" x="5433"/>
        <item t="data" h="1" sd="1" m="1" x="5434"/>
        <item t="data" h="1" sd="1" m="1" x="601"/>
        <item t="data" h="1" sd="1" m="1" x="5435"/>
        <item t="data" h="1" sd="1" m="1" x="5138"/>
        <item t="data" h="1" sd="1" m="1" x="5137"/>
        <item t="data" h="1" sd="1" m="1" x="5436"/>
        <item t="data" h="1" sd="1" m="1" x="5437"/>
        <item t="data" h="1" sd="1" m="1" x="5377"/>
        <item t="data" h="1" sd="1" m="1" x="5440"/>
        <item t="data" h="1" sd="1" m="1" x="5441"/>
        <item t="data" h="1" sd="1" m="1" x="5024"/>
        <item t="data" h="1" sd="1" m="1" x="5025"/>
        <item t="data" h="1" sd="1" m="1" x="5015"/>
        <item t="data" h="1" sd="1" m="1" x="5342"/>
        <item t="data" h="1" sd="1" m="1" x="5016"/>
        <item t="data" h="1" sd="1" m="1" x="5448"/>
        <item t="data" h="1" sd="1" m="1" x="5449"/>
        <item t="data" h="1" sd="1" m="1" x="5451"/>
        <item t="data" h="1" sd="1" m="1" x="4884"/>
        <item t="data" h="1" sd="1" m="1" x="4879"/>
        <item t="data" h="1" sd="1" m="1" x="5455"/>
        <item t="data" h="1" sd="1" m="1" x="5456"/>
        <item t="data" h="1" sd="1" m="1" x="5047"/>
        <item t="data" h="1" sd="1" m="1" x="5261"/>
        <item t="data" h="1" sd="1" m="1" x="5260"/>
        <item t="data" h="1" sd="1" m="1" x="5281"/>
        <item t="data" h="1" sd="1" m="1" x="5457"/>
        <item t="data" h="1" sd="1" m="1" x="2029"/>
        <item t="data" h="1" sd="1" m="1" x="5458"/>
        <item t="data" h="1" sd="1" m="1" x="5459"/>
        <item t="data" h="1" sd="1" m="1" x="4536"/>
        <item t="data" h="1" sd="1" m="1" x="5302"/>
        <item t="data" h="1" sd="1" m="1" x="5303"/>
        <item t="data" h="1" sd="1" m="1" x="5304"/>
        <item t="data" h="1" sd="1" m="1" x="5305"/>
        <item t="data" h="1" sd="1" m="1" x="5306"/>
        <item t="data" h="1" sd="1" m="1" x="4697"/>
        <item t="data" h="1" sd="1" m="1" x="4929"/>
        <item t="data" h="1" sd="1" m="1" x="4930"/>
        <item t="data" h="1" sd="1" m="1" x="4939"/>
        <item t="data" h="1" sd="1" m="1" x="5196"/>
        <item t="data" h="1" sd="1" m="1" x="5310"/>
        <item t="data" h="1" sd="1" m="1" x="4941"/>
        <item t="data" h="1" sd="1" m="1" x="2008"/>
        <item t="data" h="1" sd="1" m="1" x="5312"/>
        <item t="data" h="1" sd="1" m="1" x="5197"/>
        <item t="data" h="1" sd="1" m="1" x="5314"/>
        <item t="data" h="1" sd="1" m="1" x="5315"/>
        <item t="data" h="1" sd="1" m="1" x="5316"/>
        <item t="data" h="1" sd="1" m="1" x="5320"/>
        <item t="data" h="1" sd="1" m="1" x="4977"/>
        <item t="data" h="1" sd="1" m="1" x="4978"/>
        <item t="data" h="1" sd="1" m="1" x="4130"/>
        <item t="data" h="1" sd="1" m="1" x="5324"/>
        <item t="data" h="1" sd="1" m="1" x="3903"/>
        <item t="data" h="1" sd="1" m="1" x="5253"/>
        <item t="data" h="1" sd="1" m="1" x="4994"/>
        <item t="data" h="1" sd="1" m="1" x="5327"/>
        <item t="data" h="1" sd="1" m="1" x="4689"/>
        <item t="data" h="1" sd="1" m="1" x="4690"/>
        <item t="data" h="1" sd="1" m="1" x="4691"/>
        <item t="data" h="1" sd="1" m="1" x="5244"/>
        <item t="data" h="1" sd="1" m="1" x="5249"/>
        <item t="data" h="1" sd="1" m="1" x="5011"/>
        <item t="data" h="1" sd="1" m="1" x="5023"/>
        <item t="data" h="1" sd="1" m="1" x="5014"/>
        <item t="data" h="1" sd="1" m="1" x="2897"/>
        <item t="data" h="1" sd="1" m="1" x="4424"/>
        <item t="data" h="1" sd="1" m="1" x="5032"/>
        <item t="data" h="1" sd="1" m="1" x="2273"/>
        <item t="data" h="1" sd="1" m="1" x="5040"/>
        <item t="data" h="1" sd="1" m="1" x="3731"/>
        <item t="data" h="1" sd="1" m="1" x="5048"/>
        <item t="data" h="1" sd="1" m="1" x="1999"/>
        <item t="data" h="1" sd="1" m="1" x="2913"/>
        <item t="data" h="1" sd="1" m="1" x="5329"/>
        <item t="data" h="1" sd="1" m="1" x="4701"/>
        <item t="data" h="1" sd="1" m="1" x="5331"/>
        <item t="data" h="1" sd="1" m="1" x="5332"/>
        <item t="data" h="1" sd="1" m="1" x="4824"/>
        <item t="data" h="1" sd="1" m="1" x="5265"/>
        <item t="data" h="1" sd="1" m="1" x="5334"/>
        <item t="data" h="1" sd="1" m="1" x="5335"/>
        <item t="data" h="1" sd="1" m="1" x="5336"/>
        <item t="data" h="1" sd="1" m="1" x="5337"/>
        <item t="data" h="1" sd="1" m="1" x="5338"/>
        <item t="data" h="1" sd="1" m="1" x="5264"/>
        <item t="data" h="1" sd="1" m="1" x="5339"/>
        <item t="data" h="1" sd="1" m="1" x="5340"/>
        <item t="data" h="1" sd="1" m="1" x="5341"/>
        <item t="data" h="1" sd="1" m="1" x="5343"/>
        <item t="data" h="1" sd="1" m="1" x="5217"/>
        <item t="data" h="1" sd="1" m="1" x="5344"/>
        <item t="data" h="1" sd="1" m="1" x="5346"/>
        <item t="data" h="1" sd="1" m="1" x="4846"/>
        <item t="data" h="1" sd="1" m="1" x="5348"/>
        <item t="data" h="1" sd="1" m="1" x="5349"/>
        <item t="data" h="1" sd="1" m="1" x="5350"/>
        <item t="data" h="1" sd="1" m="1" x="5107"/>
        <item t="data" h="1" sd="1" m="1" x="5351"/>
        <item t="data" h="1" sd="1" m="1" x="5352"/>
        <item t="data" h="1" sd="1" m="1" x="5353"/>
        <item t="data" h="1" sd="1" m="1" x="5354"/>
        <item t="data" h="1" sd="1" m="1" x="5355"/>
        <item t="data" h="1" sd="1" m="1" x="5100"/>
        <item t="data" h="1" sd="1" m="1" x="5356"/>
        <item t="data" h="1" sd="1" m="1" x="2684"/>
        <item t="data" h="1" sd="1" m="1" x="5231"/>
        <item t="data" h="1" sd="1" m="1" x="4874"/>
        <item t="data" h="1" sd="1" m="1" x="4875"/>
        <item t="data" h="1" sd="1" m="1" x="5357"/>
        <item t="data" h="1" sd="1" m="1" x="5358"/>
        <item t="data" h="1" sd="1" m="1" x="4893"/>
        <item t="data" h="1" sd="1" m="1" x="5359"/>
        <item t="data" h="1" sd="1" m="1" x="5362"/>
        <item t="data" h="1" sd="1" m="1" x="5363"/>
        <item t="data" h="1" sd="1" m="1" x="5364"/>
        <item t="data" h="1" sd="1" m="1" x="776"/>
        <item t="data" h="1" sd="1" m="1" x="5365"/>
        <item t="data" h="1" sd="1" m="1" x="5366"/>
        <item t="data" h="1" sd="1" m="1" x="5367"/>
        <item t="data" h="1" sd="1" m="1" x="5368"/>
        <item t="data" h="1" sd="1" m="1" x="5369"/>
        <item t="data" h="1" sd="1" m="1" x="5370"/>
        <item t="data" h="1" sd="1" m="1" x="5371"/>
        <item t="data" h="1" sd="1" m="1" x="5372"/>
        <item t="data" h="1" sd="1" m="1" x="5373"/>
        <item t="data" h="1" sd="1" m="1" x="5374"/>
        <item t="data" h="1" sd="1" m="1" x="618"/>
        <item t="data" h="1" sd="1" m="1" x="1824"/>
        <item t="data" h="1" sd="1" m="1" x="5376"/>
        <item t="data" h="1" sd="1" m="1" x="2987"/>
        <item t="data" h="1" sd="1" m="1" x="4917"/>
        <item t="data" h="1" sd="1" m="1" x="1970"/>
        <item t="data" h="1" sd="1" m="1" x="4932"/>
        <item t="data" h="1" sd="1" m="1" x="3628"/>
        <item t="data" h="1" sd="1" m="1" x="4945"/>
        <item t="data" h="1" sd="1" m="1" x="4953"/>
        <item t="data" h="1" sd="1" m="1" x="5242"/>
        <item t="data" h="1" sd="1" m="1" x="5243"/>
        <item t="data" h="1" sd="1" m="1" x="5198"/>
        <item t="data" h="1" sd="1" m="1" x="4539"/>
        <item t="data" h="1" sd="1" m="1" x="4540"/>
        <item t="data" h="1" sd="1" m="1" x="4979"/>
        <item t="data" h="1" sd="1" m="1" x="4974"/>
        <item t="data" h="1" sd="1" m="1" x="4975"/>
        <item t="data" h="1" sd="1" m="1" x="4976"/>
        <item t="data" h="1" sd="1" m="1" x="4162"/>
        <item t="data" h="1" sd="1" m="1" x="4675"/>
        <item t="data" h="1" sd="1" m="1" x="5199"/>
        <item t="data" h="1" sd="1" m="1" x="4676"/>
        <item t="data" h="1" sd="1" m="1" x="4678"/>
        <item t="data" h="1" sd="1" m="1" x="5254"/>
        <item t="data" h="1" sd="1" m="1" x="4985"/>
        <item t="data" h="1" sd="1" m="1" x="4984"/>
        <item t="data" h="1" sd="1" m="1" x="5255"/>
        <item t="data" h="1" sd="1" m="1" x="4758"/>
        <item t="data" h="1" sd="1" m="1" x="4995"/>
        <item t="data" h="1" sd="1" m="1" x="4683"/>
        <item t="data" h="1" sd="1" m="1" x="5001"/>
        <item t="data" h="1" sd="1" m="1" x="1627"/>
        <item t="data" h="1" sd="1" m="1" x="1626"/>
        <item t="data" h="1" sd="1" m="1" x="5002"/>
        <item t="data" h="1" sd="1" m="1" x="4694"/>
        <item t="data" h="1" sd="1" m="1" x="4693"/>
        <item t="data" h="1" sd="1" m="1" x="4687"/>
        <item t="data" h="1" sd="1" m="1" x="4692"/>
        <item t="data" h="1" sd="1" m="1" x="5004"/>
        <item t="data" h="1" sd="1" m="1" x="5258"/>
        <item t="data" h="1" sd="1" m="1" x="5027"/>
        <item t="data" h="1" sd="1" m="1" x="5026"/>
        <item t="data" h="1" sd="1" m="1" x="4696"/>
        <item t="data" h="1" sd="1" m="1" x="2727"/>
        <item t="data" h="1" sd="1" m="1" x="5021"/>
        <item t="data" h="1" sd="1" m="1" x="5018"/>
        <item t="data" h="1" sd="1" m="1" x="5022"/>
        <item t="data" h="1" sd="1" m="1" x="2594"/>
        <item t="data" h="1" sd="1" m="1" x="5034"/>
        <item t="data" h="1" sd="1" m="1" x="5035"/>
        <item t="data" h="1" sd="1" m="1" x="5036"/>
        <item t="data" h="1" sd="1" m="1" x="2256"/>
        <item t="data" h="1" sd="1" m="1" x="5041"/>
        <item t="data" h="1" sd="1" m="1" x="4318"/>
        <item t="data" h="1" sd="1" m="1" x="5042"/>
        <item t="data" h="1" sd="1" m="1" x="5043"/>
        <item t="data" h="1" sd="1" m="1" x="5044"/>
        <item t="data" h="1" sd="1" m="1" x="5045"/>
        <item t="data" h="1" sd="1" m="1" x="4549"/>
        <item t="data" h="1" sd="1" m="1" x="5259"/>
        <item t="data" h="1" sd="1" m="1" x="3752"/>
        <item t="data" h="1" sd="1" m="1" x="5049"/>
        <item t="data" h="1" sd="1" m="1" x="4699"/>
        <item t="data" h="1" sd="1" m="1" x="3490"/>
        <item t="data" h="1" sd="1" m="1" x="4276"/>
        <item t="data" h="1" sd="1" m="1" x="2934"/>
        <item t="data" h="1" sd="1" m="1" x="2734"/>
        <item t="data" h="1" sd="1" m="1" x="5053"/>
        <item t="data" h="1" sd="1" m="1" x="5057"/>
        <item t="data" h="1" sd="1" m="1" x="4821"/>
        <item t="data" h="1" sd="1" m="1" x="4822"/>
        <item t="data" h="1" sd="1" m="1" x="5064"/>
        <item t="data" h="1" sd="1" m="1" x="5065"/>
        <item t="data" h="1" sd="1" m="1" x="5066"/>
        <item t="data" h="1" sd="1" m="1" x="5067"/>
        <item t="data" h="1" sd="1" m="1" x="5075"/>
        <item t="data" h="1" sd="1" m="1" x="4262"/>
        <item t="data" h="1" sd="1" m="1" x="4263"/>
        <item t="data" h="1" sd="1" m="1" x="4264"/>
        <item t="data" h="1" sd="1" m="1" x="4440"/>
        <item t="data" h="1" sd="1" m="1" x="5211"/>
        <item t="data" h="1" sd="1" m="1" x="5262"/>
        <item t="data" h="1" sd="1" m="1" x="5212"/>
        <item t="data" h="1" sd="1" m="1" x="5263"/>
        <item t="data" h="1" sd="1" m="1" x="4427"/>
        <item t="data" h="1" sd="1" m="1" x="5133"/>
        <item t="data" h="1" sd="1" m="1" x="5266"/>
        <item t="data" h="1" sd="1" m="1" x="5267"/>
        <item t="data" h="1" sd="1" m="1" x="5127"/>
        <item t="data" h="1" sd="1" m="1" x="5128"/>
        <item t="data" h="1" sd="1" m="1" x="2945"/>
        <item t="data" h="1" sd="1" m="1" x="5268"/>
        <item t="data" h="1" sd="1" m="1" x="5269"/>
        <item t="data" h="1" sd="1" m="1" x="5270"/>
        <item t="data" h="1" sd="1" m="1" x="5271"/>
        <item t="data" h="1" sd="1" m="1" x="5272"/>
        <item t="data" h="1" sd="1" m="1" x="5273"/>
        <item t="data" h="1" sd="1" m="1" x="5274"/>
        <item t="data" h="1" sd="1" m="1" x="5275"/>
        <item t="data" h="1" sd="1" m="1" x="5276"/>
        <item t="data" h="1" sd="1" m="1" x="5277"/>
        <item t="data" h="1" sd="1" m="1" x="5278"/>
        <item t="data" h="1" sd="1" m="1" x="5088"/>
        <item t="data" h="1" sd="1" m="1" x="5279"/>
        <item t="data" h="1" sd="1" m="1" x="5280"/>
        <item t="data" h="1" sd="1" m="1" x="5119"/>
        <item t="data" h="1" sd="1" m="1" x="4842"/>
        <item t="data" h="1" sd="1" m="1" x="4843"/>
        <item t="data" h="1" sd="1" m="1" x="5144"/>
        <item t="data" h="1" sd="1" m="1" x="5143"/>
        <item t="data" h="1" sd="1" m="1" x="5282"/>
        <item t="data" h="1" sd="1" m="1" x="5283"/>
        <item t="data" h="1" sd="1" m="1" x="4881"/>
        <item t="data" h="1" sd="1" m="1" x="4882"/>
        <item t="data" h="1" sd="1" m="1" x="5284"/>
        <item t="data" h="1" sd="1" m="1" x="5285"/>
        <item t="data" h="1" sd="1" m="1" x="2069"/>
        <item t="data" h="1" sd="1" m="1" x="4898"/>
        <item t="data" h="1" sd="1" m="1" x="5286"/>
        <item t="data" h="1" sd="1" m="1" x="5287"/>
        <item t="data" h="1" sd="1" m="1" x="2854"/>
        <item t="data" h="1" sd="1" m="1" x="5288"/>
        <item t="data" h="1" sd="1" m="1" x="5289"/>
        <item t="data" h="1" sd="1" m="1" x="5290"/>
        <item t="data" h="1" sd="1" m="1" x="5291"/>
        <item t="data" h="1" sd="1" m="1" x="5292"/>
        <item t="data" h="1" sd="1" m="1" x="5293"/>
        <item t="data" h="1" sd="1" m="1" x="5294"/>
        <item t="data" h="1" sd="1" m="1" x="5296"/>
        <item t="data" h="1" sd="1" m="1" x="5297"/>
        <item t="data" h="1" sd="1" m="1" x="4903"/>
        <item t="data" h="1" sd="1" m="1" x="4902"/>
        <item t="data" h="1" sd="1" m="1" x="3960"/>
        <item t="data" h="1" sd="1" m="1" x="5189"/>
        <item t="data" h="1" sd="1" m="1" x="4927"/>
        <item t="data" h="1" sd="1" m="1" x="4928"/>
        <item t="data" h="1" sd="1" m="1" x="4920"/>
        <item t="data" h="1" sd="1" m="1" x="4921"/>
        <item t="data" h="1" sd="1" m="1" x="4922"/>
        <item t="data" h="1" sd="1" m="1" x="4938"/>
        <item t="data" h="1" sd="1" m="1" x="4933"/>
        <item t="data" h="1" sd="1" m="1" x="4817"/>
        <item t="data" h="1" sd="1" m="1" x="4944"/>
        <item t="data" h="1" sd="1" m="1" x="2965"/>
        <item t="data" h="1" sd="1" m="1" x="4961"/>
        <item t="data" h="1" sd="1" m="1" x="4980"/>
        <item t="data" h="1" sd="1" m="1" x="4166"/>
        <item t="data" h="1" sd="1" m="1" x="4997"/>
        <item t="data" h="1" sd="1" m="1" x="4682"/>
        <item t="data" h="1" sd="1" m="1" x="1753"/>
        <item t="data" h="1" sd="1" x="130"/>
        <item t="data" h="1" sd="1" m="1" x="5003"/>
        <item t="data" h="1" sd="1" m="1" x="4695"/>
        <item t="data" h="1" sd="1" m="1" x="4680"/>
        <item t="data" h="1" sd="1" m="1" x="4983"/>
        <item t="data" h="1" sd="1" m="1" x="5029"/>
        <item t="data" h="1" sd="1" m="1" x="5030"/>
        <item t="data" h="1" sd="1" m="1" x="865"/>
        <item t="data" h="1" sd="1" m="1" x="5017"/>
        <item t="data" h="1" sd="1" m="1" x="5031"/>
        <item t="data" h="1" sd="1" m="1" x="5037"/>
        <item t="data" h="1" sd="1" m="1" x="4935"/>
        <item t="data" h="1" sd="1" m="1" x="4548"/>
        <item t="data" h="1" sd="1" m="1" x="3450"/>
        <item t="data" h="1" sd="1" m="1" x="5059"/>
        <item t="data" h="1" sd="1" m="1" x="4698"/>
        <item t="data" h="1" sd="1" m="1" x="5054"/>
        <item t="data" h="1" sd="1" m="1" x="5055"/>
        <item t="data" h="1" sd="1" m="1" x="3753"/>
        <item t="data" h="1" sd="1" m="1" x="5071"/>
        <item t="data" h="1" sd="1" m="1" x="5072"/>
        <item t="data" h="1" sd="1" m="1" x="5074"/>
        <item t="data" h="1" sd="1" m="1" x="5070"/>
        <item t="data" h="1" sd="1" m="1" x="5061"/>
        <item t="data" h="1" sd="1" m="1" x="5076"/>
        <item t="data" h="1" sd="1" m="1" x="5209"/>
        <item t="data" h="1" sd="1" m="1" x="5210"/>
        <item t="data" h="1" sd="1" m="1" x="5213"/>
        <item t="data" h="1" sd="1" m="1" x="5214"/>
        <item t="data" h="1" sd="1" m="1" x="5215"/>
        <item t="data" h="1" sd="1" m="1" x="5218"/>
        <item t="data" h="1" sd="1" m="1" x="5219"/>
        <item t="data" h="1" sd="1" m="1" x="5220"/>
        <item t="data" h="1" sd="1" m="1" x="5221"/>
        <item t="data" h="1" sd="1" m="1" x="5222"/>
        <item t="data" h="1" sd="1" m="1" x="5223"/>
        <item t="data" h="1" sd="1" m="1" x="5224"/>
        <item t="data" h="1" sd="1" m="1" x="5225"/>
        <item t="data" h="1" sd="1" m="1" x="5098"/>
        <item t="data" h="1" sd="1" m="1" x="5227"/>
        <item t="data" h="1" sd="1" m="1" x="5228"/>
        <item t="data" h="1" sd="1" m="1" x="5229"/>
        <item t="data" h="1" sd="1" m="1" x="4458"/>
        <item t="data" h="1" sd="1" m="1" x="5230"/>
        <item t="data" h="1" sd="1" m="1" x="4853"/>
        <item t="data" h="1" sd="1" m="1" x="4877"/>
        <item t="data" h="1" sd="1" m="1" x="4880"/>
        <item t="data" h="1" sd="1" m="1" x="5233"/>
        <item t="data" h="1" sd="1" m="1" x="5234"/>
        <item t="data" h="1" sd="1" m="1" x="5235"/>
        <item t="data" h="1" sd="1" m="1" x="5236"/>
        <item t="data" h="1" sd="1" m="1" x="5237"/>
        <item t="data" h="1" sd="1" m="1" x="5238"/>
        <item t="data" h="1" sd="1" m="1" x="5239"/>
        <item t="data" h="1" sd="1" m="1" x="5240"/>
        <item t="data" h="1" sd="1" m="1" x="5173"/>
        <item t="data" h="1" sd="1" m="1" x="3134"/>
        <item t="data" h="1" sd="1" m="1" x="4909"/>
        <item t="data" h="1" sd="1" m="1" x="4915"/>
        <item t="data" h="1" sd="1" m="1" x="4535"/>
        <item t="data" h="1" sd="1" m="1" x="4918"/>
        <item t="data" h="1" sd="1" m="1" x="4919"/>
        <item t="data" h="1" sd="1" m="1" x="4925"/>
        <item t="data" h="1" sd="1" m="1" x="4926"/>
        <item t="data" h="1" sd="1" m="1" x="4476"/>
        <item t="data" h="1" sd="1" m="1" x="4931"/>
        <item t="data" h="1" sd="1" m="1" x="4934"/>
        <item t="data" h="1" sd="1" m="1" x="4937"/>
        <item t="data" h="1" sd="1" m="1" x="4942"/>
        <item t="data" h="1" sd="1" m="1" x="4950"/>
        <item t="data" h="1" sd="1" m="1" x="4951"/>
        <item t="data" h="1" sd="1" m="1" x="4952"/>
        <item t="data" h="1" sd="1" m="1" x="4956"/>
        <item t="data" h="1" sd="1" m="1" x="4957"/>
        <item t="data" h="1" sd="1" m="1" x="4958"/>
        <item t="data" h="1" sd="1" m="1" x="4959"/>
        <item t="data" h="1" sd="1" m="1" x="4960"/>
        <item t="data" h="1" sd="1" m="1" x="4801"/>
        <item t="data" h="1" sd="1" m="1" x="4965"/>
        <item t="data" h="1" sd="1" m="1" x="4966"/>
        <item t="data" h="1" sd="1" m="1" x="4971"/>
        <item t="data" h="1" sd="1" m="1" x="4973"/>
        <item t="data" h="1" sd="1" m="1" x="4164"/>
        <item t="data" h="1" sd="1" m="1" x="4541"/>
        <item t="data" h="1" sd="1" m="1" x="4816"/>
        <item t="data" h="1" sd="1" m="1" x="4805"/>
        <item t="data" h="1" sd="1" m="1" x="4987"/>
        <item t="data" h="1" sd="1" m="1" x="4988"/>
        <item t="data" h="1" sd="1" m="1" x="3693"/>
        <item t="data" h="1" sd="1" m="1" x="4996"/>
        <item t="data" h="1" sd="1" m="1" x="4706"/>
        <item t="data" h="1" sd="1" m="1" x="4684"/>
        <item t="data" h="1" sd="1" m="1" x="4685"/>
        <item t="data" h="1" sd="1" m="1" x="4686"/>
        <item t="data" h="1" sd="1" m="1" x="3249"/>
        <item t="data" h="1" sd="1" m="1" x="4707"/>
        <item t="data" h="1" sd="1" m="1" x="4545"/>
        <item t="data" h="1" sd="1" m="1" x="3692"/>
        <item t="data" h="1" sd="1" m="1" x="5013"/>
        <item t="data" h="1" sd="1" m="1" x="5028"/>
        <item t="data" h="1" sd="1" m="1" x="5039"/>
        <item t="data" h="1" sd="1" m="1" x="2490"/>
        <item t="data" h="1" sd="1" m="1" x="4197"/>
        <item t="data" h="1" sd="1" m="1" x="4199"/>
        <item t="data" h="1" sd="1" m="1" x="4201"/>
        <item t="data" h="1" sd="1" m="1" x="4261"/>
        <item t="data" h="1" sd="1" m="1" x="5046"/>
        <item t="data" h="1" sd="1" m="1" x="4202"/>
        <item t="data" h="1" sd="1" m="1" x="1622"/>
        <item t="data" h="1" sd="1" m="1" x="5050"/>
        <item t="data" h="1" sd="1" m="1" x="5051"/>
        <item t="data" h="1" sd="1" m="1" x="1846"/>
        <item t="data" h="1" sd="1" m="1" x="1644"/>
        <item t="data" h="1" sd="1" m="1" x="1633"/>
        <item t="data" h="1" sd="1" m="1" x="1595"/>
        <item t="data" h="1" sd="1" m="1" x="1636"/>
        <item t="data" h="1" sd="1" m="1" x="4426"/>
        <item t="data" h="1" sd="1" m="1" x="5063"/>
        <item t="data" h="1" sd="1" m="1" x="5068"/>
        <item t="data" h="1" sd="1" m="1" x="5069"/>
        <item t="data" h="1" sd="1" m="1" x="5073"/>
        <item t="data" h="1" sd="1" m="1" x="5077"/>
        <item t="data" h="1" sd="1" m="1" x="5080"/>
        <item t="data" h="1" sd="1" m="1" x="5081"/>
        <item t="data" h="1" sd="1" m="1" x="4719"/>
        <item t="data" h="1" sd="1" m="1" x="4720"/>
        <item t="data" h="1" sd="1" m="1" x="4718"/>
        <item t="data" h="1" sd="1" m="1" x="5082"/>
        <item t="data" h="1" sd="1" m="1" x="5083"/>
        <item t="data" h="1" sd="1" m="1" x="5085"/>
        <item t="data" h="1" sd="1" m="1" x="5086"/>
        <item t="data" h="1" sd="1" m="1" x="5089"/>
        <item t="data" h="1" sd="1" m="1" x="5090"/>
        <item t="data" h="1" sd="1" m="1" x="5091"/>
        <item t="data" h="1" sd="1" m="1" x="5092"/>
        <item t="data" h="1" sd="1" m="1" x="5093"/>
        <item t="data" h="1" sd="1" m="1" x="5094"/>
        <item t="data" h="1" sd="1" m="1" x="5095"/>
        <item t="data" h="1" sd="1" m="1" x="5097"/>
        <item t="data" h="1" sd="1" m="1" x="5099"/>
        <item t="data" h="1" sd="1" m="1" x="5102"/>
        <item t="data" h="1" sd="1" m="1" x="5103"/>
        <item t="data" h="1" sd="1" m="1" x="5104"/>
        <item t="data" h="1" sd="1" m="1" x="5105"/>
        <item t="data" h="1" sd="1" m="1" x="4728"/>
        <item t="data" h="1" sd="1" m="1" x="5109"/>
        <item t="data" h="1" sd="1" m="1" x="5110"/>
        <item t="data" h="1" sd="1" m="1" x="5111"/>
        <item t="data" h="1" sd="1" m="1" x="4726"/>
        <item t="data" h="1" sd="1" m="1" x="4727"/>
        <item t="data" h="1" sd="1" m="1" x="5113"/>
        <item t="data" h="1" sd="1" m="1" x="5114"/>
        <item t="data" h="1" sd="1" m="1" x="4729"/>
        <item t="data" h="1" sd="1" m="1" x="5115"/>
        <item t="data" h="1" sd="1" m="1" x="5116"/>
        <item t="data" h="1" sd="1" m="1" x="5117"/>
        <item t="data" h="1" sd="1" m="1" x="5118"/>
        <item t="data" h="1" sd="1" m="1" x="4265"/>
        <item t="data" h="1" sd="1" m="1" x="5124"/>
        <item t="data" h="1" sd="1" m="1" x="5125"/>
        <item t="data" h="1" sd="1" m="1" x="5126"/>
        <item t="data" h="1" sd="1" m="1" x="4058"/>
        <item t="data" h="1" sd="1" m="1" x="5130"/>
        <item t="data" h="1" sd="1" m="1" x="5131"/>
        <item t="data" h="1" sd="1" m="1" x="5132"/>
        <item t="data" h="1" sd="1" m="1" x="5134"/>
        <item t="data" h="1" sd="1" m="1" x="5135"/>
        <item t="data" h="1" sd="1" m="1" x="4329"/>
        <item t="data" h="1" sd="1" m="1" x="4841"/>
        <item t="data" h="1" sd="1" m="1" x="5139"/>
        <item t="data" h="1" sd="1" m="1" x="4845"/>
        <item t="data" h="1" sd="1" m="1" x="5140"/>
        <item t="data" h="1" sd="1" m="1" x="5142"/>
        <item t="data" h="1" sd="1" m="1" x="5145"/>
        <item t="data" h="1" sd="1" m="1" x="4871"/>
        <item t="data" h="1" sd="1" m="1" x="4878"/>
        <item t="data" h="1" sd="1" m="1" x="5146"/>
        <item t="data" h="1" sd="1" m="1" x="5147"/>
        <item t="data" h="1" sd="1" m="1" x="4292"/>
        <item t="data" h="1" sd="1" m="1" x="4876"/>
        <item t="data" h="1" sd="1" m="1" x="4482"/>
        <item t="data" h="1" sd="1" m="1" x="4734"/>
        <item t="data" h="1" sd="1" m="1" x="4733"/>
        <item t="data" h="1" sd="1" m="1" x="4885"/>
        <item t="data" h="1" sd="1" m="1" x="5151"/>
        <item t="data" h="1" sd="1" m="1" x="4890"/>
        <item t="data" h="1" sd="1" m="1" x="5152"/>
        <item t="data" h="1" sd="1" m="1" x="4736"/>
        <item t="data" h="1" sd="1" m="1" x="4735"/>
        <item t="data" h="1" sd="1" m="1" x="5153"/>
        <item t="data" h="1" sd="1" m="1" x="5154"/>
        <item t="data" h="1" sd="1" m="1" x="4737"/>
        <item t="data" h="1" sd="1" m="1" x="1624"/>
        <item t="data" h="1" sd="1" m="1" x="4894"/>
        <item t="data" h="1" sd="1" m="1" x="4897"/>
        <item t="data" h="1" sd="1" m="1" x="5159"/>
        <item t="data" h="1" sd="1" m="1" x="3991"/>
        <item t="data" h="1" sd="1" m="1" x="5160"/>
        <item t="data" h="1" sd="1" m="1" x="5162"/>
        <item t="data" h="1" sd="1" m="1" x="5164"/>
        <item t="data" h="1" sd="1" m="1" x="5165"/>
        <item t="data" h="1" sd="1" m="1" x="5166"/>
        <item t="data" h="1" sd="1" m="1" x="5167"/>
        <item t="data" h="1" sd="1" m="1" x="5168"/>
        <item t="data" h="1" sd="1" m="1" x="5169"/>
        <item t="data" h="1" sd="1" m="1" x="5170"/>
        <item t="data" h="1" sd="1" m="1" x="5171"/>
        <item t="data" h="1" sd="1" m="1" x="5176"/>
        <item t="data" h="1" sd="1" m="1" x="4904"/>
        <item t="data" h="1" sd="1" m="1" x="5179"/>
        <item t="data" h="1" sd="1" m="1" x="1553"/>
        <item t="data" h="1" sd="1" m="1" x="4749"/>
        <item t="data" h="1" sd="1" m="1" x="5187"/>
        <item t="data" h="1" sd="1" m="1" x="5188"/>
        <item t="data" h="1" sd="1" m="1" x="1645"/>
        <item t="data" h="1" sd="1" m="1" x="3060"/>
        <item t="data" h="1" sd="1" m="1" x="4159"/>
        <item t="data" h="1" sd="1" m="1" x="4557"/>
        <item t="data" h="1" sd="1" m="1" x="4558"/>
        <item t="data" h="1" sd="1" m="1" x="4797"/>
        <item t="data" h="1" sd="1" m="1" x="4703"/>
        <item t="data" h="1" sd="1" m="1" x="4562"/>
        <item t="data" h="1" sd="1" m="1" x="4537"/>
        <item t="data" h="1" sd="1" m="1" x="4538"/>
        <item t="data" h="1" sd="1" m="1" x="4798"/>
        <item t="data" h="1" sd="1" m="1" x="4799"/>
        <item t="data" h="1" sd="1" m="1" x="3287"/>
        <item t="data" h="1" sd="1" m="1" x="3422"/>
        <item t="data" h="1" sd="1" m="1" x="3288"/>
        <item t="data" h="1" sd="1" m="1" x="4806"/>
        <item t="data" h="1" sd="1" m="1" x="4808"/>
        <item t="data" h="1" sd="1" m="1" x="4809"/>
        <item t="data" h="1" sd="1" m="1" x="3280"/>
        <item t="data" h="1" sd="1" m="1" x="4814"/>
        <item t="data" h="1" sd="1" m="1" x="4815"/>
        <item t="data" h="1" sd="1" m="1" x="4258"/>
        <item t="data" h="1" sd="1" m="1" x="3348"/>
        <item t="data" h="1" sd="1" m="1" x="4543"/>
        <item t="data" h="1" sd="1" m="1" x="4544"/>
        <item t="data" h="1" sd="1" m="1" x="3437"/>
        <item t="data" h="1" sd="1" m="1" x="4578"/>
        <item t="data" h="1" sd="1" m="1" x="4708"/>
        <item t="data" h="1" sd="1" m="1" x="4710"/>
        <item t="data" h="1" sd="1" m="1" x="4709"/>
        <item t="data" h="1" sd="1" m="1" x="4711"/>
        <item t="data" h="1" sd="1" m="1" x="4584"/>
        <item t="data" h="1" sd="1" m="1" x="4547"/>
        <item t="data" h="1" sd="1" m="1" x="4546"/>
        <item t="data" h="1" sd="1" m="1" x="1641"/>
        <item t="data" h="1" sd="1" m="1" x="1643"/>
        <item t="data" h="1" sd="1" m="1" x="4820"/>
        <item t="data" h="1" sd="1" m="1" x="4713"/>
        <item t="data" h="1" sd="1" m="1" x="4211"/>
        <item t="data" h="1" sd="1" m="1" x="3465"/>
        <item t="data" h="1" sd="1" m="1" x="4550"/>
        <item t="data" h="1" sd="1" m="1" x="4551"/>
        <item t="data" h="1" sd="1" m="1" x="3726"/>
        <item t="data" h="1" sd="1" m="1" x="4593"/>
        <item t="data" h="1" sd="1" m="1" x="4590"/>
        <item t="data" h="1" sd="1" m="1" x="4591"/>
        <item t="data" h="1" sd="1" m="1" x="1637"/>
        <item t="data" h="1" sd="1" m="1" x="4597"/>
        <item t="data" h="1" sd="1" m="1" x="4823"/>
        <item t="data" h="1" sd="1" m="1" x="4384"/>
        <item t="data" h="1" sd="1" m="1" x="4825"/>
        <item t="data" h="1" sd="1" m="1" x="4826"/>
        <item t="data" h="1" sd="1" m="1" x="4827"/>
        <item t="data" h="1" sd="1" m="1" x="4828"/>
        <item t="data" h="1" sd="1" m="1" x="3503"/>
        <item t="data" h="1" sd="1" m="1" x="4829"/>
        <item t="data" h="1" sd="1" m="1" x="4833"/>
        <item t="data" h="1" sd="1" m="1" x="4834"/>
        <item t="data" h="1" sd="1" m="1" x="4836"/>
        <item t="data" h="1" sd="1" m="1" x="4839"/>
        <item t="data" h="1" sd="1" m="1" x="4840"/>
        <item t="data" h="1" sd="1" m="1" x="4844"/>
        <item t="data" h="1" sd="1" m="1" x="4848"/>
        <item t="data" h="1" sd="1" m="1" x="462"/>
        <item t="data" h="1" sd="1" m="1" x="2492"/>
        <item t="data" h="1" sd="1" m="1" x="4850"/>
        <item t="data" h="1" sd="1" m="1" x="4851"/>
        <item t="data" h="1" sd="1" m="1" x="4852"/>
        <item t="data" h="1" sd="1" m="1" x="4854"/>
        <item t="data" h="1" sd="1" m="1" x="4855"/>
        <item t="data" h="1" sd="1" m="1" x="4856"/>
        <item t="data" h="1" sd="1" m="1" x="4857"/>
        <item t="data" h="1" sd="1" m="1" x="4858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868"/>
        <item t="data" h="1" sd="1" m="1" x="4869"/>
        <item t="data" h="1" sd="1" m="1" x="4870"/>
        <item t="data" h="1" sd="1" m="1" x="4883"/>
        <item t="data" h="1" sd="1" m="1" x="4732"/>
        <item t="data" h="1" sd="1" m="1" x="4886"/>
        <item t="data" h="1" sd="1" m="1" x="4887"/>
        <item t="data" h="1" sd="1" m="1" x="4888"/>
        <item t="data" h="1" sd="1" m="1" x="4889"/>
        <item t="data" h="1" sd="1" m="1" x="4891"/>
        <item t="data" h="1" sd="1" m="1" x="4899"/>
        <item t="data" h="1" sd="1" m="1" x="4900"/>
        <item t="data" h="1" sd="1" m="1" x="4740"/>
        <item t="data" h="1" sd="1" m="1" x="4901"/>
        <item t="data" h="1" sd="1" m="1" x="4016"/>
        <item t="data" h="1" sd="1" m="1" x="3222"/>
        <item t="data" h="1" sd="1" m="1" x="1664"/>
        <item t="data" h="1" sd="1" m="1" x="4556"/>
        <item t="data" h="1" sd="1" m="1" x="4702"/>
        <item t="data" h="1" sd="1" m="1" x="4564"/>
        <item t="data" h="1" sd="1" m="1" x="4572"/>
        <item t="data" h="1" sd="1" m="1" x="2004"/>
        <item t="data" h="1" sd="1" m="1" x="4259"/>
        <item t="data" h="1" sd="1" m="1" x="4260"/>
        <item t="data" h="1" sd="1" m="1" x="3289"/>
        <item t="data" h="1" sd="1" m="1" x="950"/>
        <item t="data" h="1" sd="1" m="1" x="3282"/>
        <item t="data" h="1" sd="1" m="1" x="3290"/>
        <item t="data" h="1" sd="1" m="1" x="3285"/>
        <item t="data" h="1" sd="1" m="1" x="3286"/>
        <item t="data" h="1" sd="1" m="1" x="1784"/>
        <item t="data" h="1" sd="1" m="1" x="4705"/>
        <item t="data" h="1" sd="1" m="1" x="1544"/>
        <item t="data" h="1" sd="1" m="1" x="3694"/>
        <item t="data" h="1" sd="1" m="1" x="4577"/>
        <item t="data" h="1" sd="1" m="1" x="2001"/>
        <item t="data" h="1" sd="1" m="1" x="3247"/>
        <item t="data" h="1" sd="1" m="1" x="1639"/>
        <item t="data" h="1" sd="1" m="1" x="1647"/>
        <item t="data" h="1" sd="1" m="1" x="4576"/>
        <item t="data" h="1" sd="1" m="1" x="1640"/>
        <item t="data" h="1" sd="1" m="1" x="4712"/>
        <item t="data" h="1" sd="1" m="1" x="4585"/>
        <item t="data" h="1" sd="1" m="1" x="4586"/>
        <item t="data" h="1" sd="1" m="1" x="2003"/>
        <item t="data" h="1" sd="1" m="1" x="1596"/>
        <item t="data" h="1" sd="1" m="1" x="1675"/>
        <item t="data" h="1" sd="1" m="1" x="4592"/>
        <item t="data" h="1" sd="1" m="1" x="1638"/>
        <item t="data" h="1" sd="1" m="1" x="4714"/>
        <item t="data" h="1" sd="1" m="1" x="4715"/>
        <item t="data" h="1" sd="1" m="1" x="4716"/>
        <item t="data" h="1" sd="1" m="1" x="4717"/>
        <item t="data" h="1" sd="1" m="1" x="3625"/>
        <item t="data" h="1" sd="1" m="1" x="4721"/>
        <item t="data" h="1" sd="1" m="1" x="4722"/>
        <item t="data" h="1" sd="1" m="1" x="4723"/>
        <item t="data" h="1" sd="1" m="1" x="4724"/>
        <item t="data" h="1" sd="1" m="1" x="1314"/>
        <item t="data" h="1" sd="1" m="1" x="4725"/>
        <item t="data" h="1" sd="1" m="1" x="4730"/>
        <item t="data" h="1" sd="1" m="1" x="4731"/>
        <item t="data" h="1" sd="1" m="1" x="4738"/>
        <item t="data" h="1" sd="1" m="1" x="4741"/>
        <item t="data" h="1" sd="1" m="1" x="4743"/>
        <item t="data" h="1" sd="1" m="1" x="4744"/>
        <item t="data" h="1" sd="1" m="1" x="4746"/>
        <item t="data" h="1" sd="1" m="1" x="4747"/>
        <item t="data" h="1" sd="1" m="1" x="4748"/>
        <item t="data" h="1" sd="1" m="1" x="1140"/>
        <item t="data" h="1" sd="1" m="1" x="4488"/>
        <item t="data" h="1" sd="1" m="1" x="4152"/>
        <item t="data" h="1" sd="1" m="1" x="3700"/>
        <item t="data" h="1" sd="1" m="1" x="4555"/>
        <item t="data" h="1" sd="1" m="1" x="4559"/>
        <item t="data" h="1" sd="1" m="1" x="4560"/>
        <item t="data" h="1" sd="1" m="1" x="4561"/>
        <item t="data" h="1" sd="1" m="1" x="1665"/>
        <item t="data" h="1" sd="1" m="1" x="2473"/>
        <item t="data" h="1" sd="1" m="1" x="3220"/>
        <item t="data" h="1" sd="1" m="1" x="4567"/>
        <item t="data" h="1" sd="1" m="1" x="4571"/>
        <item t="data" h="1" sd="1" m="1" x="2127"/>
        <item t="data" h="1" sd="1" m="1" x="4750"/>
        <item t="data" h="1" sd="1" m="1" x="4139"/>
        <item t="data" h="1" sd="1" m="1" x="3910"/>
        <item t="data" h="1" sd="1" m="1" x="4568"/>
        <item t="data" h="1" sd="1" m="1" x="4751"/>
        <item t="data" h="1" sd="1" m="1" x="3908"/>
        <item t="data" h="1" sd="1" m="1" x="4752"/>
        <item t="data" h="1" sd="1" m="1" x="3904"/>
        <item t="data" h="1" sd="1" m="1" x="3200"/>
        <item t="data" h="1" sd="1" m="1" x="4753"/>
        <item t="data" h="1" sd="1" m="1" x="841"/>
        <item t="data" h="1" sd="1" m="1" x="4020"/>
        <item t="data" h="1" sd="1" m="1" x="4755"/>
        <item t="data" h="1" sd="1" m="1" x="4756"/>
        <item t="data" h="1" sd="1" m="1" x="4757"/>
        <item t="data" h="1" sd="1" m="1" x="4759"/>
        <item t="data" h="1" sd="1" m="1" x="4138"/>
        <item t="data" h="1" sd="1" m="1" x="1653"/>
        <item t="data" h="1" sd="1" m="1" x="4147"/>
        <item t="data" h="1" sd="1" m="1" x="4137"/>
        <item t="data" h="1" sd="1" m="1" x="3278"/>
        <item t="data" h="1" sd="1" m="1" x="3279"/>
        <item t="data" h="1" sd="1" m="1" x="4570"/>
        <item t="data" h="1" sd="1" m="1" x="4760"/>
        <item t="data" h="1" sd="1" m="1" x="4579"/>
        <item t="data" h="1" sd="1" m="1" x="4761"/>
        <item t="data" h="1" sd="1" m="1" x="3262"/>
        <item t="data" h="1" sd="1" m="1" x="3263"/>
        <item t="data" h="1" sd="1" m="1" x="4574"/>
        <item t="data" h="1" sd="1" m="1" x="3261"/>
        <item t="data" h="1" sd="1" m="1" x="4762"/>
        <item t="data" h="1" sd="1" m="1" x="4583"/>
        <item t="data" h="1" sd="1" m="1" x="4764"/>
        <item t="data" h="1" sd="1" m="1" x="3542"/>
        <item t="data" h="1" sd="1" m="1" x="3733"/>
        <item t="data" h="1" sd="1" m="1" x="4588"/>
        <item t="data" h="1" sd="1" m="1" x="4587"/>
        <item t="data" h="1" sd="1" m="1" x="4580"/>
        <item t="data" h="1" sd="1" m="1" x="4192"/>
        <item t="data" h="1" sd="1" m="1" x="4608"/>
        <item t="data" h="1" sd="1" m="1" x="4765"/>
        <item t="data" h="1" sd="1" m="1" x="4766"/>
        <item t="data" h="1" sd="1" m="1" x="4767"/>
        <item t="data" h="1" sd="1" m="1" x="4768"/>
        <item t="data" h="1" sd="1" m="1" x="4769"/>
        <item t="data" h="1" sd="1" m="1" x="4770"/>
        <item t="data" h="1" sd="1" m="1" x="4771"/>
        <item t="data" h="1" sd="1" m="1" x="4772"/>
        <item t="data" h="1" sd="1" m="1" x="4773"/>
        <item t="data" h="1" sd="1" m="1" x="4774"/>
        <item t="data" h="1" sd="1" m="1" x="4775"/>
        <item t="data" h="1" sd="1" m="1" x="4777"/>
        <item t="data" h="1" sd="1" m="1" x="4778"/>
        <item t="data" h="1" sd="1" m="1" x="4780"/>
        <item t="data" h="1" sd="1" m="1" x="4288"/>
        <item t="data" h="1" sd="1" m="1" x="4781"/>
        <item t="data" h="1" sd="1" m="1" x="4782"/>
        <item t="data" h="1" sd="1" m="1" x="4783"/>
        <item t="data" h="1" sd="1" m="1" x="4784"/>
        <item t="data" h="1" sd="1" m="1" x="4785"/>
        <item t="data" h="1" sd="1" m="1" x="4786"/>
        <item t="data" h="1" sd="1" m="1" x="4787"/>
        <item t="data" h="1" sd="1" m="1" x="4788"/>
        <item t="data" h="1" sd="1" m="1" x="4789"/>
        <item t="data" h="1" sd="1" m="1" x="4790"/>
        <item t="data" h="1" sd="1" m="1" x="4791"/>
        <item t="data" h="1" sd="1" m="1" x="4521"/>
        <item t="data" h="1" sd="1" m="1" x="4792"/>
        <item t="data" h="1" sd="1" m="1" x="4793"/>
        <item t="data" h="1" sd="1" m="1" x="4489"/>
        <item t="data" h="1" sd="1" m="1" x="4794"/>
        <item t="data" h="1" sd="1" m="1" x="4795"/>
        <item t="data" h="1" sd="1" m="1" x="4609"/>
        <item t="data" h="1" sd="1" m="1" x="4552"/>
        <item t="data" h="1" sd="1" m="1" x="4553"/>
        <item t="data" h="1" sd="1" m="1" x="4563"/>
        <item t="data" h="1" sd="1" m="1" x="4565"/>
        <item t="data" h="1" sd="1" m="1" x="1671"/>
        <item t="data" h="1" sd="1" m="1" x="4566"/>
        <item t="data" h="1" sd="1" m="1" x="4141"/>
        <item t="data" h="1" sd="1" m="1" x="4140"/>
        <item t="data" h="1" sd="1" m="1" x="3540"/>
        <item t="data" h="1" sd="1" m="1" x="3281"/>
        <item t="data" h="1" sd="1" m="1" x="3689"/>
        <item t="data" h="1" sd="1" m="1" x="4153"/>
        <item t="data" h="1" sd="1" m="1" x="1649"/>
        <item t="data" h="1" sd="1" m="1" x="3203"/>
        <item t="data" h="1" sd="1" m="1" x="2391"/>
        <item t="data" h="1" sd="1" m="1" x="3264"/>
        <item t="data" h="1" sd="1" m="1" x="3254"/>
        <item t="data" h="1" sd="1" m="1" x="4575"/>
        <item t="data" h="1" sd="1" m="1" x="2025"/>
        <item t="data" h="1" sd="1" m="1" x="4581"/>
        <item t="data" h="1" sd="1" m="1" x="4582"/>
        <item t="data" h="1" sd="1" m="1" x="4589"/>
        <item t="data" h="1" sd="1" m="1" x="4281"/>
        <item t="data" h="1" sd="1" m="1" x="4594"/>
        <item t="data" h="1" sd="1" m="1" x="4596"/>
        <item t="data" h="1" sd="1" m="1" x="4184"/>
        <item t="data" h="1" sd="1" m="1" x="3767"/>
        <item t="data" h="1" sd="1" m="1" x="4285"/>
        <item t="data" h="1" sd="1" m="1" x="4598"/>
        <item t="data" h="1" sd="1" m="1" x="4599"/>
        <item t="data" h="1" sd="1" m="1" x="4600"/>
        <item t="data" h="1" sd="1" m="1" x="4601"/>
        <item t="data" h="1" sd="1" m="1" x="4602"/>
        <item t="data" h="1" sd="1" m="1" x="4603"/>
        <item t="data" h="1" sd="1" m="1" x="4604"/>
        <item t="data" h="1" sd="1" m="1" x="4198"/>
        <item t="data" h="1" sd="1" m="1" x="4605"/>
        <item t="data" h="1" sd="1" m="1" x="4606"/>
        <item t="data" h="1" sd="1" m="1" x="4607"/>
        <item t="data" h="1" sd="1" m="1" x="4029"/>
        <item t="data" h="1" sd="1" m="1" x="498"/>
        <item t="data" h="1" sd="1" m="1" x="3651"/>
        <item t="data" h="1" sd="1" m="1" x="4610"/>
        <item t="data" h="1" sd="1" m="1" x="4611"/>
        <item t="data" h="1" sd="1" m="1" x="4612"/>
        <item t="data" h="1" sd="1" m="1" x="3233"/>
        <item t="data" h="1" sd="1" m="1" x="4614"/>
        <item t="data" h="1" sd="1" m="1" x="4615"/>
        <item t="data" h="1" sd="1" m="1" x="4616"/>
        <item t="data" h="1" sd="1" m="1" x="4617"/>
        <item t="data" h="1" sd="1" m="1" x="1681"/>
        <item t="data" h="1" sd="1" m="1" x="650"/>
        <item t="data" h="1" sd="1" m="1" x="4618"/>
        <item t="data" h="1" sd="1" m="1" x="4619"/>
        <item t="data" h="1" sd="1" m="1" x="4621"/>
        <item t="data" h="1" sd="1" m="1" x="4622"/>
        <item t="data" h="1" sd="1" m="1" x="3191"/>
        <item t="data" h="1" sd="1" m="1" x="4351"/>
        <item t="data" h="1" sd="1" m="1" x="4623"/>
        <item t="data" h="1" sd="1" m="1" x="4428"/>
        <item t="data" h="1" sd="1" m="1" x="3300"/>
        <item t="data" h="1" sd="1" m="1" x="4624"/>
        <item t="data" h="1" sd="1" m="1" x="4625"/>
        <item t="data" h="1" sd="1" m="1" x="4626"/>
        <item t="data" h="1" sd="1" m="1" x="3259"/>
        <item t="data" h="1" sd="1" m="1" x="1710"/>
        <item t="data" h="1" sd="1" x="334"/>
        <item t="data" h="1" sd="1" m="1" x="4627"/>
        <item t="data" h="1" sd="1" m="1" x="4628"/>
        <item t="data" h="1" sd="1" m="1" x="4629"/>
        <item t="data" h="1" sd="1" m="1" x="4630"/>
        <item t="data" h="1" sd="1" m="1" x="4631"/>
        <item t="data" h="1" sd="1" m="1" x="4632"/>
        <item t="data" h="1" sd="1" m="1" x="4429"/>
        <item t="data" h="1" sd="1" m="1" x="3950"/>
        <item t="data" h="1" sd="1" m="1" x="2926"/>
        <item t="data" h="1" sd="1" m="1" x="4206"/>
        <item t="data" h="1" sd="1" m="1" x="3737"/>
        <item t="data" h="1" sd="1" m="1" x="4633"/>
        <item t="data" h="1" sd="1" m="1" x="4634"/>
        <item t="data" h="1" sd="1" m="1" x="4635"/>
        <item t="data" h="1" sd="1" m="1" x="3539"/>
        <item t="data" h="1" sd="1" m="1" x="4636"/>
        <item t="data" h="1" sd="1" m="1" x="3535"/>
        <item t="data" h="1" sd="1" m="1" x="4637"/>
        <item t="data" h="1" sd="1" m="1" x="4282"/>
        <item t="data" h="1" sd="1" m="1" x="4091"/>
        <item t="data" h="1" sd="1" m="1" x="4638"/>
        <item t="data" h="1" sd="1" m="1" x="4284"/>
        <item t="data" h="1" sd="1" m="1" x="4639"/>
        <item t="data" h="1" sd="1" m="1" x="4640"/>
        <item t="data" h="1" sd="1" m="1" x="4479"/>
        <item t="data" h="1" sd="1" m="1" x="4641"/>
        <item t="data" h="1" sd="1" m="1" x="4642"/>
        <item t="data" h="1" sd="1" m="1" x="4644"/>
        <item t="data" h="1" sd="1" m="1" x="4645"/>
        <item t="data" h="1" sd="1" m="1" x="4478"/>
        <item t="data" h="1" sd="1" m="1" x="4286"/>
        <item t="data" h="1" sd="1" m="1" x="4646"/>
        <item t="data" h="1" sd="1" m="1" x="4283"/>
        <item t="data" h="1" sd="1" m="1" x="4481"/>
        <item t="data" h="1" sd="1" m="1" x="4150"/>
        <item t="data" h="1" sd="1" m="1" x="4647"/>
        <item t="data" h="1" sd="1" m="1" x="4483"/>
        <item t="data" h="1" sd="1" m="1" x="4484"/>
        <item t="data" h="1" sd="1" m="1" x="4290"/>
        <item t="data" h="1" sd="1" m="1" x="4648"/>
        <item t="data" h="1" sd="1" m="1" x="4291"/>
        <item t="data" h="1" sd="1" m="1" x="4293"/>
        <item t="data" h="1" sd="1" m="1" x="4063"/>
        <item t="data" h="1" sd="1" m="1" x="4294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252"/>
        <item t="data" h="1" sd="1" m="1" x="3130"/>
        <item t="data" h="1" sd="1" m="1" x="3905"/>
        <item t="data" h="1" sd="1" m="1" x="3898"/>
        <item t="data" h="1" sd="1" m="1" x="4477"/>
        <item t="data" h="1" sd="1" m="1" x="1679"/>
        <item t="data" h="1" sd="1" m="1" x="3258"/>
        <item t="data" h="1" sd="1" m="1" x="3257"/>
        <item t="data" h="1" sd="1" m="1" x="4274"/>
        <item t="data" h="1" sd="1" m="1" x="4275"/>
        <item t="data" h="1" sd="1" m="1" x="4277"/>
        <item t="data" h="1" sd="1" m="1" x="4431"/>
        <item t="data" h="1" sd="1" m="1" x="4033"/>
        <item t="data" h="1" sd="1" m="1" x="4287"/>
        <item t="data" h="1" sd="1" m="1" x="4480"/>
        <item t="data" h="1" sd="1" m="1" x="4485"/>
        <item t="data" h="1" sd="1" m="1" x="4486"/>
        <item t="data" h="1" sd="1" m="1" x="4487"/>
        <item t="data" h="1" sd="1" m="1" x="3219"/>
        <item t="data" h="1" sd="1" m="1" x="2643"/>
        <item t="data" h="1" sd="1" m="1" x="2507"/>
        <item t="data" h="1" sd="1" m="1" x="4296"/>
        <item t="data" h="1" sd="1" m="1" x="4266"/>
        <item t="data" h="1" sd="1" m="1" x="4160"/>
        <item t="data" h="1" sd="1" m="1" x="3498"/>
        <item t="data" h="1" sd="1" m="1" x="4267"/>
        <item t="data" h="1" sd="1" m="1" x="1667"/>
        <item t="data" h="1" sd="1" m="1" x="2379"/>
        <item t="data" h="1" sd="1" m="1" x="4490"/>
        <item t="data" h="1" sd="1" m="1" x="4491"/>
        <item t="data" h="1" sd="1" x="114"/>
        <item t="data" h="1" sd="1" m="1" x="4492"/>
        <item t="data" h="1" sd="1" m="1" x="3494"/>
        <item t="data" h="1" sd="1" m="1" x="3495"/>
        <item t="data" h="1" sd="1" m="1" x="3496"/>
        <item t="data" h="1" sd="1" m="1" x="3493"/>
        <item t="data" h="1" sd="1" m="1" x="4493"/>
        <item t="data" h="1" sd="1" m="1" x="2952"/>
        <item t="data" h="1" sd="1" m="1" x="4310"/>
        <item t="data" h="1" sd="1" m="1" x="3649"/>
        <item t="data" h="1" sd="1" m="1" x="3301"/>
        <item t="data" h="1" sd="1" m="1" x="3302"/>
        <item t="data" h="1" sd="1" m="1" x="4494"/>
        <item t="data" h="1" sd="1" m="1" x="2254"/>
        <item t="data" h="1" sd="1" m="1" x="3906"/>
        <item t="data" h="1" sd="1" m="1" x="3907"/>
        <item t="data" h="1" sd="1" m="1" x="4495"/>
        <item t="data" h="1" sd="1" m="1" x="3304"/>
        <item t="data" h="1" sd="1" m="1" x="4270"/>
        <item t="data" h="1" sd="1" m="1" x="3251"/>
        <item t="data" h="1" sd="1" m="1" x="3260"/>
        <item t="data" h="1" sd="1" m="1" x="3680"/>
        <item t="data" h="1" sd="1" m="1" x="3760"/>
        <item t="data" h="1" sd="1" m="1" x="4314"/>
        <item t="data" h="1" sd="1" m="1" x="4316"/>
        <item t="data" h="1" sd="1" m="1" x="4269"/>
        <item t="data" h="1" sd="1" m="1" x="4271"/>
        <item t="data" h="1" sd="1" m="1" x="3740"/>
        <item t="data" h="1" sd="1" m="1" x="3755"/>
        <item t="data" h="1" sd="1" m="1" x="4272"/>
        <item t="data" h="1" sd="1" m="1" x="3087"/>
        <item t="data" h="1" sd="1" m="1" x="4273"/>
        <item t="data" h="1" sd="1" m="1" x="4278"/>
        <item t="data" h="1" sd="1" m="1" x="4208"/>
        <item t="data" h="1" sd="1" m="1" x="4279"/>
        <item t="data" h="1" sd="1" m="1" x="4280"/>
        <item t="data" h="1" sd="1" m="1" x="4319"/>
        <item t="data" h="1" sd="1" m="1" x="4320"/>
        <item t="data" h="1" sd="1" m="1" x="3715"/>
        <item t="data" h="1" sd="1" m="1" x="4322"/>
        <item t="data" h="1" sd="1" m="1" x="1680"/>
        <item t="data" h="1" sd="1" m="1" x="4207"/>
        <item t="data" h="1" sd="1" m="1" x="1662"/>
        <item t="data" h="1" sd="1" m="1" x="4437"/>
        <item t="data" h="1" sd="1" m="1" x="4438"/>
        <item t="data" h="1" sd="1" m="1" x="4439"/>
        <item t="data" h="1" sd="1" m="1" x="3488"/>
        <item t="data" h="1" sd="1" m="1" x="4497"/>
        <item t="data" h="1" sd="1" m="1" x="4327"/>
        <item t="data" h="1" sd="1" m="1" x="4430"/>
        <item t="data" h="1" sd="1" m="1" x="4498"/>
        <item t="data" h="1" sd="1" m="1" x="4499"/>
        <item t="data" h="1" sd="1" m="1" x="4500"/>
        <item t="data" h="1" sd="1" m="1" x="4501"/>
        <item t="data" h="1" sd="1" m="1" x="4502"/>
        <item t="data" h="1" sd="1" m="1" x="4325"/>
        <item t="data" h="1" sd="1" m="1" x="4503"/>
        <item t="data" h="1" sd="1" m="1" x="4504"/>
        <item t="data" h="1" sd="1" m="1" x="4505"/>
        <item t="data" h="1" sd="1" m="1" x="4506"/>
        <item t="data" h="1" sd="1" m="1" x="4507"/>
        <item t="data" h="1" sd="1" m="1" x="4508"/>
        <item t="data" h="1" sd="1" m="1" x="4509"/>
        <item t="data" h="1" sd="1" m="1" x="4510"/>
        <item t="data" h="1" sd="1" m="1" x="4511"/>
        <item t="data" h="1" sd="1" m="1" x="4328"/>
        <item t="data" h="1" sd="1" m="1" x="4512"/>
        <item t="data" h="1" sd="1" m="1" x="4448"/>
        <item t="data" h="1" sd="1" m="1" x="4289"/>
        <item t="data" h="1" sd="1" m="1" x="4330"/>
        <item t="data" h="1" sd="1" m="1" x="4449"/>
        <item t="data" h="1" sd="1" m="1" x="4333"/>
        <item t="data" h="1" sd="1" m="1" x="4334"/>
        <item t="data" h="1" sd="1" m="1" x="4513"/>
        <item t="data" h="1" sd="1" m="1" x="4337"/>
        <item t="data" h="1" sd="1" m="1" x="4338"/>
        <item t="data" h="1" sd="1" m="1" x="4514"/>
        <item t="data" h="1" sd="1" m="1" x="4515"/>
        <item t="data" h="1" sd="1" m="1" x="4516"/>
        <item t="data" h="1" sd="1" m="1" x="4517"/>
        <item t="data" h="1" sd="1" m="1" x="4518"/>
        <item t="data" h="1" sd="1" m="1" x="4519"/>
        <item t="data" h="1" sd="1" m="1" x="4520"/>
        <item t="data" h="1" sd="1" m="1" x="4523"/>
        <item t="data" h="1" sd="1" m="1" x="4524"/>
        <item t="data" h="1" sd="1" m="1" x="4525"/>
        <item t="data" h="1" sd="1" m="1" x="1677"/>
        <item t="data" h="1" sd="1" m="1" x="4168"/>
        <item t="data" h="1" sd="1" m="1" x="4340"/>
        <item t="data" h="1" sd="1" m="1" x="3303"/>
        <item t="data" h="1" sd="1" m="1" x="4526"/>
        <item t="data" h="1" sd="1" m="1" x="4341"/>
        <item t="data" h="1" sd="1" m="1" x="2985"/>
        <item t="data" h="1" sd="1" m="1" x="4300"/>
        <item t="data" h="1" sd="1" m="1" x="3104"/>
        <item t="data" h="1" sd="1" m="1" x="2320"/>
        <item t="data" h="1" sd="1" m="1" x="4302"/>
        <item t="data" h="1" sd="1" m="1" x="2449"/>
        <item t="data" h="1" sd="1" m="1" x="2450"/>
        <item t="data" h="1" sd="1" m="1" x="4432"/>
        <item t="data" h="1" sd="1" m="1" x="4433"/>
        <item t="data" h="1" sd="1" m="1" x="3497"/>
        <item t="data" h="1" sd="1" m="1" x="3395"/>
        <item t="data" h="1" sd="1" m="1" x="3031"/>
        <item t="data" h="1" sd="1" m="1" x="4305"/>
        <item t="data" h="1" sd="1" x="243"/>
        <item t="data" h="1" sd="1" m="1" x="4435"/>
        <item t="data" h="1" sd="1" m="1" x="4436"/>
        <item t="data" h="1" sd="1" m="1" x="3202"/>
        <item t="data" h="1" sd="1" m="1" x="4311"/>
        <item t="data" h="1" sd="1" m="1" x="4312"/>
        <item t="data" h="1" sd="1" m="1" x="4313"/>
        <item t="data" h="1" sd="1" m="1" x="2002"/>
        <item t="data" h="1" sd="1" m="1" x="4315"/>
        <item t="data" h="1" sd="1" m="1" x="1658"/>
        <item t="data" h="1" sd="1" m="1" x="4324"/>
        <item t="data" h="1" sd="1" m="1" x="4326"/>
        <item t="data" h="1" sd="1" m="1" x="4441"/>
        <item t="data" h="1" sd="1" m="1" x="4442"/>
        <item t="data" h="1" sd="1" m="1" x="4443"/>
        <item t="data" h="1" sd="1" m="1" x="4444"/>
        <item t="data" h="1" sd="1" m="1" x="4445"/>
        <item t="data" h="1" sd="1" m="1" x="4446"/>
        <item t="data" h="1" sd="1" m="1" x="4447"/>
        <item t="data" h="1" sd="1" m="1" x="4331"/>
        <item t="data" h="1" sd="1" m="1" x="4332"/>
        <item t="data" h="1" sd="1" m="1" x="4339"/>
        <item t="data" h="1" sd="1" m="1" x="4450"/>
        <item t="data" h="1" sd="1" m="1" x="4451"/>
        <item t="data" h="1" sd="1" m="1" x="4452"/>
        <item t="data" h="1" sd="1" m="1" x="4453"/>
        <item t="data" h="1" sd="1" m="1" x="3197"/>
        <item t="data" h="1" sd="1" m="1" x="3550"/>
        <item t="data" h="1" sd="1" m="1" x="3089"/>
        <item t="data" h="1" sd="1" m="1" x="4173"/>
        <item t="data" h="1" sd="1" m="1" x="4172"/>
        <item t="data" h="1" sd="1" m="1" x="4297"/>
        <item t="data" h="1" sd="1" m="1" x="4298"/>
        <item t="data" h="1" sd="1" m="1" x="4299"/>
        <item t="data" h="1" sd="1" m="1" x="4301"/>
        <item t="data" h="1" sd="1" m="1" x="4303"/>
        <item t="data" h="1" sd="1" m="1" x="4454"/>
        <item t="data" h="1" sd="1" m="1" x="3675"/>
        <item t="data" h="1" sd="1" m="1" x="4317"/>
        <item t="data" h="1" sd="1" m="1" x="3738"/>
        <item t="data" h="1" sd="1" m="1" x="3739"/>
        <item t="data" h="1" sd="1" x="431"/>
        <item t="data" h="1" sd="1" x="432"/>
        <item t="data" h="1" sd="1" m="1" x="3336"/>
        <item t="data" h="1" sd="1" m="1" x="2730"/>
        <item t="data" h="1" sd="1" m="1" x="4321"/>
        <item t="data" h="1" sd="1" m="1" x="4323"/>
        <item t="data" h="1" sd="1" m="1" x="3952"/>
        <item t="data" h="1" sd="1" m="1" x="4455"/>
        <item t="data" h="1" sd="1" m="1" x="4456"/>
        <item t="data" h="1" sd="1" m="1" x="4457"/>
        <item t="data" h="1" sd="1" m="1" x="4459"/>
        <item t="data" h="1" sd="1" m="1" x="4460"/>
        <item t="data" h="1" sd="1" m="1" x="3216"/>
        <item t="data" h="1" sd="1" m="1" x="4461"/>
        <item t="data" h="1" sd="1" m="1" x="4462"/>
        <item t="data" h="1" sd="1" m="1" x="4463"/>
        <item t="data" h="1" sd="1" m="1" x="3981"/>
        <item t="data" h="1" sd="1" m="1" x="3953"/>
        <item t="data" h="1" sd="1" m="1" x="4464"/>
        <item t="data" h="1" sd="1" m="1" x="4465"/>
        <item t="data" h="1" sd="1" m="1" x="4466"/>
        <item t="data" h="1" sd="1" m="1" x="4335"/>
        <item t="data" h="1" sd="1" m="1" x="4467"/>
        <item t="data" h="1" sd="1" m="1" x="4336"/>
        <item t="data" h="1" sd="1" m="1" x="4468"/>
        <item t="data" h="1" sd="1" m="1" x="4200"/>
        <item t="data" h="1" sd="1" m="1" x="3215"/>
        <item t="data" h="1" sd="1" m="1" x="4469"/>
        <item t="data" h="1" sd="1" m="1" x="4470"/>
        <item t="data" h="1" sd="1" m="1" x="3213"/>
        <item t="data" h="1" sd="1" m="1" x="4471"/>
        <item t="data" h="1" sd="1" m="1" x="3094"/>
        <item t="data" h="1" sd="1" m="1" x="4215"/>
        <item t="data" h="1" sd="1" m="1" x="4217"/>
        <item t="data" h="1" sd="1" m="1" x="4342"/>
        <item t="data" h="1" sd="1" m="1" x="4343"/>
        <item t="data" h="1" sd="1" m="1" x="1506"/>
        <item t="data" h="1" sd="1" m="1" x="4344"/>
        <item t="data" h="1" sd="1" m="1" x="4345"/>
        <item t="data" h="1" sd="1" m="1" x="4346"/>
        <item t="data" h="1" sd="1" m="1" x="2319"/>
        <item t="data" h="1" sd="1" m="1" x="3554"/>
        <item t="data" h="1" sd="1" m="1" x="4347"/>
        <item t="data" h="1" sd="1" m="1" x="4348"/>
        <item t="data" h="1" sd="1" m="1" x="4349"/>
        <item t="data" h="1" sd="1" m="1" x="4350"/>
        <item t="data" h="1" sd="1" m="1" x="2951"/>
        <item t="data" h="1" sd="1" m="1" x="3174"/>
        <item t="data" h="1" sd="1" m="1" x="1650"/>
        <item t="data" h="1" sd="1" m="1" x="3585"/>
        <item t="data" h="1" sd="1" m="1" x="3190"/>
        <item t="data" h="1" sd="1" m="1" x="3817"/>
        <item t="data" h="1" sd="1" m="1" x="4352"/>
        <item t="data" h="1" sd="1" m="1" x="4353"/>
        <item t="data" h="1" sd="1" m="1" x="4354"/>
        <item t="data" h="1" sd="1" m="1" x="4355"/>
        <item t="data" h="1" sd="1" m="1" x="4132"/>
        <item t="data" h="1" sd="1" m="1" x="4133"/>
        <item t="data" h="1" sd="1" m="1" x="4356"/>
        <item t="data" h="1" sd="1" m="1" x="4357"/>
        <item t="data" h="1" sd="1" m="1" x="4358"/>
        <item t="data" h="1" sd="1" m="1" x="4359"/>
        <item t="data" h="1" sd="1" m="1" x="4360"/>
        <item t="data" h="1" sd="1" m="1" x="4361"/>
        <item t="data" h="1" sd="1" m="1" x="1655"/>
        <item t="data" h="1" sd="1" m="1" x="4362"/>
        <item t="data" h="1" sd="1" m="1" x="3252"/>
        <item t="data" h="1" sd="1" m="1" x="3253"/>
        <item t="data" h="1" sd="1" m="1" x="3255"/>
        <item t="data" h="1" sd="1" m="1" x="3248"/>
        <item t="data" h="1" sd="1" m="1" x="4081"/>
        <item t="data" h="1" sd="1" m="1" x="4363"/>
        <item t="data" h="1" sd="1" m="1" x="4364"/>
        <item t="data" h="1" sd="1" m="1" x="4365"/>
        <item t="data" h="1" sd="1" m="1" x="4181"/>
        <item t="data" h="1" sd="1" m="1" x="3529"/>
        <item t="data" h="1" sd="1" m="1" x="4366"/>
        <item t="data" h="1" sd="1" m="1" x="4368"/>
        <item t="data" h="1" sd="1" m="1" x="4369"/>
        <item t="data" h="1" sd="1" m="1" x="4370"/>
        <item t="data" h="1" sd="1" m="1" x="3758"/>
        <item t="data" h="1" sd="1" m="1" x="4373"/>
        <item t="data" h="1" sd="1" m="1" x="4374"/>
        <item t="data" h="1" sd="1" m="1" x="4375"/>
        <item t="data" h="1" sd="1" m="1" x="1660"/>
        <item t="data" h="1" sd="1" m="1" x="4205"/>
        <item t="data" h="1" sd="1" m="1" x="4376"/>
        <item t="data" h="1" sd="1" m="1" x="3530"/>
        <item t="data" h="1" sd="1" m="1" x="4377"/>
        <item t="data" h="1" sd="1" m="1" x="4378"/>
        <item t="data" h="1" sd="1" m="1" x="3948"/>
        <item t="data" h="1" sd="1" m="1" x="4379"/>
        <item t="data" h="1" sd="1" m="1" x="2088"/>
        <item t="data" h="1" sd="1" m="1" x="4380"/>
        <item t="data" h="1" sd="1" m="1" x="4381"/>
        <item t="data" h="1" sd="1" m="1" x="4382"/>
        <item t="data" h="1" sd="1" m="1" x="4383"/>
        <item t="data" h="1" sd="1" m="1" x="4385"/>
        <item t="data" h="1" sd="1" m="1" x="4386"/>
        <item t="data" h="1" sd="1" m="1" x="4387"/>
        <item t="data" h="1" sd="1" m="1" x="4388"/>
        <item t="data" h="1" sd="1" m="1" x="4389"/>
        <item t="data" h="1" sd="1" m="1" x="3983"/>
        <item t="data" h="1" sd="1" m="1" x="4390"/>
        <item t="data" h="1" sd="1" m="1" x="4391"/>
        <item t="data" h="1" sd="1" m="1" x="4392"/>
        <item t="data" h="1" sd="1" m="1" x="4393"/>
        <item t="data" h="1" sd="1" m="1" x="4036"/>
        <item t="data" h="1" sd="1" m="1" x="4394"/>
        <item t="data" h="1" sd="1" m="1" x="4395"/>
        <item t="data" h="1" sd="1" m="1" x="4396"/>
        <item t="data" h="1" sd="1" m="1" x="4397"/>
        <item t="data" h="1" sd="1" m="1" x="4398"/>
        <item t="data" h="1" sd="1" m="1" x="4399"/>
        <item t="data" h="1" sd="1" m="1" x="3963"/>
        <item t="data" h="1" sd="1" m="1" x="4400"/>
        <item t="data" h="1" sd="1" m="1" x="4401"/>
        <item t="data" h="1" sd="1" m="1" x="4402"/>
        <item t="data" h="1" sd="1" m="1" x="4403"/>
        <item t="data" h="1" sd="1" m="1" x="4404"/>
        <item t="data" h="1" sd="1" m="1" x="4405"/>
        <item t="data" h="1" sd="1" m="1" x="4406"/>
        <item t="data" h="1" sd="1" m="1" x="4407"/>
        <item t="data" h="1" sd="1" m="1" x="4408"/>
        <item t="data" h="1" sd="1" m="1" x="4409"/>
        <item t="data" h="1" sd="1" m="1" x="4410"/>
        <item t="data" h="1" sd="1" m="1" x="4411"/>
        <item t="data" h="1" sd="1" m="1" x="4412"/>
        <item t="data" h="1" sd="1" m="1" x="4413"/>
        <item t="data" h="1" sd="1" m="1" x="4414"/>
        <item t="data" h="1" sd="1" m="1" x="4415"/>
        <item t="data" h="1" sd="1" m="1" x="4416"/>
        <item t="data" h="1" sd="1" m="1" x="4417"/>
        <item t="data" h="1" sd="1" m="1" x="4418"/>
        <item t="data" h="1" sd="1" m="1" x="4034"/>
        <item t="data" h="1" sd="1" m="1" x="4035"/>
        <item t="data" h="1" sd="1" m="1" x="4419"/>
        <item t="data" h="1" sd="1" m="1" x="4420"/>
        <item t="data" h="1" sd="1" m="1" x="4421"/>
        <item t="data" h="1" sd="1" m="1" x="4422"/>
        <item t="data" h="1" sd="1" m="1" x="4156"/>
        <item t="data" h="1" sd="1" m="1" x="4117"/>
        <item t="data" h="1" sd="1" m="1" x="4118"/>
        <item t="data" h="1" sd="1" m="1" x="4119"/>
        <item t="data" h="1" sd="1" m="1" x="4120"/>
        <item t="data" h="1" sd="1" m="1" x="4121"/>
        <item t="data" h="1" sd="1" m="1" x="4122"/>
        <item t="data" h="1" sd="1" m="1" x="4123"/>
        <item t="data" h="1" sd="1" m="1" x="4124"/>
        <item t="data" h="1" sd="1" m="1" x="3985"/>
        <item t="data" h="1" sd="1" m="1" x="3982"/>
        <item t="data" h="1" sd="1" m="1" x="3986"/>
        <item t="data" h="1" sd="1" m="1" x="3980"/>
        <item t="data" h="1" sd="1" m="1" x="4126"/>
        <item t="data" h="1" sd="1" m="1" x="4127"/>
        <item t="data" h="1" sd="1" m="1" x="4128"/>
        <item t="data" h="1" sd="1" m="1" x="4129"/>
        <item t="data" h="1" sd="1" m="1" x="3997"/>
        <item t="data" h="1" sd="1" m="1" x="3999"/>
        <item t="data" h="1" sd="1" m="1" x="3882"/>
        <item t="data" h="1" sd="1" m="1" x="4000"/>
        <item t="data" h="1" sd="1" m="1" x="4001"/>
        <item t="data" h="1" sd="1" m="1" x="3998"/>
        <item t="data" h="1" sd="1" m="1" x="3873"/>
        <item t="data" h="1" sd="1" m="1" x="3874"/>
        <item t="data" h="1" sd="1" m="1" x="3875"/>
        <item t="data" h="1" sd="1" m="1" x="3871"/>
        <item t="data" h="1" sd="1" m="1" x="4007"/>
        <item t="data" h="1" sd="1" m="1" x="4010"/>
        <item t="data" h="1" sd="1" m="1" x="4008"/>
        <item t="data" h="1" sd="1" m="1" x="3996"/>
        <item t="data" h="1" sd="1" m="1" x="3872"/>
        <item t="data" h="1" sd="1" m="1" x="4003"/>
        <item t="data" h="1" sd="1" m="1" x="4004"/>
        <item t="data" h="1" sd="1" m="1" x="4002"/>
        <item t="data" h="1" sd="1" m="1" x="4009"/>
        <item t="data" h="1" sd="1" m="1" x="4011"/>
        <item t="data" h="1" sd="1" m="1" x="3987"/>
        <item t="data" h="1" sd="1" m="1" x="4013"/>
        <item t="data" h="1" sd="1" m="1" x="4014"/>
        <item t="data" h="1" sd="1" m="1" x="4017"/>
        <item t="data" h="1" sd="1" m="1" x="4018"/>
        <item t="data" h="1" sd="1" m="1" x="3819"/>
        <item t="data" h="1" sd="1" m="1" x="3899"/>
        <item t="data" h="1" sd="1" m="1" x="4136"/>
        <item t="data" h="1" sd="1" m="1" x="4142"/>
        <item t="data" h="1" sd="1" m="1" x="4144"/>
        <item t="data" h="1" sd="1" m="1" x="4027"/>
        <item t="data" h="1" sd="1" m="1" x="4145"/>
        <item t="data" h="1" sd="1" m="1" x="4028"/>
        <item t="data" h="1" sd="1" m="1" x="4146"/>
        <item t="data" h="1" sd="1" m="1" x="4148"/>
        <item t="data" h="1" sd="1" m="1" x="3491"/>
        <item t="data" h="1" sd="1" m="1" x="3394"/>
        <item t="data" h="1" sd="1" m="1" x="3913"/>
        <item t="data" h="1" sd="1" m="1" x="3914"/>
        <item t="data" h="1" sd="1" m="1" x="3915"/>
        <item t="data" h="1" sd="1" m="1" x="3917"/>
        <item t="data" h="1" sd="1" m="1" x="4149"/>
        <item t="data" h="1" sd="1" m="1" x="4151"/>
        <item t="data" h="1" sd="1" m="1" x="1496"/>
        <item t="data" h="1" sd="1" m="1" x="3618"/>
        <item t="data" h="1" sd="1" m="1" x="2977"/>
        <item t="data" h="1" sd="1" m="1" x="2980"/>
        <item t="data" h="1" sd="1" m="1" x="4154"/>
        <item t="data" h="1" sd="1" m="1" x="2979"/>
        <item t="data" h="1" sd="1" m="1" x="4032"/>
        <item t="data" h="1" sd="1" m="1" x="4155"/>
        <item t="data" h="1" sd="1" m="1" x="4038"/>
        <item t="data" h="1" sd="1" m="1" x="4043"/>
        <item t="data" h="1" sd="1" m="1" x="4157"/>
        <item t="data" h="1" sd="1" m="1" x="4158"/>
        <item t="data" h="1" sd="1" m="1" x="2637"/>
        <item t="data" h="1" sd="1" m="1" x="4161"/>
        <item t="data" h="1" sd="1" m="1" x="4165"/>
        <item t="data" h="1" sd="1" m="1" x="2988"/>
        <item t="data" h="1" sd="1" m="1" x="3929"/>
        <item t="data" h="1" sd="1" m="1" x="3662"/>
        <item t="data" h="1" sd="1" m="1" x="4053"/>
        <item t="data" h="1" sd="1" m="1" x="4054"/>
        <item t="data" h="1" sd="1" m="1" x="4055"/>
        <item t="data" h="1" sd="1" m="1" x="4049"/>
        <item t="data" h="1" sd="1" m="1" x="4048"/>
        <item t="data" h="1" sd="1" m="1" x="4064"/>
        <item t="data" h="1" sd="1" m="1" x="4065"/>
        <item t="data" h="1" sd="1" m="1" x="3843"/>
        <item t="data" h="1" sd="1" m="1" x="4066"/>
        <item t="data" h="1" sd="1" m="1" x="4067"/>
        <item t="data" h="1" sd="1" m="1" x="4068"/>
        <item t="data" h="1" sd="1" m="1" x="4069"/>
        <item t="data" h="1" sd="1" m="1" x="4044"/>
        <item t="data" h="1" sd="1" m="1" x="4046"/>
        <item t="data" h="1" sd="1" m="1" x="4047"/>
        <item t="data" h="1" sd="1" m="1" x="4045"/>
        <item t="data" h="1" sd="1" m="1" x="4052"/>
        <item t="data" h="1" sd="1" m="1" x="3669"/>
        <item t="data" h="1" sd="1" m="1" x="3670"/>
        <item t="data" h="1" sd="1" m="1" x="3668"/>
        <item t="data" h="1" sd="1" m="1" x="3666"/>
        <item t="data" h="1" sd="1" m="1" x="3667"/>
        <item t="data" h="1" sd="1" x="427"/>
        <item t="data" h="1" sd="1" m="1" x="3671"/>
        <item t="data" h="1" sd="1" m="1" x="3672"/>
        <item t="data" h="1" sd="1" m="1" x="4073"/>
        <item t="data" h="1" sd="1" m="1" x="4074"/>
        <item t="data" h="1" sd="1" m="1" x="4078"/>
        <item t="data" h="1" sd="1" m="1" x="4076"/>
        <item t="data" h="1" sd="1" m="1" x="4077"/>
        <item t="data" h="1" sd="1" m="1" x="4079"/>
        <item t="data" h="1" sd="1" m="1" x="4075"/>
        <item t="data" h="1" sd="1" m="1" x="4056"/>
        <item t="data" h="1" sd="1" m="1" x="4057"/>
        <item t="data" h="1" sd="1" m="1" x="3656"/>
        <item t="data" h="1" sd="1" m="1" x="3657"/>
        <item t="data" h="1" sd="1" m="1" x="3658"/>
        <item t="data" h="1" sd="1" m="1" x="3659"/>
        <item t="data" h="1" sd="1" m="1" x="3660"/>
        <item t="data" h="1" sd="1" m="1" x="4060"/>
        <item t="data" h="1" sd="1" m="1" x="4059"/>
        <item t="data" h="1" sd="1" m="1" x="4061"/>
        <item t="data" h="1" sd="1" m="1" x="4062"/>
        <item t="data" h="1" sd="1" m="1" x="3511"/>
        <item t="data" h="1" sd="1" m="1" x="3930"/>
        <item t="data" h="1" sd="1" m="1" x="3132"/>
        <item t="data" h="1" sd="1" m="1" x="4169"/>
        <item t="data" h="1" sd="1" m="1" x="4080"/>
        <item t="data" h="1" sd="1" m="1" x="4170"/>
        <item t="data" h="1" sd="1" m="1" x="3931"/>
        <item t="data" h="1" sd="1" m="1" x="3932"/>
        <item t="data" h="1" sd="1" m="1" x="4171"/>
        <item t="data" h="1" sd="1" m="1" x="4103"/>
        <item t="data" h="1" sd="1" m="1" x="4174"/>
        <item t="data" h="1" sd="1" m="1" x="4104"/>
        <item t="data" h="1" sd="1" m="1" x="2356"/>
        <item t="data" h="1" sd="1" m="1" x="4175"/>
        <item t="data" h="1" sd="1" m="1" x="4176"/>
        <item t="data" h="1" sd="1" m="1" x="3940"/>
        <item t="data" h="1" sd="1" m="1" x="3939"/>
        <item t="data" h="1" sd="1" m="1" x="3941"/>
        <item t="data" h="1" sd="1" m="1" x="4082"/>
        <item t="data" h="1" sd="1" m="1" x="4083"/>
        <item t="data" h="1" sd="1" m="1" x="3937"/>
        <item t="data" h="1" sd="1" m="1" x="4084"/>
        <item t="data" h="1" sd="1" m="1" x="4177"/>
        <item t="data" h="1" sd="1" m="1" x="4087"/>
        <item t="data" h="1" sd="1" m="1" x="4088"/>
        <item t="data" h="1" sd="1" m="1" x="4089"/>
        <item t="data" h="1" sd="1" m="1" x="4090"/>
        <item t="data" h="1" sd="1" m="1" x="3295"/>
        <item t="data" h="1" sd="1" m="1" x="3296"/>
        <item t="data" h="1" sd="1" m="1" x="3297"/>
        <item t="data" h="1" sd="1" m="1" x="4098"/>
        <item t="data" h="1" sd="1" m="1" x="3298"/>
        <item t="data" h="1" sd="1" m="1" x="3299"/>
        <item t="data" h="1" sd="1" m="1" x="4097"/>
        <item t="data" h="1" sd="1" m="1" x="3293"/>
        <item t="data" h="1" sd="1" m="1" x="3294"/>
        <item t="data" h="1" sd="1" m="1" x="4085"/>
        <item t="data" h="1" sd="1" m="1" x="4086"/>
        <item t="data" h="1" sd="1" m="1" x="4092"/>
        <item t="data" h="1" sd="1" m="1" x="4093"/>
        <item t="data" h="1" sd="1" m="1" x="4094"/>
        <item t="data" h="1" sd="1" m="1" x="4096"/>
        <item t="data" h="1" sd="1" m="1" x="4095"/>
        <item t="data" h="1" sd="1" m="1" x="3292"/>
        <item t="data" h="1" sd="1" m="1" x="4178"/>
        <item t="data" h="1" sd="1" m="1" x="4179"/>
        <item t="data" h="1" sd="1" m="1" x="4180"/>
        <item t="data" h="1" sd="1" m="1" x="3527"/>
        <item t="data" h="1" sd="1" m="1" x="4183"/>
        <item t="data" h="1" sd="1" m="1" x="4111"/>
        <item t="data" h="1" sd="1" m="1" x="4112"/>
        <item t="data" h="1" sd="1" m="1" x="4185"/>
        <item t="data" h="1" sd="1" m="1" x="4186"/>
        <item t="data" h="1" sd="1" m="1" x="4187"/>
        <item t="data" h="1" sd="1" m="1" x="4188"/>
        <item t="data" h="1" sd="1" m="1" x="3949"/>
        <item t="data" h="1" sd="1" m="1" x="4189"/>
        <item t="data" h="1" sd="1" m="1" x="4190"/>
        <item t="data" h="1" sd="1" m="1" x="4191"/>
        <item t="data" h="1" sd="1" m="1" x="4193"/>
        <item t="data" h="1" sd="1" m="1" x="4194"/>
        <item t="data" h="1" sd="1" m="1" x="4203"/>
        <item t="data" h="1" sd="1" m="1" x="4204"/>
        <item t="data" h="1" sd="1" m="1" x="4114"/>
        <item t="data" h="1" sd="1" m="1" x="4115"/>
        <item t="data" h="1" sd="1" m="1" x="4116"/>
        <item t="data" h="1" sd="1" x="357"/>
        <item t="data" h="1" sd="1" m="1" x="2274"/>
        <item t="data" h="1" sd="1" m="1" x="4213"/>
        <item t="data" h="1" sd="1" m="1" x="3959"/>
        <item t="data" h="1" sd="1" m="1" x="3961"/>
        <item t="data" h="1" sd="1" m="1" x="3856"/>
        <item t="data" h="1" sd="1" m="1" x="3962"/>
        <item t="data" h="1" sd="1" m="1" x="3967"/>
        <item t="data" h="1" sd="1" m="1" x="3968"/>
        <item t="data" h="1" sd="1" m="1" x="3969"/>
        <item t="data" h="1" sd="1" m="1" x="3970"/>
        <item t="data" h="1" sd="1" m="1" x="3971"/>
        <item t="data" h="1" sd="1" m="1" x="3972"/>
        <item t="data" h="1" sd="1" m="1" x="3973"/>
        <item t="data" h="1" sd="1" m="1" x="3974"/>
        <item t="data" h="1" sd="1" m="1" x="3975"/>
        <item t="data" h="1" sd="1" m="1" x="3976"/>
        <item t="data" h="1" sd="1" m="1" x="3977"/>
        <item t="data" h="1" sd="1" m="1" x="3978"/>
        <item t="data" h="1" sd="1" m="1" x="3551"/>
        <item t="data" h="1" sd="1" m="1" x="3979"/>
        <item t="data" h="1" sd="1" m="1" x="3177"/>
        <item t="data" h="1" sd="1" m="1" x="3412"/>
        <item t="data" h="1" sd="1" m="1" x="3858"/>
        <item t="data" h="1" sd="1" m="1" x="3555"/>
        <item t="data" h="1" sd="1" m="1" x="3984"/>
        <item t="data" h="1" sd="1" m="1" x="3988"/>
        <item t="data" h="1" sd="1" m="1" x="3865"/>
        <item t="data" h="1" sd="1" m="1" x="3989"/>
        <item t="data" h="1" sd="1" m="1" x="3990"/>
        <item t="data" h="1" sd="1" m="1" x="3786"/>
        <item t="data" h="1" sd="1" m="1" x="3785"/>
        <item t="data" h="1" sd="1" m="1" x="3866"/>
        <item t="data" h="1" sd="1" m="1" x="3799"/>
        <item t="data" h="1" sd="1" m="1" x="3992"/>
        <item t="data" h="1" sd="1" m="1" x="3869"/>
        <item t="data" h="1" sd="1" m="1" x="3993"/>
        <item t="data" h="1" sd="1" m="1" x="3994"/>
        <item t="data" h="1" sd="1" m="1" x="3995"/>
        <item t="data" h="1" sd="1" m="1" x="3867"/>
        <item t="data" h="1" sd="1" m="1" x="3877"/>
        <item t="data" h="1" sd="1" m="1" x="3878"/>
        <item t="data" h="1" sd="1" m="1" x="3879"/>
        <item t="data" h="1" sd="1" m="1" x="3880"/>
        <item t="data" h="1" sd="1" m="1" x="3881"/>
        <item t="data" h="1" sd="1" m="1" x="4006"/>
        <item t="data" h="1" sd="1" m="1" x="3868"/>
        <item t="data" h="1" sd="1" m="1" x="1651"/>
        <item t="data" h="1" sd="1" x="201"/>
        <item t="data" h="1" sd="1" m="1" x="3584"/>
        <item t="data" h="1" sd="1" m="1" x="4015"/>
        <item t="data" h="1" sd="1" m="1" x="1707"/>
        <item t="data" h="1" sd="1" m="1" x="4019"/>
        <item t="data" h="1" sd="1" m="1" x="3818"/>
        <item t="data" h="1" sd="1" m="1" x="2460"/>
        <item t="data" h="1" sd="1" m="1" x="3820"/>
        <item t="data" h="1" sd="1" m="1" x="3821"/>
        <item t="data" h="1" sd="1" m="1" x="3207"/>
        <item t="data" h="1" sd="1" m="1" x="4022"/>
        <item t="data" h="1" sd="1" m="1" x="4023"/>
        <item t="data" h="1" sd="1" m="1" x="4024"/>
        <item t="data" h="1" sd="1" m="1" x="4025"/>
        <item t="data" h="1" sd="1" m="1" x="4026"/>
        <item t="data" h="1" sd="1" m="1" x="3502"/>
        <item t="data" h="1" sd="1" m="1" x="3912"/>
        <item t="data" h="1" sd="1" m="1" x="3596"/>
        <item t="data" h="1" sd="1" m="1" x="3599"/>
        <item t="data" h="1" sd="1" m="1" x="3492"/>
        <item t="data" h="1" sd="1" m="1" x="3609"/>
        <item t="data" h="1" sd="1" m="1" x="3603"/>
        <item t="data" h="1" sd="1" m="1" x="4030"/>
        <item t="data" h="1" sd="1" m="1" x="4031"/>
        <item t="data" h="1" sd="1" m="1" x="3918"/>
        <item t="data" h="1" sd="1" m="1" x="4039"/>
        <item t="data" h="1" sd="1" m="1" x="4040"/>
        <item t="data" h="1" sd="1" m="1" x="4041"/>
        <item t="data" h="1" sd="1" m="1" x="4042"/>
        <item t="data" h="1" sd="1" m="1" x="3923"/>
        <item t="data" h="1" sd="1" m="1" x="3107"/>
        <item t="data" h="1" sd="1" m="1" x="3645"/>
        <item t="data" h="1" sd="1" m="1" x="3630"/>
        <item t="data" h="1" sd="1" m="1" x="2045"/>
        <item t="data" h="1" sd="1" m="1" x="3927"/>
        <item t="data" h="1" sd="1" m="1" x="3644"/>
        <item t="data" h="1" sd="1" m="1" x="3116"/>
        <item t="data" h="1" sd="1" m="1" x="3650"/>
        <item t="data" h="1" sd="1" m="1" x="4050"/>
        <item t="data" h="1" sd="1" m="1" x="3654"/>
        <item t="data" h="1" sd="1" m="1" x="3655"/>
        <item t="data" h="1" sd="1" m="1" x="3663"/>
        <item t="data" h="1" sd="1" m="1" x="3664"/>
        <item t="data" h="1" sd="1" m="1" x="4070"/>
        <item t="data" h="1" sd="1" m="1" x="4071"/>
        <item t="data" h="1" sd="1" m="1" x="4072"/>
        <item t="data" h="1" sd="1" m="1" x="3665"/>
        <item t="data" h="1" sd="1" m="1" x="3462"/>
        <item t="data" h="1" sd="1" m="1" x="3679"/>
        <item t="data" h="1" sd="1" m="1" x="3270"/>
        <item t="data" h="1" sd="1" m="1" x="3936"/>
        <item t="data" h="1" sd="1" m="1" x="2375"/>
        <item t="data" h="1" sd="1" m="1" x="4099"/>
        <item t="data" h="1" sd="1" m="1" x="4100"/>
        <item t="data" h="1" sd="1" m="1" x="4101"/>
        <item t="data" h="1" sd="1" m="1" x="4106"/>
        <item t="data" h="1" sd="1" m="1" x="4107"/>
        <item t="data" h="1" sd="1" m="1" x="4108"/>
        <item t="data" h="1" sd="1" m="1" x="4109"/>
        <item t="data" h="1" sd="1" m="1" x="4110"/>
        <item t="data" h="1" sd="1" m="1" x="3699"/>
        <item t="data" h="1" sd="1" m="1" x="3698"/>
        <item t="data" h="1" sd="1" m="1" x="3942"/>
        <item t="data" h="1" sd="1" m="1" x="3947"/>
        <item t="data" h="1" sd="1" m="1" x="3710"/>
        <item t="data" h="1" sd="1" m="1" x="3534"/>
        <item t="data" h="1" sd="1" m="1" x="3722"/>
        <item t="data" h="1" sd="1" m="1" x="3719"/>
        <item t="data" h="1" sd="1" m="1" x="3720"/>
        <item t="data" h="1" sd="1" m="1" x="3732"/>
        <item t="data" h="1" sd="1" m="1" x="4113"/>
        <item t="data" h="1" sd="1" m="1" x="1661"/>
        <item t="data" h="1" sd="1" m="1" x="3744"/>
        <item t="data" h="1" sd="1" m="1" x="3742"/>
        <item t="data" h="1" sd="1" m="1" x="3957"/>
        <item t="data" h="1" sd="1" m="1" x="3958"/>
        <item t="data" h="1" sd="1" m="1" x="3748"/>
        <item t="data" h="1" sd="1" m="1" x="2489"/>
        <item t="data" h="1" sd="1" m="1" x="3749"/>
        <item t="data" h="1" sd="1" m="1" x="3442"/>
        <item t="data" h="1" sd="1" m="1" x="3750"/>
        <item t="data" h="1" sd="1" m="1" x="3842"/>
        <item t="data" h="1" sd="1" m="1" x="3844"/>
        <item t="data" h="1" sd="1" m="1" x="3845"/>
        <item t="data" h="1" sd="1" m="1" x="3846"/>
        <item t="data" h="1" sd="1" m="1" x="3847"/>
        <item t="data" h="1" sd="1" m="1" x="3848"/>
        <item t="data" h="1" sd="1" m="1" x="883"/>
        <item t="data" h="1" sd="1" m="1" x="3546"/>
        <item t="data" h="1" sd="1" m="1" x="3849"/>
        <item t="data" h="1" sd="1" m="1" x="3850"/>
        <item t="data" h="1" sd="1" m="1" x="3851"/>
        <item t="data" h="1" sd="1" m="1" x="3852"/>
        <item t="data" h="1" sd="1" m="1" x="3853"/>
        <item t="data" h="1" sd="1" m="1" x="3854"/>
        <item t="data" h="1" sd="1" m="1" x="3855"/>
        <item t="data" h="1" sd="1" m="1" x="3857"/>
        <item t="data" h="1" sd="1" m="1" x="3859"/>
        <item t="data" h="1" sd="1" m="1" x="3765"/>
        <item t="data" h="1" sd="1" m="1" x="2128"/>
        <item t="data" h="1" sd="1" m="1" x="3860"/>
        <item t="data" h="1" sd="1" m="1" x="3861"/>
        <item t="data" h="1" sd="1" m="1" x="3862"/>
        <item t="data" h="1" sd="1" m="1" x="3863"/>
        <item t="data" h="1" sd="1" m="1" x="3883"/>
        <item t="data" h="1" sd="1" m="1" x="3807"/>
        <item t="data" h="1" sd="1" m="1" x="3805"/>
        <item t="data" h="1" sd="1" m="1" x="3806"/>
        <item t="data" h="1" sd="1" m="1" x="3789"/>
        <item t="data" h="1" sd="1" m="1" x="3884"/>
        <item t="data" h="1" sd="1" m="1" x="3790"/>
        <item t="data" h="1" sd="1" m="1" x="3791"/>
        <item t="data" h="1" sd="1" m="1" x="3793"/>
        <item t="data" h="1" sd="1" m="1" x="3794"/>
        <item t="data" h="1" sd="1" m="1" x="3885"/>
        <item t="data" h="1" sd="1" m="1" x="3795"/>
        <item t="data" h="1" sd="1" m="1" x="3796"/>
        <item t="data" h="1" sd="1" m="1" x="3797"/>
        <item t="data" h="1" sd="1" m="1" x="3798"/>
        <item t="data" h="1" sd="1" m="1" x="3886"/>
        <item t="data" h="1" sd="1" m="1" x="3887"/>
        <item t="data" h="1" sd="1" m="1" x="3801"/>
        <item t="data" h="1" sd="1" m="1" x="3888"/>
        <item t="data" h="1" sd="1" m="1" x="3802"/>
        <item t="data" h="1" sd="1" m="1" x="3889"/>
        <item t="data" h="1" sd="1" m="1" x="3803"/>
        <item t="data" h="1" sd="1" m="1" x="3890"/>
        <item t="data" h="1" sd="1" m="1" x="3787"/>
        <item t="data" h="1" sd="1" m="1" x="3891"/>
        <item t="data" h="1" sd="1" m="1" x="3788"/>
        <item t="data" h="1" sd="1" m="1" x="3892"/>
        <item t="data" h="1" sd="1" m="1" x="3894"/>
        <item t="data" h="1" sd="1" m="1" x="1855"/>
        <item t="data" h="1" sd="1" m="1" x="3589"/>
        <item t="data" h="1" sd="1" m="1" x="3591"/>
        <item t="data" h="1" sd="1" m="1" x="3592"/>
        <item t="data" h="1" sd="1" m="1" x="3896"/>
        <item t="data" h="1" sd="1" m="1" x="3897"/>
        <item t="data" h="1" sd="1" m="1" x="3909"/>
        <item t="data" h="1" sd="1" m="1" x="3911"/>
        <item t="data" h="1" sd="1" m="1" x="3594"/>
        <item t="data" h="1" sd="1" m="1" x="3212"/>
        <item t="data" h="1" sd="1" m="1" x="3916"/>
        <item t="data" h="1" sd="1" m="1" x="1690"/>
        <item t="data" h="1" sd="1" m="1" x="1691"/>
        <item t="data" h="1" sd="1" m="1" x="3610"/>
        <item t="data" h="1" sd="1" m="1" x="3608"/>
        <item t="data" h="1" sd="1" m="1" x="3827"/>
        <item t="data" h="1" sd="1" m="1" x="3920"/>
        <item t="data" h="1" sd="1" m="1" x="3924"/>
        <item t="data" h="1" sd="1" m="1" x="3925"/>
        <item t="data" h="1" sd="1" m="1" x="3631"/>
        <item t="data" h="1" sd="1" m="1" x="3643"/>
        <item t="data" h="1" sd="1" m="1" x="3642"/>
        <item t="data" h="1" sd="1" m="1" x="3109"/>
        <item t="data" h="1" sd="1" m="1" x="2986"/>
        <item t="data" h="1" sd="1" m="1" x="461"/>
        <item t="data" h="1" sd="1" m="1" x="3928"/>
        <item t="data" h="1" sd="1" m="1" x="3661"/>
        <item t="data" h="1" sd="1" m="1" x="3677"/>
        <item t="data" h="1" sd="1" m="1" x="3678"/>
        <item t="data" h="1" sd="1" m="1" x="3519"/>
        <item t="data" h="1" sd="1" m="1" x="3683"/>
        <item t="data" h="1" sd="1" m="1" x="1767"/>
        <item t="data" h="1" sd="1" m="1" x="3312"/>
        <item t="data" h="1" sd="1" m="1" x="3686"/>
        <item t="data" h="1" sd="1" m="1" x="3935"/>
        <item t="data" h="1" sd="1" m="1" x="3617"/>
        <item t="data" h="1" sd="1" m="1" x="3697"/>
        <item t="data" h="1" sd="1" m="1" x="3696"/>
        <item t="data" h="1" sd="1" m="1" x="3943"/>
        <item t="data" h="1" sd="1" m="1" x="3944"/>
        <item t="data" h="1" sd="1" m="1" x="3705"/>
        <item t="data" h="1" sd="1" m="1" x="3706"/>
        <item t="data" h="1" sd="1" m="1" x="3721"/>
        <item t="data" h="1" sd="1" m="1" x="3716"/>
        <item t="data" h="1" sd="1" m="1" x="3717"/>
        <item t="data" h="1" sd="1" m="1" x="3729"/>
        <item t="data" h="1" sd="1" m="1" x="3730"/>
        <item t="data" h="1" sd="1" m="1" x="3151"/>
        <item t="data" h="1" sd="1" m="1" x="1733"/>
        <item t="data" h="1" sd="1" m="1" x="3956"/>
        <item t="data" h="1" sd="1" m="1" x="3745"/>
        <item t="data" h="1" sd="1" m="1" x="3746"/>
        <item t="data" h="1" sd="1" m="1" x="2940"/>
        <item t="data" h="1" sd="1" m="1" x="3756"/>
        <item t="data" h="1" sd="1" m="1" x="3757"/>
        <item t="data" h="1" sd="1" m="1" x="3759"/>
        <item t="data" h="1" sd="1" m="1" x="3005"/>
        <item t="data" h="1" sd="1" m="1" x="3764"/>
        <item t="data" h="1" sd="1" m="1" x="3556"/>
        <item t="data" h="1" sd="1" m="1" x="3552"/>
        <item t="data" h="1" sd="1" m="1" x="3766"/>
        <item t="data" h="1" sd="1" m="1" x="3553"/>
        <item t="data" h="1" sd="1" m="1" x="3768"/>
        <item t="data" h="1" sd="1" m="1" x="3769"/>
        <item t="data" h="1" sd="1" m="1" x="3770"/>
        <item t="data" h="1" sd="1" m="1" x="3771"/>
        <item t="data" h="1" sd="1" m="1" x="3773"/>
        <item t="data" h="1" sd="1" m="1" x="3774"/>
        <item t="data" h="1" sd="1" m="1" x="3775"/>
        <item t="data" h="1" sd="1" m="1" x="3776"/>
        <item t="data" h="1" sd="1" m="1" x="3777"/>
        <item t="data" h="1" sd="1" m="1" x="3778"/>
        <item t="data" h="1" sd="1" m="1" x="3779"/>
        <item t="data" h="1" sd="1" m="1" x="3561"/>
        <item t="data" h="1" sd="1" m="1" x="3780"/>
        <item t="data" h="1" sd="1" m="1" x="3781"/>
        <item t="data" h="1" sd="1" m="1" x="3782"/>
        <item t="data" h="1" sd="1" m="1" x="3783"/>
        <item t="data" h="1" sd="1" m="1" x="3784"/>
        <item t="data" h="1" sd="1" m="1" x="3808"/>
        <item t="data" h="1" sd="1" m="1" x="3809"/>
        <item t="data" h="1" sd="1" m="1" x="3811"/>
        <item t="data" h="1" sd="1" m="1" x="3812"/>
        <item t="data" h="1" sd="1" m="1" x="3813"/>
        <item t="data" h="1" sd="1" m="1" x="3814"/>
        <item t="data" h="1" sd="1" m="1" x="3815"/>
        <item t="data" h="1" sd="1" m="1" x="3590"/>
        <item t="data" h="1" sd="1" m="1" x="3079"/>
        <item t="data" h="1" sd="1" m="1" x="3822"/>
        <item t="data" h="1" sd="1" m="1" x="3823"/>
        <item t="data" h="1" sd="1" m="1" x="3824"/>
        <item t="data" h="1" sd="1" m="1" x="3825"/>
        <item t="data" h="1" sd="1" m="1" x="3595"/>
        <item t="data" h="1" sd="1" m="1" x="3597"/>
        <item t="data" h="1" sd="1" m="1" x="3604"/>
        <item t="data" h="1" sd="1" m="1" x="3612"/>
        <item t="data" h="1" sd="1" m="1" x="3611"/>
        <item t="data" h="1" sd="1" m="1" x="3826"/>
        <item t="data" h="1" sd="1" m="1" x="3619"/>
        <item t="data" h="1" sd="1" m="1" x="3828"/>
        <item t="data" h="1" sd="1" m="1" x="3829"/>
        <item t="data" h="1" sd="1" m="1" x="3830"/>
        <item t="data" h="1" sd="1" m="1" x="3832"/>
        <item t="data" h="1" sd="1" m="1" x="3834"/>
        <item t="data" h="1" sd="1" m="1" x="3835"/>
        <item t="data" h="1" sd="1" m="1" x="3836"/>
        <item t="data" h="1" sd="1" m="1" x="3632"/>
        <item t="data" h="1" sd="1" m="1" x="3633"/>
        <item t="data" h="1" sd="1" m="1" x="3638"/>
        <item t="data" h="1" sd="1" m="1" x="3639"/>
        <item t="data" h="1" sd="1" m="1" x="3640"/>
        <item t="data" h="1" sd="1" m="1" x="3641"/>
        <item t="data" h="1" sd="1" m="1" x="3505"/>
        <item t="data" h="1" sd="1" m="1" x="3646"/>
        <item t="data" h="1" sd="1" m="1" x="3674"/>
        <item t="data" h="1" sd="1" m="1" x="1755"/>
        <item t="data" h="1" sd="1" m="1" x="3269"/>
        <item t="data" h="1" sd="1" m="1" x="3516"/>
        <item t="data" h="1" sd="1" m="1" x="1749"/>
        <item t="data" h="1" sd="1" m="1" x="1750"/>
        <item t="data" h="1" sd="1" m="1" x="3520"/>
        <item t="data" h="1" sd="1" x="269"/>
        <item t="data" h="1" sd="1" m="1" x="3691"/>
        <item t="data" h="1" sd="1" m="1" x="3427"/>
        <item t="data" h="1" sd="1" m="1" x="3685"/>
        <item t="data" h="1" sd="1" m="1" x="3687"/>
        <item t="data" h="1" sd="1" m="1" x="3839"/>
        <item t="data" h="1" sd="1" m="1" x="3695"/>
        <item t="data" h="1" sd="1" m="1" x="3840"/>
        <item t="data" h="1" sd="1" m="1" x="3702"/>
        <item t="data" h="1" sd="1" m="1" x="3708"/>
        <item t="data" h="1" sd="1" m="1" x="3709"/>
        <item t="data" h="1" sd="1" m="1" x="3718"/>
        <item t="data" h="1" sd="1" m="1" x="3727"/>
        <item t="data" h="1" sd="1" m="1" x="3728"/>
        <item t="data" h="1" sd="1" m="1" x="3332"/>
        <item t="data" h="1" sd="1" m="1" x="1731"/>
        <item t="data" h="1" sd="1" m="1" x="1732"/>
        <item t="data" h="1" sd="1" m="1" x="3735"/>
        <item t="data" h="1" sd="1" m="1" x="3741"/>
        <item t="data" h="1" sd="1" m="1" x="3743"/>
        <item t="data" h="1" sd="1" m="1" x="3747"/>
        <item t="data" h="1" sd="1" m="1" x="3751"/>
        <item t="data" h="1" sd="1" m="1" x="2085"/>
        <item t="data" h="1" sd="1" m="1" x="3545"/>
        <item t="data" h="1" sd="1" m="1" x="3547"/>
        <item t="data" h="1" sd="1" m="1" x="3548"/>
        <item t="data" h="1" sd="1" m="1" x="3549"/>
        <item t="data" h="1" sd="1" m="1" x="3557"/>
        <item t="data" h="1" sd="1" m="1" x="3558"/>
        <item t="data" h="1" sd="1" m="1" x="3559"/>
        <item t="data" h="1" sd="1" m="1" x="3560"/>
        <item t="data" h="1" sd="1" m="1" x="3562"/>
        <item t="data" h="1" sd="1" m="1" x="1051"/>
        <item t="data" h="1" sd="1" m="1" x="3563"/>
        <item t="data" h="1" sd="1" m="1" x="3564"/>
        <item t="data" h="1" sd="1" m="1" x="3565"/>
        <item t="data" h="1" sd="1" m="1" x="3566"/>
        <item t="data" h="1" sd="1" m="1" x="3567"/>
        <item t="data" h="1" sd="1" m="1" x="3568"/>
        <item t="data" h="1" sd="1" m="1" x="3569"/>
        <item t="data" h="1" sd="1" m="1" x="1406"/>
        <item t="data" h="1" sd="1" m="1" x="3570"/>
        <item t="data" h="1" sd="1" m="1" x="3571"/>
        <item t="data" h="1" sd="1" m="1" x="3572"/>
        <item t="data" h="1" sd="1" m="1" x="3573"/>
        <item t="data" h="1" sd="1" m="1" x="3574"/>
        <item t="data" h="1" sd="1" m="1" x="3575"/>
        <item t="data" h="1" sd="1" m="1" x="3576"/>
        <item t="data" h="1" sd="1" m="1" x="3577"/>
        <item t="data" h="1" sd="1" m="1" x="3578"/>
        <item t="data" h="1" sd="1" m="1" x="3579"/>
        <item t="data" h="1" sd="1" m="1" x="3580"/>
        <item t="data" h="1" sd="1" m="1" x="3581"/>
        <item t="data" h="1" sd="1" m="1" x="3582"/>
        <item t="data" h="1" sd="1" m="1" x="3583"/>
        <item t="data" h="1" sd="1" m="1" x="3588"/>
        <item t="data" h="1" sd="1" m="1" x="3206"/>
        <item t="data" h="1" sd="1" m="1" x="2380"/>
        <item t="data" h="1" sd="1" m="1" x="3593"/>
        <item t="data" h="1" sd="1" m="1" x="3598"/>
        <item t="data" h="1" sd="1" m="1" x="3601"/>
        <item t="data" h="1" sd="1" m="1" x="529"/>
        <item t="data" h="1" sd="1" m="1" x="3606"/>
        <item t="data" h="1" sd="1" m="1" x="3607"/>
        <item t="data" h="1" sd="1" m="1" x="3613"/>
        <item t="data" h="1" sd="1" m="1" x="3614"/>
        <item t="data" h="1" sd="1" m="1" x="3615"/>
        <item t="data" h="1" sd="1" m="1" x="1693"/>
        <item t="data" h="1" sd="1" m="1" x="3616"/>
        <item t="data" h="1" sd="1" m="1" x="2021"/>
        <item t="data" h="1" sd="1" m="1" x="3620"/>
        <item t="data" h="1" sd="1" m="1" x="3621"/>
        <item t="data" h="1" sd="1" m="1" x="3622"/>
        <item t="data" h="1" sd="1" m="1" x="3623"/>
        <item t="data" h="1" sd="1" m="1" x="3624"/>
        <item t="data" h="1" sd="1" m="1" x="3626"/>
        <item t="data" h="1" sd="1" m="1" x="3627"/>
        <item t="data" h="1" sd="1" x="230"/>
        <item t="data" h="1" sd="1" m="1" x="3629"/>
        <item t="data" h="1" sd="1" m="1" x="3108"/>
        <item t="data" h="1" sd="1" m="1" x="3635"/>
        <item t="data" h="1" sd="1" m="1" x="3636"/>
        <item t="data" h="1" sd="1" m="1" x="3637"/>
        <item t="data" h="1" sd="1" m="1" x="3676"/>
        <item t="data" h="1" sd="1" m="1" x="1748"/>
        <item t="data" h="1" sd="1" m="1" x="1751"/>
        <item t="data" h="1" sd="1" m="1" x="3682"/>
        <item t="data" h="1" sd="1" m="1" x="3684"/>
        <item t="data" h="1" sd="1" m="1" x="2336"/>
        <item t="data" h="1" sd="1" m="1" x="3311"/>
        <item t="data" h="1" sd="1" m="1" x="3690"/>
        <item t="data" h="1" sd="1" m="1" x="3701"/>
        <item t="data" h="1" sd="1" m="1" x="3707"/>
        <item t="data" h="1" sd="1" m="1" x="3533"/>
        <item t="data" h="1" sd="1" m="1" x="3711"/>
        <item t="data" h="1" sd="1" m="1" x="3712"/>
        <item t="data" h="1" sd="1" m="1" x="3713"/>
        <item t="data" h="1" sd="1" m="1" x="3714"/>
        <item t="data" h="1" sd="1" m="1" x="3723"/>
        <item t="data" h="1" sd="1" m="1" x="3724"/>
        <item t="data" h="1" sd="1" m="1" x="3725"/>
        <item t="data" h="1" sd="1" m="1" x="2919"/>
        <item t="data" h="1" sd="1" m="1" x="2920"/>
        <item t="data" h="1" sd="1" m="1" x="3734"/>
        <item t="data" h="1" sd="1" m="1" x="3150"/>
        <item t="data" h="1" sd="1" m="1" x="2573"/>
        <item t="data" h="1" sd="1" m="1" x="3736"/>
        <item t="data" h="1" sd="1" m="1" x="3761"/>
        <item t="data" h="1" sd="1" m="1" x="3762"/>
        <item t="data" h="1" sd="1" m="1" x="3763"/>
        <item t="data" h="1" sd="1" m="1" x="1747"/>
        <item t="data" h="1" sd="1" m="1" x="3466"/>
        <item t="data" h="1" sd="1" m="1" x="3467"/>
        <item t="data" h="1" sd="1" m="1" x="3169"/>
        <item t="data" h="1" sd="1" m="1" x="3468"/>
        <item t="data" h="1" sd="1" m="1" x="3469"/>
        <item t="data" h="1" sd="1" m="1" x="3470"/>
        <item t="data" h="1" sd="1" m="1" x="3471"/>
        <item t="data" h="1" sd="1" m="1" x="3472"/>
        <item t="data" h="1" sd="1" m="1" x="3346"/>
        <item t="data" h="1" sd="1" m="1" x="3473"/>
        <item t="data" h="1" sd="1" m="1" x="3474"/>
        <item t="data" h="1" sd="1" m="1" x="3475"/>
        <item t="data" h="1" sd="1" m="1" x="3476"/>
        <item t="data" h="1" sd="1" m="1" x="3477"/>
        <item t="data" h="1" sd="1" m="1" x="3478"/>
        <item t="data" h="1" sd="1" m="1" x="3479"/>
        <item t="data" h="1" sd="1" m="1" x="1041"/>
        <item t="data" h="1" sd="1" m="1" x="3187"/>
        <item t="data" h="1" sd="1" m="1" x="3480"/>
        <item t="data" h="1" sd="1" m="1" x="3481"/>
        <item t="data" h="1" sd="1" m="1" x="3482"/>
        <item t="data" h="1" sd="1" m="1" x="3483"/>
        <item t="data" h="1" sd="1" m="1" x="3484"/>
        <item t="data" h="1" sd="1" m="1" x="3375"/>
        <item t="data" h="1" sd="1" m="1" x="3376"/>
        <item t="data" h="1" sd="1" m="1" x="3377"/>
        <item t="data" h="1" sd="1" m="1" x="3074"/>
        <item t="data" h="1" sd="1" m="1" x="3078"/>
        <item t="data" h="1" sd="1" m="1" x="3081"/>
        <item t="data" h="1" sd="1" m="1" x="3379"/>
        <item t="data" h="1" sd="1" m="1" x="3084"/>
        <item t="data" h="1" sd="1" m="1" x="1705"/>
        <item t="data" h="1" sd="1" m="1" x="1456"/>
        <item t="data" h="1" sd="1" m="1" x="3393"/>
        <item t="data" h="1" sd="1" m="1" x="3489"/>
        <item t="data" h="1" sd="1" m="1" x="1694"/>
        <item t="data" h="1" sd="1" m="1" x="1695"/>
        <item t="data" h="1" sd="1" m="1" x="3397"/>
        <item t="data" h="1" sd="1" m="1" x="2597"/>
        <item t="data" h="1" sd="1" m="1" x="1703"/>
        <item t="data" h="1" sd="1" m="1" x="3499"/>
        <item t="data" h="1" sd="1" m="1" x="3500"/>
        <item t="data" h="1" sd="1" m="1" x="3504"/>
        <item t="data" h="1" sd="1" m="1" x="3506"/>
        <item t="data" h="1" sd="1" m="1" x="3414"/>
        <item t="data" h="1" sd="1" m="1" x="800"/>
        <item t="data" h="1" sd="1" m="1" x="3240"/>
        <item t="data" h="1" sd="1" m="1" x="3241"/>
        <item t="data" h="1" sd="1" m="1" x="3234"/>
        <item t="data" h="1" sd="1" m="1" x="3235"/>
        <item t="data" h="1" sd="1" m="1" x="3236"/>
        <item t="data" h="1" sd="1" m="1" x="3237"/>
        <item t="data" h="1" sd="1" m="1" x="3112"/>
        <item t="data" h="1" sd="1" m="1" x="3113"/>
        <item t="data" h="1" sd="1" m="1" x="3508"/>
        <item t="data" h="1" sd="1" m="1" x="3509"/>
        <item t="data" h="1" sd="1" m="1" x="3510"/>
        <item t="data" h="1" sd="1" m="1" x="1713"/>
        <item t="data" h="1" sd="1" m="1" x="3512"/>
        <item t="data" h="1" sd="1" m="1" x="3513"/>
        <item t="data" h="1" sd="1" m="1" x="2009"/>
        <item t="data" h="1" sd="1" m="1" x="2725"/>
        <item t="data" h="1" sd="1" m="1" x="1714"/>
        <item t="data" h="1" sd="1" m="1" x="3524"/>
        <item t="data" h="1" sd="1" m="1" x="3428"/>
        <item t="data" h="1" sd="1" m="1" x="3429"/>
        <item t="data" h="1" sd="1" m="1" x="3430"/>
        <item t="data" h="1" sd="1" m="1" x="3431"/>
        <item t="data" h="1" sd="1" m="1" x="3305"/>
        <item t="data" h="1" sd="1" m="1" x="3306"/>
        <item t="data" h="1" sd="1" m="1" x="3423"/>
        <item t="data" h="1" sd="1" m="1" x="3307"/>
        <item t="data" h="1" sd="1" m="1" x="3525"/>
        <item t="data" h="1" sd="1" m="1" x="3421"/>
        <item t="data" h="1" sd="1" m="1" x="3420"/>
        <item t="data" h="1" sd="1" m="1" x="2390"/>
        <item t="data" h="1" sd="1" m="1" x="3526"/>
        <item t="data" h="1" sd="1" m="1" x="3528"/>
        <item t="data" h="1" sd="1" m="1" x="3531"/>
        <item t="data" h="1" sd="1" m="1" x="3532"/>
        <item t="data" h="1" sd="1" m="1" x="1743"/>
        <item t="data" h="1" sd="1" m="1" x="3537"/>
        <item t="data" h="1" sd="1" m="1" x="3538"/>
        <item t="data" h="1" sd="1" m="1" x="3441"/>
        <item t="data" h="1" sd="1" m="1" x="3439"/>
        <item t="data" h="1" sd="1" m="1" x="3444"/>
        <item t="data" h="1" sd="1" m="1" x="3446"/>
        <item t="data" h="1" sd="1" m="1" x="2921"/>
        <item t="data" h="1" sd="1" m="1" x="2922"/>
        <item t="data" h="1" sd="1" m="1" x="2315"/>
        <item t="data" h="1" sd="1" m="1" x="2923"/>
        <item t="data" h="1" sd="1" m="1" x="2924"/>
        <item t="data" h="1" sd="1" m="1" x="3149"/>
        <item t="data" h="1" sd="1" m="1" x="3148"/>
        <item t="data" h="1" sd="1" m="1" x="3157"/>
        <item t="data" h="1" sd="1" m="1" x="1586"/>
        <item t="data" h="1" sd="1" m="1" x="3543"/>
        <item t="data" h="1" sd="1" m="1" x="2726"/>
        <item t="data" h="1" sd="1" m="1" x="3544"/>
        <item t="data" h="1" sd="1" m="1" x="3168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028"/>
        <item t="data" h="1" sd="1" m="1" x="3342"/>
        <item t="data" h="1" sd="1" m="1" x="3343"/>
        <item t="data" h="1" sd="1" m="1" x="3344"/>
        <item t="data" h="1" sd="1" m="1" x="3347"/>
        <item t="data" h="1" sd="1" m="1" x="3034"/>
        <item t="data" h="1" sd="1" m="1" x="3173"/>
        <item t="data" h="1" sd="1" m="1" x="3349"/>
        <item t="data" h="1" sd="1" m="1" x="3350"/>
        <item t="data" h="1" sd="1" m="1" x="3352"/>
        <item t="data" h="1" sd="1" m="1" x="2962"/>
        <item t="data" h="1" sd="1" m="1" x="3353"/>
        <item t="data" h="1" sd="1" m="1" x="3354"/>
        <item t="data" h="1" sd="1" m="1" x="1351"/>
        <item t="data" h="1" sd="1" m="1" x="3355"/>
        <item t="data" h="1" sd="1" m="1" x="3356"/>
        <item t="data" h="1" sd="1" m="1" x="3357"/>
        <item t="data" h="1" sd="1" m="1" x="3358"/>
        <item t="data" h="1" sd="1" m="1" x="3360"/>
        <item t="data" h="1" sd="1" m="1" x="3361"/>
        <item t="data" h="1" sd="1" m="1" x="3362"/>
        <item t="data" h="1" sd="1" m="1" x="3363"/>
        <item t="data" h="1" sd="1" m="1" x="3364"/>
        <item t="data" h="1" sd="1" m="1" x="3365"/>
        <item t="data" h="1" sd="1" m="1" x="3059"/>
        <item t="data" h="1" sd="1" m="1" x="3366"/>
        <item t="data" h="1" sd="1" m="1" x="3367"/>
        <item t="data" h="1" sd="1" m="1" x="3368"/>
        <item t="data" h="1" sd="1" m="1" x="3369"/>
        <item t="data" h="1" sd="1" m="1" x="3370"/>
        <item t="data" h="1" sd="1" m="1" x="3371"/>
        <item t="data" h="1" sd="1" m="1" x="3372"/>
        <item t="data" h="1" sd="1" m="1" x="3373"/>
        <item t="data" h="1" sd="1" m="1" x="3374"/>
        <item t="data" h="1" sd="1" m="1" x="3195"/>
        <item t="data" h="1" sd="1" m="1" x="3378"/>
        <item t="data" h="1" sd="1" m="1" x="3380"/>
        <item t="data" h="1" sd="1" m="1" x="3381"/>
        <item t="data" h="1" sd="1" m="1" x="3382"/>
        <item t="data" h="1" sd="1" m="1" x="3383"/>
        <item t="data" h="1" sd="1" m="1" x="3384"/>
        <item t="data" h="1" sd="1" m="1" x="1508"/>
        <item t="data" h="1" sd="1" m="1" x="3386"/>
        <item t="data" h="1" sd="1" m="1" x="3387"/>
        <item t="data" h="1" sd="1" m="1" x="3388"/>
        <item t="data" h="1" sd="1" m="1" x="3389"/>
        <item t="data" h="1" sd="1" m="1" x="3390"/>
        <item t="data" h="1" sd="1" m="1" x="3391"/>
        <item t="data" h="1" sd="1" m="1" x="3392"/>
        <item t="data" h="1" sd="1" m="1" x="3396"/>
        <item t="data" h="1" sd="1" m="1" x="1689"/>
        <item t="data" h="1" sd="1" m="1" x="3098"/>
        <item t="data" h="1" sd="1" m="1" x="3218"/>
        <item t="data" h="1" sd="1" m="1" x="3398"/>
        <item t="data" h="1" sd="1" m="1" x="3399"/>
        <item t="data" h="1" sd="1" m="1" x="3400"/>
        <item t="data" h="1" sd="1" m="1" x="3401"/>
        <item t="data" h="1" sd="1" m="1" x="3402"/>
        <item t="data" h="1" sd="1" m="1" x="3403"/>
        <item t="data" h="1" sd="1" m="1" x="3404"/>
        <item t="data" h="1" sd="1" m="1" x="3405"/>
        <item t="data" h="1" sd="1" m="1" x="3406"/>
        <item t="data" h="1" sd="1" m="1" x="3408"/>
        <item t="data" h="1" sd="1" m="1" x="3409"/>
        <item t="data" h="1" sd="1" m="1" x="3411"/>
        <item t="data" h="1" sd="1" m="1" x="3413"/>
        <item t="data" h="1" sd="1" m="1" x="3232"/>
        <item t="data" h="1" sd="1" m="1" x="3238"/>
        <item t="data" h="1" sd="1" m="1" x="3239"/>
        <item t="data" h="1" sd="1" m="1" x="1685"/>
        <item t="data" h="1" sd="1" m="1" x="3415"/>
        <item t="data" h="1" sd="1" m="1" x="3416"/>
        <item t="data" h="1" sd="1" m="1" x="3267"/>
        <item t="data" h="1" sd="1" m="1" x="3417"/>
        <item t="data" h="1" sd="1" m="1" x="3418"/>
        <item t="data" h="1" sd="1" m="1" x="3419"/>
        <item t="data" h="1" sd="1" m="1" x="3127"/>
        <item t="data" h="1" sd="1" m="1" x="2347"/>
        <item t="data" h="1" sd="1" m="1" x="3309"/>
        <item t="data" h="1" sd="1" m="1" x="3308"/>
        <item t="data" h="1" sd="1" m="1" x="3424"/>
        <item t="data" h="1" sd="1" m="1" x="3425"/>
        <item t="data" h="1" sd="1" m="1" x="3432"/>
        <item t="data" h="1" sd="1" m="1" x="3319"/>
        <item t="data" h="1" sd="1" m="1" x="3314"/>
        <item t="data" h="1" sd="1" m="1" x="3318"/>
        <item t="data" h="1" sd="1" m="1" x="3315"/>
        <item t="data" h="1" sd="1" m="1" x="3316"/>
        <item t="data" h="1" sd="1" m="1" x="3317"/>
        <item t="data" h="1" sd="1" m="1" x="3320"/>
        <item t="data" h="1" sd="1" m="1" x="2904"/>
        <item t="data" h="1" sd="1" m="1" x="3435"/>
        <item t="data" h="1" sd="1" m="1" x="3436"/>
        <item t="data" h="1" sd="1" m="1" x="3438"/>
        <item t="data" h="1" sd="1" m="1" x="3440"/>
        <item t="data" h="1" sd="1" m="1" x="3447"/>
        <item t="data" h="1" sd="1" m="1" x="3448"/>
        <item t="data" h="1" sd="1" m="1" x="3449"/>
        <item t="data" h="1" sd="1" m="1" x="3451"/>
        <item t="data" h="1" sd="1" m="1" x="3452"/>
        <item t="data" h="1" sd="1" x="438"/>
        <item t="data" h="1" sd="1" x="436"/>
        <item t="data" h="1" sd="1" m="1" x="3159"/>
        <item t="data" h="1" sd="1" m="1" x="3453"/>
        <item t="data" h="1" sd="1" m="1" x="3454"/>
        <item t="data" h="1" sd="1" m="1" x="1737"/>
        <item t="data" h="1" sd="1" m="1" x="1738"/>
        <item t="data" h="1" sd="1" m="1" x="1740"/>
        <item t="data" h="1" sd="1" m="1" x="1741"/>
        <item t="data" h="1" sd="1" m="1" x="1739"/>
        <item t="data" h="1" sd="1" m="1" x="1742"/>
        <item t="data" h="1" sd="1" m="1" x="3457"/>
        <item t="data" h="1" sd="1" m="1" x="3458"/>
        <item t="data" h="1" sd="1" m="1" x="3459"/>
        <item t="data" h="1" sd="1" m="1" x="3460"/>
        <item t="data" h="1" sd="1" m="1" x="3335"/>
        <item t="data" h="1" sd="1" m="1" x="3000"/>
        <item t="data" h="1" sd="1" m="1" x="3002"/>
        <item t="data" h="1" sd="1" m="1" x="3461"/>
        <item t="data" h="1" sd="1" m="1" x="3464"/>
        <item t="data" h="1" sd="1" m="1" x="3007"/>
        <item t="data" h="1" sd="1" m="1" x="3166"/>
        <item t="data" h="1" sd="1" m="1" x="3167"/>
        <item t="data" h="1" sd="1" m="1" x="3170"/>
        <item t="data" h="1" sd="1" m="1" x="3171"/>
        <item t="data" h="1" sd="1" m="1" x="3172"/>
        <item t="data" h="1" sd="1" m="1" x="3176"/>
        <item t="data" h="1" sd="1" m="1" x="3178"/>
        <item t="data" h="1" sd="1" m="1" x="3033"/>
        <item t="data" h="1" sd="1" m="1" x="3032"/>
        <item t="data" h="1" sd="1" m="1" x="2956"/>
        <item t="data" h="1" sd="1" m="1" x="3179"/>
        <item t="data" h="1" sd="1" m="1" x="3180"/>
        <item t="data" h="1" sd="1" m="1" x="3181"/>
        <item t="data" h="1" sd="1" m="1" x="3182"/>
        <item t="data" h="1" sd="1" m="1" x="3183"/>
        <item t="data" h="1" sd="1" m="1" x="2759"/>
        <item t="data" h="1" sd="1" m="1" x="3184"/>
        <item t="data" h="1" sd="1" m="1" x="3185"/>
        <item t="data" h="1" sd="1" m="1" x="3186"/>
        <item t="data" h="1" sd="1" m="1" x="3188"/>
        <item t="data" h="1" sd="1" m="1" x="3189"/>
        <item t="data" h="1" sd="1" m="1" x="3192"/>
        <item t="data" h="1" sd="1" m="1" x="3205"/>
        <item t="data" h="1" sd="1" m="1" x="3210"/>
        <item t="data" h="1" sd="1" m="1" x="3211"/>
        <item t="data" h="1" sd="1" m="1" x="2723"/>
        <item t="data" h="1" sd="1" m="1" x="1702"/>
        <item t="data" h="1" sd="1" m="1" x="3091"/>
        <item t="data" h="1" sd="1" m="1" x="3217"/>
        <item t="data" h="1" sd="1" m="1" x="3099"/>
        <item t="data" h="1" sd="1" m="1" x="2976"/>
        <item t="data" h="1" sd="1" m="1" x="3223"/>
        <item t="data" h="1" sd="1" m="1" x="3225"/>
        <item t="data" h="1" sd="1" m="1" x="3226"/>
        <item t="data" h="1" sd="1" m="1" x="3227"/>
        <item t="data" h="1" sd="1" m="1" x="3228"/>
        <item t="data" h="1" sd="1" m="1" x="3229"/>
        <item t="data" h="1" sd="1" m="1" x="3230"/>
        <item t="data" h="1" sd="1" m="1" x="3231"/>
        <item t="data" h="1" sd="1" m="1" x="3117"/>
        <item t="data" h="1" sd="1" m="1" x="3243"/>
        <item t="data" h="1" sd="1" m="1" x="3244"/>
        <item t="data" h="1" sd="1" m="1" x="3245"/>
        <item t="data" h="1" sd="1" m="1" x="1712"/>
        <item t="data" h="1" sd="1" m="1" x="3271"/>
        <item t="data" h="1" sd="1" m="1" x="3124"/>
        <item t="data" h="1" sd="1" m="1" x="2255"/>
        <item t="data" h="1" sd="1" m="1" x="3272"/>
        <item t="data" h="1" sd="1" m="1" x="3273"/>
        <item t="data" h="1" sd="1" m="1" x="3274"/>
        <item t="data" h="1" sd="1" m="1" x="3275"/>
        <item t="data" h="1" sd="1" m="1" x="3276"/>
        <item t="data" h="1" sd="1" m="1" x="3310"/>
        <item t="data" h="1" sd="1" m="1" x="3321"/>
        <item t="data" h="1" sd="1" m="1" x="3322"/>
        <item t="data" h="1" sd="1" m="1" x="3323"/>
        <item t="data" h="1" sd="1" m="1" x="3324"/>
        <item t="data" h="1" sd="1" m="1" x="3325"/>
        <item t="data" h="1" sd="1" m="1" x="3326"/>
        <item t="data" h="1" sd="1" m="1" x="3327"/>
        <item t="data" h="1" sd="1" m="1" x="3328"/>
        <item t="data" h="1" sd="1" m="1" x="3329"/>
        <item t="data" h="1" sd="1" m="1" x="3330"/>
        <item t="data" h="1" sd="1" m="1" x="2808"/>
        <item t="data" h="1" sd="1" m="1" x="3145"/>
        <item t="data" h="1" sd="1" m="1" x="3158"/>
        <item t="data" h="1" sd="1" m="1" x="3333"/>
        <item t="data" h="1" sd="1" m="1" x="3162"/>
        <item t="data" h="1" sd="1" m="1" x="1734"/>
        <item t="data" h="1" sd="1" m="1" x="1735"/>
        <item t="data" h="1" sd="1" m="1" x="3334"/>
        <item t="data" h="1" sd="1" m="1" x="3008"/>
        <item t="data" h="1" sd="1" m="1" x="3009"/>
        <item t="data" h="1" sd="1" m="1" x="3011"/>
        <item t="data" h="1" sd="1" m="1" x="3012"/>
        <item t="data" h="1" sd="1" m="1" x="3013"/>
        <item t="data" h="1" sd="1" m="1" x="3014"/>
        <item t="data" h="1" sd="1" m="1" x="3015"/>
        <item t="data" h="1" sd="1" m="1" x="1211"/>
        <item t="data" h="1" sd="1" m="1" x="3016"/>
        <item t="data" h="1" sd="1" m="1" x="3017"/>
        <item t="data" h="1" sd="1" m="1" x="3018"/>
        <item t="data" h="1" sd="1" m="1" x="3019"/>
        <item t="data" h="1" sd="1" m="1" x="3020"/>
        <item t="data" h="1" sd="1" m="1" x="3021"/>
        <item t="data" h="1" sd="1" m="1" x="3023"/>
        <item t="data" h="1" sd="1" m="1" x="3024"/>
        <item t="data" h="1" sd="1" m="1" x="3025"/>
        <item t="data" h="1" sd="1" m="1" x="3026"/>
        <item t="data" h="1" sd="1" m="1" x="3027"/>
        <item t="data" h="1" sd="1" m="1" x="3029"/>
        <item t="data" h="1" sd="1" m="1" x="3030"/>
        <item t="data" h="1" sd="1" m="1" x="2328"/>
        <item t="data" h="1" sd="1" m="1" x="3036"/>
        <item t="data" h="1" sd="1" m="1" x="3037"/>
        <item t="data" h="1" sd="1" m="1" x="3038"/>
        <item t="data" h="1" sd="1" m="1" x="3039"/>
        <item t="data" h="1" sd="1" m="1" x="3040"/>
        <item t="data" h="1" sd="1" m="1" x="3041"/>
        <item t="data" h="1" sd="1" m="1" x="3042"/>
        <item t="data" h="1" sd="1" m="1" x="3043"/>
        <item t="data" h="1" sd="1" m="1" x="3044"/>
        <item t="data" h="1" sd="1" m="1" x="3045"/>
        <item t="data" h="1" sd="1" m="1" x="3046"/>
        <item t="data" h="1" sd="1" m="1" x="3047"/>
        <item t="data" h="1" sd="1" m="1" x="3048"/>
        <item t="data" h="1" sd="1" m="1" x="3049"/>
        <item t="data" h="1" sd="1" m="1" x="3050"/>
        <item t="data" h="1" sd="1" m="1" x="3051"/>
        <item t="data" h="1" sd="1" m="1" x="3052"/>
        <item t="data" h="1" sd="1" m="1" x="3053"/>
        <item t="data" h="1" sd="1" m="1" x="3054"/>
        <item t="data" h="1" sd="1" m="1" x="3055"/>
        <item t="data" h="1" sd="1" m="1" x="3056"/>
        <item t="data" h="1" sd="1" m="1" x="3057"/>
        <item t="data" h="1" sd="1" m="1" x="3058"/>
        <item t="data" h="1" sd="1" m="1" x="3061"/>
        <item t="data" h="1" sd="1" m="1" x="3062"/>
        <item t="data" h="1" sd="1" m="1" x="3063"/>
        <item t="data" h="1" sd="1" m="1" x="3064"/>
        <item t="data" h="1" sd="1" m="1" x="3065"/>
        <item t="data" h="1" sd="1" m="1" x="3066"/>
        <item t="data" h="1" sd="1" m="1" x="3067"/>
        <item t="data" h="1" sd="1" m="1" x="3068"/>
        <item t="data" h="1" sd="1" m="1" x="3069"/>
        <item t="data" h="1" sd="1" m="1" x="3070"/>
        <item t="data" h="1" sd="1" m="1" x="3071"/>
        <item t="data" h="1" sd="1" m="1" x="3072"/>
        <item t="data" h="1" sd="1" m="1" x="3073"/>
        <item t="data" h="1" sd="1" m="1" x="2228"/>
        <item t="data" h="1" sd="1" m="1" x="3075"/>
        <item t="data" h="1" sd="1" m="1" x="2707"/>
        <item t="data" h="1" sd="1" m="1" x="3080"/>
        <item t="data" h="1" sd="1" x="276"/>
        <item t="data" h="1" sd="1" m="1" x="2383"/>
        <item t="data" h="1" sd="1" m="1" x="2381"/>
        <item t="data" h="1" sd="1" m="1" x="3082"/>
        <item t="data" h="1" sd="1" m="1" x="3083"/>
        <item t="data" h="1" sd="1" m="1" x="557"/>
        <item t="data" h="1" sd="1" m="1" x="3085"/>
        <item t="data" h="1" sd="1" m="1" x="3086"/>
        <item t="data" h="1" sd="1" m="1" x="3088"/>
        <item t="data" h="1" sd="1" m="1" x="1700"/>
        <item t="data" h="1" sd="1" m="1" x="1701"/>
        <item t="data" h="1" sd="1" m="1" x="1688"/>
        <item t="data" h="1" sd="1" m="1" x="3092"/>
        <item t="data" h="1" sd="1" m="1" x="3093"/>
        <item t="data" h="1" sd="1" m="1" x="3097"/>
        <item t="data" h="1" sd="1" m="1" x="2974"/>
        <item t="data" h="1" sd="1" m="1" x="2634"/>
        <item t="data" h="1" sd="1" m="1" x="2503"/>
        <item t="data" h="1" sd="1" m="1" x="2975"/>
        <item t="data" h="1" sd="1" m="1" x="3100"/>
        <item t="data" h="1" sd="1" m="1" x="3101"/>
        <item t="data" h="1" sd="1" m="1" x="2193"/>
        <item t="data" h="1" sd="1" m="1" x="2633"/>
        <item t="data" h="1" sd="1" m="1" x="3102"/>
        <item t="data" h="1" sd="1" m="1" x="3106"/>
        <item t="data" h="1" sd="1" m="1" x="3110"/>
        <item t="data" h="1" sd="1" m="1" x="3114"/>
        <item t="data" h="1" sd="1" m="1" x="2636"/>
        <item t="data" h="1" sd="1" m="1" x="3118"/>
        <item t="data" h="1" sd="1" m="1" x="3119"/>
        <item t="data" h="1" sd="1" m="1" x="3120"/>
        <item t="data" h="1" sd="1" m="1" x="3121"/>
        <item t="data" h="1" sd="1" m="1" x="3122"/>
        <item t="data" h="1" sd="1" m="1" x="2711"/>
        <item t="data" h="1" sd="1" m="1" x="2710"/>
        <item t="data" h="1" sd="1" m="1" x="1745"/>
        <item t="data" h="1" sd="1" m="1" x="2007"/>
        <item t="data" h="1" sd="1" m="1" x="2006"/>
        <item t="data" h="1" sd="1" m="1" x="3125"/>
        <item t="data" h="1" sd="1" m="1" x="643"/>
        <item t="data" h="1" sd="1" m="1" x="3126"/>
        <item t="data" h="1" sd="1" m="1" x="3128"/>
        <item t="data" h="1" sd="1" m="1" x="3129"/>
        <item t="data" h="1" sd="1" m="1" x="3131"/>
        <item t="data" h="1" sd="1" m="1" x="599"/>
        <item t="data" h="1" sd="1" m="1" x="1718"/>
        <item t="data" h="1" sd="1" m="1" x="3133"/>
        <item t="data" h="1" sd="1" m="1" x="1306"/>
        <item t="data" h="1" sd="1" m="1" x="2720"/>
        <item t="data" h="1" sd="1" m="1" x="2719"/>
        <item t="data" h="1" sd="1" m="1" x="1687"/>
        <item t="data" h="1" sd="1" m="1" x="2743"/>
        <item t="data" h="1" sd="1" m="1" x="3135"/>
        <item t="data" h="1" sd="1" m="1" x="3136"/>
        <item t="data" h="1" sd="1" m="1" x="3138"/>
        <item t="data" h="1" sd="1" m="1" x="3139"/>
        <item t="data" h="1" sd="1" m="1" x="3140"/>
        <item t="data" h="1" sd="1" m="1" x="3141"/>
        <item t="data" h="1" sd="1" m="1" x="3142"/>
        <item t="data" h="1" sd="1" m="1" x="2918"/>
        <item t="data" h="1" sd="1" m="1" x="2916"/>
        <item t="data" h="1" sd="1" m="1" x="2917"/>
        <item t="data" h="1" sd="1" m="1" x="3143"/>
        <item t="data" h="1" sd="1" m="1" x="3144"/>
        <item t="data" h="1" sd="1" m="1" x="3152"/>
        <item t="data" h="1" sd="1" m="1" x="3153"/>
        <item t="data" h="1" sd="1" m="1" x="2807"/>
        <item t="data" h="1" sd="1" m="1" x="3154"/>
        <item t="data" h="1" sd="1" m="1" x="1873"/>
        <item t="data" h="1" sd="1" m="1" x="3155"/>
        <item t="data" h="1" sd="1" m="1" x="3161"/>
        <item t="data" h="1" sd="1" m="1" x="1719"/>
        <item t="data" h="1" sd="1" m="1" x="1721"/>
        <item t="data" h="1" sd="1" m="1" x="3163"/>
        <item t="data" h="1" sd="1" m="1" x="3164"/>
        <item t="data" h="1" sd="1" m="1" x="3165"/>
        <item t="data" h="1" sd="1" m="1" x="2728"/>
        <item t="data" h="1" sd="1" m="1" x="2729"/>
        <item t="data" h="1" sd="1" m="1" x="2942"/>
        <item t="data" h="1" sd="1" m="1" x="2943"/>
        <item t="data" h="1" sd="1" m="1" x="2944"/>
        <item t="data" h="1" sd="1" m="1" x="2946"/>
        <item t="data" h="1" sd="1" m="1" x="2947"/>
        <item t="data" h="1" sd="1" m="1" x="2948"/>
        <item t="data" h="1" sd="1" m="1" x="2949"/>
        <item t="data" h="1" sd="1" m="1" x="2950"/>
        <item t="data" h="1" sd="1" m="1" x="2314"/>
        <item t="data" h="1" sd="1" m="1" x="2330"/>
        <item t="data" h="1" sd="1" m="1" x="2331"/>
        <item t="data" h="1" sd="1" m="1" x="2332"/>
        <item t="data" h="1" sd="1" m="1" x="2953"/>
        <item t="data" h="1" sd="1" m="1" x="2954"/>
        <item t="data" h="1" sd="1" m="1" x="2955"/>
        <item t="data" h="1" sd="1" m="1" x="2957"/>
        <item t="data" h="1" sd="1" m="1" x="2958"/>
        <item t="data" h="1" sd="1" m="1" x="1391"/>
        <item t="data" h="1" sd="1" m="1" x="829"/>
        <item t="data" h="1" sd="1" m="1" x="2959"/>
        <item t="data" h="1" sd="1" m="1" x="2960"/>
        <item t="data" h="1" sd="1" m="1" x="2961"/>
        <item t="data" h="1" sd="1" m="1" x="2963"/>
        <item t="data" h="1" sd="1" m="1" x="2964"/>
        <item t="data" h="1" sd="1" m="1" x="2966"/>
        <item t="data" h="1" sd="1" m="1" x="2457"/>
        <item t="data" h="1" sd="1" m="1" x="2458"/>
        <item t="data" h="1" sd="1" m="1" x="2763"/>
        <item t="data" h="1" sd="1" m="1" x="2762"/>
        <item t="data" h="1" sd="1" m="1" x="2967"/>
        <item t="data" h="1" sd="1" m="1" x="2382"/>
        <item t="data" h="1" sd="1" m="1" x="2581"/>
        <item t="data" h="1" sd="1" m="1" x="2017"/>
        <item t="data" h="1" sd="1" m="1" x="2018"/>
        <item t="data" h="1" sd="1" m="1" x="555"/>
        <item t="data" h="1" sd="1" m="1" x="2968"/>
        <item t="data" h="1" sd="1" m="1" x="2871"/>
        <item t="data" h="1" sd="1" m="1" x="2872"/>
        <item t="data" h="1" sd="1" m="1" x="647"/>
        <item t="data" h="1" sd="1" m="1" x="2687"/>
        <item t="data" h="1" sd="1" m="1" x="2689"/>
        <item t="data" h="1" sd="1" m="1" x="2688"/>
        <item t="data" h="1" sd="1" m="1" x="2012"/>
        <item t="data" h="1" sd="1" m="1" x="1692"/>
        <item t="data" h="1" sd="1" m="1" x="2969"/>
        <item t="data" h="1" sd="1" m="1" x="2682"/>
        <item t="data" h="1" sd="1" m="1" x="2876"/>
        <item t="data" h="1" sd="1" m="1" x="2877"/>
        <item t="data" h="1" sd="1" m="1" x="2970"/>
        <item t="data" h="1" sd="1" m="1" x="2971"/>
        <item t="data" h="1" sd="1" m="1" x="2484"/>
        <item t="data" h="1" sd="1" m="1" x="2258"/>
        <item t="data" h="1" sd="1" m="1" x="2972"/>
        <item t="data" h="1" sd="1" m="1" x="2973"/>
        <item t="data" h="1" sd="1" m="1" x="2879"/>
        <item t="data" h="1" sd="1" m="1" x="2983"/>
        <item t="data" h="1" sd="1" m="1" x="2984"/>
        <item t="data" h="1" sd="1" m="1" x="1682"/>
        <item t="data" h="1" sd="1" m="1" x="2880"/>
        <item t="data" h="1" sd="1" m="1" x="1684"/>
        <item t="data" h="1" sd="1" m="1" x="1683"/>
        <item t="data" h="1" sd="1" m="1" x="2632"/>
        <item t="data" h="1" sd="1" m="1" x="2631"/>
        <item t="data" h="1" sd="1" m="1" x="2335"/>
        <item t="data" h="1" sd="1" m="1" x="2989"/>
        <item t="data" h="1" sd="1" m="1" x="2784"/>
        <item t="data" h="1" sd="1" m="1" x="2883"/>
        <item t="data" h="1" sd="1" m="1" x="1798"/>
        <item t="data" h="1" sd="1" m="1" x="1746"/>
        <item t="data" h="1" sd="1" m="1" x="2791"/>
        <item t="data" h="1" sd="1" m="1" x="2792"/>
        <item t="data" h="1" sd="1" m="1" x="1715"/>
        <item t="data" h="1" sd="1" m="1" x="1716"/>
        <item t="data" h="1" sd="1" m="1" x="1800"/>
        <item t="data" h="1" sd="1" m="1" x="2990"/>
        <item t="data" h="1" sd="1" m="1" x="2046"/>
        <item t="data" h="1" sd="1" m="1" x="2991"/>
        <item t="data" h="1" sd="1" m="1" x="2992"/>
        <item t="data" h="1" sd="1" m="1" x="2374"/>
        <item t="data" h="1" sd="1" m="1" x="2371"/>
        <item t="data" h="1" sd="1" m="1" x="2570"/>
        <item t="data" h="1" sd="1" m="1" x="2567"/>
        <item t="data" h="1" sd="1" m="1" x="2557"/>
        <item t="data" h="1" sd="1" m="1" x="838"/>
        <item t="data" h="1" sd="1" m="1" x="2564"/>
        <item t="data" h="1" sd="1" m="1" x="2993"/>
        <item t="data" h="1" sd="1" m="1" x="2994"/>
        <item t="data" h="1" sd="1" m="1" x="2891"/>
        <item t="data" h="1" sd="1" m="1" x="2389"/>
        <item t="data" h="1" sd="1" m="1" x="2466"/>
        <item t="data" h="1" sd="1" m="1" x="2896"/>
        <item t="data" h="1" sd="1" m="1" x="2705"/>
        <item t="data" h="1" sd="1" m="1" x="2798"/>
        <item t="data" h="1" sd="1" m="1" x="2898"/>
        <item t="data" h="1" sd="1" m="1" x="2899"/>
        <item t="data" h="1" sd="1" m="1" x="2995"/>
        <item t="data" h="1" sd="1" m="1" x="2900"/>
        <item t="data" h="1" sd="1" m="1" x="2905"/>
        <item t="data" h="1" sd="1" m="1" x="2996"/>
        <item t="data" h="1" sd="1" m="1" x="2997"/>
        <item t="data" h="1" sd="1" m="1" x="2906"/>
        <item t="data" h="1" sd="1" m="1" x="2998"/>
        <item t="data" h="1" sd="1" m="1" x="2911"/>
        <item t="data" h="1" sd="1" m="1" x="2912"/>
        <item t="data" h="1" sd="1" m="1" x="2598"/>
        <item t="data" h="1" sd="1" m="1" x="1726"/>
        <item t="data" h="1" sd="1" m="1" x="1727"/>
        <item t="data" h="1" sd="1" m="1" x="1729"/>
        <item t="data" h="1" sd="1" m="1" x="653"/>
        <item t="data" h="1" sd="1" m="1" x="1723"/>
        <item t="data" h="1" sd="1" m="1" x="1724"/>
        <item t="data" h="1" sd="1" m="1" x="1814"/>
        <item t="data" h="1" sd="1" m="1" x="2932"/>
        <item t="data" h="1" sd="1" m="1" x="2933"/>
        <item t="data" h="1" sd="1" m="1" x="2935"/>
        <item t="data" h="1" sd="1" m="1" x="2931"/>
        <item t="data" h="1" sd="1" m="1" x="2925"/>
        <item t="data" h="1" sd="1" m="1" x="2927"/>
        <item t="data" h="1" sd="1" m="1" x="2928"/>
        <item t="data" h="1" sd="1" m="1" x="2929"/>
        <item t="data" h="1" sd="1" m="1" x="2930"/>
        <item t="data" h="1" sd="1" m="1" x="2941"/>
        <item t="data" h="1" sd="1" m="1" x="3004"/>
        <item t="data" h="1" sd="1" m="1" x="2014"/>
        <item t="data" h="1" sd="1" m="1" x="2744"/>
        <item t="data" h="1" sd="1" m="1" x="2746"/>
        <item t="data" h="1" sd="1" m="1" x="2813"/>
        <item t="data" h="1" sd="1" m="1" x="2814"/>
        <item t="data" h="1" sd="1" m="1" x="2815"/>
        <item t="data" h="1" sd="1" m="1" x="2816"/>
        <item t="data" h="1" sd="1" m="1" x="2817"/>
        <item t="data" h="1" sd="1" m="1" x="2818"/>
        <item t="data" h="1" sd="1" m="1" x="2819"/>
        <item t="data" h="1" sd="1" m="1" x="2820"/>
        <item t="data" h="1" sd="1" m="1" x="2821"/>
        <item t="data" h="1" sd="1" m="1" x="2822"/>
        <item t="data" h="1" sd="1" m="1" x="2823"/>
        <item t="data" h="1" sd="1" m="1" x="2548"/>
        <item t="data" h="1" sd="1" m="1" x="2824"/>
        <item t="data" h="1" sd="1" m="1" x="2753"/>
        <item t="data" h="1" sd="1" m="1" x="2825"/>
        <item t="data" h="1" sd="1" m="1" x="2317"/>
        <item t="data" h="1" sd="1" m="1" x="2752"/>
        <item t="data" h="1" sd="1" m="1" x="2316"/>
        <item t="data" h="1" sd="1" m="1" x="2192"/>
        <item t="data" h="1" sd="1" m="1" x="2191"/>
        <item t="data" h="1" sd="1" m="1" x="2826"/>
        <item t="data" h="1" sd="1" m="1" x="2827"/>
        <item t="data" h="1" sd="1" m="1" x="2828"/>
        <item t="data" h="1" sd="1" m="1" x="2829"/>
        <item t="data" h="1" sd="1" m="1" x="2830"/>
        <item t="data" h="1" sd="1" m="1" x="2831"/>
        <item t="data" h="1" sd="1" m="1" x="2832"/>
        <item t="data" h="1" sd="1" m="1" x="2833"/>
        <item t="data" h="1" sd="1" m="1" x="2834"/>
        <item t="data" h="1" sd="1" m="1" x="2835"/>
        <item t="data" h="1" sd="1" m="1" x="2836"/>
        <item t="data" h="1" sd="1" m="1" x="2837"/>
        <item t="data" h="1" sd="1" m="1" x="2838"/>
        <item t="data" h="1" sd="1" m="1" x="2839"/>
        <item t="data" h="1" sd="1" m="1" x="2664"/>
        <item t="data" h="1" sd="1" m="1" x="2841"/>
        <item t="data" h="1" sd="1" m="1" x="2843"/>
        <item t="data" h="1" sd="1" m="1" x="2844"/>
        <item t="data" h="1" sd="1" m="1" x="2845"/>
        <item t="data" h="1" sd="1" m="1" x="2846"/>
        <item t="data" h="1" sd="1" m="1" x="2847"/>
        <item t="data" h="1" sd="1" m="1" x="2848"/>
        <item t="data" h="1" sd="1" m="1" x="2849"/>
        <item t="data" h="1" sd="1" m="1" x="2850"/>
        <item t="data" h="1" sd="1" m="1" x="2851"/>
        <item t="data" h="1" sd="1" m="1" x="2852"/>
        <item t="data" h="1" sd="1" m="1" x="2853"/>
        <item t="data" h="1" sd="1" m="1" x="2855"/>
        <item t="data" h="1" sd="1" m="1" x="2856"/>
        <item t="data" h="1" sd="1" m="1" x="2857"/>
        <item t="data" h="1" sd="1" m="1" x="2858"/>
        <item t="data" h="1" sd="1" m="1" x="2859"/>
        <item t="data" h="1" sd="1" m="1" x="2860"/>
        <item t="data" h="1" sd="1" m="1" x="2862"/>
        <item t="data" h="1" sd="1" m="1" x="2864"/>
        <item t="data" h="1" sd="1" m="1" x="2865"/>
        <item t="data" h="1" sd="1" m="1" x="2866"/>
        <item t="data" h="1" sd="1" m="1" x="2043"/>
        <item t="data" h="1" sd="1" m="1" x="2341"/>
        <item t="data" h="1" sd="1" m="1" x="2227"/>
        <item t="data" h="1" sd="1" m="1" x="2694"/>
        <item t="data" h="1" sd="1" m="1" x="2867"/>
        <item t="data" h="1" sd="1" m="1" x="562"/>
        <item t="data" h="1" sd="1" m="1" x="2868"/>
        <item t="data" h="1" sd="1" m="1" x="2869"/>
        <item t="data" h="1" sd="1" m="1" x="2708"/>
        <item t="data" h="1" sd="1" m="1" x="579"/>
        <item t="data" h="1" sd="1" m="1" x="2028"/>
        <item t="data" h="1" sd="1" m="1" x="2019"/>
        <item t="data" h="1" sd="1" m="1" x="507"/>
        <item t="data" h="1" sd="1" m="1" x="2686"/>
        <item t="data" h="1" sd="1" m="1" x="1774"/>
        <item t="data" h="1" sd="1" m="1" x="2878"/>
        <item t="data" h="1" sd="1" m="1" x="2396"/>
        <item t="data" h="1" sd="1" m="1" x="2323"/>
        <item t="data" h="1" sd="1" m="1" x="2324"/>
        <item t="data" h="1" sd="1" m="1" x="1776"/>
        <item t="data" h="1" sd="1" m="1" x="2881"/>
        <item t="data" h="1" sd="1" m="1" x="2882"/>
        <item t="data" h="1" sd="1" m="1" x="1488"/>
        <item t="data" h="1" sd="1" m="1" x="1760"/>
        <item t="data" h="1" sd="1" m="1" x="2779"/>
        <item t="data" h="1" sd="1" m="1" x="2780"/>
        <item t="data" h="1" sd="1" m="1" x="2781"/>
        <item t="data" h="1" sd="1" m="1" x="2783"/>
        <item t="data" h="1" sd="1" m="1" x="2884"/>
        <item t="data" h="1" sd="1" m="1" x="2885"/>
        <item t="data" h="1" sd="1" m="1" x="2886"/>
        <item t="data" h="1" sd="1" m="1" x="2887"/>
        <item t="data" h="1" sd="1" m="1" x="2789"/>
        <item t="data" h="1" sd="1" m="1" x="2889"/>
        <item t="data" h="1" sd="1" m="1" x="2355"/>
        <item t="data" h="1" sd="1" m="1" x="2890"/>
        <item t="data" h="1" sd="1" m="1" x="2892"/>
        <item t="data" h="1" sd="1" m="1" x="2893"/>
        <item t="data" h="1" sd="1" m="1" x="2569"/>
        <item t="data" h="1" sd="1" m="1" x="2895"/>
        <item t="data" h="1" sd="1" m="1" x="1802"/>
        <item t="data" h="1" sd="1" m="1" x="604"/>
        <item t="data" h="1" sd="1" m="1" x="2026"/>
        <item t="data" h="1" sd="1" m="1" x="2901"/>
        <item t="data" h="1" sd="1" m="1" x="2902"/>
        <item t="data" h="1" sd="1" m="1" x="2803"/>
        <item t="data" h="1" sd="1" m="1" x="1827"/>
        <item t="data" h="1" sd="1" m="1" x="1843"/>
        <item t="data" h="1" sd="1" m="1" x="2903"/>
        <item t="data" h="1" sd="1" m="1" x="2907"/>
        <item t="data" h="1" sd="1" m="1" x="2411"/>
        <item t="data" h="1" sd="1" m="1" x="2908"/>
        <item t="data" h="1" sd="1" m="1" x="2412"/>
        <item t="data" h="1" sd="1" m="1" x="2413"/>
        <item t="data" h="1" sd="1" m="1" x="2910"/>
        <item t="data" h="1" sd="1" m="1" x="2414"/>
        <item t="data" h="1" sd="1" m="1" x="2914"/>
        <item t="data" h="1" sd="1" m="1" x="2415"/>
        <item t="data" h="1" sd="1" m="1" x="2416"/>
        <item t="data" h="1" sd="1" m="1" x="2915"/>
        <item t="data" h="1" sd="1" m="1" x="1829"/>
        <item t="data" h="1" sd="1" m="1" x="1830"/>
        <item t="data" h="1" sd="1" m="1" x="2937"/>
        <item t="data" h="1" sd="1" m="1" x="2938"/>
        <item t="data" h="1" sd="1" m="1" x="2939"/>
        <item t="data" h="1" sd="1" m="1" x="1834"/>
        <item t="data" h="1" sd="1" m="1" x="2745"/>
        <item t="data" h="1" sd="1" x="285"/>
        <item t="data" h="1" sd="1" m="1" x="2747"/>
        <item t="data" h="1" sd="1" m="1" x="2748"/>
        <item t="data" h="1" sd="1" m="1" x="825"/>
        <item t="data" h="1" sd="1" m="1" x="2749"/>
        <item t="data" h="1" sd="1" m="1" x="2750"/>
        <item t="data" h="1" sd="1" m="1" x="2751"/>
        <item t="data" h="1" sd="1" m="1" x="2354"/>
        <item t="data" h="1" sd="1" m="1" x="2754"/>
        <item t="data" h="1" sd="1" m="1" x="2755"/>
        <item t="data" h="1" sd="1" m="1" x="2677"/>
        <item t="data" h="1" sd="1" m="1" x="2672"/>
        <item t="data" h="1" sd="1" m="1" x="2756"/>
        <item t="data" h="1" sd="1" m="1" x="2674"/>
        <item t="data" h="1" sd="1" m="1" x="2675"/>
        <item t="data" h="1" sd="1" m="1" x="760"/>
        <item t="data" h="1" sd="1" m="1" x="2757"/>
        <item t="data" h="1" sd="1" m="1" x="2758"/>
        <item t="data" h="1" sd="1" m="1" x="2658"/>
        <item t="data" h="1" sd="1" m="1" x="2513"/>
        <item t="data" h="1" sd="1" m="1" x="2189"/>
        <item t="data" h="1" sd="1" m="1" x="2190"/>
        <item t="data" h="1" sd="1" m="1" x="2760"/>
        <item t="data" h="1" sd="1" m="1" x="2761"/>
        <item t="data" h="1" sd="1" m="1" x="2385"/>
        <item t="data" h="1" sd="1" m="1" x="2016"/>
        <item t="data" h="1" sd="1" m="1" x="1781"/>
        <item t="data" h="1" sd="1" m="1" x="2766"/>
        <item t="data" h="1" sd="1" m="1" x="2767"/>
        <item t="data" h="1" sd="1" m="1" x="2768"/>
        <item t="data" h="1" sd="1" m="1" x="2769"/>
        <item t="data" h="1" sd="1" m="1" x="1771"/>
        <item t="data" h="1" sd="1" m="1" x="1772"/>
        <item t="data" h="1" sd="1" m="1" x="2770"/>
        <item t="data" h="1" sd="1" m="1" x="1775"/>
        <item t="data" h="1" sd="1" m="1" x="2011"/>
        <item t="data" h="1" sd="1" m="1" x="1807"/>
        <item t="data" h="1" sd="1" m="1" x="2394"/>
        <item t="data" h="1" sd="1" m="1" x="2772"/>
        <item t="data" h="1" sd="1" m="1" x="2773"/>
        <item t="data" h="1" sd="1" m="1" x="2774"/>
        <item t="data" h="1" sd="1" m="1" x="2775"/>
        <item t="data" h="1" sd="1" m="1" x="2646"/>
        <item t="data" h="1" sd="1" m="1" x="2699"/>
        <item t="data" h="1" sd="1" m="1" x="1796"/>
        <item t="data" h="1" sd="1" m="1" x="2785"/>
        <item t="data" h="1" sd="1" m="1" x="2786"/>
        <item t="data" h="1" sd="1" m="1" x="1839"/>
        <item t="data" h="1" sd="1" m="1" x="2790"/>
        <item t="data" h="1" sd="1" m="1" x="2023"/>
        <item t="data" h="1" sd="1" m="1" x="2370"/>
        <item t="data" h="1" sd="1" m="1" x="2793"/>
        <item t="data" h="1" sd="1" m="1" x="2372"/>
        <item t="data" h="1" sd="1" m="1" x="2553"/>
        <item t="data" h="1" sd="1" m="1" x="2558"/>
        <item t="data" h="1" sd="1" m="1" x="2554"/>
        <item t="data" h="1" sd="1" m="1" x="2555"/>
        <item t="data" h="1" sd="1" m="1" x="2559"/>
        <item t="data" h="1" sd="1" m="1" x="2701"/>
        <item t="data" h="1" sd="1" m="1" x="2795"/>
        <item t="data" h="1" sd="1" m="1" x="2796"/>
        <item t="data" h="1" sd="1" m="1" x="2797"/>
        <item t="data" h="1" sd="1" m="1" x="2395"/>
        <item t="data" h="1" sd="1" m="1" x="2799"/>
        <item t="data" h="1" sd="1" m="1" x="2800"/>
        <item t="data" h="1" sd="1" m="1" x="2801"/>
        <item t="data" h="1" sd="1" m="1" x="2802"/>
        <item t="data" h="1" sd="1" m="1" x="2030"/>
        <item t="data" h="1" sd="1" m="1" x="2031"/>
        <item t="data" h="1" sd="1" m="1" x="2741"/>
        <item t="data" h="1" sd="1" m="1" x="2742"/>
        <item t="data" h="1" sd="1" m="1" x="2399"/>
        <item t="data" h="1" sd="1" m="1" x="2804"/>
        <item t="data" h="1" sd="1" m="1" x="2805"/>
        <item t="data" h="1" sd="1" m="1" x="2400"/>
        <item t="data" h="1" sd="1" m="1" x="2401"/>
        <item t="data" h="1" sd="1" m="1" x="2402"/>
        <item t="data" h="1" sd="1" m="1" x="2806"/>
        <item t="data" h="1" sd="1" x="190"/>
        <item t="data" h="1" sd="1" m="1" x="2810"/>
        <item t="data" h="1" sd="1" m="1" x="2811"/>
        <item t="data" h="1" sd="1" m="1" x="1812"/>
        <item t="data" h="1" sd="1" m="1" x="1998"/>
        <item t="data" h="1" sd="1" m="1" x="2600"/>
        <item t="data" h="1" sd="1" m="1" x="2613"/>
        <item t="data" h="1" sd="1" m="1" x="249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622"/>
        <item t="data" h="1" sd="1" m="1" x="2623"/>
        <item t="data" h="1" sd="1" m="1" x="2624"/>
        <item t="data" h="1" sd="1" m="1" x="2625"/>
        <item t="data" h="1" sd="1" m="1" x="2626"/>
        <item t="data" h="1" sd="1" m="1" x="2627"/>
        <item t="data" h="1" sd="1" m="1" x="2628"/>
        <item t="data" h="1" sd="1" m="1" x="2629"/>
        <item t="data" h="1" sd="1" m="1" x="2630"/>
        <item t="data" h="1" sd="1" m="1" x="2504"/>
        <item t="data" h="1" sd="1" m="1" x="2505"/>
        <item t="data" h="1" sd="1" m="1" x="2502"/>
        <item t="data" h="1" sd="1" m="1" x="2635"/>
        <item t="data" h="1" sd="1" m="1" x="2638"/>
        <item t="data" h="1" sd="1" m="1" x="2639"/>
        <item t="data" h="1" sd="1" m="1" x="2640"/>
        <item t="data" h="1" sd="1" m="1" x="2509"/>
        <item t="data" h="1" sd="1" m="1" x="2642"/>
        <item t="data" h="1" sd="1" m="1" x="2508"/>
        <item t="data" h="1" sd="1" m="1" x="2645"/>
        <item t="data" h="1" sd="1" m="1" x="2044"/>
        <item t="data" h="1" sd="1" m="1" x="2425"/>
        <item t="data" h="1" sd="1" m="1" x="2647"/>
        <item t="data" h="1" sd="1" m="1" x="2648"/>
        <item t="data" h="1" sd="1" m="1" x="2649"/>
        <item t="data" h="1" sd="1" m="1" x="1765"/>
        <item t="data" h="1" sd="1" m="1" x="2650"/>
        <item t="data" h="1" sd="1" m="1" x="2525"/>
        <item t="data" h="1" sd="1" m="1" x="2651"/>
        <item t="data" h="1" sd="1" m="1" x="2652"/>
        <item t="data" h="1" sd="1" m="1" x="2522"/>
        <item t="data" h="1" sd="1" m="1" x="2523"/>
        <item t="data" h="1" sd="1" m="1" x="2653"/>
        <item t="data" h="1" sd="1" m="1" x="2654"/>
        <item t="data" h="1" sd="1" m="1" x="2655"/>
        <item t="data" h="1" sd="1" m="1" x="2656"/>
        <item t="data" h="1" sd="1" m="1" x="2657"/>
        <item t="data" h="1" sd="1" m="1" x="2659"/>
        <item t="data" h="1" sd="1" m="1" x="2660"/>
        <item t="data" h="1" sd="1" m="1" x="2661"/>
        <item t="data" h="1" sd="1" m="1" x="2662"/>
        <item t="data" h="1" sd="1" m="1" x="2428"/>
        <item t="data" h="1" sd="1" m="1" x="2521"/>
        <item t="data" h="1" sd="1" m="1" x="2663"/>
        <item t="data" h="1" sd="1" m="1" x="2665"/>
        <item t="data" h="1" sd="1" m="1" x="918"/>
        <item t="data" h="1" sd="1" m="1" x="2517"/>
        <item t="data" h="1" sd="1" m="1" x="2666"/>
        <item t="data" h="1" sd="1" m="1" x="2667"/>
        <item t="data" h="1" sd="1" m="1" x="2524"/>
        <item t="data" h="1" sd="1" m="1" x="2668"/>
        <item t="data" h="1" sd="1" m="1" x="2669"/>
        <item t="data" h="1" sd="1" m="1" x="2670"/>
        <item t="data" h="1" sd="1" m="1" x="2671"/>
        <item t="data" h="1" sd="1" m="1" x="2520"/>
        <item t="data" h="1" sd="1" m="1" x="2518"/>
        <item t="data" h="1" sd="1" m="1" x="2519"/>
        <item t="data" h="1" sd="1" m="1" x="2679"/>
        <item t="data" h="1" sd="1" m="1" x="2680"/>
        <item t="data" h="1" sd="1" m="1" x="2541"/>
        <item t="data" h="1" sd="1" m="1" x="2318"/>
        <item t="data" h="1" sd="1" m="1" x="2681"/>
        <item t="data" h="1" sd="1" x="160"/>
        <item t="data" h="1" sd="1" x="161"/>
        <item t="data" h="1" sd="1" m="1" x="2685"/>
        <item t="data" h="1" sd="1" m="1" x="2326"/>
        <item t="data" h="1" sd="1" m="1" x="2690"/>
        <item t="data" h="1" sd="1" m="1" x="2327"/>
        <item t="data" h="1" sd="1" m="1" x="2691"/>
        <item t="data" h="1" sd="1" m="1" x="2343"/>
        <item t="data" h="1" sd="1" m="1" x="2344"/>
        <item t="data" h="1" sd="1" m="1" x="2345"/>
        <item t="data" h="1" sd="1" m="1" x="2340"/>
        <item t="data" h="1" sd="1" m="1" x="2036"/>
        <item t="data" h="1" sd="1" m="1" x="2693"/>
        <item t="data" h="1" sd="1" m="1" x="2695"/>
        <item t="data" h="1" sd="1" m="1" x="2462"/>
        <item t="data" h="1" sd="1" m="1" x="2351"/>
        <item t="data" h="1" sd="1" m="1" x="2698"/>
        <item t="data" h="1" sd="1" m="1" x="1783"/>
        <item t="data" h="1" sd="1" m="1" x="2550"/>
        <item t="data" h="1" sd="1" m="1" x="2551"/>
        <item t="data" h="1" sd="1" m="1" x="2352"/>
        <item t="data" h="1" sd="1" m="1" x="1788"/>
        <item t="data" h="1" sd="1" m="1" x="2700"/>
        <item t="data" h="1" sd="1" m="1" x="2562"/>
        <item t="data" h="1" sd="1" m="1" x="2561"/>
        <item t="data" h="1" sd="1" m="1" x="2563"/>
        <item t="data" h="1" sd="1" m="1" x="2702"/>
        <item t="data" h="1" sd="1" m="1" x="2572"/>
        <item t="data" h="1" sd="1" m="1" x="2703"/>
        <item t="data" h="1" sd="1" m="1" x="2704"/>
        <item t="data" h="1" sd="1" m="1" x="2040"/>
        <item t="data" h="1" sd="1" m="1" x="2706"/>
        <item t="data" h="1" sd="1" m="1" x="1791"/>
        <item t="data" h="1" sd="1" m="1" x="2578"/>
        <item t="data" h="1" sd="1" m="1" x="2580"/>
        <item t="data" h="1" sd="1" m="1" x="2579"/>
        <item t="data" h="1" sd="1" m="1" x="2386"/>
        <item t="data" h="1" sd="1" m="1" x="2022"/>
        <item t="data" h="1" sd="1" m="1" x="2709"/>
        <item t="data" h="1" sd="1" m="1" x="2712"/>
        <item t="data" h="1" sd="1" m="1" x="1797"/>
        <item t="data" h="1" sd="1" m="1" x="586"/>
        <item t="data" h="1" sd="1" m="1" x="955"/>
        <item t="data" h="1" sd="1" m="1" x="2714"/>
        <item t="data" h="1" sd="1" m="1" x="2715"/>
        <item t="data" h="1" sd="1" m="1" x="2716"/>
        <item t="data" h="1" sd="1" m="1" x="2717"/>
        <item t="data" h="1" sd="1" m="1" x="2718"/>
        <item t="data" h="1" sd="1" m="1" x="2721"/>
        <item t="data" h="1" sd="1" m="1" x="2722"/>
        <item t="data" h="1" sd="1" m="1" x="1809"/>
        <item t="data" h="1" sd="1" m="1" x="1813"/>
        <item t="data" h="1" sd="1" m="1" x="2724"/>
        <item t="data" h="1" sd="1" m="1" x="2269"/>
        <item t="data" h="1" sd="1" m="1" x="1823"/>
        <item t="data" h="1" sd="1" m="1" x="2731"/>
        <item t="data" h="1" sd="1" m="1" x="2732"/>
        <item t="data" h="1" sd="1" m="1" x="2733"/>
        <item t="data" h="1" sd="1" m="1" x="2735"/>
        <item t="data" h="1" sd="1" m="1" x="2609"/>
        <item t="data" h="1" sd="1" m="1" x="2737"/>
        <item t="data" h="1" sd="1" m="1" x="2738"/>
        <item t="data" h="1" sd="1" m="1" x="1826"/>
        <item t="data" h="1" sd="1" m="1" x="2739"/>
        <item t="data" h="1" sd="1" m="1" x="2740"/>
        <item t="data" h="1" sd="1" m="1" x="2032"/>
        <item t="data" h="1" sd="1" m="1" x="2033"/>
        <item t="data" h="1" sd="1" m="1" x="2493"/>
        <item t="data" h="1" sd="1" m="1" x="2495"/>
        <item t="data" h="1" sd="1" m="1" x="2496"/>
        <item t="data" h="1" sd="1" m="1" x="2497"/>
        <item t="data" h="1" sd="1" m="1" x="2498"/>
        <item t="data" h="1" sd="1" m="1" x="2499"/>
        <item t="data" h="1" sd="1" m="1" x="2500"/>
        <item t="data" h="1" sd="1" m="1" x="2501"/>
        <item t="data" h="1" sd="1" m="1" x="1757"/>
        <item t="data" h="1" sd="1" m="1" x="1758"/>
        <item t="data" h="1" sd="1" m="1" x="1759"/>
        <item t="data" h="1" sd="1" m="1" x="2510"/>
        <item t="data" h="1" sd="1" m="1" x="2305"/>
        <item t="data" h="1" sd="1" m="1" x="2511"/>
        <item t="data" h="1" sd="1" m="1" x="2426"/>
        <item t="data" h="1" sd="1" m="1" x="1766"/>
        <item t="data" h="1" sd="1" m="1" x="2514"/>
        <item t="data" h="1" sd="1" m="1" x="2515"/>
        <item t="data" h="1" sd="1" m="1" x="2516"/>
        <item t="data" h="1" sd="1" m="1" x="2526"/>
        <item t="data" h="1" sd="1" m="1" x="2527"/>
        <item t="data" h="1" sd="1" m="1" x="2431"/>
        <item t="data" h="1" sd="1" m="1" x="2528"/>
        <item t="data" h="1" sd="1" m="1" x="2529"/>
        <item t="data" h="1" sd="1" m="1" x="2530"/>
        <item t="data" h="1" sd="1" m="1" x="2531"/>
        <item t="data" h="1" sd="1" m="1" x="2532"/>
        <item t="data" h="1" sd="1" m="1" x="2533"/>
        <item t="data" h="1" sd="1" m="1" x="2534"/>
        <item t="data" h="1" sd="1" m="1" x="2535"/>
        <item t="data" h="1" sd="1" m="1" x="2536"/>
        <item t="data" h="1" sd="1" m="1" x="2537"/>
        <item t="data" h="1" sd="1" m="1" x="2538"/>
        <item t="data" h="1" sd="1" m="1" x="2539"/>
        <item t="data" h="1" sd="1" m="1" x="2540"/>
        <item t="data" h="1" sd="1" m="1" x="1769"/>
        <item t="data" h="1" sd="1" m="1" x="2542"/>
        <item t="data" h="1" sd="1" m="1" x="2543"/>
        <item t="data" h="1" sd="1" m="1" x="2544"/>
        <item t="data" h="1" sd="1" m="1" x="2545"/>
        <item t="data" h="1" sd="1" m="1" x="2013"/>
        <item t="data" h="1" sd="1" m="1" x="2546"/>
        <item t="data" h="1" sd="1" m="1" x="2547"/>
        <item t="data" h="1" sd="1" m="1" x="506"/>
        <item t="data" h="1" sd="1" m="1" x="2334"/>
        <item t="data" h="1" sd="1" m="1" x="2015"/>
        <item t="data" h="1" sd="1" m="1" x="2456"/>
        <item t="data" h="1" sd="1" m="1" x="2338"/>
        <item t="data" h="1" sd="1" m="1" x="1780"/>
        <item t="data" h="1" sd="1" m="1" x="2342"/>
        <item t="data" h="1" sd="1" m="1" x="2037"/>
        <item t="data" h="1" sd="1" m="1" x="2549"/>
        <item t="data" h="1" sd="1" m="1" x="2552"/>
        <item t="data" h="1" sd="1" m="1" x="2373"/>
        <item t="data" h="1" sd="1" m="1" x="2565"/>
        <item t="data" h="1" sd="1" m="1" x="2566"/>
        <item t="data" h="1" sd="1" m="1" x="2574"/>
        <item t="data" h="1" sd="1" m="1" x="2575"/>
        <item t="data" h="1" sd="1" m="1" x="2577"/>
        <item t="data" h="1" sd="1" m="1" x="2469"/>
        <item t="data" h="1" sd="1" m="1" x="1841"/>
        <item t="data" h="1" sd="1" m="1" x="1838"/>
        <item t="data" h="1" sd="1" m="1" x="2392"/>
        <item t="data" h="1" sd="1" m="1" x="2583"/>
        <item t="data" h="1" sd="1" m="1" x="2584"/>
        <item t="data" h="1" sd="1" m="1" x="2024"/>
        <item t="data" h="1" sd="1" m="1" x="2585"/>
        <item t="data" h="1" sd="1" m="1" x="2586"/>
        <item t="data" h="1" sd="1" m="1" x="2587"/>
        <item t="data" h="1" sd="1" m="1" x="2588"/>
        <item t="data" h="1" sd="1" m="1" x="2589"/>
        <item t="data" h="1" sd="1" m="1" x="2590"/>
        <item t="data" h="1" sd="1" m="1" x="2591"/>
        <item t="data" h="1" sd="1" m="1" x="2592"/>
        <item t="data" h="1" sd="1" m="1" x="2409"/>
        <item t="data" h="1" sd="1" m="1" x="2593"/>
        <item t="data" h="1" sd="1" m="1" x="2410"/>
        <item t="data" h="1" sd="1" m="1" x="2595"/>
        <item t="data" h="1" sd="1" m="1" x="1269"/>
        <item t="data" h="1" sd="1" m="1" x="2419"/>
        <item t="data" h="1" sd="1" m="1" x="2596"/>
        <item t="data" h="1" sd="1" m="1" x="2487"/>
        <item t="data" h="1" sd="1" m="1" x="1819"/>
        <item t="data" h="1" sd="1" m="1" x="1818"/>
        <item t="data" h="1" sd="1" m="1" x="2599"/>
        <item t="data" h="1" sd="1" m="1" x="1817"/>
        <item t="data" h="1" sd="1" m="1" x="2601"/>
        <item t="data" h="1" sd="1" m="1" x="2602"/>
        <item t="data" h="1" sd="1" m="1" x="2603"/>
        <item t="data" h="1" sd="1" m="1" x="2604"/>
        <item t="data" h="1" sd="1" m="1" x="2606"/>
        <item t="data" h="1" sd="1" m="1" x="2607"/>
        <item t="data" h="1" sd="1" m="1" x="2608"/>
        <item t="data" h="1" sd="1" m="1" x="2610"/>
        <item t="data" h="1" sd="1" m="1" x="2611"/>
        <item t="data" h="1" sd="1" m="1" x="2612"/>
        <item t="data" h="1" sd="1" m="1" x="2420"/>
        <item t="data" h="1" sd="1" m="1" x="2291"/>
        <item t="data" h="1" sd="1" m="1" x="2290"/>
        <item t="data" h="1" sd="1" m="1" x="2289"/>
        <item t="data" h="1" sd="1" m="1" x="2421"/>
        <item t="data" h="1" sd="1" m="1" x="2292"/>
        <item t="data" h="1" sd="1" m="1" x="2047"/>
        <item t="data" h="1" sd="1" m="1" x="2051"/>
        <item t="data" h="1" sd="1" m="1" x="2422"/>
        <item t="data" h="1" sd="1" m="1" x="2423"/>
        <item t="data" h="1" sd="1" m="1" x="2427"/>
        <item t="data" h="1" sd="1" m="1" x="2429"/>
        <item t="data" h="1" sd="1" m="1" x="2430"/>
        <item t="data" h="1" sd="1" m="1" x="2432"/>
        <item t="data" h="1" sd="1" m="1" x="2172"/>
        <item t="data" h="1" sd="1" m="1" x="2433"/>
        <item t="data" h="1" sd="1" m="1" x="2434"/>
        <item t="data" h="1" sd="1" m="1" x="2435"/>
        <item t="data" h="1" sd="1" m="1" x="2436"/>
        <item t="data" h="1" sd="1" m="1" x="2437"/>
        <item t="data" h="1" sd="1" m="1" x="2438"/>
        <item t="data" h="1" sd="1" m="1" x="2439"/>
        <item t="data" h="1" sd="1" m="1" x="2440"/>
        <item t="data" h="1" sd="1" m="1" x="2441"/>
        <item t="data" h="1" sd="1" m="1" x="2442"/>
        <item t="data" h="1" sd="1" m="1" x="2443"/>
        <item t="data" h="1" sd="1" m="1" x="2444"/>
        <item t="data" h="1" sd="1" m="1" x="2445"/>
        <item t="data" h="1" sd="1" m="1" x="2446"/>
        <item t="data" h="1" sd="1" m="1" x="2447"/>
        <item t="data" h="1" sd="1" x="164"/>
        <item t="data" h="1" sd="1" m="1" x="2451"/>
        <item t="data" h="1" sd="1" m="1" x="2452"/>
        <item t="data" h="1" sd="1" m="1" x="2325"/>
        <item t="data" h="1" sd="1" m="1" x="2454"/>
        <item t="data" h="1" sd="1" m="1" x="1899"/>
        <item t="data" h="1" sd="1" m="1" x="2455"/>
        <item t="data" h="1" sd="1" m="1" x="1778"/>
        <item t="data" h="1" sd="1" m="1" x="2346"/>
        <item t="data" h="1" sd="1" m="1" x="1779"/>
        <item t="data" h="1" sd="1" m="1" x="2459"/>
        <item t="data" h="1" sd="1" m="1" x="547"/>
        <item t="data" h="1" sd="1" m="1" x="2074"/>
        <item t="data" h="1" sd="1" m="1" x="1785"/>
        <item t="data" h="1" sd="1" m="1" x="563"/>
        <item t="data" h="1" sd="1" m="1" x="2464"/>
        <item t="data" h="1" sd="1" m="1" x="2465"/>
        <item t="data" h="1" sd="1" m="1" x="2360"/>
        <item t="data" h="1" sd="1" m="1" x="2468"/>
        <item t="data" h="1" sd="1" m="1" x="2470"/>
        <item t="data" h="1" sd="1" m="1" x="2471"/>
        <item t="data" h="1" sd="1" m="1" x="2384"/>
        <item t="data" h="1" sd="1" m="1" x="2472"/>
        <item t="data" h="1" sd="1" m="1" x="2387"/>
        <item t="data" h="1" sd="1" m="1" x="1789"/>
        <item t="data" h="1" sd="1" m="1" x="1790"/>
        <item t="data" h="1" sd="1" m="1" x="2388"/>
        <item t="data" h="1" sd="1" m="1" x="1795"/>
        <item t="data" h="1" sd="1" m="1" x="2474"/>
        <item t="data" h="1" sd="1" m="1" x="2082"/>
        <item t="data" h="1" sd="1" m="1" x="2475"/>
        <item t="data" h="1" sd="1" m="1" x="2476"/>
        <item t="data" h="1" sd="1" m="1" x="2477"/>
        <item t="data" h="1" sd="1" m="1" x="2478"/>
        <item t="data" h="1" sd="1" m="1" x="1799"/>
        <item t="data" h="1" sd="1" m="1" x="1842"/>
        <item t="data" h="1" sd="1" m="1" x="2393"/>
        <item t="data" h="1" sd="1" m="1" x="2090"/>
        <item t="data" h="1" sd="1" m="1" x="1804"/>
        <item t="data" h="1" sd="1" m="1" x="2481"/>
        <item t="data" h="1" sd="1" m="1" x="2260"/>
        <item t="data" h="1" sd="1" m="1" x="2482"/>
        <item t="data" h="1" sd="1" m="1" x="2483"/>
        <item t="data" h="1" sd="1" m="1" x="2417"/>
        <item t="data" h="1" sd="1" m="1" x="2485"/>
        <item t="data" h="1" sd="1" m="1" x="1808"/>
        <item t="data" h="1" sd="1" m="1" x="2095"/>
        <item t="data" h="1" sd="1" m="1" x="2488"/>
        <item t="data" h="1" sd="1" m="1" x="2491"/>
        <item t="data" h="1" sd="1" m="1" x="2285"/>
        <item t="data" h="1" sd="1" m="1" x="2286"/>
        <item t="data" h="1" sd="1" m="1" x="2287"/>
        <item t="data" h="1" sd="1" m="1" x="2288"/>
        <item t="data" h="1" sd="1" m="1" x="2293"/>
        <item t="data" h="1" sd="1" m="1" x="2294"/>
        <item t="data" h="1" sd="1" m="1" x="2295"/>
        <item t="data" h="1" sd="1" m="1" x="2296"/>
        <item t="data" h="1" sd="1" m="1" x="229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304"/>
        <item t="data" h="1" sd="1" m="1" x="2107"/>
        <item t="data" h="1" sd="1" m="1" x="2048"/>
        <item t="data" h="1" sd="1" m="1" x="1761"/>
        <item t="data" h="1" sd="1" m="1" x="2050"/>
        <item t="data" h="1" sd="1" m="1" x="1763"/>
        <item t="data" h="1" sd="1" m="1" x="2052"/>
        <item t="data" h="1" sd="1" m="1" x="2195"/>
        <item t="data" h="1" sd="1" m="1" x="2196"/>
        <item t="data" h="1" sd="1" m="1" x="2197"/>
        <item t="data" h="1" sd="1" m="1" x="2307"/>
        <item t="data" h="1" sd="1" m="1" x="2308"/>
        <item t="data" h="1" sd="1" m="1" x="2309"/>
        <item t="data" h="1" sd="1" m="1" x="2310"/>
        <item t="data" h="1" sd="1" m="1" x="2311"/>
        <item t="data" h="1" sd="1" m="1" x="2312"/>
        <item t="data" h="1" sd="1" m="1" x="2313"/>
        <item t="data" h="1" sd="1" m="1" x="2067"/>
        <item t="data" h="1" sd="1" m="1" x="2064"/>
        <item t="data" h="1" sd="1" m="1" x="2226"/>
        <item t="data" h="1" sd="1" m="1" x="1768"/>
        <item t="data" h="1" sd="1" m="1" x="449"/>
        <item t="data" h="1" sd="1" m="1" x="2066"/>
        <item t="data" h="1" sd="1" m="1" x="1773"/>
        <item t="data" h="1" sd="1" m="1" x="2329"/>
        <item t="data" h="1" sd="1" m="1" x="2339"/>
        <item t="data" h="1" sd="1" m="1" x="2035"/>
        <item t="data" h="1" sd="1" m="1" x="2229"/>
        <item t="data" h="1" sd="1" m="1" x="2350"/>
        <item t="data" h="1" sd="1" m="1" x="2076"/>
        <item t="data" h="1" sd="1" m="1" x="2231"/>
        <item t="data" h="1" sd="1" m="1" x="2075"/>
        <item t="data" h="1" sd="1" m="1" x="2353"/>
        <item t="data" h="1" sd="1" m="1" x="2357"/>
        <item t="data" h="1" sd="1" m="1" x="2358"/>
        <item t="data" h="1" sd="1" m="1" x="2361"/>
        <item t="data" h="1" sd="1" m="1" x="2362"/>
        <item t="data" h="1" sd="1" m="1" x="2363"/>
        <item t="data" h="1" sd="1" m="1" x="2364"/>
        <item t="data" h="1" sd="1" m="1" x="2365"/>
        <item t="data" h="1" sd="1" m="1" x="2366"/>
        <item t="data" h="1" sd="1" m="1" x="2367"/>
        <item t="data" h="1" sd="1" m="1" x="2368"/>
        <item t="data" h="1" sd="1" m="1" x="2369"/>
        <item t="data" h="1" sd="1" x="255"/>
        <item t="data" h="1" sd="1" m="1" x="2376"/>
        <item t="data" h="1" sd="1" m="1" x="2377"/>
        <item t="data" h="1" sd="1" m="1" x="2378"/>
        <item t="data" h="1" sd="1" m="1" x="2248"/>
        <item t="data" h="1" sd="1" m="1" x="2087"/>
        <item t="data" h="1" sd="1" m="1" x="603"/>
        <item t="data" h="1" sd="1" m="1" x="1806"/>
        <item t="data" h="1" sd="1" m="1" x="2261"/>
        <item t="data" h="1" sd="1" m="1" x="2397"/>
        <item t="data" h="1" sd="1" m="1" x="2398"/>
        <item t="data" h="1" sd="1" m="1" x="2093"/>
        <item t="data" h="1" sd="1" m="1" x="2404"/>
        <item t="data" h="1" sd="1" m="1" x="2405"/>
        <item t="data" h="1" sd="1" m="1" x="2406"/>
        <item t="data" h="1" sd="1" m="1" x="2407"/>
        <item t="data" h="1" sd="1" m="1" x="2408"/>
        <item t="data" h="1" sd="1" m="1" x="2262"/>
        <item t="data" h="1" sd="1" m="1" x="2263"/>
        <item t="data" h="1" sd="1" m="1" x="1831"/>
        <item t="data" h="1" sd="1" m="1" x="1815"/>
        <item t="data" h="1" sd="1" m="1" x="2278"/>
        <item t="data" h="1" sd="1" m="1" x="2279"/>
        <item t="data" h="1" sd="1" m="1" x="2280"/>
        <item t="data" h="1" sd="1" m="1" x="2281"/>
        <item t="data" h="1" sd="1" m="1" x="2170"/>
        <item t="data" h="1" sd="1" m="1" x="2038"/>
        <item t="data" h="1" sd="1" m="1" x="2173"/>
        <item t="data" h="1" sd="1" m="1" x="2174"/>
        <item t="data" h="1" sd="1" m="1" x="2175"/>
        <item t="data" h="1" sd="1" m="1" x="2176"/>
        <item t="data" h="1" sd="1" m="1" x="2177"/>
        <item t="data" h="1" sd="1" m="1" x="2178"/>
        <item t="data" h="1" sd="1" m="1" x="2179"/>
        <item t="data" h="1" sd="1" m="1" x="2180"/>
        <item t="data" h="1" sd="1" m="1" x="2181"/>
        <item t="data" h="1" sd="1" m="1" x="2182"/>
        <item t="data" h="1" sd="1" m="1" x="2183"/>
        <item t="data" h="1" sd="1" m="1" x="2184"/>
        <item t="data" h="1" sd="1" m="1" x="2185"/>
        <item t="data" h="1" sd="1" m="1" x="2186"/>
        <item t="data" h="1" sd="1" m="1" x="2187"/>
        <item t="data" h="1" sd="1" m="1" x="2188"/>
        <item t="data" h="1" sd="1" m="1" x="2111"/>
        <item t="data" h="1" sd="1" m="1" x="2108"/>
        <item t="data" h="1" sd="1" m="1" x="1361"/>
        <item t="data" h="1" sd="1" m="1" x="2194"/>
        <item t="data" h="1" sd="1" m="1" x="1764"/>
        <item t="data" h="1" sd="1" m="1" x="2198"/>
        <item t="data" h="1" sd="1" m="1" x="2199"/>
        <item t="data" h="1" sd="1" m="1" x="2200"/>
        <item t="data" h="1" sd="1" m="1" x="2201"/>
        <item t="data" h="1" sd="1" m="1" x="2202"/>
        <item t="data" h="1" sd="1" m="1" x="2203"/>
        <item t="data" h="1" sd="1" m="1" x="2204"/>
        <item t="data" h="1" sd="1" m="1" x="2205"/>
        <item t="data" h="1" sd="1" m="1" x="2206"/>
        <item t="data" h="1" sd="1" m="1" x="2207"/>
        <item t="data" h="1" sd="1" m="1" x="1949"/>
        <item t="data" h="1" sd="1" m="1" x="2208"/>
        <item t="data" h="1" sd="1" m="1" x="2209"/>
        <item t="data" h="1" sd="1" m="1" x="1929"/>
        <item t="data" h="1" sd="1" m="1" x="2210"/>
        <item t="data" h="1" sd="1" m="1" x="2211"/>
        <item t="data" h="1" sd="1" m="1" x="2212"/>
        <item t="data" h="1" sd="1" m="1" x="2213"/>
        <item t="data" h="1" sd="1" m="1" x="2214"/>
        <item t="data" h="1" sd="1" m="1" x="2215"/>
        <item t="data" h="1" sd="1" m="1" x="2216"/>
        <item t="data" h="1" sd="1" m="1" x="2217"/>
        <item t="data" h="1" sd="1" m="1" x="2218"/>
        <item t="data" h="1" sd="1" m="1" x="2219"/>
        <item t="data" h="1" sd="1" m="1" x="2220"/>
        <item t="data" h="1" sd="1" m="1" x="2221"/>
        <item t="data" h="1" sd="1" m="1" x="2222"/>
        <item t="data" h="1" sd="1" m="1" x="2223"/>
        <item t="data" h="1" sd="1" m="1" x="2224"/>
        <item t="data" h="1" sd="1" m="1" x="2225"/>
        <item t="data" h="1" sd="1" m="1" x="2071"/>
        <item t="data" h="1" sd="1" m="1" x="2114"/>
        <item t="data" h="1" sd="1" m="1" x="556"/>
        <item t="data" h="1" sd="1" m="1" x="2230"/>
        <item t="data" h="1" sd="1" m="1" x="1444"/>
        <item t="data" h="1" sd="1" m="1" x="2232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240"/>
        <item t="data" h="1" sd="1" m="1" x="2241"/>
        <item t="data" h="1" sd="1" m="1" x="2242"/>
        <item t="data" h="1" sd="1" m="1" x="2243"/>
        <item t="data" h="1" sd="1" m="1" x="2244"/>
        <item t="data" h="1" sd="1" m="1" x="2246"/>
        <item t="data" h="1" sd="1" m="1" x="1793"/>
        <item t="data" h="1" sd="1" m="1" x="1794"/>
        <item t="data" h="1" sd="1" m="1" x="1792"/>
        <item t="data" h="1" sd="1" m="1" x="2247"/>
        <item t="data" h="1" sd="1" m="1" x="2249"/>
        <item t="data" h="1" sd="1" m="1" x="2250"/>
        <item t="data" h="1" sd="1" m="1" x="1840"/>
        <item t="data" h="1" sd="1" m="1" x="1832"/>
        <item t="data" h="1" sd="1" m="1" x="2251"/>
        <item t="data" h="1" sd="1" m="1" x="2252"/>
        <item t="data" h="1" sd="1" m="1" x="1833"/>
        <item t="data" h="1" sd="1" m="1" x="2253"/>
        <item t="data" h="1" sd="1" m="1" x="2084"/>
        <item t="data" h="1" sd="1" m="1" x="2257"/>
        <item t="data" h="1" sd="1" m="1" x="2259"/>
        <item t="data" h="1" sd="1" m="1" x="2264"/>
        <item t="data" h="1" sd="1" m="1" x="2265"/>
        <item t="data" h="1" sd="1" m="1" x="2266"/>
        <item t="data" h="1" sd="1" m="1" x="2267"/>
        <item t="data" h="1" sd="1" m="1" x="2268"/>
        <item t="data" h="1" sd="1" m="1" x="2270"/>
        <item t="data" h="1" sd="1" m="1" x="1825"/>
        <item t="data" h="1" sd="1" m="1" x="2271"/>
        <item t="data" h="1" sd="1" m="1" x="2272"/>
        <item t="data" h="1" sd="1" m="1" x="2275"/>
        <item t="data" h="1" sd="1" m="1" x="2276"/>
        <item t="data" h="1" sd="1" m="1" x="2282"/>
        <item t="data" h="1" sd="1" m="1" x="2283"/>
        <item t="data" h="1" sd="1" m="1" x="2284"/>
        <item t="data" h="1" sd="1" m="1" x="2103"/>
        <item t="data" h="1" sd="1" m="1" x="2034"/>
        <item t="data" h="1" sd="1" m="1" x="1845"/>
        <item t="data" h="1" sd="1" m="1" x="1762"/>
        <item t="data" h="1" sd="1" m="1" x="2053"/>
        <item t="data" h="1" sd="1" m="1" x="2054"/>
        <item t="data" h="1" sd="1" m="1" x="2055"/>
        <item t="data" h="1" sd="1" m="1" x="2056"/>
        <item t="data" h="1" sd="1" m="1" x="2057"/>
        <item t="data" h="1" sd="1" m="1" x="2058"/>
        <item t="data" h="1" sd="1" m="1" x="2059"/>
        <item t="data" h="1" sd="1" m="1" x="2060"/>
        <item t="data" h="1" sd="1" m="1" x="2061"/>
        <item t="data" h="1" sd="1" m="1" x="2062"/>
        <item t="data" h="1" sd="1" m="1" x="2063"/>
        <item t="data" h="1" sd="1" m="1" x="2068"/>
        <item t="data" h="1" sd="1" m="1" x="2070"/>
        <item t="data" h="1" sd="1" m="1" x="522"/>
        <item t="data" h="1" sd="1" m="1" x="2073"/>
        <item t="data" h="1" sd="1" m="1" x="2078"/>
        <item t="data" h="1" sd="1" m="1" x="2079"/>
        <item t="data" h="1" sd="1" m="1" x="1862"/>
        <item t="data" h="1" sd="1" m="1" x="1861"/>
        <item t="data" h="1" sd="1" m="1" x="2080"/>
        <item t="data" h="1" sd="1" m="1" x="1863"/>
        <item t="data" h="1" sd="1" m="1" x="1864"/>
        <item t="data" h="1" sd="1" m="1" x="1865"/>
        <item t="data" h="1" sd="1" m="1" x="2081"/>
        <item t="data" h="1" sd="1" m="1" x="1886"/>
        <item t="data" h="1" sd="1" m="1" x="2086"/>
        <item t="data" h="1" sd="1" m="1" x="2089"/>
        <item t="data" h="1" sd="1" m="1" x="2091"/>
        <item t="data" h="1" sd="1" m="1" x="2092"/>
        <item t="data" h="1" sd="1" m="1" x="2094"/>
        <item t="data" h="1" sd="1" m="1" x="1820"/>
        <item t="data" h="1" sd="1" m="1" x="1904"/>
        <item t="data" h="1" sd="1" m="1" x="2097"/>
        <item t="data" h="1" sd="1" m="1" x="2099"/>
        <item t="data" h="1" sd="1" m="1" x="2100"/>
        <item t="data" h="1" sd="1" m="1" x="2101"/>
        <item t="data" h="1" sd="1" m="1" x="2102"/>
        <item t="data" h="1" sd="1" m="1" x="2104"/>
        <item t="data" h="1" sd="1" m="1" x="2105"/>
        <item t="data" h="1" sd="1" m="1" x="2106"/>
        <item t="data" h="1" sd="1" m="1" x="2109"/>
        <item t="data" h="1" sd="1" m="1" x="2110"/>
        <item t="data" h="1" sd="1" m="1" x="2112"/>
        <item t="data" h="1" sd="1" m="1" x="2113"/>
        <item t="data" h="1" sd="1" x="277"/>
        <item t="data" h="1" sd="1" m="1" x="2121"/>
        <item t="data" h="1" sd="1" m="1" x="1915"/>
        <item t="data" h="1" sd="1" m="1" x="1851"/>
        <item t="data" h="1" sd="1" m="1" x="2123"/>
        <item t="data" h="1" sd="1" m="1" x="2124"/>
        <item t="data" h="1" sd="1" m="1" x="2125"/>
        <item t="data" h="1" sd="1" m="1" x="2126"/>
        <item t="data" h="1" sd="1" x="200"/>
        <item t="data" h="1" sd="1" x="196"/>
        <item t="data" h="1" sd="1" m="1" x="1860"/>
        <item t="data" h="1" sd="1" m="1" x="1874"/>
        <item t="data" h="1" sd="1" m="1" x="1883"/>
        <item t="data" h="1" sd="1" m="1" x="2129"/>
        <item t="data" h="1" sd="1" m="1" x="2130"/>
        <item t="data" h="1" sd="1" m="1" x="2131"/>
        <item t="data" h="1" sd="1" m="1" x="2132"/>
        <item t="data" h="1" sd="1" m="1" x="2133"/>
        <item t="data" h="1" sd="1" m="1" x="2134"/>
        <item t="data" h="1" sd="1" m="1" x="2135"/>
        <item t="data" h="1" sd="1" m="1" x="2136"/>
        <item t="data" h="1" sd="1" m="1" x="2137"/>
        <item t="data" h="1" sd="1" m="1" x="2138"/>
        <item t="data" h="1" sd="1" m="1" x="2139"/>
        <item t="data" h="1" sd="1" m="1" x="2140"/>
        <item t="data" h="1" sd="1" m="1" x="2141"/>
        <item t="data" h="1" sd="1" m="1" x="2142"/>
        <item t="data" h="1" sd="1" m="1" x="2143"/>
        <item t="data" h="1" sd="1" m="1" x="2144"/>
        <item t="data" h="1" sd="1" m="1" x="2145"/>
        <item t="data" h="1" sd="1" m="1" x="2147"/>
        <item t="data" h="1" sd="1" m="1" x="2148"/>
        <item t="data" h="1" sd="1" m="1" x="2149"/>
        <item t="data" h="1" sd="1" m="1" x="2150"/>
        <item t="data" h="1" sd="1" m="1" x="2151"/>
        <item t="data" h="1" sd="1" m="1" x="2152"/>
        <item t="data" h="1" sd="1" m="1" x="2153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2160"/>
        <item t="data" h="1" sd="1" m="1" x="2161"/>
        <item t="data" h="1" sd="1" m="1" x="2162"/>
        <item t="data" h="1" sd="1" m="1" x="2163"/>
        <item t="data" h="1" sd="1" m="1" x="2164"/>
        <item t="data" h="1" sd="1" m="1" x="2165"/>
        <item t="data" h="1" sd="1" m="1" x="2166"/>
        <item t="data" h="1" sd="1" m="1" x="2167"/>
        <item t="data" h="1" sd="1" m="1" x="2168"/>
        <item t="data" h="1" sd="1" m="1" x="2169"/>
        <item t="data" h="1" sd="1" m="1" x="2171"/>
        <item t="data" h="1" sd="1" m="1" x="1603"/>
        <item t="data" h="1" sd="1" m="1" x="1604"/>
        <item t="data" h="1" sd="1" m="1" x="1606"/>
        <item t="data" h="1" sd="1" m="1" x="1847"/>
        <item t="data" h="1" sd="1" m="1" x="1848"/>
        <item t="data" h="1" sd="1" m="1" x="1849"/>
        <item t="data" h="1" sd="1" m="1" x="1850"/>
        <item t="data" h="1" sd="1" m="1" x="1852"/>
        <item t="data" h="1" sd="1" m="1" x="508"/>
        <item t="data" h="1" sd="1" m="1" x="1436"/>
        <item t="data" h="1" sd="1" x="206"/>
        <item t="data" h="1" sd="1" m="1" x="1853"/>
        <item t="data" h="1" sd="1" m="1" x="1854"/>
        <item t="data" h="1" sd="1" x="118"/>
        <item t="data" h="1" sd="1" m="1" x="1856"/>
        <item t="data" h="1" sd="1" x="157"/>
        <item t="data" h="1" sd="1" m="1" x="1857"/>
        <item t="data" h="1" sd="1" m="1" x="1858"/>
        <item t="data" h="1" sd="1" m="1" x="1859"/>
        <item t="data" h="1" sd="1" m="1" x="1866"/>
        <item t="data" h="1" sd="1" m="1" x="1867"/>
        <item t="data" h="1" sd="1" m="1" x="1869"/>
        <item t="data" h="1" sd="1" m="1" x="1870"/>
        <item t="data" h="1" sd="1" m="1" x="1871"/>
        <item t="data" h="1" sd="1" m="1" x="1872"/>
        <item t="data" h="1" sd="1" m="1" x="1875"/>
        <item t="data" h="1" sd="1" m="1" x="1878"/>
        <item t="data" h="1" sd="1" m="1" x="1879"/>
        <item t="data" h="1" sd="1" m="1" x="1880"/>
        <item t="data" h="1" sd="1" m="1" x="573"/>
        <item t="data" h="1" sd="1" m="1" x="1881"/>
        <item t="data" h="1" sd="1" m="1" x="1882"/>
        <item t="data" h="1" sd="1" m="1" x="1884"/>
        <item t="data" h="1" sd="1" m="1" x="1885"/>
        <item t="data" h="1" sd="1" m="1" x="1887"/>
        <item t="data" h="1" sd="1" m="1" x="1888"/>
        <item t="data" h="1" sd="1" m="1" x="1889"/>
        <item t="data" h="1" sd="1" m="1" x="1890"/>
        <item t="data" h="1" sd="1" m="1" x="1891"/>
        <item t="data" h="1" sd="1" m="1" x="1893"/>
        <item t="data" h="1" sd="1" m="1" x="1894"/>
        <item t="data" h="1" sd="1" m="1" x="1895"/>
        <item t="data" h="1" sd="1" m="1" x="1896"/>
        <item t="data" h="1" sd="1" x="373"/>
        <item t="data" h="1" sd="1" x="374"/>
        <item t="data" h="1" sd="1" m="1" x="1897"/>
        <item t="data" h="1" sd="1" m="1" x="1898"/>
        <item t="data" h="1" sd="1" m="1" x="1900"/>
        <item t="data" h="1" sd="1" m="1" x="1901"/>
        <item t="data" h="1" sd="1" m="1" x="646"/>
        <item t="data" h="1" sd="1" m="1" x="1902"/>
        <item t="data" h="1" sd="1" m="1" x="1907"/>
        <item t="data" h="1" sd="1" m="1" x="1908"/>
        <item t="data" h="1" sd="1" m="1" x="1910"/>
        <item t="data" h="1" sd="1" m="1" x="1911"/>
        <item t="data" h="1" sd="1" m="1" x="1912"/>
        <item t="data" h="1" sd="1" m="1" x="1913"/>
        <item t="data" h="1" sd="1" m="1" x="1914"/>
        <item t="data" h="1" sd="1" m="1" x="1916"/>
        <item t="data" h="1" sd="1" m="1" x="1917"/>
        <item t="data" h="1" sd="1" m="1" x="1918"/>
        <item t="data" h="1" sd="1" m="1" x="1919"/>
        <item t="data" h="1" sd="1" m="1" x="1920"/>
        <item t="data" h="1" sd="1" m="1" x="1921"/>
        <item t="data" h="1" sd="1" m="1" x="1922"/>
        <item t="data" h="1" sd="1" m="1" x="1924"/>
        <item t="data" h="1" sd="1" m="1" x="1925"/>
        <item t="data" h="1" sd="1" m="1" x="1926"/>
        <item t="data" h="1" sd="1" m="1" x="1927"/>
        <item t="data" h="1" sd="1" m="1" x="1928"/>
        <item t="data" h="1" sd="1" m="1" x="1930"/>
        <item t="data" h="1" sd="1" m="1" x="1931"/>
        <item t="data" h="1" sd="1" m="1" x="1932"/>
        <item t="data" h="1" sd="1" m="1" x="1933"/>
        <item t="data" h="1" sd="1" m="1" x="1934"/>
        <item t="data" h="1" sd="1" m="1" x="1935"/>
        <item t="data" h="1" sd="1" m="1" x="1936"/>
        <item t="data" h="1" sd="1" m="1" x="1937"/>
        <item t="data" h="1" sd="1" m="1" x="1938"/>
        <item t="data" h="1" sd="1" m="1" x="1939"/>
        <item t="data" h="1" sd="1" m="1" x="1940"/>
        <item t="data" h="1" sd="1" m="1" x="1941"/>
        <item t="data" h="1" sd="1" m="1" x="1942"/>
        <item t="data" h="1" sd="1" m="1" x="1943"/>
        <item t="data" h="1" sd="1" m="1" x="1944"/>
        <item t="data" h="1" sd="1" m="1" x="1945"/>
        <item t="data" h="1" sd="1" m="1" x="1946"/>
        <item t="data" h="1" sd="1" m="1" x="1948"/>
        <item t="data" h="1" sd="1" m="1" x="1950"/>
        <item t="data" h="1" sd="1" m="1" x="1951"/>
        <item t="data" h="1" sd="1" m="1" x="1952"/>
        <item t="data" h="1" sd="1" m="1" x="1953"/>
        <item t="data" h="1" sd="1" m="1" x="1954"/>
        <item t="data" h="1" sd="1" m="1" x="1955"/>
        <item t="data" h="1" sd="1" m="1" x="1956"/>
        <item t="data" h="1" sd="1" m="1" x="1957"/>
        <item t="data" h="1" sd="1" m="1" x="1958"/>
        <item t="data" h="1" sd="1" m="1" x="1959"/>
        <item t="data" h="1" sd="1" m="1" x="1960"/>
        <item t="data" h="1" sd="1" m="1" x="666"/>
        <item t="data" h="1" sd="1" m="1" x="1961"/>
        <item t="data" h="1" sd="1" m="1" x="1962"/>
        <item t="data" h="1" sd="1" m="1" x="1963"/>
        <item t="data" h="1" sd="1" m="1" x="1964"/>
        <item t="data" h="1" sd="1" m="1" x="1965"/>
        <item t="data" h="1" sd="1" m="1" x="1966"/>
        <item t="data" h="1" sd="1" m="1" x="1967"/>
        <item t="data" h="1" sd="1" x="224"/>
        <item t="data" h="1" sd="1" m="1" x="1968"/>
        <item t="data" h="1" sd="1" m="1" x="1971"/>
        <item t="data" h="1" sd="1" m="1" x="1972"/>
        <item t="data" h="1" sd="1" m="1" x="1975"/>
        <item t="data" h="1" sd="1" m="1" x="578"/>
        <item t="data" h="1" sd="1" m="1" x="1976"/>
        <item t="data" h="1" sd="1" m="1" x="1979"/>
        <item t="data" h="1" sd="1" m="1" x="1980"/>
        <item t="data" h="1" sd="1" m="1" x="1981"/>
        <item t="data" h="1" sd="1" m="1" x="1982"/>
        <item t="data" h="1" sd="1" m="1" x="1983"/>
        <item t="data" h="1" sd="1" m="1" x="1984"/>
        <item t="data" h="1" sd="1" m="1" x="1985"/>
        <item t="data" h="1" sd="1" m="1" x="1986"/>
        <item t="data" h="1" sd="1" m="1" x="1987"/>
        <item t="data" h="1" sd="1" m="1" x="1988"/>
        <item t="data" h="1" sd="1" m="1" x="1989"/>
        <item t="data" h="1" sd="1" m="1" x="1990"/>
        <item t="data" h="1" sd="1" m="1" x="1991"/>
        <item t="data" h="1" sd="1" m="1" x="1992"/>
        <item t="data" h="1" sd="1" m="1" x="1993"/>
        <item t="data" h="1" sd="1" m="1" x="1994"/>
        <item t="data" h="1" sd="1" m="1" x="1996"/>
        <item t="data" h="1" sd="1" m="1" x="1997"/>
        <item t="data" h="1" sd="1" m="1" x="671"/>
        <item t="data" h="1" sd="1" m="1" x="672"/>
        <item t="data" h="1" sd="1" m="1" x="673"/>
        <item t="data" h="1" sd="1" m="1" x="674"/>
        <item t="data" h="1" sd="1" m="1" x="675"/>
        <item t="data" h="1" sd="1" m="1" x="676"/>
        <item t="data" h="1" sd="1" m="1" x="677"/>
        <item t="data" h="1" sd="1" m="1" x="678"/>
        <item t="data" h="1" sd="1" m="1" x="679"/>
        <item t="data" h="1" sd="1" m="1" x="680"/>
        <item t="data" h="1" sd="1" x="5"/>
        <item t="data" h="1" sd="1" m="1" x="681"/>
        <item t="data" h="1" sd="1" m="1" x="682"/>
        <item t="data" h="1" sd="1" m="1" x="683"/>
        <item t="data" h="1" sd="1" m="1" x="684"/>
        <item t="data" h="1" sd="1" m="1" x="685"/>
        <item t="data" h="1" sd="1" m="1" x="686"/>
        <item t="data" h="1" sd="1" m="1" x="687"/>
        <item t="data" h="1" sd="1" m="1" x="688"/>
        <item t="data" h="1" sd="1" m="1" x="689"/>
        <item t="data" h="1" sd="1" m="1" x="690"/>
        <item t="data" h="1" sd="1" m="1" x="691"/>
        <item t="data" h="1" sd="1" m="1" x="692"/>
        <item t="data" h="1" sd="1" m="1" x="693"/>
        <item t="data" h="1" sd="1" m="1" x="694"/>
        <item t="data" h="1" sd="1" m="1" x="695"/>
        <item t="data" h="1" sd="1" m="1" x="696"/>
        <item t="data" h="1" sd="1" m="1" x="698"/>
        <item t="data" h="1" sd="1" m="1" x="699"/>
        <item t="data" h="1" sd="1" m="1" x="700"/>
        <item t="data" h="1" sd="1" m="1" x="701"/>
        <item t="data" h="1" sd="1" m="1" x="702"/>
        <item t="data" h="1" sd="1" m="1" x="703"/>
        <item t="data" h="1" sd="1" m="1" x="704"/>
        <item t="data" h="1" sd="1" m="1" x="705"/>
        <item t="data" h="1" sd="1" m="1" x="706"/>
        <item t="data" h="1" sd="1" m="1" x="707"/>
        <item t="data" h="1" sd="1" m="1" x="708"/>
        <item t="data" h="1" sd="1" m="1" x="709"/>
        <item t="data" h="1" sd="1" m="1" x="710"/>
        <item t="data" h="1" sd="1" m="1" x="711"/>
        <item t="data" h="1" sd="1" x="28"/>
        <item t="data" h="1" sd="1" m="1" x="713"/>
        <item t="data" h="1" sd="1" m="1" x="714"/>
        <item t="data" h="1" sd="1" m="1" x="716"/>
        <item t="data" h="1" sd="1" m="1" x="717"/>
        <item t="data" h="1" sd="1" m="1" x="720"/>
        <item t="data" h="1" sd="1" m="1" x="722"/>
        <item t="data" h="1" sd="1" m="1" x="723"/>
        <item t="data" h="1" sd="1" m="1" x="724"/>
        <item t="data" h="1" sd="1" m="1" x="725"/>
        <item t="data" h="1" sd="1" m="1" x="726"/>
        <item t="data" h="1" sd="1" m="1" x="727"/>
        <item t="data" h="1" sd="1" m="1" x="728"/>
        <item t="data" h="1" sd="1" m="1" x="730"/>
        <item t="data" h="1" sd="1" m="1" x="731"/>
        <item t="data" h="1" sd="1" m="1" x="732"/>
        <item t="data" h="1" sd="1" m="1" x="733"/>
        <item t="data" h="1" sd="1" m="1" x="734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0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7"/>
        <item t="data" h="1" sd="1" m="1" x="748"/>
        <item t="data" h="1" sd="1" m="1" x="749"/>
        <item t="data" h="1" sd="1" m="1" x="751"/>
        <item t="data" h="1" sd="1" m="1" x="752"/>
        <item t="data" h="1" sd="1" m="1" x="753"/>
        <item t="data" h="1" sd="1" m="1" x="754"/>
        <item t="data" h="1" sd="1" m="1" x="755"/>
        <item t="data" h="1" sd="1" m="1" x="756"/>
        <item t="data" h="1" sd="1" m="1" x="757"/>
        <item t="data" h="1" sd="1" m="1" x="758"/>
        <item t="data" h="1" sd="1" m="1" x="759"/>
        <item t="data" h="1" sd="1" m="1" x="761"/>
        <item t="data" h="1" sd="1" m="1" x="762"/>
        <item t="data" h="1" sd="1" m="1" x="763"/>
        <item t="data" h="1" sd="1" m="1" x="764"/>
        <item t="data" h="1" sd="1" m="1" x="765"/>
        <item t="data" h="1" sd="1" m="1" x="766"/>
        <item t="data" h="1" sd="1" m="1" x="767"/>
        <item t="data" h="1" sd="1" x="25"/>
        <item t="data" h="1" sd="1" m="1" x="768"/>
        <item t="data" h="1" sd="1" m="1" x="769"/>
        <item t="data" h="1" sd="1" x="26"/>
        <item t="data" h="1" sd="1" m="1" x="770"/>
        <item t="data" h="1" sd="1" m="1" x="771"/>
        <item t="data" h="1" sd="1" m="1" x="773"/>
        <item t="data" h="1" sd="1" m="1" x="774"/>
        <item t="data" h="1" sd="1" m="1" x="775"/>
        <item t="data" h="1" sd="1" m="1" x="777"/>
        <item t="data" h="1" sd="1" m="1" x="778"/>
        <item t="data" h="1" sd="1" m="1" x="779"/>
        <item t="data" h="1" sd="1" m="1" x="780"/>
        <item t="data" h="1" sd="1" m="1" x="781"/>
        <item t="data" h="1" sd="1" x="27"/>
        <item t="data" h="1" sd="1" m="1" x="782"/>
        <item t="data" h="1" sd="1" m="1" x="783"/>
        <item t="data" h="1" sd="1" x="29"/>
        <item t="data" h="1" sd="1" m="1" x="785"/>
        <item t="data" h="1" sd="1" m="1" x="786"/>
        <item t="data" h="1" sd="1" m="1" x="787"/>
        <item t="data" h="1" sd="1" m="1" x="788"/>
        <item t="data" h="1" sd="1" m="1" x="789"/>
        <item t="data" h="1" sd="1" m="1" x="790"/>
        <item t="data" h="1" sd="1" m="1" x="791"/>
        <item t="data" h="1" sd="1" m="1" x="792"/>
        <item t="data" h="1" sd="1" m="1" x="793"/>
        <item t="data" h="1" sd="1" m="1" x="794"/>
        <item t="data" h="1" sd="1" m="1" x="795"/>
        <item t="data" h="1" sd="1" m="1" x="796"/>
        <item t="data" h="1" sd="1" m="1" x="797"/>
        <item t="data" h="1" sd="1" m="1" x="798"/>
        <item t="data" h="1" sd="1" m="1" x="801"/>
        <item t="data" h="1" sd="1" m="1" x="802"/>
        <item t="data" h="1" sd="1" m="1" x="803"/>
        <item t="data" h="1" sd="1" m="1" x="454"/>
        <item t="data" h="1" sd="1" m="1" x="804"/>
        <item t="data" h="1" sd="1" m="1" x="805"/>
        <item t="data" h="1" sd="1" m="1" x="806"/>
        <item t="data" h="1" sd="1" m="1" x="807"/>
        <item t="data" h="1" sd="1" m="1" x="808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m="1" x="814"/>
        <item t="data" h="1" sd="1" m="1" x="815"/>
        <item t="data" h="1" sd="1" m="1" x="816"/>
        <item t="data" h="1" sd="1" m="1" x="817"/>
        <item t="data" h="1" sd="1" m="1" x="818"/>
        <item t="data" h="1" sd="1" m="1" x="819"/>
        <item t="data" h="1" sd="1" m="1" x="820"/>
        <item t="data" h="1" sd="1" m="1" x="821"/>
        <item t="data" h="1" sd="1" m="1" x="823"/>
        <item t="data" h="1" sd="1" m="1" x="824"/>
        <item t="data" h="1" sd="1" m="1" x="826"/>
        <item t="data" h="1" sd="1" m="1" x="828"/>
        <item t="data" h="1" sd="1" m="1" x="830"/>
        <item t="data" h="1" sd="1" m="1" x="831"/>
        <item t="data" h="1" sd="1" m="1" x="832"/>
        <item t="data" h="1" sd="1" m="1" x="833"/>
        <item t="data" h="1" sd="1" m="1" x="835"/>
        <item t="data" h="1" sd="1" m="1" x="836"/>
        <item t="data" h="1" sd="1" m="1" x="837"/>
        <item t="data" h="1" sd="1" m="1" x="839"/>
        <item t="data" h="1" sd="1" m="1" x="840"/>
        <item t="data" h="1" sd="1" m="1" x="842"/>
        <item t="data" h="1" sd="1" m="1" x="843"/>
        <item t="data" h="1" sd="1" m="1" x="844"/>
        <item t="data" h="1" sd="1" x="36"/>
        <item t="data" h="1" sd="1" m="1" x="845"/>
        <item t="data" h="1" sd="1" m="1" x="846"/>
        <item t="data" h="1" sd="1" m="1" x="848"/>
        <item t="data" h="1" sd="1" m="1" x="849"/>
        <item t="data" h="1" sd="1" m="1" x="850"/>
        <item t="data" h="1" sd="1" m="1" x="851"/>
        <item t="data" h="1" sd="1" m="1" x="852"/>
        <item t="data" h="1" sd="1" m="1" x="853"/>
        <item t="data" h="1" sd="1" m="1" x="854"/>
        <item t="data" h="1" sd="1" m="1" x="855"/>
        <item t="data" h="1" sd="1" m="1" x="856"/>
        <item t="data" h="1" sd="1" m="1" x="857"/>
        <item t="data" h="1" sd="1" m="1" x="858"/>
        <item t="data" h="1" sd="1" m="1" x="859"/>
        <item t="data" h="1" sd="1" m="1" x="860"/>
        <item t="data" h="1" sd="1" m="1" x="861"/>
        <item t="data" h="1" sd="1" m="1" x="862"/>
        <item t="data" h="1" sd="1" m="1" x="863"/>
        <item t="data" h="1" sd="1" m="1" x="867"/>
        <item t="data" h="1" sd="1" m="1" x="868"/>
        <item t="data" h="1" sd="1" m="1" x="869"/>
        <item t="data" h="1" sd="1" m="1" x="870"/>
        <item t="data" h="1" sd="1" m="1" x="871"/>
        <item t="data" h="1" sd="1" m="1" x="872"/>
        <item t="data" h="1" sd="1" m="1" x="873"/>
        <item t="data" h="1" sd="1" m="1" x="874"/>
        <item t="data" h="1" sd="1" m="1" x="876"/>
        <item t="data" h="1" sd="1" m="1" x="877"/>
        <item t="data" h="1" sd="1" m="1" x="879"/>
        <item t="data" h="1" sd="1" m="1" x="880"/>
        <item t="data" h="1" sd="1" m="1" x="881"/>
        <item t="data" h="1" sd="1" m="1" x="882"/>
        <item t="data" h="1" sd="1" m="1" x="884"/>
        <item t="data" h="1" sd="1" m="1" x="885"/>
        <item t="data" h="1" sd="1" m="1" x="886"/>
        <item t="data" h="1" sd="1" m="1" x="888"/>
        <item t="data" h="1" sd="1" m="1" x="889"/>
        <item t="data" h="1" sd="1" m="1" x="890"/>
        <item t="data" h="1" sd="1" m="1" x="891"/>
        <item t="data" h="1" sd="1" m="1" x="892"/>
        <item t="data" h="1" sd="1" m="1" x="452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6"/>
        <item t="data" h="1" sd="1" m="1" x="907"/>
        <item t="data" h="1" sd="1" m="1" x="908"/>
        <item t="data" h="1" sd="1" x="13"/>
        <item t="data" h="1" sd="1" m="1" x="910"/>
        <item t="data" h="1" sd="1" m="1" x="911"/>
        <item t="data" h="1" sd="1" m="1" x="912"/>
        <item t="data" h="1" sd="1" m="1" x="914"/>
        <item t="data" h="1" sd="1" m="1" x="915"/>
        <item t="data" h="1" sd="1" m="1" x="916"/>
        <item t="data" h="1" sd="1" m="1" x="917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4"/>
        <item t="data" h="1" sd="1" m="1" x="925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3"/>
        <item t="data" h="1" sd="1" m="1" x="934"/>
        <item t="data" h="1" sd="1" m="1" x="935"/>
        <item t="data" h="1" sd="1" m="1" x="936"/>
        <item t="data" h="1" sd="1" m="1" x="937"/>
        <item t="data" h="1" sd="1" m="1" x="93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49"/>
        <item t="data" h="1" sd="1" m="1" x="951"/>
        <item t="data" h="1" sd="1" m="1" x="952"/>
        <item t="data" h="1" sd="1" m="1" x="953"/>
        <item t="data" h="1" sd="1" m="1" x="954"/>
        <item t="data" h="1" sd="1" m="1" x="956"/>
        <item t="data" h="1" sd="1" m="1" x="957"/>
        <item t="data" h="1" sd="1" m="1" x="959"/>
        <item t="data" h="1" sd="1" m="1" x="960"/>
        <item t="data" h="1" sd="1" m="1" x="961"/>
        <item t="data" h="1" sd="1" m="1" x="962"/>
        <item t="data" h="1" sd="1" m="1" x="963"/>
        <item t="data" h="1" sd="1" m="1" x="964"/>
        <item t="data" h="1" sd="1" m="1" x="965"/>
        <item t="data" h="1" sd="1" m="1" x="966"/>
        <item t="data" h="1" sd="1" m="1" x="967"/>
        <item t="data" h="1" sd="1" m="1" x="968"/>
        <item t="data" h="1" sd="1" m="1" x="969"/>
        <item t="data" h="1" sd="1" m="1" x="970"/>
        <item t="data" h="1" sd="1" m="1" x="971"/>
        <item t="data" h="1" sd="1" m="1" x="972"/>
        <item t="data" h="1" sd="1" m="1" x="973"/>
        <item t="data" h="1" sd="1" m="1" x="974"/>
        <item t="data" h="1" sd="1" m="1" x="975"/>
        <item t="data" h="1" sd="1" m="1" x="976"/>
        <item t="data" h="1" sd="1" m="1" x="977"/>
        <item t="data" h="1" sd="1" m="1" x="978"/>
        <item t="data" h="1" sd="1" m="1" x="979"/>
        <item t="data" h="1" sd="1" m="1" x="980"/>
        <item t="data" h="1" sd="1" m="1" x="981"/>
        <item t="data" h="1" sd="1" m="1" x="982"/>
        <item t="data" h="1" sd="1" m="1" x="983"/>
        <item t="data" h="1" sd="1" m="1" x="984"/>
        <item t="data" h="1" sd="1" m="1" x="985"/>
        <item t="data" h="1" sd="1" m="1" x="986"/>
        <item t="data" h="1" sd="1" m="1" x="987"/>
        <item t="data" h="1" sd="1" m="1" x="988"/>
        <item t="data" h="1" sd="1" m="1" x="989"/>
        <item t="data" h="1" sd="1" m="1" x="990"/>
        <item t="data" h="1" sd="1" m="1" x="991"/>
        <item t="data" h="1" sd="1" m="1" x="992"/>
        <item t="data" h="1" sd="1" m="1" x="993"/>
        <item t="data" h="1" sd="1" m="1" x="994"/>
        <item t="data" h="1" sd="1" m="1" x="995"/>
        <item t="data" h="1" sd="1" m="1" x="996"/>
        <item t="data" h="1" sd="1" m="1" x="997"/>
        <item t="data" h="1" sd="1" m="1" x="998"/>
        <item t="data" h="1" sd="1" m="1" x="999"/>
        <item t="data" h="1" sd="1" m="1" x="1000"/>
        <item t="data" h="1" sd="1" m="1" x="1001"/>
        <item t="data" h="1" sd="1" m="1" x="1002"/>
        <item t="data" h="1" sd="1" m="1" x="1003"/>
        <item t="data" h="1" sd="1" m="1" x="1004"/>
        <item t="data" h="1" sd="1" m="1" x="1005"/>
        <item t="data" h="1" sd="1" m="1" x="1006"/>
        <item t="data" h="1" sd="1" m="1" x="1007"/>
        <item t="data" h="1" sd="1" m="1" x="1008"/>
        <item t="data" h="1" sd="1" m="1" x="1009"/>
        <item t="data" h="1" sd="1" m="1" x="1010"/>
        <item t="data" h="1" sd="1" m="1" x="1012"/>
        <item t="data" h="1" sd="1" m="1" x="1013"/>
        <item t="data" h="1" sd="1" m="1" x="1014"/>
        <item t="data" h="1" sd="1" m="1" x="1015"/>
        <item t="data" h="1" sd="1" m="1" x="1016"/>
        <item t="data" h="1" sd="1" m="1" x="1017"/>
        <item t="data" h="1" sd="1" m="1" x="1018"/>
        <item t="data" h="1" sd="1" m="1" x="1019"/>
        <item t="data" h="1" sd="1" m="1" x="1020"/>
        <item t="data" h="1" sd="1" m="1" x="1021"/>
        <item t="data" h="1" sd="1" m="1" x="1022"/>
        <item t="data" h="1" sd="1" m="1" x="1023"/>
        <item t="data" h="1" sd="1" m="1" x="1024"/>
        <item t="data" h="1" sd="1" m="1" x="1025"/>
        <item t="data" h="1" sd="1" m="1" x="1026"/>
        <item t="data" h="1" sd="1" m="1" x="1027"/>
        <item t="data" h="1" sd="1" m="1" x="1029"/>
        <item t="data" h="1" sd="1" m="1" x="1030"/>
        <item t="data" h="1" sd="1" m="1" x="1031"/>
        <item t="data" h="1" sd="1" m="1" x="1032"/>
        <item t="data" h="1" sd="1" m="1" x="1033"/>
        <item t="data" h="1" sd="1" m="1" x="1034"/>
        <item t="data" h="1" sd="1" m="1" x="1035"/>
        <item t="data" h="1" sd="1" m="1" x="1036"/>
        <item t="data" h="1" sd="1" m="1" x="1037"/>
        <item t="data" h="1" sd="1" m="1" x="1038"/>
        <item t="data" h="1" sd="1" m="1" x="1039"/>
        <item t="data" h="1" sd="1" m="1" x="1040"/>
        <item t="data" h="1" sd="1" m="1" x="1042"/>
        <item t="data" h="1" sd="1" m="1" x="1043"/>
        <item t="data" h="1" sd="1" m="1" x="1044"/>
        <item t="data" h="1" sd="1" m="1" x="1045"/>
        <item t="data" h="1" sd="1" m="1" x="1046"/>
        <item t="data" h="1" sd="1" m="1" x="1047"/>
        <item t="data" h="1" sd="1" m="1" x="1048"/>
        <item t="data" h="1" sd="1" m="1" x="1049"/>
        <item t="data" h="1" sd="1" m="1" x="1052"/>
        <item t="data" h="1" sd="1" m="1" x="1053"/>
        <item t="data" h="1" sd="1" m="1" x="1054"/>
        <item t="data" h="1" sd="1" m="1" x="1055"/>
        <item t="data" h="1" sd="1" m="1" x="450"/>
        <item t="data" h="1" sd="1" m="1" x="451"/>
        <item t="data" h="1" sd="1" m="1" x="1056"/>
        <item t="data" h="1" sd="1" m="1" x="1057"/>
        <item t="data" h="1" sd="1" m="1" x="1058"/>
        <item t="data" h="1" sd="1" m="1" x="1059"/>
        <item t="data" h="1" sd="1" m="1" x="1060"/>
        <item t="data" h="1" sd="1" m="1" x="1061"/>
        <item t="data" h="1" sd="1" m="1" x="1062"/>
        <item t="data" h="1" sd="1" m="1" x="1063"/>
        <item t="data" h="1" sd="1" m="1" x="1064"/>
        <item t="data" h="1" sd="1" m="1" x="1065"/>
        <item t="data" h="1" sd="1" m="1" x="1066"/>
        <item t="data" h="1" sd="1" m="1" x="1067"/>
        <item t="data" h="1" sd="1" m="1" x="1068"/>
        <item t="data" h="1" sd="1" m="1" x="1069"/>
        <item t="data" h="1" sd="1" m="1" x="1071"/>
        <item t="data" h="1" sd="1" m="1" x="1072"/>
        <item t="data" h="1" sd="1" m="1" x="1073"/>
        <item t="data" h="1" sd="1" m="1" x="1074"/>
        <item t="data" h="1" sd="1" m="1" x="1075"/>
        <item t="data" h="1" sd="1" m="1" x="1076"/>
        <item t="data" h="1" sd="1" m="1" x="1077"/>
        <item t="data" h="1" sd="1" m="1" x="1078"/>
        <item t="data" h="1" sd="1" m="1" x="1079"/>
        <item t="data" h="1" sd="1" m="1" x="1080"/>
        <item t="data" h="1" sd="1" m="1" x="1083"/>
        <item t="data" h="1" sd="1" m="1" x="1084"/>
        <item t="data" h="1" sd="1" m="1" x="1085"/>
        <item t="data" h="1" sd="1" m="1" x="1086"/>
        <item t="data" h="1" sd="1" m="1" x="1087"/>
        <item t="data" h="1" sd="1" m="1" x="1088"/>
        <item t="data" h="1" sd="1" m="1" x="1089"/>
        <item t="data" h="1" sd="1" m="1" x="1090"/>
        <item t="data" h="1" sd="1" m="1" x="1091"/>
        <item t="data" h="1" sd="1" m="1" x="1092"/>
        <item t="data" h="1" sd="1" m="1" x="1093"/>
        <item t="data" h="1" sd="1" m="1" x="1094"/>
        <item t="data" h="1" sd="1" m="1" x="1095"/>
        <item t="data" h="1" sd="1" m="1" x="1096"/>
        <item t="data" h="1" sd="1" m="1" x="1097"/>
        <item t="data" h="1" sd="1" m="1" x="1098"/>
        <item t="data" h="1" sd="1" m="1" x="1099"/>
        <item t="data" h="1" sd="1" m="1" x="1100"/>
        <item t="data" h="1" sd="1" m="1" x="1101"/>
        <item t="data" h="1" sd="1" m="1" x="1102"/>
        <item t="data" h="1" sd="1" m="1" x="1103"/>
        <item t="data" h="1" sd="1" m="1" x="1104"/>
        <item t="data" h="1" sd="1" m="1" x="1105"/>
        <item t="data" h="1" sd="1" m="1" x="1106"/>
        <item t="data" h="1" sd="1" m="1" x="1107"/>
        <item t="data" h="1" sd="1" m="1" x="1108"/>
        <item t="data" h="1" sd="1" m="1" x="1109"/>
        <item t="data" h="1" sd="1" m="1" x="1111"/>
        <item t="data" h="1" sd="1" m="1" x="1112"/>
        <item t="data" h="1" sd="1" m="1" x="1113"/>
        <item t="data" h="1" sd="1" m="1" x="1114"/>
        <item t="data" h="1" sd="1" m="1" x="1115"/>
        <item t="data" h="1" sd="1" m="1" x="1116"/>
        <item t="data" h="1" sd="1" x="134"/>
        <item t="data" h="1" sd="1" m="1" x="1117"/>
        <item t="data" h="1" sd="1" m="1" x="1118"/>
        <item t="data" h="1" sd="1" m="1" x="1119"/>
        <item t="data" h="1" sd="1" m="1" x="1120"/>
        <item t="data" h="1" sd="1" m="1" x="1121"/>
        <item t="data" h="1" sd="1" m="1" x="1123"/>
        <item t="data" h="1" sd="1" m="1" x="1124"/>
        <item t="data" h="1" sd="1" m="1" x="1125"/>
        <item t="data" h="1" sd="1" m="1" x="1126"/>
        <item t="data" h="1" sd="1" m="1" x="1127"/>
        <item t="data" h="1" sd="1" m="1" x="1128"/>
        <item t="data" h="1" sd="1" m="1" x="1129"/>
        <item t="data" h="1" sd="1" m="1" x="1130"/>
        <item t="data" h="1" sd="1" m="1" x="1131"/>
        <item t="data" h="1" sd="1" m="1" x="1132"/>
        <item t="data" h="1" sd="1" m="1" x="1133"/>
        <item t="data" h="1" sd="1" m="1" x="1134"/>
        <item t="data" h="1" sd="1" m="1" x="1135"/>
        <item t="data" h="1" sd="1" m="1" x="1136"/>
        <item t="data" h="1" sd="1" m="1" x="1137"/>
        <item t="data" h="1" sd="1" m="1" x="1138"/>
        <item t="data" h="1" sd="1" m="1" x="1139"/>
        <item t="data" h="1" sd="1" m="1" x="1141"/>
        <item t="data" h="1" sd="1" m="1" x="1142"/>
        <item t="data" h="1" sd="1" m="1" x="1143"/>
        <item t="data" h="1" sd="1" m="1" x="1144"/>
        <item t="data" h="1" sd="1" m="1" x="1145"/>
        <item t="data" h="1" sd="1" m="1" x="1146"/>
        <item t="data" h="1" sd="1" m="1" x="1147"/>
        <item t="data" h="1" sd="1" m="1" x="1148"/>
        <item t="data" h="1" sd="1" m="1" x="1149"/>
        <item t="data" h="1" sd="1" m="1" x="1150"/>
        <item t="data" h="1" sd="1" m="1" x="1152"/>
        <item t="data" h="1" sd="1" m="1" x="1153"/>
        <item t="data" h="1" sd="1" m="1" x="1154"/>
        <item t="data" h="1" sd="1" m="1" x="1155"/>
        <item t="data" h="1" sd="1" m="1" x="1156"/>
        <item t="data" h="1" sd="1" m="1" x="1157"/>
        <item t="data" h="1" sd="1" m="1" x="1158"/>
        <item t="data" h="1" sd="1" m="1" x="1159"/>
        <item t="data" h="1" sd="1" m="1" x="1160"/>
        <item t="data" h="1" sd="1" m="1" x="1162"/>
        <item t="data" h="1" sd="1" m="1" x="1163"/>
        <item t="data" h="1" sd="1" m="1" x="1164"/>
        <item t="data" h="1" sd="1" m="1" x="1165"/>
        <item t="data" h="1" sd="1" m="1" x="1166"/>
        <item t="data" h="1" sd="1" m="1" x="1167"/>
        <item t="data" h="1" sd="1" m="1" x="1168"/>
        <item t="data" h="1" sd="1" m="1" x="1169"/>
        <item t="data" h="1" sd="1" m="1" x="1170"/>
        <item t="data" h="1" sd="1" x="23"/>
        <item t="data" h="1" sd="1" m="1" x="1171"/>
        <item t="data" h="1" sd="1" m="1" x="1172"/>
        <item t="data" h="1" sd="1" m="1" x="1173"/>
        <item t="data" h="1" sd="1" m="1" x="1174"/>
        <item t="data" h="1" sd="1" m="1" x="1175"/>
        <item t="data" h="1" sd="1" m="1" x="1176"/>
        <item t="data" h="1" sd="1" m="1" x="1177"/>
        <item t="data" h="1" sd="1" m="1" x="1178"/>
        <item t="data" h="1" sd="1" m="1" x="1179"/>
        <item t="data" h="1" sd="1" m="1" x="1180"/>
        <item t="data" h="1" sd="1" m="1" x="1181"/>
        <item t="data" h="1" sd="1" x="45"/>
        <item t="data" h="1" sd="1" m="1" x="1183"/>
        <item t="data" h="1" sd="1" m="1" x="1184"/>
        <item t="data" h="1" sd="1" m="1" x="1185"/>
        <item t="data" h="1" sd="1" m="1" x="1186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1192"/>
        <item t="data" h="1" sd="1" m="1" x="1193"/>
        <item t="data" h="1" sd="1" m="1" x="1194"/>
        <item t="data" h="1" sd="1" m="1" x="1195"/>
        <item t="data" h="1" sd="1" m="1" x="1196"/>
        <item t="data" h="1" sd="1" m="1" x="1197"/>
        <item t="data" h="1" sd="1" m="1" x="1198"/>
        <item t="data" h="1" sd="1" m="1" x="1199"/>
        <item t="data" h="1" sd="1" m="1" x="1200"/>
        <item t="data" h="1" sd="1" m="1" x="1201"/>
        <item t="data" h="1" sd="1" m="1" x="1202"/>
        <item t="data" h="1" sd="1" m="1" x="1203"/>
        <item t="data" h="1" sd="1" m="1" x="1204"/>
        <item t="data" h="1" sd="1" m="1" x="1205"/>
        <item t="data" h="1" sd="1" m="1" x="1206"/>
        <item t="data" h="1" sd="1" m="1" x="1207"/>
        <item t="data" h="1" sd="1" m="1" x="1208"/>
        <item t="data" h="1" sd="1" m="1" x="1209"/>
        <item t="data" h="1" sd="1" m="1" x="1210"/>
        <item t="data" h="1" sd="1" m="1" x="1212"/>
        <item t="data" h="1" sd="1" m="1" x="1213"/>
        <item t="data" h="1" sd="1" m="1" x="1214"/>
        <item t="data" h="1" sd="1" m="1" x="121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1221"/>
        <item t="data" h="1" sd="1" m="1" x="1222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29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1236"/>
        <item t="data" h="1" sd="1" m="1" x="1237"/>
        <item t="data" h="1" sd="1" m="1" x="1238"/>
        <item t="data" h="1" sd="1" m="1" x="1239"/>
        <item t="data" h="1" sd="1" m="1" x="1240"/>
        <item t="data" h="1" sd="1" m="1" x="1241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1"/>
        <item t="data" h="1" sd="1" m="1" x="1262"/>
        <item t="data" h="1" sd="1" m="1" x="1263"/>
        <item t="data" h="1" sd="1" m="1" x="1264"/>
        <item t="data" h="1" sd="1" m="1" x="1265"/>
        <item t="data" h="1" sd="1" m="1" x="1266"/>
        <item t="data" h="1" sd="1" m="1" x="1267"/>
        <item t="data" h="1" sd="1" m="1" x="1268"/>
        <item t="data" h="1" sd="1" m="1" x="1270"/>
        <item t="data" h="1" sd="1" m="1" x="1271"/>
        <item t="data" h="1" sd="1" m="1" x="1273"/>
        <item t="data" h="1" sd="1" m="1" x="1274"/>
        <item t="data" h="1" sd="1" m="1" x="1275"/>
        <item t="data" h="1" sd="1" m="1" x="1276"/>
        <item t="data" h="1" sd="1" m="1" x="1277"/>
        <item t="data" h="1" sd="1" m="1" x="1278"/>
        <item t="data" h="1" sd="1" m="1" x="1279"/>
        <item t="data" h="1" sd="1" m="1" x="1280"/>
        <item t="data" h="1" sd="1" m="1" x="1281"/>
        <item t="data" h="1" sd="1" m="1" x="1282"/>
        <item t="data" h="1" sd="1" m="1" x="1283"/>
        <item t="data" h="1" sd="1" m="1" x="1284"/>
        <item t="data" h="1" sd="1" m="1" x="1285"/>
        <item t="data" h="1" sd="1" m="1" x="1286"/>
        <item t="data" h="1" sd="1" m="1" x="1287"/>
        <item t="data" h="1" sd="1" m="1" x="1288"/>
        <item t="data" h="1" sd="1" m="1" x="1289"/>
        <item t="data" h="1" sd="1" m="1" x="1290"/>
        <item t="data" h="1" sd="1" m="1" x="1291"/>
        <item t="data" h="1" sd="1" m="1" x="1292"/>
        <item t="data" h="1" sd="1" m="1" x="1293"/>
        <item t="data" h="1" sd="1" m="1" x="1294"/>
        <item t="data" h="1" sd="1" m="1" x="1295"/>
        <item t="data" h="1" sd="1" m="1" x="1296"/>
        <item t="data" h="1" sd="1" m="1" x="1297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7"/>
        <item t="data" h="1" sd="1" m="1" x="1308"/>
        <item t="data" h="1" sd="1" m="1" x="1309"/>
        <item t="data" h="1" sd="1" m="1" x="1310"/>
        <item t="data" h="1" sd="1" m="1" x="1311"/>
        <item t="data" h="1" sd="1" m="1" x="1312"/>
        <item t="data" h="1" sd="1" m="1" x="1313"/>
        <item t="data" h="1" sd="1" m="1" x="1315"/>
        <item t="data" h="1" sd="1" m="1" x="1316"/>
        <item t="data" h="1" sd="1" m="1" x="1317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m="1" x="1323"/>
        <item t="data" h="1" sd="1" m="1" x="1324"/>
        <item t="data" h="1" sd="1" m="1" x="1325"/>
        <item t="data" h="1" sd="1" m="1" x="1326"/>
        <item t="data" h="1" sd="1" m="1" x="1327"/>
        <item t="data" h="1" sd="1" m="1" x="1328"/>
        <item t="data" h="1" sd="1" m="1" x="1329"/>
        <item t="data" h="1" sd="1" m="1" x="1330"/>
        <item t="data" h="1" sd="1" m="1" x="1331"/>
        <item t="data" h="1" sd="1" m="1" x="1332"/>
        <item t="data" h="1" sd="1" m="1" x="1333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0"/>
        <item t="data" h="1" sd="1" m="1" x="1341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47"/>
        <item t="data" h="1" sd="1" m="1" x="1348"/>
        <item t="data" h="1" sd="1" m="1" x="1349"/>
        <item t="data" h="1" sd="1" m="1" x="1350"/>
        <item t="data" h="1" sd="1" x="38"/>
        <item t="data" h="1" sd="1" x="40"/>
        <item t="data" h="1" sd="1" x="39"/>
        <item t="data" h="1" sd="1" x="43"/>
        <item t="data" h="1" sd="1" m="1" x="458"/>
        <item t="data" h="1" sd="1" x="41"/>
        <item t="data" h="1" sd="1" x="42"/>
        <item t="data" h="1" sd="1" x="44"/>
        <item t="data" h="1" sd="1" m="1" x="1352"/>
        <item t="data" h="1" sd="1" x="48"/>
        <item t="data" h="1" sd="1" x="49"/>
        <item t="data" h="1" sd="1" m="1" x="1353"/>
        <item t="data" h="1" sd="1" m="1" x="1354"/>
        <item t="data" h="1" sd="1" m="1" x="1355"/>
        <item t="data" h="1" sd="1" m="1" x="1356"/>
        <item t="data" h="1" sd="1" m="1" x="1357"/>
        <item t="data" h="1" sd="1" m="1" x="1358"/>
        <item t="data" h="1" sd="1" m="1" x="1360"/>
        <item t="data" h="1" sd="1" x="51"/>
        <item t="data" h="1" sd="1" m="1" x="460"/>
        <item t="data" h="1" sd="1" m="1" x="459"/>
        <item t="data" h="1" sd="1" x="52"/>
        <item t="data" h="1" sd="1" m="1" x="1362"/>
        <item t="data" h="1" sd="1" m="1" x="1363"/>
        <item t="data" h="1" sd="1" m="1" x="1364"/>
        <item t="data" h="1" sd="1" m="1" x="463"/>
        <item t="data" h="1" sd="1" m="1" x="1365"/>
        <item t="data" h="1" sd="1" m="1" x="1366"/>
        <item t="data" h="1" sd="1" x="60"/>
        <item t="data" h="1" sd="1" x="63"/>
        <item t="data" h="1" sd="1" m="1" x="1367"/>
        <item t="data" h="1" sd="1" x="65"/>
        <item t="data" h="1" sd="1" m="1" x="465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5"/>
        <item t="data" h="1" sd="1" m="1" x="1376"/>
        <item t="data" h="1" sd="1" m="1" x="1378"/>
        <item t="data" h="1" sd="1" m="1" x="1379"/>
        <item t="data" h="1" sd="1" x="68"/>
        <item t="data" h="1" sd="1" x="83"/>
        <item t="data" h="1" sd="1" x="82"/>
        <item t="data" h="1" sd="1" m="1" x="466"/>
        <item t="data" h="1" sd="1" m="1" x="467"/>
        <item t="data" h="1" sd="1" m="1" x="1380"/>
        <item t="data" h="1" sd="1" m="1" x="1381"/>
        <item t="data" h="1" sd="1" m="1" x="1382"/>
        <item t="data" h="1" sd="1" x="84"/>
        <item t="data" h="1" sd="1" m="1" x="1383"/>
        <item t="data" h="1" sd="1" m="1" x="470"/>
        <item t="data" h="1" sd="1" m="1" x="469"/>
        <item t="data" h="1" sd="1" m="1" x="468"/>
        <item t="data" h="1" sd="1" m="1" x="473"/>
        <item t="data" h="1" sd="1" m="1" x="1384"/>
        <item t="data" h="1" sd="1" m="1" x="1385"/>
        <item t="data" h="1" sd="1" m="1" x="1386"/>
        <item t="data" h="1" sd="1" x="97"/>
        <item t="data" h="1" sd="1" x="96"/>
        <item t="data" h="1" sd="1" x="95"/>
        <item t="data" h="1" sd="1" m="1" x="1388"/>
        <item t="data" h="1" sd="1" m="1" x="474"/>
        <item t="data" h="1" sd="1" m="1" x="1389"/>
        <item t="data" h="1" sd="1" m="1" x="475"/>
        <item t="data" h="1" sd="1" x="100"/>
        <item t="data" h="1" sd="1" x="103"/>
        <item t="data" h="1" sd="1" x="101"/>
        <item t="data" h="1" sd="1" x="105"/>
        <item t="data" h="1" sd="1" x="106"/>
        <item t="data" h="1" sd="1" x="107"/>
        <item t="data" h="1" sd="1" m="1" x="1390"/>
        <item t="data" h="1" sd="1" m="1" x="1392"/>
        <item t="data" h="1" sd="1" m="1" x="1393"/>
        <item t="data" h="1" sd="1" m="1" x="1394"/>
        <item t="data" h="1" sd="1" m="1" x="1395"/>
        <item t="data" h="1" sd="1" m="1" x="1396"/>
        <item t="data" h="1" sd="1" m="1" x="1397"/>
        <item t="data" h="1" sd="1" m="1" x="1398"/>
        <item t="data" h="1" sd="1" m="1" x="1399"/>
        <item t="data" h="1" sd="1" m="1" x="1400"/>
        <item t="data" h="1" sd="1" m="1" x="1401"/>
        <item t="data" h="1" sd="1" m="1" x="1402"/>
        <item t="data" h="1" sd="1" m="1" x="1403"/>
        <item t="data" h="1" sd="1" m="1" x="1404"/>
        <item t="data" h="1" sd="1" m="1" x="1405"/>
        <item t="data" h="1" sd="1" m="1" x="1407"/>
        <item t="data" h="1" sd="1" m="1" x="1408"/>
        <item t="data" h="1" sd="1" x="108"/>
        <item t="data" h="1" sd="1" x="117"/>
        <item t="data" h="1" sd="1" m="1" x="1409"/>
        <item t="data" h="1" sd="1" m="1" x="1410"/>
        <item t="data" h="1" sd="1" x="120"/>
        <item t="data" h="1" sd="1" x="119"/>
        <item t="data" h="1" sd="1" x="121"/>
        <item t="data" h="1" sd="1" x="122"/>
        <item t="data" h="1" sd="1" x="116"/>
        <item t="data" h="1" sd="1" x="115"/>
        <item t="data" h="1" sd="1" m="1" x="1412"/>
        <item t="data" h="1" sd="1" m="1" x="482"/>
        <item t="data" h="1" sd="1" x="123"/>
        <item t="data" h="1" sd="1" x="124"/>
        <item t="data" h="1" sd="1" m="1" x="481"/>
        <item t="data" h="1" sd="1" x="125"/>
        <item t="data" h="1" sd="1" x="126"/>
        <item t="data" h="1" sd="1" x="127"/>
        <item t="data" h="1" sd="1" x="128"/>
        <item t="data" h="1" sd="1" x="137"/>
        <item t="data" h="1" sd="1" x="136"/>
        <item t="data" h="1" sd="1" x="170"/>
        <item t="data" h="1" sd="1" m="1" x="495"/>
        <item t="data" h="1" sd="1" x="133"/>
        <item t="data" h="1" sd="1" x="171"/>
        <item t="data" h="1" sd="1" m="1" x="489"/>
        <item t="data" h="1" sd="1" x="172"/>
        <item t="data" h="1" sd="1" m="1" x="499"/>
        <item t="data" h="1" sd="1" m="1" x="496"/>
        <item t="data" h="1" sd="1" x="156"/>
        <item t="data" h="1" sd="1" m="1" x="502"/>
        <item t="data" h="1" sd="1" x="139"/>
        <item t="data" h="1" sd="1" m="1" x="1414"/>
        <item t="data" h="1" sd="1" m="1" x="1416"/>
        <item t="data" h="1" sd="1" m="1" x="1417"/>
        <item t="data" h="1" sd="1" m="1" x="1418"/>
        <item t="data" h="1" sd="1" m="1" x="1419"/>
        <item t="data" h="1" sd="1" m="1" x="1420"/>
        <item t="data" h="1" sd="1" m="1" x="512"/>
        <item t="data" h="1" sd="1" m="1" x="509"/>
        <item t="data" h="1" sd="1" m="1" x="510"/>
        <item t="data" h="1" sd="1" x="179"/>
        <item t="data" h="1" sd="1" m="1" x="511"/>
        <item t="data" h="1" sd="1" m="1" x="514"/>
        <item t="data" h="1" sd="1" m="1" x="513"/>
        <item t="data" h="1" sd="1" x="181"/>
        <item t="data" h="1" sd="1" x="182"/>
        <item t="data" h="1" sd="1" m="1" x="516"/>
        <item t="data" h="1" sd="1" m="1" x="517"/>
        <item t="data" h="1" sd="1" x="180"/>
        <item t="data" h="1" sd="1" x="178"/>
        <item t="data" h="1" sd="1" m="1" x="1422"/>
        <item t="data" h="1" sd="1" x="184"/>
        <item t="data" h="1" sd="1" m="1" x="1423"/>
        <item t="data" h="1" sd="1" x="185"/>
        <item t="data" h="1" sd="1" m="1" x="1424"/>
        <item t="data" h="1" sd="1" m="1" x="1425"/>
        <item t="data" h="1" sd="1" m="1" x="1426"/>
        <item t="data" h="1" sd="1" m="1" x="1427"/>
        <item t="data" h="1" sd="1" m="1" x="521"/>
        <item t="data" h="1" sd="1" x="192"/>
        <item t="data" h="1" sd="1" m="1" x="523"/>
        <item t="data" h="1" sd="1" m="1" x="526"/>
        <item t="data" h="1" sd="1" m="1" x="524"/>
        <item t="data" h="1" sd="1" m="1" x="1428"/>
        <item t="data" h="1" sd="1" m="1" x="531"/>
        <item t="data" h="1" sd="1" m="1" x="528"/>
        <item t="data" h="1" sd="1" m="1" x="1429"/>
        <item t="data" h="1" sd="1" m="1" x="1430"/>
        <item t="data" h="1" sd="1" m="1" x="1431"/>
        <item t="data" h="1" sd="1" x="197"/>
        <item t="data" h="1" sd="1" x="198"/>
        <item t="data" h="1" sd="1" m="1" x="1432"/>
        <item t="data" h="1" sd="1" x="199"/>
        <item t="data" h="1" sd="1" m="1" x="1433"/>
        <item t="data" h="1" sd="1" m="1" x="1434"/>
        <item t="data" h="1" sd="1" x="195"/>
        <item t="data" h="1" sd="1" m="1" x="1435"/>
        <item t="data" h="1" sd="1" x="194"/>
        <item t="data" h="1" sd="1" m="1" x="1437"/>
        <item t="data" h="1" sd="1" x="77"/>
        <item t="data" h="1" sd="1" m="1" x="536"/>
        <item t="data" h="1" sd="1" m="1" x="538"/>
        <item t="data" h="1" sd="1" m="1" x="540"/>
        <item t="data" h="1" sd="1" m="1" x="1438"/>
        <item t="data" h="1" sd="1" m="1" x="1439"/>
        <item t="data" h="1" sd="1" m="1" x="1440"/>
        <item t="data" h="1" sd="1" m="1" x="1441"/>
        <item t="data" h="1" sd="1" m="1" x="1442"/>
        <item t="data" h="1" sd="1" m="1" x="541"/>
        <item t="data" h="1" sd="1" m="1" x="543"/>
        <item t="data" h="1" sd="1" x="212"/>
        <item t="data" h="1" sd="1" m="1" x="1443"/>
        <item t="data" h="1" sd="1" m="1" x="551"/>
        <item t="data" h="1" sd="1" m="1" x="548"/>
        <item t="data" h="1" sd="1" m="1" x="549"/>
        <item t="data" h="1" sd="1" m="1" x="545"/>
        <item t="data" h="1" sd="1" m="1" x="558"/>
        <item t="data" h="1" sd="1" m="1" x="559"/>
        <item t="data" h="1" sd="1" m="1" x="554"/>
        <item t="data" h="1" sd="1" m="1" x="553"/>
        <item t="data" h="1" sd="1" x="229"/>
        <item t="data" h="1" sd="1" x="222"/>
        <item t="data" h="1" sd="1" x="223"/>
        <item t="data" h="1" sd="1" m="1" x="1445"/>
        <item t="data" h="1" sd="1" m="1" x="1446"/>
        <item t="data" h="1" sd="1" x="235"/>
        <item t="data" h="1" sd="1" x="237"/>
        <item t="data" h="1" sd="1" x="236"/>
        <item t="data" h="1" sd="1" x="238"/>
        <item t="data" h="1" sd="1" m="1" x="1447"/>
        <item t="data" h="1" sd="1" m="1" x="1448"/>
        <item t="data" h="1" sd="1" m="1" x="1451"/>
        <item t="data" h="1" sd="1" m="1" x="1452"/>
        <item t="data" h="1" sd="1" x="245"/>
        <item t="data" h="1" sd="1" x="247"/>
        <item t="data" h="1" sd="1" x="248"/>
        <item t="data" h="1" sd="1" m="1" x="1455"/>
        <item t="data" h="1" sd="1" m="1" x="1457"/>
        <item t="data" h="1" sd="1" x="239"/>
        <item t="data" h="1" sd="1" m="1" x="1458"/>
        <item t="data" h="1" sd="1" m="1" x="1459"/>
        <item t="data" h="1" sd="1" m="1" x="1460"/>
        <item t="data" h="1" sd="1" m="1" x="1461"/>
        <item t="data" h="1" sd="1" m="1" x="1462"/>
        <item t="data" h="1" sd="1" m="1" x="1463"/>
        <item t="data" h="1" sd="1" m="1" x="1464"/>
        <item t="data" h="1" sd="1" m="1" x="1465"/>
        <item t="data" h="1" sd="1" m="1" x="1466"/>
        <item t="data" h="1" sd="1" m="1" x="1467"/>
        <item t="data" h="1" sd="1" m="1" x="1468"/>
        <item t="data" h="1" sd="1" m="1" x="1469"/>
        <item t="data" h="1" sd="1" m="1" x="1470"/>
        <item t="data" h="1" sd="1" m="1" x="1471"/>
        <item t="data" h="1" sd="1" m="1" x="1472"/>
        <item t="data" h="1" sd="1" m="1" x="1473"/>
        <item t="data" h="1" sd="1" m="1" x="1475"/>
        <item t="data" h="1" sd="1" m="1" x="565"/>
        <item t="data" h="1" sd="1" x="258"/>
        <item t="data" h="1" sd="1" x="259"/>
        <item t="data" h="1" sd="1" x="260"/>
        <item t="data" h="1" sd="1" m="1" x="1477"/>
        <item t="data" h="1" sd="1" m="1" x="568"/>
        <item t="data" h="1" sd="1" x="265"/>
        <item t="data" h="1" sd="1" m="1" x="1478"/>
        <item t="data" h="1" sd="1" m="1" x="1479"/>
        <item t="data" h="1" sd="1" m="1" x="1480"/>
        <item t="data" h="1" sd="1" x="274"/>
        <item t="data" h="1" sd="1" m="1" x="1481"/>
        <item t="data" h="1" sd="1" m="1" x="1483"/>
        <item t="data" h="1" sd="1" m="1" x="1485"/>
        <item t="data" h="1" sd="1" m="1" x="570"/>
        <item t="data" h="1" sd="1" m="1" x="1486"/>
        <item t="data" h="1" sd="1" m="1" x="1487"/>
        <item t="data" h="1" sd="1" m="1" x="577"/>
        <item t="data" h="1" sd="1" m="1" x="575"/>
        <item t="data" h="1" sd="1" m="1" x="1489"/>
        <item t="data" h="1" sd="1" m="1" x="1490"/>
        <item t="data" h="1" sd="1" m="1" x="574"/>
        <item t="data" h="1" sd="1" m="1" x="1491"/>
        <item t="data" h="1" sd="1" m="1" x="581"/>
        <item t="data" h="1" sd="1" m="1" x="1492"/>
        <item t="data" h="1" sd="1" x="279"/>
        <item t="data" h="1" sd="1" x="278"/>
        <item t="data" h="1" sd="1" m="1" x="1493"/>
        <item t="data" h="1" sd="1" m="1" x="1494"/>
        <item t="data" h="1" sd="1" m="1" x="589"/>
        <item t="data" h="1" sd="1" m="1" x="1495"/>
        <item t="data" h="1" sd="1" m="1" x="1497"/>
        <item t="data" h="1" sd="1" m="1" x="1498"/>
        <item t="data" h="1" sd="1" m="1" x="1499"/>
        <item t="data" h="1" sd="1" m="1" x="590"/>
        <item t="data" h="1" sd="1" x="294"/>
        <item t="data" h="1" sd="1" m="1" x="1500"/>
        <item t="data" h="1" sd="1" m="1" x="1501"/>
        <item t="data" h="1" sd="1" m="1" x="1502"/>
        <item t="data" h="1" sd="1" m="1" x="1503"/>
        <item t="data" h="1" sd="1" m="1" x="1504"/>
        <item t="data" h="1" sd="1" m="1" x="1507"/>
        <item t="data" h="1" sd="1" m="1" x="1509"/>
        <item t="data" h="1" sd="1" m="1" x="1510"/>
        <item t="data" h="1" sd="1" m="1" x="1511"/>
        <item t="data" h="1" sd="1" m="1" x="1513"/>
        <item t="data" h="1" sd="1" m="1" x="1514"/>
        <item t="data" h="1" sd="1" x="314"/>
        <item t="data" h="1" sd="1" m="1" x="1515"/>
        <item t="data" h="1" sd="1" x="317"/>
        <item t="data" h="1" sd="1" m="1" x="1516"/>
        <item t="data" h="1" sd="1" m="1" x="1517"/>
        <item t="data" h="1" sd="1" x="318"/>
        <item t="data" h="1" sd="1" m="1" x="1519"/>
        <item t="data" h="1" sd="1" x="316"/>
        <item t="data" h="1" sd="1" m="1" x="1520"/>
        <item t="data" h="1" sd="1" m="1" x="1521"/>
        <item t="data" h="1" sd="1" m="1" x="1522"/>
        <item t="data" h="1" sd="1" m="1" x="1523"/>
        <item t="data" h="1" sd="1" m="1" x="1524"/>
        <item t="data" h="1" sd="1" x="341"/>
        <item t="data" h="1" sd="1" x="342"/>
        <item t="data" h="1" sd="1" x="339"/>
        <item t="data" h="1" sd="1" x="340"/>
        <item t="data" h="1" sd="1" x="338"/>
        <item t="data" h="1" sd="1" m="1" x="1525"/>
        <item t="data" h="1" sd="1" m="1" x="1526"/>
        <item t="data" h="1" sd="1" x="347"/>
        <item t="data" h="1" sd="1" m="1" x="1527"/>
        <item t="data" h="1" sd="1" m="1" x="1528"/>
        <item t="data" h="1" sd="1" m="1" x="1529"/>
        <item t="data" h="1" sd="1" m="1" x="1530"/>
        <item t="data" h="1" sd="1" m="1" x="602"/>
        <item t="data" h="1" sd="1" m="1" x="598"/>
        <item t="data" h="1" sd="1" m="1" x="1531"/>
        <item t="data" h="1" sd="1" m="1" x="1532"/>
        <item t="data" h="1" sd="1" m="1" x="1533"/>
        <item t="data" h="1" sd="1" m="1" x="1534"/>
        <item t="data" h="1" sd="1" m="1" x="1535"/>
        <item t="data" h="1" sd="1" m="1" x="1536"/>
        <item t="data" h="1" sd="1" m="1" x="1537"/>
        <item t="data" h="1" sd="1" m="1" x="1538"/>
        <item t="data" h="1" sd="1" m="1" x="609"/>
        <item t="data" h="1" sd="1" m="1" x="608"/>
        <item t="data" h="1" sd="1" x="352"/>
        <item t="data" h="1" sd="1" x="350"/>
        <item t="data" h="1" sd="1" m="1" x="1539"/>
        <item t="data" h="1" sd="1" m="1" x="1540"/>
        <item t="data" h="1" sd="1" m="1" x="1541"/>
        <item t="data" h="1" sd="1" m="1" x="1542"/>
        <item t="data" h="1" sd="1" m="1" x="1543"/>
        <item t="data" h="1" sd="1" m="1" x="611"/>
        <item t="data" h="1" sd="1" x="359"/>
        <item t="data" h="1" sd="1" x="361"/>
        <item t="data" h="1" sd="1" x="360"/>
        <item t="data" h="1" sd="1" m="1" x="537"/>
        <item t="data" h="1" sd="1" m="1" x="615"/>
        <item t="data" h="1" sd="1" x="366"/>
        <item t="data" h="1" sd="1" x="367"/>
        <item t="data" h="1" sd="1" x="370"/>
        <item t="data" h="1" sd="1" m="1" x="1545"/>
        <item t="data" h="1" sd="1" x="372"/>
        <item t="data" h="1" sd="1" m="1" x="617"/>
        <item t="data" h="1" sd="1" m="1" x="1547"/>
        <item t="data" h="1" sd="1" x="377"/>
        <item t="data" h="1" sd="1" m="1" x="619"/>
        <item t="data" h="1" sd="1" m="1" x="624"/>
        <item t="data" h="1" sd="1" m="1" x="622"/>
        <item t="data" h="1" sd="1" m="1" x="1549"/>
        <item t="data" h="1" sd="1" m="1" x="625"/>
        <item t="data" h="1" sd="1" m="1" x="629"/>
        <item t="data" h="1" sd="1" m="1" x="628"/>
        <item t="data" h="1" sd="1" m="1" x="631"/>
        <item t="data" h="1" sd="1" m="1" x="627"/>
        <item t="data" h="1" sd="1" m="1" x="621"/>
        <item t="data" h="1" sd="1" m="1" x="630"/>
        <item t="data" h="1" sd="1" m="1" x="623"/>
        <item t="data" h="1" sd="1" m="1" x="1550"/>
        <item t="data" h="1" sd="1" m="1" x="1551"/>
        <item t="data" h="1" sd="1" m="1" x="1552"/>
        <item t="data" h="1" sd="1" m="1" x="635"/>
        <item t="data" h="1" sd="1" m="1" x="1554"/>
        <item t="data" h="1" sd="1" m="1" x="1555"/>
        <item t="data" h="1" sd="1" m="1" x="637"/>
        <item t="data" h="1" sd="1" m="1" x="1557"/>
        <item t="data" h="1" sd="1" x="391"/>
        <item t="data" h="1" sd="1" m="1" x="1558"/>
        <item t="data" h="1" sd="1" x="395"/>
        <item t="data" h="1" sd="1" x="396"/>
        <item t="data" h="1" sd="1" m="1" x="1560"/>
        <item t="data" h="1" sd="1" x="404"/>
        <item t="data" h="1" sd="1" m="1" x="1561"/>
        <item t="data" h="1" sd="1" m="1" x="1563"/>
        <item t="data" h="1" sd="1" m="1" x="1564"/>
        <item t="data" h="1" sd="1" m="1" x="1565"/>
        <item t="data" h="1" sd="1" m="1" x="1566"/>
        <item t="data" h="1" sd="1" m="1" x="1568"/>
        <item t="data" h="1" sd="1" m="1" x="1569"/>
        <item t="data" h="1" sd="1" m="1" x="1570"/>
        <item t="data" h="1" sd="1" m="1" x="1571"/>
        <item t="data" h="1" sd="1" m="1" x="1572"/>
        <item t="data" h="1" sd="1" x="407"/>
        <item t="data" h="1" sd="1" m="1" x="1573"/>
        <item t="data" h="1" sd="1" m="1" x="1574"/>
        <item t="data" h="1" sd="1" m="1" x="1575"/>
        <item t="data" h="1" sd="1" m="1" x="1576"/>
        <item t="data" h="1" sd="1" m="1" x="1578"/>
        <item t="data" h="1" sd="1" m="1" x="1579"/>
        <item t="data" h="1" sd="1" m="1" x="1580"/>
        <item t="data" h="1" sd="1" m="1" x="1581"/>
        <item t="data" h="1" sd="1" m="1" x="1582"/>
        <item t="data" h="1" sd="1" m="1" x="1584"/>
        <item t="data" h="1" sd="1" x="406"/>
        <item t="data" h="1" sd="1" m="1" x="1587"/>
        <item t="data" h="1" sd="1" m="1" x="1588"/>
        <item t="data" h="1" sd="1" m="1" x="1589"/>
        <item t="data" h="1" sd="1" m="1" x="1590"/>
        <item t="data" h="1" sd="1" m="1" x="1591"/>
        <item t="data" h="1" sd="1" x="410"/>
        <item t="data" h="1" sd="1" x="409"/>
        <item t="data" h="1" sd="1" m="1" x="1592"/>
        <item t="data" h="1" sd="1" m="1" x="1593"/>
        <item t="data" h="1" sd="1" m="1" x="1594"/>
        <item t="data" h="1" sd="1" m="1" x="1598"/>
        <item t="data" h="1" sd="1" m="1" x="1599"/>
        <item t="data" h="1" sd="1" x="430"/>
        <item t="data" h="1" sd="1" m="1" x="662"/>
        <item t="data" h="1" sd="1" m="1" x="663"/>
        <item t="data" h="1" sd="1" x="433"/>
        <item t="data" h="1" sd="1" m="1" x="1600"/>
        <item t="data" h="1" sd="1" m="1" x="664"/>
        <item t="data" h="1" sd="1" x="442"/>
        <item t="data" h="1" sd="1" m="1" x="657"/>
        <item t="data" h="1" sd="1" m="1" x="668"/>
        <item t="data" h="1" sd="1" m="1" x="669"/>
        <item t="data" h="1" sd="1" m="1" x="1601"/>
        <item t="data" h="1" sd="1" m="1" x="1602"/>
        <item t="data" h="1" sd="1" x="443"/>
        <item t="data" h="1" sd="1" m="1" x="447"/>
        <item t="data" h="1" sd="1" m="1" x="448"/>
        <item t="data" h="1" sd="1" m="1" x="455"/>
        <item t="data" h="1" sd="1" m="1" x="456"/>
        <item t="data" h="1" sd="1" m="1" x="457"/>
        <item t="data" h="1" sd="1" x="34"/>
        <item t="data" h="1" sd="1" x="35"/>
        <item t="data" h="1" sd="1" x="32"/>
        <item t="data" h="1" sd="1" x="33"/>
        <item t="data" h="1" sd="1" x="53"/>
        <item t="data" h="1" sd="1" x="55"/>
        <item t="data" h="1" sd="1" x="78"/>
        <item t="data" h="1" sd="1" m="1" x="471"/>
        <item t="data" h="1" sd="1" m="1" x="478"/>
        <item t="data" h="1" sd="1" m="1" x="479"/>
        <item t="data" h="1" sd="1" m="1" x="480"/>
        <item t="data" h="1" sd="1" m="1" x="490"/>
        <item t="data" h="1" sd="1" m="1" x="491"/>
        <item t="data" h="1" sd="1" m="1" x="492"/>
        <item t="data" h="1" sd="1" x="153"/>
        <item t="data" h="1" sd="1" m="1" x="493"/>
        <item t="data" h="1" sd="1" m="1" x="494"/>
        <item t="data" h="1" sd="1" x="162"/>
        <item t="data" h="1" sd="1" m="1" x="530"/>
        <item t="data" h="1" sd="1" x="211"/>
        <item t="data" h="1" sd="1" m="1" x="550"/>
        <item t="data" h="1" sd="1" m="1" x="560"/>
        <item t="data" h="1" sd="1" m="1" x="564"/>
        <item t="data" h="1" sd="1" x="242"/>
        <item t="data" h="1" sd="1" m="1" x="566"/>
        <item t="data" h="1" sd="1" m="1" x="567"/>
        <item t="data" h="1" sd="1" x="244"/>
        <item t="data" h="1" sd="1" m="1" x="569"/>
        <item t="data" h="1" sd="1" x="275"/>
        <item t="data" h="1" sd="1" m="1" x="571"/>
        <item t="data" h="1" sd="1" x="272"/>
        <item t="data" h="1" sd="1" x="270"/>
        <item t="data" h="1" sd="1" m="1" x="584"/>
        <item t="data" h="1" sd="1" x="282"/>
        <item t="data" h="1" sd="1" m="1" x="585"/>
        <item t="data" h="1" sd="1" m="1" x="587"/>
        <item t="data" h="1" sd="1" m="1" x="591"/>
        <item t="data" h="1" sd="1" x="302"/>
        <item t="data" h="1" sd="1" x="304"/>
        <item t="data" h="1" sd="1" x="305"/>
        <item t="data" h="1" sd="1" x="303"/>
        <item t="data" h="1" sd="1" x="309"/>
        <item t="data" h="1" sd="1" x="310"/>
        <item t="data" h="1" sd="1" x="321"/>
        <item t="data" h="1" sd="1" x="320"/>
        <item t="data" h="1" sd="1" x="319"/>
        <item t="data" h="1" sd="1" m="1" x="610"/>
        <item t="data" h="1" sd="1" m="1" x="613"/>
        <item t="data" h="1" sd="1" m="1" x="616"/>
        <item t="data" h="1" sd="1" x="368"/>
        <item t="data" h="1" sd="1" m="1" x="632"/>
        <item t="data" h="1" sd="1" m="1" x="639"/>
        <item t="data" h="1" sd="1" m="1" x="640"/>
        <item t="data" h="1" sd="1" m="1" x="641"/>
        <item t="data" h="1" sd="1" m="1" x="642"/>
        <item t="data" h="1" sd="1" m="1" x="644"/>
        <item t="data" h="1" sd="1" x="413"/>
        <item t="data" h="1" sd="1" x="414"/>
        <item t="data" h="1" sd="1" m="1" x="655"/>
        <item t="data" h="1" sd="1" m="1" x="656"/>
        <item t="data" h="1" sd="1" x="428"/>
        <item t="data" h="1" sd="1" m="1" x="658"/>
        <item t="data" h="1" sd="1" m="1" x="659"/>
        <item t="data" h="1" sd="1" m="1" x="660"/>
        <item t="data" h="1" sd="1" m="1" x="661"/>
        <item t="data" h="1" sd="1" x="437"/>
        <item t="data" h="1" sd="1" m="1" x="665"/>
        <item t="data" h="1" sd="1" m="1" x="667"/>
        <item t="data" h="1" sd="1" x="3"/>
        <item t="data" h="1" sd="1" x="4"/>
        <item t="data" h="1" sd="1" x="6"/>
        <item t="data" h="1" sd="1" x="7"/>
        <item t="data" h="1" sd="1" x="8"/>
        <item t="data" h="1" sd="1" x="9"/>
        <item t="data" h="1" sd="1" x="10"/>
        <item t="data" h="1" sd="1" x="11"/>
        <item t="data" h="1" sd="1" x="12"/>
        <item t="data" h="1" sd="1" x="14"/>
        <item t="data" h="1" sd="1" x="15"/>
        <item t="data" h="1" sd="1" x="16"/>
        <item t="data" h="1" sd="1" x="17"/>
        <item t="data" h="1" sd="1" x="18"/>
        <item t="data" h="1" sd="1" x="19"/>
        <item t="data" h="1" sd="1" x="20"/>
        <item t="data" h="1" sd="1" x="21"/>
        <item t="data" h="1" sd="1" x="22"/>
        <item t="data" h="1" sd="1" x="24"/>
        <item t="data" h="1" sd="1" x="31"/>
        <item t="data" h="1" sd="1" x="46"/>
        <item t="data" h="1" sd="1" x="47"/>
        <item t="data" h="1" sd="1" x="56"/>
        <item t="data" h="1" sd="1" x="57"/>
        <item t="data" h="1" sd="1" x="66"/>
        <item t="data" h="1" sd="1" x="71"/>
        <item t="data" h="1" sd="1" x="72"/>
        <item t="data" h="1" sd="1" x="73"/>
        <item t="data" h="1" sd="1" x="74"/>
        <item t="data" h="1" sd="1" x="75"/>
        <item t="data" h="1" sd="1" x="76"/>
        <item t="data" h="1" sd="1" x="79"/>
        <item t="data" h="1" sd="1" x="80"/>
        <item t="data" h="1" sd="1" x="81"/>
        <item t="data" h="1" sd="1" x="85"/>
        <item t="data" h="1" sd="1" x="86"/>
        <item t="data" h="1" sd="1" x="87"/>
        <item t="data" h="1" sd="1" x="88"/>
        <item t="data" h="1" sd="1" x="89"/>
        <item t="data" h="1" sd="1" x="91"/>
        <item t="data" h="1" sd="1" x="94"/>
        <item t="data" h="1" sd="1" x="98"/>
        <item t="data" h="1" sd="1" x="99"/>
        <item t="data" h="1" sd="1" x="109"/>
        <item t="data" h="1" sd="1" x="110"/>
        <item t="data" h="1" sd="1" x="111"/>
        <item t="data" h="1" sd="1" x="112"/>
        <item t="data" h="1" sd="1" x="113"/>
        <item t="data" h="1" sd="1" x="129"/>
        <item t="data" h="1" sd="1" x="141"/>
        <item t="data" h="1" sd="1" x="143"/>
        <item t="data" h="1" sd="1" x="144"/>
        <item t="data" h="1" sd="1" x="145"/>
        <item t="data" h="1" sd="1" x="146"/>
        <item t="data" h="1" sd="1" x="147"/>
        <item t="data" h="1" sd="1" x="148"/>
        <item t="data" h="1" sd="1" x="149"/>
        <item t="data" h="1" sd="1" x="150"/>
        <item t="data" h="1" sd="1" x="151"/>
        <item t="data" h="1" sd="1" x="152"/>
        <item t="data" h="1" sd="1" x="154"/>
        <item t="data" h="1" sd="1" x="155"/>
        <item t="data" h="1" sd="1" x="163"/>
        <item t="data" h="1" sd="1" x="165"/>
        <item t="data" h="1" sd="1" x="166"/>
        <item t="data" h="1" sd="1" x="167"/>
        <item t="data" h="1" sd="1" x="169"/>
        <item t="data" h="1" sd="1" x="183"/>
        <item t="data" h="1" sd="1" x="186"/>
        <item t="data" h="1" sd="1" x="187"/>
        <item t="data" h="1" sd="1" x="191"/>
        <item t="data" h="1" sd="1" x="193"/>
        <item t="data" h="1" sd="1" x="204"/>
        <item t="data" h="1" sd="1" x="205"/>
        <item t="data" h="1" sd="1" x="207"/>
        <item t="data" h="1" sd="1" x="208"/>
        <item t="data" h="1" sd="1" x="209"/>
        <item t="data" h="1" sd="1" x="213"/>
        <item t="data" h="1" sd="1" x="214"/>
        <item t="data" h="1" sd="1" x="219"/>
        <item t="data" h="1" sd="1" x="232"/>
        <item t="data" h="1" sd="1" x="233"/>
        <item t="data" h="1" sd="1" x="234"/>
        <item t="data" h="1" sd="1" x="240"/>
        <item t="data" h="1" sd="1" x="241"/>
        <item t="data" h="1" sd="1" x="246"/>
        <item t="data" h="1" sd="1" x="250"/>
        <item t="data" h="1" sd="1" x="257"/>
        <item t="data" h="1" sd="1" x="266"/>
        <item t="data" h="1" sd="1" x="268"/>
        <item t="data" h="1" sd="1" x="273"/>
        <item t="data" h="1" sd="1" x="281"/>
        <item t="data" h="1" sd="1" x="283"/>
        <item t="data" h="1" sd="1" x="286"/>
        <item t="data" h="1" sd="1" x="290"/>
        <item t="data" h="1" sd="1" x="291"/>
        <item t="data" h="1" sd="1" x="292"/>
        <item t="data" h="1" sd="1" x="293"/>
        <item t="data" h="1" sd="1" x="295"/>
        <item t="data" h="1" sd="1" x="296"/>
        <item t="data" h="1" sd="1" x="306"/>
        <item t="data" h="1" sd="1" x="307"/>
        <item t="data" h="1" sd="1" x="308"/>
        <item t="data" h="1" sd="1" x="311"/>
        <item t="data" h="1" sd="1" x="313"/>
        <item t="data" h="1" sd="1" x="315"/>
        <item t="data" h="1" sd="1" x="322"/>
        <item t="data" h="1" sd="1" x="323"/>
        <item t="data" h="1" sd="1" x="324"/>
        <item t="data" h="1" sd="1" x="325"/>
        <item t="data" h="1" sd="1" x="326"/>
        <item t="data" h="1" sd="1" x="327"/>
        <item t="data" h="1" sd="1" x="328"/>
        <item t="data" h="1" sd="1" x="329"/>
        <item t="data" h="1" sd="1" x="330"/>
        <item t="data" h="1" sd="1" x="331"/>
        <item t="data" h="1" sd="1" x="333"/>
        <item t="data" h="1" sd="1" x="335"/>
        <item t="data" h="1" sd="1" x="336"/>
        <item t="data" h="1" sd="1" x="337"/>
        <item t="data" h="1" sd="1" x="343"/>
        <item t="data" h="1" sd="1" x="344"/>
        <item t="data" h="1" sd="1" x="345"/>
        <item t="data" h="1" sd="1" x="346"/>
        <item t="data" h="1" sd="1" x="348"/>
        <item t="data" h="1" sd="1" x="353"/>
        <item t="data" h="1" sd="1" x="354"/>
        <item t="data" h="1" sd="1" x="355"/>
        <item t="data" h="1" sd="1" x="356"/>
        <item t="data" h="1" sd="1" x="358"/>
        <item t="data" h="1" sd="1" x="362"/>
        <item t="data" h="1" sd="1" x="363"/>
        <item t="data" h="1" sd="1" x="364"/>
        <item t="data" h="1" sd="1" x="365"/>
        <item t="data" h="1" sd="1" x="379"/>
        <item t="data" h="1" sd="1" x="380"/>
        <item t="data" h="1" sd="1" x="384"/>
        <item t="data" h="1" sd="1" x="385"/>
        <item t="data" h="1" sd="1" x="386"/>
        <item t="data" h="1" sd="1" x="387"/>
        <item t="data" h="1" sd="1" x="389"/>
        <item t="data" h="1" sd="1" x="390"/>
        <item t="data" h="1" sd="1" x="400"/>
        <item t="data" h="1" sd="1" x="401"/>
        <item t="data" h="1" sd="1" x="403"/>
        <item t="data" h="1" sd="1" x="412"/>
        <item t="data" h="1" sd="1" x="415"/>
        <item t="data" h="1" sd="1" x="416"/>
        <item t="data" h="1" sd="1" x="417"/>
        <item t="data" h="1" sd="1" x="419"/>
        <item t="data" h="1" sd="1" x="420"/>
        <item t="data" h="1" sd="1" x="421"/>
        <item t="data" h="1" sd="1" x="422"/>
        <item t="data" h="1" sd="1" x="423"/>
        <item t="data" h="1" sd="1" x="424"/>
        <item t="data" h="1" sd="1" x="425"/>
        <item t="data" h="1" sd="1" x="426"/>
        <item t="data" h="1" sd="1" x="429"/>
        <item t="data" h="1" sd="1" x="434"/>
        <item t="data" h="1" sd="1" x="435"/>
        <item t="data" h="1" sd="1" x="439"/>
        <item t="data" h="1" sd="1" x="440"/>
        <item t="data" h="1" sd="1" x="441"/>
        <item t="data" h="1" sd="1" x="444"/>
        <item t="data" h="1" sd="1" x="445"/>
        <item t="default" sd="1"/>
      </items>
    </pivotField>
    <pivotField showDropDowns="1" compact="1" outline="1" subtotalTop="1" dragToRow="1" dragToCol="1" multipleItemSelectionAllowed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h="1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1"/>
        <item t="data" sd="0" x="2"/>
        <item t="data" sd="0" x="3"/>
        <item t="data" sd="0" x="4"/>
        <item t="data" sd="1" x="5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1" x="1"/>
        <item t="data" sd="1" x="2"/>
        <item t="data" sd="1" x="3"/>
        <item t="data" sd="1" x="4"/>
        <item t="data" sd="1" x="0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</pivotFields>
  <rowFields count="3">
    <field x="44"/>
    <field x="42"/>
    <field x="12"/>
  </rowFields>
  <rowItems count="5">
    <i t="data" r="0" i="0">
      <x v="0"/>
    </i>
    <i t="data" r="1" i="0">
      <x v="2"/>
    </i>
    <i t="data" r="1" i="0">
      <x v="10"/>
    </i>
    <i t="data" r="1" i="0">
      <x v="11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/>
  </dataFields>
  <formats count="56">
    <format action="formatting" dxfId="1127">
      <pivotArea field="27" type="button" dataOnly="0" labelOnly="1" outline="0" axis="axisPage" fieldPosition="0"/>
    </format>
    <format action="formatting" dxfId="1126">
      <pivotArea type="normal" dataOnly="1" outline="0" collapsedLevelsAreSubtotals="1" fieldPosition="0"/>
    </format>
    <format action="formatting" dxfId="1125">
      <pivotArea type="all" dataOnly="0" outline="0" fieldPosition="0"/>
    </format>
    <format action="formatting" dxfId="1124">
      <pivotArea type="all" dataOnly="0" outline="0" fieldPosition="0"/>
    </format>
    <format action="formatting" dxfId="1123">
      <pivotArea type="normal" dataOnly="1" outline="0" collapsedLevelsAreSubtotals="1" fieldPosition="0"/>
    </format>
    <format action="formatting" dxfId="1122">
      <pivotArea type="normal" dataOnly="0" labelOnly="1" grandRow="1" outline="0" fieldPosition="0"/>
    </format>
    <format action="formatting" dxfId="1121">
      <pivotArea type="normal" dataOnly="0" labelOnly="1" outline="0" axis="axisValues" fieldPosition="0"/>
    </format>
    <format action="formatting" dxfId="1120">
      <pivotArea type="all" dataOnly="0" outline="0" fieldPosition="0"/>
    </format>
    <format action="formatting" dxfId="1119">
      <pivotArea type="normal" dataOnly="1" outline="0" collapsedLevelsAreSubtotals="1" fieldPosition="0"/>
    </format>
    <format action="formatting" dxfId="1118">
      <pivotArea type="normal" dataOnly="0" labelOnly="1" grandRow="1" outline="0" fieldPosition="0"/>
    </format>
    <format action="formatting" dxfId="1117">
      <pivotArea type="normal" dataOnly="0" labelOnly="1" outline="0" axis="axisValues" fieldPosition="0"/>
    </format>
    <format action="formatting" dxfId="1116">
      <pivotArea type="normal" dataOnly="1" grandRow="1" outline="0" collapsedLevelsAreSubtotals="1" fieldPosition="0"/>
    </format>
    <format action="formatting" dxfId="1115">
      <pivotArea type="all" dataOnly="0" outline="0" fieldPosition="0"/>
    </format>
    <format action="formatting" dxfId="1114">
      <pivotArea type="normal" dataOnly="1" outline="0" collapsedLevelsAreSubtotals="1" fieldPosition="0"/>
    </format>
    <format action="formatting" dxfId="1113">
      <pivotArea type="normal" dataOnly="0" labelOnly="1" grandRow="1" outline="0" fieldPosition="0"/>
    </format>
    <format action="formatting" dxfId="1112">
      <pivotArea type="normal" dataOnly="0" labelOnly="1" outline="0" axis="axisValues" fieldPosition="0"/>
    </format>
    <format action="formatting" dxfId="1111">
      <pivotArea type="all" dataOnly="0" outline="0" fieldPosition="0"/>
    </format>
    <format action="formatting" dxfId="1110">
      <pivotArea type="normal" dataOnly="1" outline="0" collapsedLevelsAreSubtotals="1" fieldPosition="0"/>
    </format>
    <format action="formatting" dxfId="1109">
      <pivotArea type="normal" dataOnly="0" labelOnly="1" grandRow="1" outline="0" fieldPosition="0"/>
    </format>
    <format action="formatting" dxfId="1108">
      <pivotArea type="normal" dataOnly="0" labelOnly="1" outline="0" axis="axisValues" fieldPosition="0"/>
    </format>
    <format action="formatting" dxfId="1107">
      <pivotArea type="all" dataOnly="0" outline="0" fieldPosition="0"/>
    </format>
    <format action="formatting">
      <pivotArea type="all" dataOnly="0" outline="0" fieldPosition="0"/>
    </format>
    <format action="formatting" dxfId="1106">
      <pivotArea type="normal" dataOnly="1" grandRow="1" outline="0" collapsedLevelsAreSubtotals="1" fieldPosition="0"/>
    </format>
    <format action="formatting" dxfId="1105">
      <pivotArea type="all" dataOnly="0" outline="0" fieldPosition="0"/>
    </format>
    <format action="formatting" dxfId="1104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normal" dataOnly="0" labelOnly="1" outline="0" axis="axisValues" fieldPosition="0"/>
    </format>
    <format action="formatting" dxfId="1103">
      <pivotArea type="normal" dataOnly="0" labelOnly="1" outline="0" axis="axisValues" fieldPosition="0"/>
    </format>
    <format action="formatting" dxfId="1102">
      <pivotArea type="all" dataOnly="0" outline="0" fieldPosition="0"/>
    </format>
    <format action="formatting" dxfId="1101">
      <pivotArea type="normal" dataOnly="1" outline="0" collapsedLevelsAreSubtotals="1" fieldPosition="0"/>
    </format>
    <format action="formatting" dxfId="1100">
      <pivotArea type="normal" dataOnly="0" labelOnly="1" grandRow="1" outline="0" fieldPosition="0"/>
    </format>
    <format action="formatting" dxfId="1099">
      <pivotArea type="normal" dataOnly="0" labelOnly="1" outline="0" axis="axisValues" fieldPosition="0"/>
    </format>
    <format action="formatting" dxfId="1098">
      <pivotArea type="all" dataOnly="0" outline="0" fieldPosition="0"/>
    </format>
    <format action="formatting" dxfId="1097">
      <pivotArea type="normal" dataOnly="1" outline="0" collapsedLevelsAreSubtotals="1" fieldPosition="0"/>
    </format>
    <format action="formatting" dxfId="1096">
      <pivotArea type="normal" dataOnly="0" labelOnly="1" grandRow="1" outline="0" fieldPosition="0"/>
    </format>
    <format action="formatting" dxfId="1095">
      <pivotArea type="normal" dataOnly="0" labelOnly="1" outline="0" axis="axisValues" fieldPosition="0"/>
    </format>
    <format action="formatting" dxfId="1094">
      <pivotArea type="all" dataOnly="0" outline="0" fieldPosition="0"/>
    </format>
    <format action="formatting" dxfId="1093">
      <pivotArea type="normal" dataOnly="1" outline="0" collapsedLevelsAreSubtotals="1" fieldPosition="0"/>
    </format>
    <format action="formatting" dxfId="1092">
      <pivotArea field="44" type="button" dataOnly="0" labelOnly="1" outline="0" axis="axisRow" fieldPosition="0"/>
    </format>
    <format action="formatting" dxfId="1091">
      <pivotArea type="normal" dataOnly="0" labelOnly="1" outline="1" fieldPosition="0">
        <references count="1">
          <reference field="44">
            <x v="0"/>
          </reference>
        </references>
      </pivotArea>
    </format>
    <format action="formatting" dxfId="1090">
      <pivotArea type="normal" dataOnly="0" labelOnly="1" grandRow="1" outline="0" fieldPosition="0"/>
    </format>
    <format action="formatting" dxfId="1089">
      <pivotArea type="normal" dataOnly="0" labelOnly="1" outline="1" fieldPosition="0">
        <references count="2">
          <reference field="42">
            <x v="1"/>
            <x v="2"/>
          </reference>
          <reference field="44" selected="0">
            <x v="0"/>
          </reference>
        </references>
      </pivotArea>
    </format>
    <format action="formatting" dxfId="1088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1087">
      <pivotArea type="normal" dataOnly="0" labelOnly="1" grandRow="1" outline="0" fieldPosition="0"/>
    </format>
    <format action="formatting" dxfId="1086">
      <pivotArea type="normal" dataOnly="0" labelOnly="1" outline="1" fieldPosition="0">
        <references count="2">
          <reference field="42">
            <x v="1"/>
            <x v="2"/>
          </reference>
          <reference field="44" selected="0">
            <x v="0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4" type="button" dataOnly="0" labelOnly="1" outline="0" axis="axisRow" fieldPosition="0"/>
    </format>
    <format action="formatting">
      <pivotArea type="normal" dataOnly="0" labelOnly="1" grandRow="1" outline="0" fieldPosition="0"/>
    </format>
    <format action="formatting">
      <pivotArea type="normal" dataOnly="0" labelOnly="1" outline="0" axis="axisValues" fieldPosition="0"/>
    </format>
    <format action="formatting" dxfId="1085">
      <pivotArea type="normal" dataOnly="0" labelOnly="1" outline="1" fieldPosition="0">
        <references count="1">
          <reference field="44">
            <x v="0"/>
          </reference>
        </references>
      </pivotArea>
    </format>
    <format action="formatting" dxfId="1084">
      <pivotArea type="normal" dataOnly="0" labelOnly="1" outline="1" fieldPosition="0">
        <references count="2">
          <reference field="42">
            <x v="5"/>
            <x v="6"/>
            <x v="7"/>
          </reference>
          <reference field="44" selected="0">
            <x v="0"/>
          </reference>
        </references>
      </pivotArea>
    </format>
    <format action="formatting" dxfId="1083">
      <pivotArea type="normal" dataOnly="0" labelOnly="1" outline="1" fieldPosition="0">
        <references count="1">
          <reference field="44">
            <x v="0"/>
          </reference>
        </references>
      </pivotArea>
    </format>
    <format action="formatting" dxfId="1082">
      <pivotArea type="normal" dataOnly="0" labelOnly="1" outline="1" fieldPosition="0">
        <references count="2">
          <reference field="42">
            <x v="5"/>
            <x v="6"/>
            <x v="7"/>
          </reference>
          <reference field="44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Tabela dinâmica7" cacheId="147" dataOnRows="0" dataCaption="Valores" grandTotalCaption="Total Geral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4:S21" firstHeaderRow="1" firstDataRow="2" firstDataCol="1"/>
  <pivotFields count="45"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axis="axisCol" showDropDowns="1" compact="1" outline="1" subtotalTop="0" dragToRow="1" dragToCol="1" dragToPage="1" dragToData="1" dragOff="1" showAll="0" topAutoShow="1" itemPageCount="10" sortType="ascending" defaultSubtotal="1">
      <items count="11">
        <item t="data" sd="1" x="5"/>
        <item t="data" h="1" sd="1" m="1" x="9"/>
        <item t="data" sd="1" x="0"/>
        <item t="data" sd="1" x="3"/>
        <item t="data" sd="1" x="6"/>
        <item t="data" sd="1" x="1"/>
        <item t="data" sd="1" x="4"/>
        <item t="data" h="1" sd="1" x="7"/>
        <item t="data" sd="1" x="2"/>
        <item t="data" h="1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descending" defaultSubtotal="1">
      <items count="7">
        <item t="data" sd="1" x="4"/>
        <item t="data" sd="1" x="0"/>
        <item t="data" sd="1" x="1"/>
        <item t="data" sd="1" x="2"/>
        <item t="data" sd="1" m="1" x="5"/>
        <item t="data" sd="1" x="3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0" dragToRow="1" dragToCol="1" dragToPage="1" dragToData="1" dragOff="1" showAll="0" topAutoShow="1" itemPageCount="10" sortType="descending" defaultSubtotal="1">
      <items count="12">
        <item t="data" sd="1" x="0"/>
        <item t="data" sd="1" m="1" x="8"/>
        <item t="data" sd="1" m="1" x="10"/>
        <item t="data" sd="1" x="1"/>
        <item t="data" sd="1" x="2"/>
        <item t="data" h="1" sd="1" x="7"/>
        <item t="data" sd="1" x="6"/>
        <item t="data" h="1" sd="1" x="5"/>
        <item t="data" h="1" sd="1" x="4"/>
        <item t="data" h="1" sd="1" m="1" x="9"/>
        <item t="data" h="1" sd="1" x="3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2">
    <field x="42"/>
    <field x="39"/>
  </rowFields>
  <rowItems count="16">
    <i t="data" r="0" i="0">
      <x v="4"/>
    </i>
    <i t="data" r="1" i="0">
      <x v="1"/>
    </i>
    <i t="default" r="0" i="0">
      <x v="4"/>
    </i>
    <i t="data" r="0" i="0">
      <x v="3"/>
    </i>
    <i t="data" r="1" i="0">
      <x v="1"/>
    </i>
    <i t="default" r="0" i="0">
      <x v="3"/>
    </i>
    <i t="data" r="0" i="0">
      <x v="6"/>
    </i>
    <i t="data" r="1" i="0">
      <x v="1"/>
    </i>
    <i t="data" r="1" i="0">
      <x v="5"/>
    </i>
    <i t="data" r="1" i="0">
      <x v="3"/>
    </i>
    <i t="default" r="0" i="0">
      <x v="6"/>
    </i>
    <i t="data" r="0" i="0">
      <x v="0"/>
    </i>
    <i t="data" r="1" i="0">
      <x v="1"/>
    </i>
    <i t="data" r="1" i="0">
      <x v="5"/>
    </i>
    <i t="default" r="0" i="0">
      <x v="0"/>
    </i>
    <i t="grand" r="0" i="0">
      <x v="0"/>
    </i>
  </rowItems>
  <colFields count="1">
    <field x="36"/>
  </colFields>
  <colItems count="6">
    <i t="data" r="0" i="0">
      <x v="0"/>
    </i>
    <i t="data" r="0" i="0">
      <x v="2"/>
    </i>
    <i t="data" r="0" i="0">
      <x v="4"/>
    </i>
    <i t="data" r="0" i="0">
      <x v="5"/>
    </i>
    <i t="data" r="0" i="0">
      <x v="6"/>
    </i>
    <i t="grand" r="0" i="0">
      <x v="0"/>
    </i>
  </colItems>
  <dataFields count="1">
    <dataField name="Contagem de RESPONSÁVEL" fld="42" subtotal="count" showDataAs="normal" baseField="0" baseItem="0" numFmtId="3"/>
  </dataFields>
  <formats count="284">
    <format action="formatting" dxfId="299">
      <pivotArea field="39" type="button" dataOnly="0" labelOnly="1" outline="0" axis="axisRow" fieldPosition="1"/>
    </format>
    <format action="formatting" dxfId="298">
      <pivotArea type="normal" dataOnly="1" outline="0" collapsedLevelsAreSubtotals="1" fieldPosition="0"/>
    </format>
    <format action="formatting" dxfId="297">
      <pivotArea type="normal" dataOnly="0" labelOnly="1" outline="1" fieldPosition="0">
        <references count="1">
          <reference field="36">
            <x v="2"/>
            <x v="3"/>
            <x v="4"/>
            <x v="8"/>
          </reference>
        </references>
      </pivotArea>
    </format>
    <format action="formatting" dxfId="296">
      <pivotArea type="normal" dataOnly="0" labelOnly="1" grandCol="1" outline="0" fieldPosition="0"/>
    </format>
    <format action="formatting" dxfId="295">
      <pivotArea type="normal" dataOnly="0" labelOnly="1" outline="1" fieldPosition="0">
        <references count="1">
          <reference field="42"/>
        </references>
      </pivotArea>
    </format>
    <format action="formatting" dxfId="294">
      <pivotArea type="normal" dataOnly="0" labelOnly="1" outline="1" fieldPosition="0">
        <references count="1">
          <reference field="42"/>
        </references>
      </pivotArea>
    </format>
    <format action="formatting" dxfId="293">
      <pivotArea type="normal" dataOnly="0" labelOnly="1" outline="1" fieldPosition="0">
        <references count="1">
          <reference field="42"/>
        </references>
      </pivotArea>
    </format>
    <format action="formatting" dxfId="292">
      <pivotArea type="normal" dataOnly="0" labelOnly="1" outline="1" fieldPosition="0">
        <references count="1">
          <reference field="39"/>
        </references>
      </pivotArea>
    </format>
    <format action="formatting" dxfId="291">
      <pivotArea type="normal" dataOnly="0" labelOnly="1" outline="0" fieldPosition="0">
        <references count="1">
          <reference field="42"/>
        </references>
      </pivotArea>
    </format>
    <format action="formatting" dxfId="290">
      <pivotArea type="origin" dataOnly="0" labelOnly="1" outline="0" fieldPosition="0"/>
    </format>
    <format action="formatting" dxfId="289">
      <pivotArea field="42" type="button" dataOnly="0" labelOnly="1" outline="0" axis="axisRow" fieldPosition="0"/>
    </format>
    <format action="formatting" dxfId="288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287">
      <pivotArea type="normal" dataOnly="0" labelOnly="1" grandRow="1" outline="0" fieldPosition="0"/>
    </format>
    <format action="formatting">
      <pivotArea type="origin" dataOnly="0" labelOnly="1" outline="0" fieldPosition="0"/>
    </format>
    <format action="formatting">
      <pivotArea field="42" type="button" dataOnly="0" labelOnly="1" outline="0" axis="axisRow" fieldPosition="0"/>
    </format>
    <format action="formatting">
      <pivotArea type="normal" dataOnly="0" labelOnly="1" grandRow="1" outline="0" fieldPosition="0"/>
    </format>
    <format action="formatting" dxfId="286">
      <pivotArea type="normal" dataOnly="0" labelOnly="1" outline="1" fieldPosition="0">
        <references count="1">
          <reference field="42"/>
        </references>
      </pivotArea>
    </format>
    <format action="formatting" dxfId="285">
      <pivotArea type="normal" dataOnly="0" labelOnly="1" outline="1" fieldPosition="0">
        <references count="1">
          <reference field="42"/>
        </references>
      </pivotArea>
    </format>
    <format action="formatting" dxfId="284">
      <pivotArea type="normal" dataOnly="0" labelOnly="1" outline="1" fieldPosition="0">
        <references count="1">
          <reference field="42"/>
        </references>
      </pivotArea>
    </format>
    <format action="formatting" dxfId="283">
      <pivotArea type="normal" dataOnly="0" labelOnly="1" outline="1" fieldPosition="0">
        <references count="1">
          <reference field="42"/>
        </references>
      </pivotArea>
    </format>
    <format action="formatting" dxfId="282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281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280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279">
      <pivotArea type="origin" dataOnly="0" labelOnly="1" outline="0" fieldPosition="0"/>
    </format>
    <format action="formatting" dxfId="278">
      <pivotArea field="42" type="button" dataOnly="0" labelOnly="1" outline="0" axis="axisRow" fieldPosition="0"/>
    </format>
    <format action="formatting" dxfId="277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276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 dxfId="275">
      <pivotArea type="normal" dataOnly="0" labelOnly="1" grandRow="1" outline="0" fieldPosition="0"/>
    </format>
    <format action="formatting" dxfId="274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273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272">
      <pivotArea type="normal" dataOnly="0" labelOnly="1" outline="1" fieldPosition="0">
        <references count="1">
          <reference field="42" defaultSubtotal="1">
            <x v="2"/>
          </reference>
        </references>
      </pivotArea>
    </format>
    <format action="formatting" dxfId="271">
      <pivotArea type="normal" dataOnly="0" labelOnly="1" outline="1" fieldPosition="0">
        <references count="1">
          <reference field="42" defaultSubtotal="1">
            <x v="1"/>
          </reference>
        </references>
      </pivotArea>
    </format>
    <format action="formatting" dxfId="270">
      <pivotArea type="normal" dataOnly="0" labelOnly="1" outline="1" fieldPosition="0">
        <references count="1">
          <reference field="42" defaultSubtotal="1">
            <x v="4"/>
          </reference>
        </references>
      </pivotArea>
    </format>
    <format action="formatting" dxfId="269">
      <pivotArea type="normal" dataOnly="0" labelOnly="1" outline="1" fieldPosition="0">
        <references count="1">
          <reference field="42" defaultSubtotal="1">
            <x v="3"/>
          </reference>
        </references>
      </pivotArea>
    </format>
    <format action="formatting" dxfId="268">
      <pivotArea type="normal" dataOnly="0" labelOnly="1" outline="1" fieldPosition="0">
        <references count="1">
          <reference field="42" defaultSubtotal="1">
            <x v="2"/>
          </reference>
        </references>
      </pivotArea>
    </format>
    <format action="formatting" dxfId="267">
      <pivotArea type="normal" dataOnly="0" labelOnly="1" outline="1" fieldPosition="0">
        <references count="1">
          <reference field="42" defaultSubtotal="1">
            <x v="1"/>
          </reference>
        </references>
      </pivotArea>
    </format>
    <format action="formatting" dxfId="266">
      <pivotArea field="36" type="button" dataOnly="0" labelOnly="1" outline="0" axis="axisCol" fieldPosition="0"/>
    </format>
    <format action="formatting" dxfId="265">
      <pivotArea type="origin" dataOnly="0" labelOnly="1" outline="0" fieldPosition="0"/>
    </format>
    <format action="formatting" dxfId="264">
      <pivotArea type="all" dataOnly="0" outline="0" fieldPosition="0"/>
    </format>
    <format action="formatting" dxfId="263">
      <pivotArea type="normal" dataOnly="0" labelOnly="1" outline="1" fieldPosition="0">
        <references count="1">
          <reference field="42">
            <x v="1"/>
            <x v="2"/>
            <x v="3"/>
            <x v="4"/>
          </reference>
        </references>
      </pivotArea>
    </format>
    <format action="formatting" dxfId="262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 dxfId="261">
      <pivotArea type="normal" dataOnly="0" labelOnly="1" grandRow="1" outline="0" fieldPosition="0"/>
    </format>
    <format action="formatting" dxfId="260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259">
      <pivotArea type="normal" dataOnly="0" labelOnly="1" outline="1" fieldPosition="0">
        <references count="1">
          <reference field="42" defaultSubtotal="1">
            <x v="0"/>
          </reference>
        </references>
      </pivotArea>
    </format>
    <format action="formatting" dxfId="258">
      <pivotArea type="normal" dataOnly="0" labelOnly="1" outline="1" fieldPosition="0">
        <references count="1">
          <reference field="42" defaultSubtotal="1">
            <x v="0"/>
          </reference>
        </references>
      </pivotArea>
    </format>
    <format action="formatting" dxfId="257">
      <pivotArea type="normal" dataOnly="0" labelOnly="1" outline="1" fieldPosition="0">
        <references count="1">
          <reference field="42"/>
        </references>
      </pivotArea>
    </format>
    <format action="formatting" dxfId="256">
      <pivotArea type="normal" dataOnly="0" labelOnly="1" grandRow="1" outline="0" fieldPosition="0"/>
    </format>
    <format action="formatting" dxfId="255">
      <pivotArea type="all" dataOnly="0" outline="0" fieldPosition="0"/>
    </format>
    <format action="formatting" dxfId="254">
      <pivotArea type="normal" dataOnly="1" outline="0" collapsedLevelsAreSubtotals="1" fieldPosition="0"/>
    </format>
    <format action="formatting" dxfId="253">
      <pivotArea type="origin" dataOnly="0" labelOnly="1" outline="0" fieldPosition="0"/>
    </format>
    <format action="formatting" dxfId="252">
      <pivotArea field="36" type="button" dataOnly="0" labelOnly="1" outline="0" axis="axisCol" fieldPosition="0"/>
    </format>
    <format action="formatting" dxfId="251">
      <pivotArea type="topRight" dataOnly="0" labelOnly="1" outline="0" fieldPosition="0"/>
    </format>
    <format action="formatting" dxfId="250">
      <pivotArea field="42" type="button" dataOnly="0" labelOnly="1" outline="0" axis="axisRow" fieldPosition="0"/>
    </format>
    <format action="formatting" dxfId="249">
      <pivotArea type="normal" dataOnly="0" labelOnly="1" outline="1" fieldPosition="0">
        <references count="1">
          <reference field="42"/>
        </references>
      </pivotArea>
    </format>
    <format action="formatting" dxfId="248">
      <pivotArea type="normal" dataOnly="0" labelOnly="1" outline="1" fieldPosition="0">
        <references count="1">
          <reference field="42" defaultSubtotal="1"/>
        </references>
      </pivotArea>
    </format>
    <format action="formatting" dxfId="247">
      <pivotArea type="normal" dataOnly="0" labelOnly="1" grandRow="1" outline="0" fieldPosition="0"/>
    </format>
    <format action="formatting" dxfId="246">
      <pivotArea type="normal" dataOnly="0" labelOnly="1" outline="1" fieldPosition="0">
        <references count="1">
          <reference field="36"/>
        </references>
      </pivotArea>
    </format>
    <format action="formatting" dxfId="245">
      <pivotArea type="normal" dataOnly="0" labelOnly="1" grandCol="1" outline="0" fieldPosition="0"/>
    </format>
    <format action="formatting" dxfId="244">
      <pivotArea type="all" dataOnly="0" outline="0" fieldPosition="0"/>
    </format>
    <format action="formatting" dxfId="243">
      <pivotArea type="normal" dataOnly="1" outline="0" collapsedLevelsAreSubtotals="1" fieldPosition="0"/>
    </format>
    <format action="formatting" dxfId="242">
      <pivotArea type="origin" dataOnly="0" labelOnly="1" outline="0" fieldPosition="0"/>
    </format>
    <format action="formatting" dxfId="241">
      <pivotArea field="36" type="button" dataOnly="0" labelOnly="1" outline="0" axis="axisCol" fieldPosition="0"/>
    </format>
    <format action="formatting" dxfId="240">
      <pivotArea type="topRight" dataOnly="0" labelOnly="1" outline="0" fieldPosition="0"/>
    </format>
    <format action="formatting" dxfId="239">
      <pivotArea field="42" type="button" dataOnly="0" labelOnly="1" outline="0" axis="axisRow" fieldPosition="0"/>
    </format>
    <format action="formatting" dxfId="238">
      <pivotArea type="normal" dataOnly="0" labelOnly="1" outline="1" fieldPosition="0">
        <references count="1">
          <reference field="42"/>
        </references>
      </pivotArea>
    </format>
    <format action="formatting" dxfId="237">
      <pivotArea type="normal" dataOnly="0" labelOnly="1" outline="1" fieldPosition="0">
        <references count="1">
          <reference field="42" defaultSubtotal="1"/>
        </references>
      </pivotArea>
    </format>
    <format action="formatting" dxfId="236">
      <pivotArea type="normal" dataOnly="0" labelOnly="1" grandRow="1" outline="0" fieldPosition="0"/>
    </format>
    <format action="formatting" dxfId="235">
      <pivotArea type="normal" dataOnly="0" labelOnly="1" outline="1" fieldPosition="0">
        <references count="1">
          <reference field="36"/>
        </references>
      </pivotArea>
    </format>
    <format action="formatting" dxfId="234">
      <pivotArea type="normal" dataOnly="0" labelOnly="1" grandCol="1" outline="0" fieldPosition="0"/>
    </format>
    <format action="formatting" dxfId="233">
      <pivotArea type="all" dataOnly="0" outline="0" fieldPosition="0"/>
    </format>
    <format action="formatting" dxfId="232">
      <pivotArea type="normal" dataOnly="1" outline="0" collapsedLevelsAreSubtotals="1" fieldPosition="0"/>
    </format>
    <format action="formatting" dxfId="231">
      <pivotArea type="origin" dataOnly="0" labelOnly="1" outline="0" fieldPosition="0"/>
    </format>
    <format action="formatting" dxfId="230">
      <pivotArea field="36" type="button" dataOnly="0" labelOnly="1" outline="0" axis="axisCol" fieldPosition="0"/>
    </format>
    <format action="formatting" dxfId="229">
      <pivotArea type="topRight" dataOnly="0" labelOnly="1" outline="0" fieldPosition="0"/>
    </format>
    <format action="formatting" dxfId="228">
      <pivotArea field="42" type="button" dataOnly="0" labelOnly="1" outline="0" axis="axisRow" fieldPosition="0"/>
    </format>
    <format action="formatting" dxfId="227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 dxfId="226">
      <pivotArea type="normal" dataOnly="0" labelOnly="1" outline="1" fieldPosition="0">
        <references count="1">
          <reference field="42" defaultSubtotal="1">
            <x v="0"/>
            <x v="1"/>
            <x v="2"/>
            <x v="3"/>
            <x v="4"/>
          </reference>
        </references>
      </pivotArea>
    </format>
    <format action="formatting" dxfId="225">
      <pivotArea type="normal" dataOnly="0" labelOnly="1" grandRow="1" outline="0" fieldPosition="0"/>
    </format>
    <format action="formatting" dxfId="224">
      <pivotArea type="normal" dataOnly="0" labelOnly="1" outline="1" fieldPosition="0">
        <references count="1">
          <reference field="36"/>
        </references>
      </pivotArea>
    </format>
    <format action="formatting" dxfId="223">
      <pivotArea type="normal" dataOnly="0" labelOnly="1" grandCol="1" outline="0" fieldPosition="0"/>
    </format>
    <format action="formatting" dxfId="222">
      <pivotArea type="all" dataOnly="0" outline="0" fieldPosition="0"/>
    </format>
    <format action="formatting" dxfId="221">
      <pivotArea type="normal" dataOnly="1" outline="0" collapsedLevelsAreSubtotals="1" fieldPosition="0"/>
    </format>
    <format action="formatting" dxfId="220">
      <pivotArea type="origin" dataOnly="0" labelOnly="1" outline="0" fieldPosition="0"/>
    </format>
    <format action="formatting" dxfId="219">
      <pivotArea field="36" type="button" dataOnly="0" labelOnly="1" outline="0" axis="axisCol" fieldPosition="0"/>
    </format>
    <format action="formatting" dxfId="218">
      <pivotArea type="topRight" dataOnly="0" labelOnly="1" outline="0" fieldPosition="0"/>
    </format>
    <format action="formatting" dxfId="217">
      <pivotArea field="42" type="button" dataOnly="0" labelOnly="1" outline="0" axis="axisRow" fieldPosition="0"/>
    </format>
    <format action="formatting" dxfId="216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 dxfId="215">
      <pivotArea type="normal" dataOnly="0" labelOnly="1" outline="1" fieldPosition="0">
        <references count="1">
          <reference field="42" defaultSubtotal="1">
            <x v="0"/>
            <x v="1"/>
            <x v="2"/>
            <x v="3"/>
            <x v="4"/>
          </reference>
        </references>
      </pivotArea>
    </format>
    <format action="formatting" dxfId="214">
      <pivotArea type="normal" dataOnly="0" labelOnly="1" grandRow="1" outline="0" fieldPosition="0"/>
    </format>
    <format action="formatting" dxfId="213">
      <pivotArea type="normal" dataOnly="0" labelOnly="1" outline="1" fieldPosition="0">
        <references count="1">
          <reference field="36"/>
        </references>
      </pivotArea>
    </format>
    <format action="formatting" dxfId="212">
      <pivotArea type="normal" dataOnly="0" labelOnly="1" grandCol="1" outline="0" fieldPosition="0"/>
    </format>
    <format action="formatting" dxfId="211">
      <pivotArea type="all" dataOnly="0" outline="0" fieldPosition="0"/>
    </format>
    <format action="formatting" dxfId="210">
      <pivotArea type="normal" dataOnly="1" outline="0" collapsedLevelsAreSubtotals="1" fieldPosition="0"/>
    </format>
    <format action="formatting" dxfId="209">
      <pivotArea type="normal" dataOnly="0" labelOnly="1" outline="1" fieldPosition="0">
        <references count="1">
          <reference field="36"/>
        </references>
      </pivotArea>
    </format>
    <format action="formatting" dxfId="208">
      <pivotArea type="normal" dataOnly="0" labelOnly="1" grandCol="1" outline="0" fieldPosition="0"/>
    </format>
    <format action="formatting" dxfId="207">
      <pivotArea type="normal" dataOnly="0" labelOnly="1" outline="1" fieldPosition="0">
        <references count="1">
          <reference field="42"/>
        </references>
      </pivotArea>
    </format>
    <format action="formatting" dxfId="206">
      <pivotArea type="normal" dataOnly="1" outline="0" collapsedLevelsAreSubtotals="1" fieldPosition="0"/>
    </format>
    <format action="formatting" dxfId="205">
      <pivotArea type="normal" dataOnly="0" labelOnly="1" outline="1" fieldPosition="0">
        <references count="1">
          <reference field="36"/>
        </references>
      </pivotArea>
    </format>
    <format action="formatting" dxfId="204">
      <pivotArea type="normal" dataOnly="0" labelOnly="1" grandCol="1" outline="0" fieldPosition="0"/>
    </format>
    <format action="formatting" dxfId="203">
      <pivotArea type="normal" dataOnly="1" outline="0" collapsedLevelsAreSubtotals="1" fieldPosition="0"/>
    </format>
    <format action="formatting" dxfId="202">
      <pivotArea type="normal" dataOnly="0" labelOnly="1" outline="1" fieldPosition="0">
        <references count="1">
          <reference field="36"/>
        </references>
      </pivotArea>
    </format>
    <format action="formatting" dxfId="201">
      <pivotArea type="normal" dataOnly="0" labelOnly="1" grandCol="1" outline="0" fieldPosition="0"/>
    </format>
    <format action="formatting" dxfId="200">
      <pivotArea type="normal" dataOnly="1" outline="0" collapsedLevelsAreSubtotals="1" fieldPosition="0"/>
    </format>
    <format action="formatting" dxfId="199">
      <pivotArea type="normal" dataOnly="0" labelOnly="1" outline="1" fieldPosition="0">
        <references count="1">
          <reference field="36"/>
        </references>
      </pivotArea>
    </format>
    <format action="formatting" dxfId="198">
      <pivotArea type="normal" dataOnly="0" labelOnly="1" grandCol="1" outline="0" fieldPosition="0"/>
    </format>
    <format action="formatting" dxfId="197">
      <pivotArea type="all" dataOnly="0" outline="0" fieldPosition="0"/>
    </format>
    <format action="formatting" dxfId="196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/>
        </references>
      </pivotArea>
    </format>
    <format action="formatting" dxfId="195">
      <pivotArea type="normal" dataOnly="0" labelOnly="1" outline="1" fieldPosition="0">
        <references count="1">
          <reference field="42"/>
        </references>
      </pivotArea>
    </format>
    <format action="formatting" dxfId="194">
      <pivotArea type="all" dataOnly="0" outline="0" fieldPosition="0"/>
    </format>
    <format action="formatting" dxfId="193">
      <pivotArea type="normal" dataOnly="1" outline="0" collapsedLevelsAreSubtotals="1" fieldPosition="0"/>
    </format>
    <format action="formatting" dxfId="192">
      <pivotArea type="origin" dataOnly="0" labelOnly="1" outline="0" fieldPosition="0"/>
    </format>
    <format action="formatting" dxfId="191">
      <pivotArea field="36" type="button" dataOnly="0" labelOnly="1" outline="0" axis="axisCol" fieldPosition="0"/>
    </format>
    <format action="formatting" dxfId="190">
      <pivotArea type="topRight" dataOnly="0" labelOnly="1" outline="0" fieldPosition="0"/>
    </format>
    <format action="formatting" dxfId="189">
      <pivotArea field="42" type="button" dataOnly="0" labelOnly="1" outline="0" axis="axisRow" fieldPosition="0"/>
    </format>
    <format action="formatting" dxfId="188">
      <pivotArea type="normal" dataOnly="0" labelOnly="1" outline="1" fieldPosition="0">
        <references count="1">
          <reference field="42"/>
        </references>
      </pivotArea>
    </format>
    <format action="formatting" dxfId="187">
      <pivotArea type="normal" dataOnly="0" labelOnly="1" outline="1" fieldPosition="0">
        <references count="1">
          <reference field="42" defaultSubtotal="1"/>
        </references>
      </pivotArea>
    </format>
    <format action="formatting" dxfId="186">
      <pivotArea type="normal" dataOnly="0" labelOnly="1" grandRow="1" outline="0" fieldPosition="0"/>
    </format>
    <format action="formatting" dxfId="185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184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2"/>
          </reference>
        </references>
      </pivotArea>
    </format>
    <format action="formatting" dxfId="183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182">
      <pivotArea type="normal" dataOnly="0" labelOnly="1" outline="1" fieldPosition="0">
        <references count="2">
          <reference field="39">
            <x v="2"/>
            <x v="4"/>
          </reference>
          <reference field="42" selected="0">
            <x v="0"/>
          </reference>
        </references>
      </pivotArea>
    </format>
    <format action="formatting" dxfId="181">
      <pivotArea type="normal" dataOnly="0" labelOnly="1" outline="1" fieldPosition="0">
        <references count="1">
          <reference field="36"/>
        </references>
      </pivotArea>
    </format>
    <format action="formatting" dxfId="180">
      <pivotArea type="normal" dataOnly="0" labelOnly="1" grandCol="1" outline="0" fieldPosition="0"/>
    </format>
    <format action="formatting">
      <pivotArea type="all" dataOnly="0" outline="0" fieldPosition="0"/>
    </format>
    <format action="formatting" dxfId="179">
      <pivotArea type="origin" dataOnly="0" labelOnly="1" outline="0" fieldPosition="0"/>
    </format>
    <format action="formatting" dxfId="178">
      <pivotArea field="36" type="button" dataOnly="0" labelOnly="1" outline="0" axis="axisCol" fieldPosition="0"/>
    </format>
    <format action="formatting" dxfId="177">
      <pivotArea type="normal" dataOnly="0" labelOnly="1" outline="1" fieldPosition="0">
        <references count="1">
          <reference field="42"/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 defaultSubtotal="1">
            <x v="1"/>
            <x v="2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176">
      <pivotArea type="normal" dataOnly="0" labelOnly="1" grandCol="1" outline="0" fieldPosition="0"/>
    </format>
    <format action="formatting" dxfId="175">
      <pivotArea type="normal" dataOnly="1" outline="1" collapsedLevelsAreSubtotals="1" fieldPosition="0">
        <references count="1">
          <reference field="42">
            <x v="1"/>
          </reference>
        </references>
      </pivotArea>
    </format>
    <format action="formatting" dxfId="174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173">
      <pivotArea type="normal" dataOnly="1" outline="1" collapsedLevelsAreSubtotals="1" fieldPosition="0">
        <references count="2">
          <reference field="39">
            <x v="4"/>
          </reference>
          <reference field="42" selected="0">
            <x v="0"/>
          </reference>
        </references>
      </pivotArea>
    </format>
    <format action="formatting" dxfId="172">
      <pivotArea type="normal" dataOnly="1" outline="1" collapsedLevelsAreSubtotals="1" fieldPosition="0">
        <references count="2">
          <reference field="39">
            <x v="1"/>
            <x v="4"/>
          </reference>
          <reference field="42" selected="0">
            <x v="1"/>
          </reference>
        </references>
      </pivotArea>
    </format>
    <format action="formatting" dxfId="171">
      <pivotArea type="normal" dataOnly="1" outline="1" collapsedLevelsAreSubtotals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170">
      <pivotArea type="normal" dataOnly="1" outline="1" collapsedLevelsAreSubtotals="1" fieldPosition="0">
        <references count="1">
          <reference field="42">
            <x v="0"/>
          </reference>
        </references>
      </pivotArea>
    </format>
    <format action="formatting" dxfId="169">
      <pivotArea type="normal" dataOnly="1" outline="1" collapsedLevelsAreSubtotals="1" fieldPosition="0">
        <references count="2">
          <reference field="39">
            <x v="2"/>
          </reference>
          <reference field="42" selected="0">
            <x v="0"/>
          </reference>
        </references>
      </pivotArea>
    </format>
    <format action="formatting" dxfId="168">
      <pivotArea type="normal" dataOnly="1" outline="1" collapsedLevelsAreSubtotals="1" fieldPosition="0">
        <references count="3">
          <reference field="36" selected="0">
            <x v="4"/>
            <x v="5"/>
          </reference>
          <reference field="39">
            <x v="4"/>
          </reference>
          <reference field="42" selected="0">
            <x v="0"/>
          </reference>
        </references>
      </pivotArea>
    </format>
    <format action="formatting" dxfId="167">
      <pivotArea type="normal" dataOnly="1" outline="1" collapsedLevelsAreSubtotals="1" fieldPosition="0">
        <references count="3">
          <reference field="36" selected="0">
            <x v="0"/>
            <x v="2"/>
            <x v="3"/>
            <x v="4"/>
            <x v="6"/>
            <x v="8"/>
          </reference>
          <reference field="39">
            <x v="4"/>
          </reference>
          <reference field="42" selected="0">
            <x v="0"/>
          </reference>
        </references>
      </pivotArea>
    </format>
    <format action="formatting" dxfId="166">
      <pivotArea type="normal" dataOnly="1" outline="0" collapsedLevelsAreSubtotals="1" fieldPosition="0">
        <references count="1">
          <reference field="36" selected="0"/>
        </references>
      </pivotArea>
    </format>
    <format action="formatting" dxfId="165">
      <pivotArea type="normal" dataOnly="1" outline="1" collapsedLevelsAreSubtotals="1" fieldPosition="0">
        <references count="2">
          <reference field="36" selected="0"/>
          <reference field="42">
            <x v="3"/>
          </reference>
        </references>
      </pivotArea>
    </format>
    <format action="formatting" dxfId="164">
      <pivotArea type="normal" dataOnly="1" outline="1" collapsedLevelsAreSubtotals="1" fieldPosition="0">
        <references count="1">
          <reference field="42" defaultSubtotal="1">
            <x v="4"/>
          </reference>
        </references>
      </pivotArea>
    </format>
    <format action="formatting" dxfId="163">
      <pivotArea type="normal" dataOnly="1" outline="1" collapsedLevelsAreSubtotals="1" fieldPosition="0">
        <references count="3">
          <reference field="36" selected="0"/>
          <reference field="39">
            <x v="1"/>
            <x v="2"/>
            <x v="3"/>
          </reference>
          <reference field="42" selected="0">
            <x v="3"/>
          </reference>
        </references>
      </pivotArea>
    </format>
    <format action="formatting" dxfId="162">
      <pivotArea type="normal" dataOnly="1" outline="1" collapsedLevelsAreSubtotals="1" fieldPosition="0">
        <references count="1">
          <reference field="42" defaultSubtotal="1">
            <x v="2"/>
          </reference>
        </references>
      </pivotArea>
    </format>
    <format action="formatting" dxfId="161">
      <pivotArea type="normal" dataOnly="1" outline="1" collapsedLevelsAreSubtotals="1" fieldPosition="0">
        <references count="1">
          <reference field="42" defaultSubtotal="1">
            <x v="6"/>
          </reference>
        </references>
      </pivotArea>
    </format>
    <format action="formatting" dxfId="160">
      <pivotArea type="normal" dataOnly="1" outline="1" collapsedLevelsAreSubtotals="1" fieldPosition="0">
        <references count="1">
          <reference field="42" defaultSubtotal="1">
            <x v="1"/>
          </reference>
        </references>
      </pivotArea>
    </format>
    <format action="formatting" dxfId="159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158">
      <pivotArea type="normal" dataOnly="1" outline="1" collapsedLevelsAreSubtotals="1" fieldPosition="0">
        <references count="1">
          <reference field="42" defaultSubtotal="1">
            <x v="3"/>
          </reference>
        </references>
      </pivotArea>
    </format>
    <format action="formatting" dxfId="157">
      <pivotArea type="normal" dataOnly="1" grandRow="1" outline="0" collapsedLevelsAreSubtotals="1" fieldPosition="0"/>
    </format>
    <format action="formatting" dxfId="156">
      <pivotArea type="normal" dataOnly="0" labelOnly="1" outline="1" fieldPosition="0">
        <references count="1">
          <reference field="42" defaultSubtotal="1">
            <x v="6"/>
          </reference>
        </references>
      </pivotArea>
    </format>
    <format action="formatting" dxfId="155">
      <pivotArea type="all" dataOnly="0" outline="0" fieldPosition="0"/>
    </format>
    <format action="formatting" dxfId="154">
      <pivotArea type="normal" dataOnly="1" outline="0" collapsedLevelsAreSubtotals="1" fieldPosition="0"/>
    </format>
    <format action="formatting" dxfId="153">
      <pivotArea field="36" type="button" dataOnly="0" labelOnly="1" outline="0" axis="axisCol" fieldPosition="0"/>
    </format>
    <format action="formatting" dxfId="152">
      <pivotArea type="topRight" dataOnly="0" labelOnly="1" outline="0" fieldPosition="0"/>
    </format>
    <format action="formatting" dxfId="151">
      <pivotArea type="normal" dataOnly="0" labelOnly="1" outline="1" fieldPosition="0">
        <references count="1">
          <reference field="36"/>
        </references>
      </pivotArea>
    </format>
    <format action="formatting" dxfId="150">
      <pivotArea type="normal" dataOnly="0" labelOnly="1" grandCol="1" outline="0" fieldPosition="0"/>
    </format>
    <format action="formatting" dxfId="149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148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147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2"/>
          </reference>
        </references>
      </pivotArea>
    </format>
    <format action="formatting" dxfId="146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2"/>
          </reference>
        </references>
      </pivotArea>
    </format>
    <format action="formatting" dxfId="145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144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143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4"/>
          </reference>
        </references>
      </pivotArea>
    </format>
    <format action="formatting" dxfId="142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0"/>
          </reference>
        </references>
      </pivotArea>
    </format>
    <format action="formatting" dxfId="141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2"/>
          </reference>
        </references>
      </pivotArea>
    </format>
    <format action="formatting" dxfId="140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139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4"/>
          </reference>
        </references>
      </pivotArea>
    </format>
    <format action="formatting" dxfId="138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0"/>
          </reference>
        </references>
      </pivotArea>
    </format>
    <format action="formatting" dxfId="137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2"/>
          </reference>
        </references>
      </pivotArea>
    </format>
    <format action="formatting" dxfId="136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135">
      <pivotArea type="origin" dataOnly="0" labelOnly="1" outline="0" fieldPosition="0"/>
    </format>
    <format action="formatting" dxfId="134">
      <pivotArea field="42" type="button" dataOnly="0" labelOnly="1" outline="0" axis="axisRow" fieldPosition="0"/>
    </format>
    <format action="formatting" dxfId="133">
      <pivotArea type="normal" dataOnly="0" labelOnly="1" outline="1" fieldPosition="0">
        <references count="1">
          <reference field="42"/>
        </references>
      </pivotArea>
    </format>
    <format action="formatting" dxfId="132">
      <pivotArea type="normal" dataOnly="0" labelOnly="1" outline="1" fieldPosition="0">
        <references count="1">
          <reference field="42" defaultSubtotal="1"/>
        </references>
      </pivotArea>
    </format>
    <format action="formatting" dxfId="131">
      <pivotArea type="normal" dataOnly="0" labelOnly="1" grandRow="1" outline="0" fieldPosition="0"/>
    </format>
    <format action="formatting" dxfId="130">
      <pivotArea type="normal" dataOnly="0" labelOnly="1" outline="1" fieldPosition="0">
        <references count="2">
          <reference field="39">
            <x v="1"/>
            <x v="2"/>
            <x v="4"/>
            <x v="5"/>
          </reference>
          <reference field="42" selected="0">
            <x v="4"/>
          </reference>
        </references>
      </pivotArea>
    </format>
    <format action="formatting" dxfId="129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128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2"/>
          </reference>
        </references>
      </pivotArea>
    </format>
    <format action="formatting" dxfId="127">
      <pivotArea type="origin" dataOnly="0" labelOnly="1" outline="0" fieldPosition="0"/>
    </format>
    <format action="formatting" dxfId="126">
      <pivotArea field="42" type="button" dataOnly="0" labelOnly="1" outline="0" axis="axisRow" fieldPosition="0"/>
    </format>
    <format action="formatting" dxfId="125">
      <pivotArea type="normal" dataOnly="0" labelOnly="1" outline="1" fieldPosition="0">
        <references count="1">
          <reference field="42"/>
        </references>
      </pivotArea>
    </format>
    <format action="formatting" dxfId="124">
      <pivotArea type="normal" dataOnly="0" labelOnly="1" outline="1" fieldPosition="0">
        <references count="1">
          <reference field="42" defaultSubtotal="1"/>
        </references>
      </pivotArea>
    </format>
    <format action="formatting" dxfId="123">
      <pivotArea type="normal" dataOnly="0" labelOnly="1" grandRow="1" outline="0" fieldPosition="0"/>
    </format>
    <format action="formatting" dxfId="122">
      <pivotArea type="normal" dataOnly="0" labelOnly="1" outline="1" fieldPosition="0">
        <references count="2">
          <reference field="39">
            <x v="1"/>
            <x v="2"/>
            <x v="4"/>
            <x v="5"/>
          </reference>
          <reference field="42" selected="0">
            <x v="4"/>
          </reference>
        </references>
      </pivotArea>
    </format>
    <format action="formatting" dxfId="121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120">
      <pivotArea type="normal" dataOnly="0" labelOnly="1" outline="1" fieldPosition="0">
        <references count="2">
          <reference field="39">
            <x v="1"/>
            <x v="4"/>
          </reference>
          <reference field="42" selected="0">
            <x v="2"/>
          </reference>
        </references>
      </pivotArea>
    </format>
    <format action="formatting" dxfId="119">
      <pivotArea type="all" dataOnly="0" outline="0" fieldPosition="0"/>
    </format>
    <format action="formatting" dxfId="118">
      <pivotArea type="normal" dataOnly="1" outline="0" collapsedLevelsAreSubtotals="1" fieldPosition="0"/>
    </format>
    <format action="formatting" dxfId="117">
      <pivotArea type="origin" dataOnly="0" labelOnly="1" outline="0" fieldPosition="0"/>
    </format>
    <format action="formatting" dxfId="116">
      <pivotArea field="36" type="button" dataOnly="0" labelOnly="1" outline="0" axis="axisCol" fieldPosition="0"/>
    </format>
    <format action="formatting" dxfId="115">
      <pivotArea type="topRight" dataOnly="0" labelOnly="1" outline="0" fieldPosition="0"/>
    </format>
    <format action="formatting" dxfId="114">
      <pivotArea field="42" type="button" dataOnly="0" labelOnly="1" outline="0" axis="axisRow" fieldPosition="0"/>
    </format>
    <format action="formatting" dxfId="113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 dxfId="112">
      <pivotArea type="normal" dataOnly="0" labelOnly="1" outline="1" fieldPosition="0">
        <references count="1">
          <reference field="42" defaultSubtotal="1">
            <x v="0"/>
            <x v="1"/>
            <x v="3"/>
            <x v="4"/>
          </reference>
        </references>
      </pivotArea>
    </format>
    <format action="formatting" dxfId="111">
      <pivotArea type="normal" dataOnly="0" labelOnly="1" grandRow="1" outline="0" fieldPosition="0"/>
    </format>
    <format action="formatting" dxfId="110">
      <pivotArea type="normal" dataOnly="0" labelOnly="1" outline="1" fieldPosition="0">
        <references count="2">
          <reference field="39">
            <x v="1"/>
            <x v="2"/>
            <x v="4"/>
          </reference>
          <reference field="42" selected="0">
            <x v="4"/>
          </reference>
        </references>
      </pivotArea>
    </format>
    <format action="formatting" dxfId="109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 dxfId="108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107">
      <pivotArea type="normal" dataOnly="0" labelOnly="1" outline="1" fieldPosition="0">
        <references count="2">
          <reference field="39">
            <x v="4"/>
          </reference>
          <reference field="42" selected="0">
            <x v="1"/>
          </reference>
        </references>
      </pivotArea>
    </format>
    <format action="formatting" dxfId="106">
      <pivotArea type="normal" dataOnly="0" labelOnly="1" outline="1" fieldPosition="0">
        <references count="1">
          <reference field="36">
            <x v="0"/>
            <x v="3"/>
            <x v="5"/>
            <x v="6"/>
            <x v="8"/>
          </reference>
        </references>
      </pivotArea>
    </format>
    <format action="formatting" dxfId="105">
      <pivotArea type="normal" dataOnly="0" labelOnly="1" grandCol="1" outline="0" fieldPosition="0"/>
    </format>
    <format action="formatting" dxfId="104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 dxfId="103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2"/>
            <x v="3"/>
            <x v="5"/>
          </reference>
          <reference field="42" selected="0">
            <x v="0"/>
          </reference>
        </references>
      </pivotArea>
    </format>
    <format action="formatting" dxfId="102">
      <pivotArea type="normal" dataOnly="0" labelOnly="1" outline="1" fieldPosition="0">
        <references count="1">
          <reference field="42">
            <x v="4"/>
          </reference>
        </references>
      </pivotArea>
    </format>
    <format action="formatting" dxfId="101">
      <pivotArea type="normal" dataOnly="0" labelOnly="1" outline="1" fieldPosition="0">
        <references count="1">
          <reference field="42">
            <x v="3"/>
          </reference>
        </references>
      </pivotArea>
    </format>
    <format action="formatting" dxfId="100">
      <pivotArea type="normal" dataOnly="0" labelOnly="1" outline="1" fieldPosition="0">
        <references count="1">
          <reference field="42">
            <x v="0"/>
          </reference>
        </references>
      </pivotArea>
    </format>
    <format action="formatting" dxfId="99">
      <pivotArea type="normal" dataOnly="0" labelOnly="1" outline="1" fieldPosition="0">
        <references count="1">
          <reference field="42">
            <x v="6"/>
          </reference>
        </references>
      </pivotArea>
    </format>
    <format action="formatting" dxfId="98">
      <pivotArea type="normal" dataOnly="0" labelOnly="1" outline="1" fieldPosition="0">
        <references count="1">
          <reference field="42">
            <x v="1"/>
          </reference>
        </references>
      </pivotArea>
    </format>
    <format action="formatting" dxfId="97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3"/>
          </reference>
        </references>
      </pivotArea>
    </format>
    <format action="formatting" dxfId="96">
      <pivotArea type="normal" dataOnly="1" outline="1" collapsedLevelsAreSubtotals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95">
      <pivotArea type="normal" dataOnly="1" outline="1" collapsedLevelsAreSubtotals="1" fieldPosition="0">
        <references count="1">
          <reference field="42" defaultSubtotal="1">
            <x v="4"/>
          </reference>
        </references>
      </pivotArea>
    </format>
    <format action="formatting" dxfId="94">
      <pivotArea type="normal" dataOnly="1" outline="1" collapsedLevelsAreSubtotals="1" fieldPosition="0">
        <references count="1">
          <reference field="42">
            <x v="0"/>
          </reference>
        </references>
      </pivotArea>
    </format>
    <format action="formatting" dxfId="93">
      <pivotArea type="normal" dataOnly="1" outline="1" collapsedLevelsAreSubtotals="1" fieldPosition="0">
        <references count="2">
          <reference field="39">
            <x v="1"/>
            <x v="2"/>
            <x v="3"/>
            <x v="4"/>
          </reference>
          <reference field="42" selected="0">
            <x v="0"/>
          </reference>
        </references>
      </pivotArea>
    </format>
    <format action="formatting" dxfId="92">
      <pivotArea type="normal" dataOnly="1" outline="1" collapsedLevelsAreSubtotals="1" fieldPosition="0">
        <references count="1">
          <reference field="42" defaultSubtotal="1">
            <x v="0"/>
          </reference>
        </references>
      </pivotArea>
    </format>
    <format action="formatting" dxfId="91">
      <pivotArea type="normal" dataOnly="1" outline="1" collapsedLevelsAreSubtotals="1" fieldPosition="0">
        <references count="1">
          <reference field="42">
            <x v="1"/>
          </reference>
        </references>
      </pivotArea>
    </format>
    <format action="formatting" dxfId="90">
      <pivotArea type="normal" dataOnly="1" outline="1" collapsedLevelsAreSubtotals="1" fieldPosition="0">
        <references count="2">
          <reference field="39">
            <x v="4"/>
          </reference>
          <reference field="42" selected="0">
            <x v="1"/>
          </reference>
        </references>
      </pivotArea>
    </format>
    <format action="formatting" dxfId="89">
      <pivotArea type="normal" dataOnly="1" outline="1" collapsedLevelsAreSubtotals="1" fieldPosition="0">
        <references count="1">
          <reference field="42" defaultSubtotal="1">
            <x v="1"/>
          </reference>
        </references>
      </pivotArea>
    </format>
    <format action="formatting" dxfId="88">
      <pivotArea type="normal" dataOnly="1" outline="1" collapsedLevelsAreSubtotals="1" fieldPosition="0">
        <references count="1">
          <reference field="42">
            <x v="6"/>
          </reference>
        </references>
      </pivotArea>
    </format>
    <format action="formatting" dxfId="87">
      <pivotArea type="normal" dataOnly="1" outline="1" collapsedLevelsAreSubtotals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86">
      <pivotArea type="normal" dataOnly="1" outline="1" collapsedLevelsAreSubtotals="1" fieldPosition="0">
        <references count="1">
          <reference field="42" defaultSubtotal="1">
            <x v="6"/>
          </reference>
        </references>
      </pivotArea>
    </format>
    <format action="formatting" dxfId="85">
      <pivotArea type="normal" dataOnly="1" outline="1" collapsedLevelsAreSubtotals="1" fieldPosition="0">
        <references count="1">
          <reference field="42">
            <x v="3"/>
          </reference>
        </references>
      </pivotArea>
    </format>
    <format action="formatting" dxfId="84">
      <pivotArea type="normal" dataOnly="1" outline="1" collapsedLevelsAreSubtotals="1" fieldPosition="0">
        <references count="2">
          <reference field="39">
            <x v="1"/>
          </reference>
          <reference field="42" selected="0">
            <x v="3"/>
          </reference>
        </references>
      </pivotArea>
    </format>
    <format action="formatting" dxfId="83">
      <pivotArea type="normal" dataOnly="1" outline="1" collapsedLevelsAreSubtotals="1" fieldPosition="0">
        <references count="1">
          <reference field="42" defaultSubtotal="1">
            <x v="3"/>
          </reference>
        </references>
      </pivotArea>
    </format>
    <format action="formatting" dxfId="82">
      <pivotArea type="normal" dataOnly="1" grandRow="1" outline="0" collapsedLevelsAreSubtotals="1" fieldPosition="0"/>
    </format>
    <format action="formatting" dxfId="81">
      <pivotArea type="normal" dataOnly="0" labelOnly="1" outline="1" fieldPosition="0">
        <references count="1">
          <reference field="42"/>
        </references>
      </pivotArea>
    </format>
    <format action="formatting" dxfId="80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79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78">
      <pivotArea type="normal" dataOnly="0" labelOnly="1" outline="1" fieldPosition="0">
        <references count="1">
          <reference field="42"/>
        </references>
      </pivotArea>
    </format>
    <format action="formatting" dxfId="77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3"/>
          </reference>
        </references>
      </pivotArea>
    </format>
    <format action="formatting" dxfId="76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6"/>
          </reference>
        </references>
      </pivotArea>
    </format>
    <format action="formatting" dxfId="75">
      <pivotArea type="normal" dataOnly="0" labelOnly="1" outline="1" fieldPosition="0">
        <references count="1">
          <reference field="42">
            <x v="2"/>
          </reference>
        </references>
      </pivotArea>
    </format>
    <format action="formatting" dxfId="74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73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6"/>
          </reference>
        </references>
      </pivotArea>
    </format>
    <format action="formatting" dxfId="72">
      <pivotArea type="normal" dataOnly="0" labelOnly="1" outline="1" fieldPosition="0">
        <references count="2">
          <reference field="39">
            <x v="1"/>
            <x v="2"/>
            <x v="3"/>
            <x v="4"/>
            <x v="5"/>
          </reference>
          <reference field="42" selected="0">
            <x v="4"/>
          </reference>
        </references>
      </pivotArea>
    </format>
    <format action="formatting" dxfId="71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6"/>
          </reference>
        </references>
      </pivotArea>
    </format>
    <format action="formatting" dxfId="70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4"/>
          </reference>
        </references>
      </pivotArea>
    </format>
    <format action="formatting" dxfId="69">
      <pivotArea type="normal" dataOnly="0" labelOnly="1" outline="1" fieldPosition="0">
        <references count="2">
          <reference field="39">
            <x v="1"/>
            <x v="2"/>
            <x v="3"/>
            <x v="4"/>
          </reference>
          <reference field="42" selected="0">
            <x v="0"/>
          </reference>
        </references>
      </pivotArea>
    </format>
    <format action="formatting" dxfId="68">
      <pivotArea type="normal" dataOnly="0" labelOnly="1" outline="1" fieldPosition="0">
        <references count="2">
          <reference field="39">
            <x v="1"/>
            <x v="2"/>
            <x v="3"/>
          </reference>
          <reference field="42" selected="0">
            <x v="6"/>
          </reference>
        </references>
      </pivotArea>
    </format>
    <format action="formatting" dxfId="67">
      <pivotArea type="normal" dataOnly="0" labelOnly="1" outline="1" fieldPosition="0">
        <references count="2">
          <reference field="39">
            <x v="1"/>
            <x v="3"/>
            <x v="4"/>
          </reference>
          <reference field="42" selected="0">
            <x v="6"/>
          </reference>
        </references>
      </pivotArea>
    </format>
    <format action="formatting" dxfId="66">
      <pivotArea type="normal" dataOnly="0" labelOnly="1" outline="1" fieldPosition="0">
        <references count="2">
          <reference field="39">
            <x v="1"/>
            <x v="3"/>
            <x v="4"/>
          </reference>
          <reference field="42" selected="0">
            <x v="6"/>
          </reference>
        </references>
      </pivotArea>
    </format>
    <format action="formatting" dxfId="65">
      <pivotArea type="normal" dataOnly="0" labelOnly="1" outline="1" fieldPosition="0">
        <references count="2">
          <reference field="39">
            <x v="1"/>
            <x v="3"/>
            <x v="5"/>
          </reference>
          <reference field="42" selected="0">
            <x v="4"/>
          </reference>
        </references>
      </pivotArea>
    </format>
    <format action="formatting" dxfId="64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6"/>
          </reference>
        </references>
      </pivotArea>
    </format>
    <format action="formatting" dxfId="63">
      <pivotArea type="normal" dataOnly="0" labelOnly="1" outline="1" fieldPosition="0">
        <references count="2">
          <reference field="39">
            <x v="3"/>
            <x v="4"/>
          </reference>
          <reference field="42" selected="0">
            <x v="0"/>
          </reference>
        </references>
      </pivotArea>
    </format>
    <format action="formatting" dxfId="62">
      <pivotArea type="normal" dataOnly="0" labelOnly="1" outline="1" fieldPosition="0">
        <references count="2">
          <reference field="39">
            <x v="1"/>
            <x v="3"/>
            <x v="5"/>
          </reference>
          <reference field="42" selected="0">
            <x v="4"/>
          </reference>
        </references>
      </pivotArea>
    </format>
    <format action="formatting" dxfId="61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6"/>
          </reference>
        </references>
      </pivotArea>
    </format>
    <format action="formatting" dxfId="60">
      <pivotArea type="normal" dataOnly="0" labelOnly="1" outline="1" fieldPosition="0">
        <references count="2">
          <reference field="39">
            <x v="3"/>
            <x v="4"/>
          </reference>
          <reference field="42" selected="0">
            <x v="0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2">
          <reference field="39">
            <x v="1"/>
            <x v="3"/>
            <x v="5"/>
          </reference>
          <reference field="42" selected="0">
            <x v="4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1"/>
            <x v="3"/>
          </reference>
          <reference field="42" selected="0">
            <x v="6"/>
          </reference>
        </references>
      </pivotArea>
    </format>
    <format action="formatting">
      <pivotArea type="normal" dataOnly="0" labelOnly="1" outline="1" fieldPosition="0">
        <references count="2">
          <reference field="39">
            <x v="1"/>
            <x v="3"/>
            <x v="4"/>
          </reference>
          <reference field="42" selected="0">
            <x v="0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59">
      <pivotArea type="origin" dataOnly="0" labelOnly="1" outline="0" fieldPosition="0"/>
    </format>
    <format action="formatting" dxfId="58">
      <pivotArea field="42" type="button" dataOnly="0" labelOnly="1" outline="0" axis="axisRow" fieldPosition="0"/>
    </format>
    <format action="formatting" dxfId="57">
      <pivotArea type="normal" dataOnly="0" labelOnly="1" outline="1" fieldPosition="0">
        <references count="1">
          <reference field="42"/>
        </references>
      </pivotArea>
    </format>
    <format action="formatting" dxfId="56">
      <pivotArea type="normal" dataOnly="0" labelOnly="1" outline="1" fieldPosition="0">
        <references count="1">
          <reference field="42" defaultSubtotal="1"/>
        </references>
      </pivotArea>
    </format>
    <format action="formatting" dxfId="55">
      <pivotArea type="normal" dataOnly="0" labelOnly="1" grandRow="1" outline="0" fieldPosition="0"/>
    </format>
    <format action="formatting" dxfId="54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53">
      <pivotArea type="normal" dataOnly="0" labelOnly="1" outline="1" fieldPosition="0">
        <references count="2">
          <reference field="39">
            <x v="1"/>
            <x v="4"/>
            <x v="5"/>
          </reference>
          <reference field="42" selected="0">
            <x v="4"/>
          </reference>
        </references>
      </pivotArea>
    </format>
    <format action="formatting" dxfId="52">
      <pivotArea type="normal" dataOnly="0" labelOnly="1" outline="1" fieldPosition="0">
        <references count="2">
          <reference field="39">
            <x v="1"/>
          </reference>
          <reference field="42" selected="0">
            <x v="3"/>
          </reference>
        </references>
      </pivotArea>
    </format>
    <format action="formatting" dxfId="51">
      <pivotArea type="normal" dataOnly="0" labelOnly="1" outline="1" fieldPosition="0">
        <references count="2">
          <reference field="39">
            <x v="1"/>
            <x v="4"/>
            <x v="5"/>
          </reference>
          <reference field="42" selected="0">
            <x v="6"/>
          </reference>
        </references>
      </pivotArea>
    </format>
    <format action="formatting" dxfId="50">
      <pivotArea type="normal" dataOnly="0" labelOnly="1" outline="1" fieldPosition="0">
        <references count="2">
          <reference field="39">
            <x v="1"/>
            <x v="2"/>
            <x v="4"/>
          </reference>
          <reference field="42" selected="0">
            <x v="0"/>
          </reference>
        </references>
      </pivotArea>
    </format>
    <format action="formatting" dxfId="49">
      <pivotArea type="origin" dataOnly="0" labelOnly="1" outline="0" fieldPosition="0"/>
    </format>
    <format action="formatting" dxfId="48">
      <pivotArea field="42" type="button" dataOnly="0" labelOnly="1" outline="0" axis="axisRow" fieldPosition="0"/>
    </format>
    <format action="formatting" dxfId="47">
      <pivotArea type="normal" dataOnly="0" labelOnly="1" outline="1" fieldPosition="0">
        <references count="1">
          <reference field="42"/>
        </references>
      </pivotArea>
    </format>
    <format action="formatting" dxfId="46">
      <pivotArea type="normal" dataOnly="0" labelOnly="1" outline="1" fieldPosition="0">
        <references count="1">
          <reference field="42" defaultSubtotal="1"/>
        </references>
      </pivotArea>
    </format>
    <format action="formatting" dxfId="45">
      <pivotArea type="normal" dataOnly="0" labelOnly="1" grandRow="1" outline="0" fieldPosition="0"/>
    </format>
    <format action="formatting" dxfId="44">
      <pivotArea type="normal" dataOnly="0" labelOnly="1" outline="1" fieldPosition="0">
        <references count="2">
          <reference field="39">
            <x v="4"/>
            <x v="5"/>
          </reference>
          <reference field="42" selected="0">
            <x v="1"/>
          </reference>
        </references>
      </pivotArea>
    </format>
    <format action="formatting" dxfId="43">
      <pivotArea type="normal" dataOnly="0" labelOnly="1" outline="1" fieldPosition="0">
        <references count="2">
          <reference field="39">
            <x v="1"/>
            <x v="4"/>
            <x v="5"/>
          </reference>
          <reference field="42" selected="0">
            <x v="4"/>
          </reference>
        </references>
      </pivotArea>
    </format>
    <format action="formatting" dxfId="42">
      <pivotArea type="normal" dataOnly="0" labelOnly="1" outline="1" fieldPosition="0">
        <references count="2">
          <reference field="39">
            <x v="1"/>
          </reference>
          <reference field="42" selected="0">
            <x v="3"/>
          </reference>
        </references>
      </pivotArea>
    </format>
    <format action="formatting" dxfId="41">
      <pivotArea type="normal" dataOnly="0" labelOnly="1" outline="1" fieldPosition="0">
        <references count="2">
          <reference field="39">
            <x v="1"/>
            <x v="4"/>
            <x v="5"/>
          </reference>
          <reference field="42" selected="0">
            <x v="6"/>
          </reference>
        </references>
      </pivotArea>
    </format>
    <format action="formatting" dxfId="40">
      <pivotArea type="normal" dataOnly="0" labelOnly="1" outline="1" fieldPosition="0">
        <references count="2">
          <reference field="39">
            <x v="1"/>
            <x v="2"/>
            <x v="4"/>
          </reference>
          <reference field="42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Tabela dinâmica11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1:I5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ascending" defaultSubtotal="1">
      <items count="11">
        <item t="data" sd="1" x="5"/>
        <item t="data" h="1" sd="1" m="1" x="9"/>
        <item t="data" sd="1" x="0"/>
        <item t="data" sd="1" x="3"/>
        <item t="data" sd="1" x="6"/>
        <item t="data" sd="1" x="1"/>
        <item t="data" sd="1" x="4"/>
        <item t="data" h="1" sd="1" x="7"/>
        <item t="data" sd="1" x="2"/>
        <item t="data" h="1" sd="1" x="8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descending" defaultSubtotal="1">
      <items count="41">
        <item t="data" sd="1" m="1" x="24"/>
        <item t="data" sd="1" m="1" x="37"/>
        <item t="data" sd="1" x="6"/>
        <item t="data" sd="1" m="1" x="26"/>
        <item t="data" sd="1" x="1"/>
        <item t="data" sd="1" x="3"/>
        <item t="data" sd="1" x="4"/>
        <item t="data" sd="1" x="13"/>
        <item t="data" sd="1" x="16"/>
        <item t="data" sd="1" x="7"/>
        <item t="data" sd="1" m="1" x="36"/>
        <item t="data" sd="1" m="1" x="30"/>
        <item t="data" sd="1" m="1" x="35"/>
        <item t="data" sd="1" m="1" x="34"/>
        <item t="data" sd="1" x="5"/>
        <item t="data" sd="1" x="2"/>
        <item t="data" sd="1" m="1" x="39"/>
        <item t="data" sd="1" m="1" x="38"/>
        <item t="data" sd="1" m="1" x="25"/>
        <item t="data" sd="1" m="1" x="22"/>
        <item t="data" sd="1" x="11"/>
        <item t="data" sd="1" x="9"/>
        <item t="data" sd="1" m="1" x="28"/>
        <item t="data" sd="1" x="10"/>
        <item t="data" sd="1" x="8"/>
        <item t="data" sd="1" x="12"/>
        <item t="data" sd="1" x="15"/>
        <item t="data" sd="1" m="1" x="17"/>
        <item t="data" sd="1" x="14"/>
        <item t="data" sd="1" m="1" x="23"/>
        <item t="data" sd="1" m="1" x="29"/>
        <item t="data" sd="1" x="0"/>
        <item t="data" sd="1" m="1" x="18"/>
        <item t="data" sd="1" m="1" x="33"/>
        <item t="data" sd="1" m="1" x="21"/>
        <item t="data" sd="1" m="1" x="32"/>
        <item t="data" sd="1" m="1" x="27"/>
        <item t="data" sd="1" m="1" x="31"/>
        <item t="data" sd="1" m="1" x="20"/>
        <item t="data" sd="1" m="1" x="19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7"/>
  </rowFields>
  <rowItems count="17">
    <i t="data" r="0" i="0">
      <x v="4"/>
    </i>
    <i t="data" r="0" i="0">
      <x v="24"/>
    </i>
    <i t="data" r="0" i="0">
      <x v="9"/>
    </i>
    <i t="data" r="0" i="0">
      <x v="23"/>
    </i>
    <i t="data" r="0" i="0">
      <x v="2"/>
    </i>
    <i t="data" r="0" i="0">
      <x v="14"/>
    </i>
    <i t="data" r="0" i="0">
      <x v="25"/>
    </i>
    <i t="data" r="0" i="0">
      <x v="5"/>
    </i>
    <i t="data" r="0" i="0">
      <x v="7"/>
    </i>
    <i t="data" r="0" i="0">
      <x v="28"/>
    </i>
    <i t="data" r="0" i="0">
      <x v="31"/>
    </i>
    <i t="data" r="0" i="0">
      <x v="20"/>
    </i>
    <i t="data" r="0" i="0">
      <x v="21"/>
    </i>
    <i t="data" r="0" i="0">
      <x v="6"/>
    </i>
    <i t="data" r="0" i="0">
      <x v="15"/>
    </i>
    <i t="data" r="0" i="0">
      <x v="26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8"/>
    </i>
    <i t="grand" r="0" i="0">
      <x v="0"/>
    </i>
  </colItems>
  <dataFields count="1">
    <dataField name="Contagem de OBTS" fld="36" subtotal="count" showDataAs="normal" baseField="0" baseItem="0"/>
  </dataFields>
  <formats count="53">
    <format action="formatting" dxfId="39">
      <pivotArea type="normal" dataOnly="1" outline="0" collapsedLevelsAreSubtotals="1" fieldPosition="0"/>
    </format>
    <format action="formatting" dxfId="38">
      <pivotArea type="normal" dataOnly="0" labelOnly="1" outline="1" fieldPosition="0">
        <references count="1">
          <reference field="36"/>
        </references>
      </pivotArea>
    </format>
    <format action="formatting" dxfId="37">
      <pivotArea type="normal" dataOnly="0" labelOnly="1" grandCol="1" outline="0" fieldPosition="0"/>
    </format>
    <format action="formatting" dxfId="36">
      <pivotArea type="all" dataOnly="0" outline="0" fieldPosition="0"/>
    </format>
    <format action="formatting" dxfId="35">
      <pivotArea type="normal" dataOnly="1" outline="0" collapsedLevelsAreSubtotals="1" fieldPosition="0"/>
    </format>
    <format action="formatting" dxfId="34">
      <pivotArea type="origin" dataOnly="0" labelOnly="1" outline="0" fieldPosition="0"/>
    </format>
    <format action="formatting" dxfId="33">
      <pivotArea field="36" type="button" dataOnly="0" labelOnly="1" outline="0" axis="axisCol" fieldPosition="0"/>
    </format>
    <format action="formatting" dxfId="32">
      <pivotArea type="topRight" dataOnly="0" labelOnly="1" outline="0" fieldPosition="0"/>
    </format>
    <format action="formatting" dxfId="31">
      <pivotArea field="37" type="button" dataOnly="0" labelOnly="1" outline="0" axis="axisRow" fieldPosition="0"/>
    </format>
    <format action="formatting" dxfId="30">
      <pivotArea type="normal" dataOnly="0" labelOnly="1" grandRow="1" outline="0" fieldPosition="0"/>
    </format>
    <format action="formatting" dxfId="29">
      <pivotArea type="normal" dataOnly="0" labelOnly="1" outline="1" fieldPosition="0">
        <references count="1">
          <reference field="36"/>
        </references>
      </pivotArea>
    </format>
    <format action="formatting" dxfId="28">
      <pivotArea type="normal" dataOnly="0" labelOnly="1" grandCol="1" outline="0" fieldPosition="0"/>
    </format>
    <format action="formatting">
      <pivotArea type="all" dataOnly="0" outline="0" fieldPosition="0"/>
    </format>
    <format action="formatting" dxfId="27">
      <pivotArea type="normal" dataOnly="1" grandRow="1" outline="0" collapsedLevelsAreSubtotals="1" fieldPosition="0"/>
    </format>
    <format action="formatting">
      <pivotArea type="all" dataOnly="0" outline="0" fieldPosition="0"/>
    </format>
    <format action="formatting" dxfId="26">
      <pivotArea type="normal" dataOnly="1" outline="0" collapsedLevelsAreSubtotals="1" fieldPosition="0">
        <references count="1">
          <reference field="36" selected="0"/>
        </references>
      </pivotArea>
    </format>
    <format action="formatting" dxfId="25">
      <pivotArea type="all" dataOnly="0" outline="0" fieldPosition="0"/>
    </format>
    <format action="formatting" dxfId="24">
      <pivotArea type="normal" dataOnly="1" outline="0" collapsedLevelsAreSubtotals="1" fieldPosition="0"/>
    </format>
    <format action="formatting" dxfId="23">
      <pivotArea field="36" type="button" dataOnly="0" labelOnly="1" outline="0" axis="axisCol" fieldPosition="0"/>
    </format>
    <format action="formatting" dxfId="22">
      <pivotArea type="topRight" dataOnly="0" labelOnly="1" outline="0" fieldPosition="0"/>
    </format>
    <format action="formatting" dxfId="21">
      <pivotArea type="normal" dataOnly="0" labelOnly="1" outline="1" fieldPosition="0">
        <references count="1">
          <reference field="36"/>
        </references>
      </pivotArea>
    </format>
    <format action="formatting" dxfId="20">
      <pivotArea type="normal" dataOnly="0" labelOnly="1" grandCol="1" outline="0" fieldPosition="0"/>
    </format>
    <format action="formatting" dxfId="19">
      <pivotArea type="origin" dataOnly="0" labelOnly="1" outline="0" fieldPosition="0"/>
    </format>
    <format action="formatting" dxfId="18">
      <pivotArea field="37" type="button" dataOnly="0" labelOnly="1" outline="0" axis="axisRow" fieldPosition="0"/>
    </format>
    <format action="formatting" dxfId="17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action="formatting" dxfId="16">
      <pivotArea type="normal" dataOnly="0" labelOnly="1" grandRow="1" outline="0" fieldPosition="0"/>
    </format>
    <format action="formatting" dxfId="15">
      <pivotArea type="all" dataOnly="0" outline="0" fieldPosition="0"/>
    </format>
    <format action="formatting" dxfId="14">
      <pivotArea type="normal" dataOnly="1" outline="0" collapsedLevelsAreSubtotals="1" fieldPosition="0"/>
    </format>
    <format action="formatting" dxfId="13">
      <pivotArea type="origin" dataOnly="0" labelOnly="1" outline="0" fieldPosition="0"/>
    </format>
    <format action="formatting" dxfId="12">
      <pivotArea field="36" type="button" dataOnly="0" labelOnly="1" outline="0" axis="axisCol" fieldPosition="0"/>
    </format>
    <format action="formatting" dxfId="11">
      <pivotArea type="topRight" dataOnly="0" labelOnly="1" outline="0" fieldPosition="0"/>
    </format>
    <format action="formatting" dxfId="10">
      <pivotArea field="37" type="button" dataOnly="0" labelOnly="1" outline="0" axis="axisRow" fieldPosition="0"/>
    </format>
    <format action="formatting" dxfId="9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 dxfId="8">
      <pivotArea type="normal" dataOnly="0" labelOnly="1" grandRow="1" outline="0" fieldPosition="0"/>
    </format>
    <format action="formatting" dxfId="7">
      <pivotArea type="normal" dataOnly="0" labelOnly="1" outline="1" fieldPosition="0">
        <references count="1">
          <reference field="36"/>
        </references>
      </pivotArea>
    </format>
    <format action="formatting" dxfId="6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37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action="formatting" dxfId="5">
      <pivotArea type="normal" dataOnly="0" labelOnly="1" outline="1" fieldPosition="0">
        <references count="1">
          <reference field="37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action="formatting" dxfId="4">
      <pivotArea type="normal" dataOnly="0" labelOnly="1" outline="1" fieldPosition="0">
        <references count="1">
          <reference field="37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37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3">
      <pivotArea type="origin" dataOnly="0" labelOnly="1" outline="0" fieldPosition="0"/>
    </format>
    <format action="formatting" dxfId="2">
      <pivotArea field="37" type="button" dataOnly="0" labelOnly="1" outline="0" axis="axisRow" fieldPosition="0"/>
    </format>
    <format action="formatting" dxfId="1">
      <pivotArea type="normal" dataOnly="0" labelOnly="1" outline="1" fieldPosition="0">
        <references count="1">
          <reference field="37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action="formatting" dxfId="0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Tabela dinâmica4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90:I169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descending" defaultSubtotal="1">
      <items count="173">
        <item t="data" sd="1" x="78"/>
        <item t="data" sd="1" m="1" x="118"/>
        <item t="data" sd="1" m="1" x="79"/>
        <item t="data" sd="1" x="5"/>
        <item t="data" sd="1" x="13"/>
        <item t="data" sd="1" x="39"/>
        <item t="data" sd="1" m="1" x="81"/>
        <item t="data" sd="1" m="1" x="85"/>
        <item t="data" sd="1" x="33"/>
        <item t="data" sd="1" m="1" x="103"/>
        <item t="data" sd="1" m="1" x="102"/>
        <item t="data" sd="1" x="45"/>
        <item t="data" sd="1" x="42"/>
        <item t="data" sd="1" x="11"/>
        <item t="data" sd="1" x="44"/>
        <item t="data" sd="1" x="36"/>
        <item t="data" sd="1" m="1" x="82"/>
        <item t="data" sd="1" m="1" x="100"/>
        <item t="data" sd="1" m="1" x="168"/>
        <item t="data" sd="1" x="26"/>
        <item t="data" sd="1" x="24"/>
        <item t="data" sd="1" m="1" x="141"/>
        <item t="data" sd="1" x="14"/>
        <item t="data" sd="1" x="9"/>
        <item t="data" sd="1" x="40"/>
        <item t="data" sd="1" x="7"/>
        <item t="data" sd="1" x="21"/>
        <item t="data" sd="1" x="35"/>
        <item t="data" sd="1" m="1" x="96"/>
        <item t="data" sd="1" m="1" x="140"/>
        <item t="data" sd="1" x="31"/>
        <item t="data" sd="1" x="37"/>
        <item t="data" sd="1" x="27"/>
        <item t="data" sd="1" x="29"/>
        <item t="data" sd="1" m="1" x="99"/>
        <item t="data" sd="1" x="22"/>
        <item t="data" sd="1" m="1" x="166"/>
        <item t="data" sd="1" m="1" x="89"/>
        <item t="data" sd="1" x="10"/>
        <item t="data" sd="1" x="8"/>
        <item t="data" sd="1" x="50"/>
        <item t="data" sd="1" x="15"/>
        <item t="data" sd="1" x="43"/>
        <item t="data" sd="1" m="1" x="87"/>
        <item t="data" sd="1" m="1" x="120"/>
        <item t="data" sd="1" m="1" x="160"/>
        <item t="data" sd="1" m="1" x="117"/>
        <item t="data" sd="1" x="46"/>
        <item t="data" sd="1" m="1" x="98"/>
        <item t="data" sd="1" m="1" x="88"/>
        <item t="data" sd="1" m="1" x="84"/>
        <item t="data" sd="1" x="17"/>
        <item t="data" sd="1" m="1" x="109"/>
        <item t="data" sd="1" x="0"/>
        <item t="data" sd="1" x="2"/>
        <item t="data" sd="1" x="48"/>
        <item t="data" sd="1" x="23"/>
        <item t="data" sd="1" x="25"/>
        <item t="data" sd="1" x="30"/>
        <item t="data" sd="1" x="38"/>
        <item t="data" sd="1" m="1" x="91"/>
        <item t="data" sd="1" m="1" x="144"/>
        <item t="data" sd="1" x="53"/>
        <item t="data" sd="1" x="4"/>
        <item t="data" sd="1" x="54"/>
        <item t="data" sd="1" x="56"/>
        <item t="data" sd="1" x="55"/>
        <item t="data" sd="1" x="57"/>
        <item t="data" sd="1" x="58"/>
        <item t="data" sd="1" m="1" x="145"/>
        <item t="data" sd="1" x="60"/>
        <item t="data" sd="1" m="1" x="151"/>
        <item t="data" sd="1" m="1" x="90"/>
        <item t="data" sd="1" m="1" x="97"/>
        <item t="data" sd="1" x="41"/>
        <item t="data" sd="1" m="1" x="93"/>
        <item t="data" sd="1" x="16"/>
        <item t="data" sd="1" m="1" x="92"/>
        <item t="data" sd="1" x="3"/>
        <item t="data" sd="1" m="1" x="111"/>
        <item t="data" sd="1" m="1" x="137"/>
        <item t="data" sd="1" m="1" x="157"/>
        <item t="data" sd="1" x="59"/>
        <item t="data" sd="1" x="62"/>
        <item t="data" sd="1" m="1" x="83"/>
        <item t="data" sd="1" x="12"/>
        <item t="data" sd="1" x="63"/>
        <item t="data" sd="1" m="1" x="152"/>
        <item t="data" sd="1" m="1" x="86"/>
        <item t="data" sd="1" x="67"/>
        <item t="data" sd="1" x="65"/>
        <item t="data" sd="1" x="52"/>
        <item t="data" sd="1" m="1" x="129"/>
        <item t="data" sd="1" x="68"/>
        <item t="data" sd="1" m="1" x="139"/>
        <item t="data" sd="1" x="61"/>
        <item t="data" sd="1" m="1" x="142"/>
        <item t="data" sd="1" m="1" x="156"/>
        <item t="data" sd="1" x="32"/>
        <item t="data" sd="1" m="1" x="121"/>
        <item t="data" sd="1" x="47"/>
        <item t="data" sd="1" m="1" x="127"/>
        <item t="data" sd="1" x="18"/>
        <item t="data" sd="1" x="19"/>
        <item t="data" sd="1" m="1" x="80"/>
        <item t="data" sd="1" x="20"/>
        <item t="data" sd="1" m="1" x="104"/>
        <item t="data" sd="1" m="1" x="130"/>
        <item t="data" sd="1" m="1" x="131"/>
        <item t="data" sd="1" x="49"/>
        <item t="data" sd="1" m="1" x="159"/>
        <item t="data" sd="1" x="70"/>
        <item t="data" sd="1" x="51"/>
        <item t="data" sd="1" m="1" x="101"/>
        <item t="data" sd="1" x="34"/>
        <item t="data" sd="1" m="1" x="171"/>
        <item t="data" sd="1" m="1" x="128"/>
        <item t="data" sd="1" m="1" x="170"/>
        <item t="data" sd="1" m="1" x="154"/>
        <item t="data" sd="1" m="1" x="113"/>
        <item t="data" sd="1" m="1" x="112"/>
        <item t="data" sd="1" m="1" x="115"/>
        <item t="data" sd="1" m="1" x="105"/>
        <item t="data" sd="1" x="64"/>
        <item t="data" sd="1" m="1" x="110"/>
        <item t="data" sd="1" m="1" x="124"/>
        <item t="data" sd="1" m="1" x="169"/>
        <item t="data" sd="1" m="1" x="123"/>
        <item t="data" sd="1" m="1" x="143"/>
        <item t="data" sd="1" m="1" x="167"/>
        <item t="data" sd="1" m="1" x="136"/>
        <item t="data" sd="1" m="1" x="135"/>
        <item t="data" sd="1" m="1" x="108"/>
        <item t="data" sd="1" m="1" x="116"/>
        <item t="data" sd="1" m="1" x="165"/>
        <item t="data" sd="1" m="1" x="164"/>
        <item t="data" sd="1" m="1" x="153"/>
        <item t="data" sd="1" m="1" x="163"/>
        <item t="data" sd="1" m="1" x="147"/>
        <item t="data" sd="1" m="1" x="162"/>
        <item t="data" sd="1" m="1" x="119"/>
        <item t="data" sd="1" m="1" x="161"/>
        <item t="data" sd="1" m="1" x="149"/>
        <item t="data" sd="1" m="1" x="146"/>
        <item t="data" sd="1" m="1" x="114"/>
        <item t="data" sd="1" m="1" x="155"/>
        <item t="data" sd="1" m="1" x="148"/>
        <item t="data" sd="1" m="1" x="158"/>
        <item t="data" sd="1" m="1" x="133"/>
        <item t="data" sd="1" x="72"/>
        <item t="data" sd="1" m="1" x="150"/>
        <item t="data" sd="1" x="6"/>
        <item t="data" sd="1" x="76"/>
        <item t="data" sd="1" m="1" x="125"/>
        <item t="data" sd="1" x="71"/>
        <item t="data" sd="1" m="1" x="95"/>
        <item t="data" sd="1" m="1" x="132"/>
        <item t="data" sd="1" x="75"/>
        <item t="data" sd="1" x="74"/>
        <item t="data" sd="1" x="69"/>
        <item t="data" sd="1" x="73"/>
        <item t="data" sd="1" m="1" x="122"/>
        <item t="data" sd="1" m="1" x="138"/>
        <item t="data" sd="1" m="1" x="134"/>
        <item t="data" sd="1" m="1" x="106"/>
        <item t="data" sd="1" m="1" x="94"/>
        <item t="data" sd="1" m="1" x="126"/>
        <item t="data" sd="1" m="1" x="107"/>
        <item t="data" sd="1" x="1"/>
        <item t="data" sd="1" x="28"/>
        <item t="data" sd="1" x="66"/>
        <item t="data" sd="1" x="7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ascending" defaultSubtotal="1">
      <items count="11">
        <item t="data" sd="1" x="5"/>
        <item t="data" h="1" sd="1" m="1" x="9"/>
        <item t="data" sd="1" x="0"/>
        <item t="data" sd="1" x="3"/>
        <item t="data" sd="1" x="6"/>
        <item t="data" sd="1" x="1"/>
        <item t="data" sd="1" x="4"/>
        <item t="data" h="1" sd="1" x="7"/>
        <item t="data" sd="1" x="2"/>
        <item t="data" h="1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20"/>
  </rowFields>
  <rowItems count="78">
    <i t="data" r="0" i="0">
      <x v="19"/>
    </i>
    <i t="data" r="0" i="0">
      <x v="151"/>
    </i>
    <i t="data" r="0" i="0">
      <x v="62"/>
    </i>
    <i t="data" r="0" i="0">
      <x v="3"/>
    </i>
    <i t="data" r="0" i="0">
      <x v="154"/>
    </i>
    <i t="data" r="0" i="0">
      <x v="42"/>
    </i>
    <i t="data" r="0" i="0">
      <x v="27"/>
    </i>
    <i t="data" r="0" i="0">
      <x v="24"/>
    </i>
    <i t="data" r="0" i="0">
      <x v="23"/>
    </i>
    <i t="data" r="0" i="0">
      <x v="67"/>
    </i>
    <i t="data" r="0" i="0">
      <x v="55"/>
    </i>
    <i t="data" r="0" i="0">
      <x v="170"/>
    </i>
    <i t="data" r="0" i="0">
      <x v="152"/>
    </i>
    <i t="data" r="0" i="0">
      <x v="33"/>
    </i>
    <i t="data" r="0" i="0">
      <x v="157"/>
    </i>
    <i t="data" r="0" i="0">
      <x v="47"/>
    </i>
    <i t="data" r="0" i="0">
      <x v="20"/>
    </i>
    <i t="data" r="0" i="0">
      <x v="38"/>
    </i>
    <i t="data" r="0" i="0">
      <x v="57"/>
    </i>
    <i t="data" r="0" i="0">
      <x v="5"/>
    </i>
    <i t="data" r="0" i="0">
      <x v="86"/>
    </i>
    <i t="data" r="0" i="0">
      <x v="39"/>
    </i>
    <i t="data" r="0" i="0">
      <x v="40"/>
    </i>
    <i t="data" r="0" i="0">
      <x v="90"/>
    </i>
    <i t="data" r="0" i="0">
      <x v="68"/>
    </i>
    <i t="data" r="0" i="0">
      <x v="82"/>
    </i>
    <i t="data" r="0" i="0">
      <x v="26"/>
    </i>
    <i t="data" r="0" i="0">
      <x v="14"/>
    </i>
    <i t="data" r="0" i="0">
      <x v="35"/>
    </i>
    <i t="data" r="0" i="0">
      <x v="64"/>
    </i>
    <i t="data" r="0" i="0">
      <x v="4"/>
    </i>
    <i t="data" r="0" i="0">
      <x v="123"/>
    </i>
    <i t="data" r="0" i="0">
      <x v="8"/>
    </i>
    <i t="data" r="0" i="0">
      <x v="56"/>
    </i>
    <i t="data" r="0" i="0">
      <x v="25"/>
    </i>
    <i t="data" r="0" i="0">
      <x v="65"/>
    </i>
    <i t="data" r="0" i="0">
      <x v="159"/>
    </i>
    <i t="data" r="0" i="0">
      <x v="66"/>
    </i>
    <i t="data" r="0" i="0">
      <x v="13"/>
    </i>
    <i t="data" r="0" i="0">
      <x v="105"/>
    </i>
    <i t="data" r="0" i="0">
      <x v="32"/>
    </i>
    <i t="data" r="0" i="0">
      <x v="78"/>
    </i>
    <i t="data" r="0" i="0">
      <x v="70"/>
    </i>
    <i t="data" r="0" i="0">
      <x v="160"/>
    </i>
    <i t="data" r="0" i="0">
      <x v="74"/>
    </i>
    <i t="data" r="0" i="0">
      <x v="76"/>
    </i>
    <i t="data" r="0" i="0">
      <x v="83"/>
    </i>
    <i t="data" r="0" i="0">
      <x v="112"/>
    </i>
    <i t="data" r="0" i="0">
      <x v="22"/>
    </i>
    <i t="data" r="0" i="0">
      <x v="59"/>
    </i>
    <i t="data" r="0" i="0">
      <x v="58"/>
    </i>
    <i t="data" r="0" i="0">
      <x v="111"/>
    </i>
    <i t="data" r="0" i="0">
      <x v="54"/>
    </i>
    <i t="data" r="0" i="0">
      <x v="114"/>
    </i>
    <i t="data" r="0" i="0">
      <x v="95"/>
    </i>
    <i t="data" r="0" i="0">
      <x v="30"/>
    </i>
    <i t="data" r="0" i="0">
      <x v="15"/>
    </i>
    <i t="data" r="0" i="0">
      <x v="85"/>
    </i>
    <i t="data" r="0" i="0">
      <x v="53"/>
    </i>
    <i t="data" r="0" i="0">
      <x v="171"/>
    </i>
    <i t="data" r="0" i="0">
      <x v="158"/>
    </i>
    <i t="data" r="0" i="0">
      <x v="63"/>
    </i>
    <i t="data" r="0" i="0">
      <x v="109"/>
    </i>
    <i t="data" r="0" i="0">
      <x v="103"/>
    </i>
    <i t="data" r="0" i="0">
      <x v="11"/>
    </i>
    <i t="data" r="0" i="0">
      <x v="31"/>
    </i>
    <i t="data" r="0" i="0">
      <x v="12"/>
    </i>
    <i t="data" r="0" i="0">
      <x v="51"/>
    </i>
    <i t="data" r="0" i="0">
      <x v="98"/>
    </i>
    <i t="data" r="0" i="0">
      <x v="89"/>
    </i>
    <i t="data" r="0" i="0">
      <x v="169"/>
    </i>
    <i t="data" r="0" i="0">
      <x v="168"/>
    </i>
    <i t="data" r="0" i="0">
      <x v="149"/>
    </i>
    <i t="data" r="0" i="0">
      <x v="41"/>
    </i>
    <i t="data" r="0" i="0">
      <x v="100"/>
    </i>
    <i t="data" r="0" i="0">
      <x v="102"/>
    </i>
    <i t="data" r="0" i="0">
      <x v="91"/>
    </i>
    <i t="grand" r="0" i="0">
      <x v="0"/>
    </i>
  </rowItems>
  <colFields count="1">
    <field x="36"/>
  </colFields>
  <colItems count="8">
    <i t="data" r="0" i="0">
      <x v="0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8"/>
    </i>
    <i t="grand" r="0" i="0">
      <x v="0"/>
    </i>
  </colItems>
  <dataFields count="1">
    <dataField name="Contagem de Grupo Empresarial" fld="20" subtotal="count" showDataAs="normal" baseField="0" baseItem="0" numFmtId="3"/>
  </dataFields>
  <formats count="156">
    <format action="formatting" dxfId="614">
      <pivotArea type="normal" dataOnly="1" outline="0" collapsedLevelsAreSubtotals="1" fieldPosition="0"/>
    </format>
    <format action="formatting" dxfId="613">
      <pivotArea type="normal" dataOnly="0" labelOnly="1" outline="1" fieldPosition="0">
        <references count="1">
          <reference field="36">
            <x v="2"/>
            <x v="3"/>
            <x v="4"/>
            <x v="8"/>
          </reference>
        </references>
      </pivotArea>
    </format>
    <format action="formatting" dxfId="612">
      <pivotArea type="normal" dataOnly="0" labelOnly="1" grandCol="1" outline="0" fieldPosition="0"/>
    </format>
    <format action="formatting" dxfId="611">
      <pivotArea type="all" dataOnly="0" outline="0" fieldPosition="0"/>
    </format>
    <format action="formatting" dxfId="610">
      <pivotArea type="normal" dataOnly="1" outline="0" collapsedLevelsAreSubtotals="1" fieldPosition="0"/>
    </format>
    <format action="formatting" dxfId="609">
      <pivotArea type="normal" dataOnly="0" labelOnly="1" outline="1" fieldPosition="0">
        <references count="1">
          <reference field="20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action="formatting" dxfId="608">
      <pivotArea type="normal" dataOnly="0" labelOnly="1" outline="1" fieldPosition="0">
        <references count="1">
          <reference field="20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action="formatting" dxfId="607">
      <pivotArea type="normal" dataOnly="0" labelOnly="1" outline="1" fieldPosition="0">
        <references count="1">
          <reference field="36">
            <x v="2"/>
            <x v="3"/>
            <x v="4"/>
            <x v="8"/>
          </reference>
        </references>
      </pivotArea>
    </format>
    <format action="formatting" dxfId="606">
      <pivotArea type="normal" dataOnly="0" labelOnly="1" grandCol="1" outline="0" fieldPosition="0"/>
    </format>
    <format action="formatting" dxfId="605">
      <pivotArea type="normal" dataOnly="1" outline="0" collapsedLevelsAreSubtotals="1" fieldPosition="0"/>
    </format>
    <format action="formatting" dxfId="604">
      <pivotArea type="normal" dataOnly="0" labelOnly="1" outline="1" fieldPosition="0">
        <references count="1">
          <reference field="36">
            <x v="2"/>
            <x v="3"/>
            <x v="4"/>
            <x v="8"/>
          </reference>
        </references>
      </pivotArea>
    </format>
    <format action="formatting" dxfId="603">
      <pivotArea type="normal" dataOnly="0" labelOnly="1" grandCol="1" outline="0" fieldPosition="0"/>
    </format>
    <format action="formatting" dxfId="602">
      <pivotArea field="20" type="normal" dataOnly="1" grandCol="1" outline="1" collapsedLevelsAreSubtotals="1" axis="axisRow" fieldPosition="0">
        <references count="1">
          <reference field="20"/>
        </references>
      </pivotArea>
    </format>
    <format action="formatting" dxfId="601">
      <pivotArea type="all" dataOnly="0" outline="0" fieldPosition="0"/>
    </format>
    <format action="formatting" dxfId="600">
      <pivotArea type="normal" dataOnly="1" outline="0" collapsedLevelsAreSubtotals="1" fieldPosition="0"/>
    </format>
    <format action="formatting" dxfId="599">
      <pivotArea type="origin" dataOnly="0" labelOnly="1" outline="0" fieldPosition="0"/>
    </format>
    <format action="formatting" dxfId="598">
      <pivotArea field="36" type="button" dataOnly="0" labelOnly="1" outline="0" axis="axisCol" fieldPosition="0"/>
    </format>
    <format action="formatting" dxfId="597">
      <pivotArea type="topRight" dataOnly="0" labelOnly="1" outline="0" fieldPosition="0"/>
    </format>
    <format action="formatting" dxfId="596">
      <pivotArea field="20" type="button" dataOnly="0" labelOnly="1" outline="0" axis="axisRow" fieldPosition="0"/>
    </format>
    <format action="formatting" dxfId="595">
      <pivotArea type="normal" dataOnly="0" labelOnly="1" outline="1" fieldPosition="0">
        <references count="1">
          <reference field="20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action="formatting" dxfId="594">
      <pivotArea type="normal" dataOnly="0" labelOnly="1" outline="1" fieldPosition="0">
        <references count="1">
          <reference field="20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action="formatting" dxfId="593">
      <pivotArea type="normal" dataOnly="0" labelOnly="1" grandRow="1" outline="0" fieldPosition="0"/>
    </format>
    <format action="formatting" dxfId="592">
      <pivotArea type="normal" dataOnly="0" labelOnly="1" outline="1" fieldPosition="0">
        <references count="1">
          <reference field="36"/>
        </references>
      </pivotArea>
    </format>
    <format action="formatting" dxfId="591">
      <pivotArea type="normal" dataOnly="0" labelOnly="1" grandCol="1" outline="0" fieldPosition="0"/>
    </format>
    <format action="formatting" dxfId="590">
      <pivotArea type="all" dataOnly="0" outline="0" fieldPosition="0"/>
    </format>
    <format action="formatting" dxfId="589">
      <pivotArea type="normal" dataOnly="1" outline="0" collapsedLevelsAreSubtotals="1" fieldPosition="0"/>
    </format>
    <format action="formatting" dxfId="588">
      <pivotArea type="origin" dataOnly="0" labelOnly="1" outline="0" fieldPosition="0"/>
    </format>
    <format action="formatting" dxfId="587">
      <pivotArea field="36" type="button" dataOnly="0" labelOnly="1" outline="0" axis="axisCol" fieldPosition="0"/>
    </format>
    <format action="formatting" dxfId="586">
      <pivotArea type="topRight" dataOnly="0" labelOnly="1" outline="0" fieldPosition="0"/>
    </format>
    <format action="formatting" dxfId="585">
      <pivotArea field="20" type="button" dataOnly="0" labelOnly="1" outline="0" axis="axisRow" fieldPosition="0"/>
    </format>
    <format action="formatting" dxfId="584">
      <pivotArea type="normal" dataOnly="0" labelOnly="1" outline="1" fieldPosition="0">
        <references count="1">
          <reference field="20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action="formatting" dxfId="583">
      <pivotArea type="normal" dataOnly="0" labelOnly="1" outline="1" fieldPosition="0">
        <references count="1">
          <reference field="20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action="formatting" dxfId="582">
      <pivotArea type="normal" dataOnly="0" labelOnly="1" grandRow="1" outline="0" fieldPosition="0"/>
    </format>
    <format action="formatting" dxfId="581">
      <pivotArea type="normal" dataOnly="0" labelOnly="1" outline="1" fieldPosition="0">
        <references count="1">
          <reference field="36"/>
        </references>
      </pivotArea>
    </format>
    <format action="formatting" dxfId="580">
      <pivotArea type="normal" dataOnly="0" labelOnly="1" grandCol="1" outline="0" fieldPosition="0"/>
    </format>
    <format action="formatting" dxfId="579">
      <pivotArea type="all" dataOnly="0" outline="0" fieldPosition="0"/>
    </format>
    <format action="formatting" dxfId="578">
      <pivotArea type="normal" dataOnly="1" outline="0" collapsedLevelsAreSubtotals="1" fieldPosition="0"/>
    </format>
    <format action="formatting" dxfId="577">
      <pivotArea type="origin" dataOnly="0" labelOnly="1" outline="0" fieldPosition="0"/>
    </format>
    <format action="formatting" dxfId="576">
      <pivotArea field="36" type="button" dataOnly="0" labelOnly="1" outline="0" axis="axisCol" fieldPosition="0"/>
    </format>
    <format action="formatting" dxfId="575">
      <pivotArea type="topRight" dataOnly="0" labelOnly="1" outline="0" fieldPosition="0"/>
    </format>
    <format action="formatting" dxfId="574">
      <pivotArea field="20" type="button" dataOnly="0" labelOnly="1" outline="0" axis="axisRow" fieldPosition="0"/>
    </format>
    <format action="formatting" dxfId="573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572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571">
      <pivotArea type="normal" dataOnly="0" labelOnly="1" grandRow="1" outline="0" fieldPosition="0"/>
    </format>
    <format action="formatting" dxfId="570">
      <pivotArea type="normal" dataOnly="0" labelOnly="1" outline="1" fieldPosition="0">
        <references count="1">
          <reference field="36"/>
        </references>
      </pivotArea>
    </format>
    <format action="formatting" dxfId="569">
      <pivotArea type="normal" dataOnly="0" labelOnly="1" grandCol="1" outline="0" fieldPosition="0"/>
    </format>
    <format action="formatting" dxfId="568">
      <pivotArea type="all" dataOnly="0" outline="0" fieldPosition="0"/>
    </format>
    <format action="formatting" dxfId="567">
      <pivotArea type="normal" dataOnly="1" outline="0" collapsedLevelsAreSubtotals="1" fieldPosition="0"/>
    </format>
    <format action="formatting" dxfId="566">
      <pivotArea type="origin" dataOnly="0" labelOnly="1" outline="0" fieldPosition="0"/>
    </format>
    <format action="formatting" dxfId="565">
      <pivotArea field="36" type="button" dataOnly="0" labelOnly="1" outline="0" axis="axisCol" fieldPosition="0"/>
    </format>
    <format action="formatting" dxfId="564">
      <pivotArea type="topRight" dataOnly="0" labelOnly="1" outline="0" fieldPosition="0"/>
    </format>
    <format action="formatting" dxfId="563">
      <pivotArea field="20" type="button" dataOnly="0" labelOnly="1" outline="0" axis="axisRow" fieldPosition="0"/>
    </format>
    <format action="formatting" dxfId="562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561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560">
      <pivotArea type="normal" dataOnly="0" labelOnly="1" grandRow="1" outline="0" fieldPosition="0"/>
    </format>
    <format action="formatting" dxfId="559">
      <pivotArea type="normal" dataOnly="0" labelOnly="1" outline="1" fieldPosition="0">
        <references count="1">
          <reference field="36"/>
        </references>
      </pivotArea>
    </format>
    <format action="formatting" dxfId="558">
      <pivotArea type="normal" dataOnly="0" labelOnly="1" grandCol="1" outline="0" fieldPosition="0"/>
    </format>
    <format action="formatting" dxfId="557">
      <pivotArea type="all" dataOnly="0" outline="0" fieldPosition="0"/>
    </format>
    <format action="formatting" dxfId="556">
      <pivotArea type="normal" dataOnly="1" outline="0" collapsedLevelsAreSubtotals="1" fieldPosition="0"/>
    </format>
    <format action="formatting" dxfId="555">
      <pivotArea type="origin" dataOnly="0" labelOnly="1" outline="0" fieldPosition="0"/>
    </format>
    <format action="formatting" dxfId="554">
      <pivotArea field="20" type="button" dataOnly="0" labelOnly="1" outline="0" axis="axisRow" fieldPosition="0"/>
    </format>
    <format action="formatting" dxfId="553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552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551">
      <pivotArea type="normal" dataOnly="0" labelOnly="1" grandRow="1" outline="0" fieldPosition="0"/>
    </format>
    <format action="formatting" dxfId="550">
      <pivotArea type="normal" dataOnly="0" labelOnly="1" outline="1" fieldPosition="0">
        <references count="1">
          <reference field="36"/>
        </references>
      </pivotArea>
    </format>
    <format action="formatting" dxfId="549">
      <pivotArea type="normal" dataOnly="0" labelOnly="1" grandCol="1" outline="0" fieldPosition="0"/>
    </format>
    <format action="formatting" dxfId="548">
      <pivotArea type="origin" dataOnly="0" labelOnly="1" outline="0" fieldPosition="0"/>
    </format>
    <format action="formatting" dxfId="547">
      <pivotArea field="20" type="button" dataOnly="0" labelOnly="1" outline="0" axis="axisRow" fieldPosition="0"/>
    </format>
    <format action="formatting" dxfId="546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action="formatting" dxfId="545">
      <pivotArea type="normal" dataOnly="0" labelOnly="1" outline="1" fieldPosition="0">
        <references count="1">
          <reference field="20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action="formatting" dxfId="544">
      <pivotArea type="normal" dataOnly="0" labelOnly="1" grandRow="1" outline="0" fieldPosition="0"/>
    </format>
    <format action="formatting" dxfId="543">
      <pivotArea type="normal" dataOnly="1" outline="0" collapsedLevelsAreSubtotals="1" fieldPosition="0"/>
    </format>
    <format action="formatting" dxfId="542">
      <pivotArea type="normal" dataOnly="0" labelOnly="1" outline="1" fieldPosition="0">
        <references count="1">
          <reference field="36"/>
        </references>
      </pivotArea>
    </format>
    <format action="formatting" dxfId="541">
      <pivotArea type="normal" dataOnly="0" labelOnly="1" grandCol="1" outline="0" fieldPosition="0"/>
    </format>
    <format action="formatting" dxfId="540">
      <pivotArea type="normal" dataOnly="1" outline="0" collapsedLevelsAreSubtotals="1" fieldPosition="0"/>
    </format>
    <format action="formatting" dxfId="539">
      <pivotArea type="normal" dataOnly="0" labelOnly="1" outline="1" fieldPosition="0">
        <references count="1">
          <reference field="36"/>
        </references>
      </pivotArea>
    </format>
    <format action="formatting" dxfId="538">
      <pivotArea type="normal" dataOnly="0" labelOnly="1" grandCol="1" outline="0" fieldPosition="0"/>
    </format>
    <format action="formatting" dxfId="537">
      <pivotArea field="20" type="normal" dataOnly="1" grandCol="1" outline="1" collapsedLevelsAreSubtotals="1" axis="axisRow" fieldPosition="0">
        <references count="1">
          <reference field="20"/>
        </references>
      </pivotArea>
    </format>
    <format action="formatting" dxfId="536">
      <pivotArea field="20" type="normal" dataOnly="1" grandCol="1" outline="1" collapsedLevelsAreSubtotals="1" axis="axisRow" fieldPosition="0">
        <references count="1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action="formatting" dxfId="535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action="formatting" dxfId="534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action="formatting" dxfId="533">
      <pivotArea field="20" type="normal" dataOnly="1" grandCol="1" outline="1" collapsedLevelsAreSubtotals="1" axis="axisRow" fieldPosition="0">
        <references count="1">
          <reference field="20">
            <x v="3"/>
            <x v="18"/>
            <x v="20"/>
            <x v="29"/>
            <x v="37"/>
            <x v="42"/>
          </reference>
        </references>
      </pivotArea>
    </format>
    <format action="formatting" dxfId="532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action="formatting" dxfId="531">
      <pivotArea type="normal" dataOnly="1" outline="1" collapsedLevelsAreSubtotals="1" fieldPosition="0">
        <references count="2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selected="0">
            <x v="8"/>
          </reference>
        </references>
      </pivotArea>
    </format>
    <format action="formatting" dxfId="530">
      <pivotArea field="20" type="normal" dataOnly="1" grandCol="1" outline="1" collapsedLevelsAreSubtotals="1" axis="axisRow" fieldPosition="0">
        <references count="1">
          <reference field="20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action="formatting" dxfId="529">
      <pivotArea field="20" type="normal" dataOnly="1" grandCol="1" outline="1" collapsedLevelsAreSubtotals="1" axis="axisRow" fieldPosition="0">
        <references count="1">
          <reference field="2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action="formatting" dxfId="528">
      <pivotArea field="20" type="normal" dataOnly="1" grandCol="1" outline="1" collapsedLevelsAreSubtotals="1" axis="axisRow" fieldPosition="0">
        <references count="1">
          <reference field="20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action="formatting" dxfId="527">
      <pivotArea field="20" type="normal" dataOnly="1" grandCol="1" outline="1" collapsedLevelsAreSubtotals="1" axis="axisRow" fieldPosition="0">
        <references count="1">
          <reference field="20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action="formatting" dxfId="526">
      <pivotArea type="all" dataOnly="0" outline="0" fieldPosition="0"/>
    </format>
    <format action="formatting" dxfId="525">
      <pivotArea type="normal" dataOnly="1" outline="0" collapsedLevelsAreSubtotals="1" fieldPosition="0"/>
    </format>
    <format action="formatting" dxfId="524">
      <pivotArea type="origin" dataOnly="0" labelOnly="1" outline="0" fieldPosition="0"/>
    </format>
    <format action="formatting" dxfId="523">
      <pivotArea field="36" type="button" dataOnly="0" labelOnly="1" outline="0" axis="axisCol" fieldPosition="0"/>
    </format>
    <format action="formatting" dxfId="522">
      <pivotArea type="topRight" dataOnly="0" labelOnly="1" outline="0" fieldPosition="0"/>
    </format>
    <format action="formatting" dxfId="521">
      <pivotArea field="20" type="button" dataOnly="0" labelOnly="1" outline="0" axis="axisRow" fieldPosition="0"/>
    </format>
    <format action="formatting" dxfId="520">
      <pivotArea type="normal" dataOnly="0" labelOnly="1" outline="1" fieldPosition="0">
        <references count="1">
          <reference field="20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action="formatting" dxfId="519">
      <pivotArea type="normal" dataOnly="0" labelOnly="1" outline="1" fieldPosition="0">
        <references count="1">
          <reference field="20">
            <x v="2"/>
            <x v="6"/>
            <x v="7"/>
            <x v="22"/>
            <x v="49"/>
            <x v="50"/>
          </reference>
        </references>
      </pivotArea>
    </format>
    <format action="formatting" dxfId="518">
      <pivotArea type="normal" dataOnly="0" labelOnly="1" grandRow="1" outline="0" fieldPosition="0"/>
    </format>
    <format action="formatting" dxfId="517">
      <pivotArea type="normal" dataOnly="0" labelOnly="1" outline="1" fieldPosition="0">
        <references count="1">
          <reference field="36"/>
        </references>
      </pivotArea>
    </format>
    <format action="formatting" dxfId="516">
      <pivotArea type="normal" dataOnly="0" labelOnly="1" grandCol="1" outline="0" fieldPosition="0"/>
    </format>
    <format action="formatting" dxfId="515">
      <pivotArea type="all" dataOnly="0" outline="0" fieldPosition="0"/>
    </format>
    <format action="formatting" dxfId="514">
      <pivotArea type="normal" dataOnly="1" outline="0" collapsedLevelsAreSubtotals="1" fieldPosition="0"/>
    </format>
    <format action="formatting" dxfId="513">
      <pivotArea field="36" type="button" dataOnly="0" labelOnly="1" outline="0" axis="axisCol" fieldPosition="0"/>
    </format>
    <format action="formatting" dxfId="512">
      <pivotArea type="topRight" dataOnly="0" labelOnly="1" outline="0" fieldPosition="0"/>
    </format>
    <format action="formatting" dxfId="511">
      <pivotArea type="normal" dataOnly="0" labelOnly="1" outline="1" fieldPosition="0">
        <references count="1">
          <reference field="36"/>
        </references>
      </pivotArea>
    </format>
    <format action="formatting" dxfId="510">
      <pivotArea type="normal" dataOnly="0" labelOnly="1" grandCol="1" outline="0" fieldPosition="0"/>
    </format>
    <format action="formatting" dxfId="509">
      <pivotArea type="normal" dataOnly="0" labelOnly="1" outline="1" fieldPosition="0">
        <references count="1">
          <reference field="20"/>
        </references>
      </pivotArea>
    </format>
    <format action="formatting" dxfId="508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action="formatting" dxfId="507">
      <pivotArea type="normal" dataOnly="0" labelOnly="1" outline="1" fieldPosition="0">
        <references count="1">
          <reference field="20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action="formatting" dxfId="506">
      <pivotArea type="normal" dataOnly="0" labelOnly="1" outline="1" fieldPosition="0">
        <references count="1">
          <reference field="20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action="formatting" dxfId="505">
      <pivotArea type="normal" dataOnly="0" labelOnly="1" outline="1" fieldPosition="0">
        <references count="1">
          <reference field="20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action="formatting" dxfId="504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action="formatting" dxfId="503">
      <pivotArea type="normal" dataOnly="0" labelOnly="1" outline="1" fieldPosition="0">
        <references count="1">
          <reference field="20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action="formatting" dxfId="502">
      <pivotArea type="origin" dataOnly="0" labelOnly="1" outline="0" fieldPosition="0"/>
    </format>
    <format action="formatting" dxfId="501">
      <pivotArea field="20" type="button" dataOnly="0" labelOnly="1" outline="0" axis="axisRow" fieldPosition="0"/>
    </format>
    <format action="formatting" dxfId="500">
      <pivotArea type="normal" dataOnly="0" labelOnly="1" outline="1" fieldPosition="0">
        <references count="1">
          <reference field="2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action="formatting" dxfId="499">
      <pivotArea type="normal" dataOnly="0" labelOnly="1" outline="1" fieldPosition="0">
        <references count="1">
          <reference field="2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action="formatting" dxfId="498">
      <pivotArea type="normal" dataOnly="0" labelOnly="1" outline="1" fieldPosition="0">
        <references count="1">
          <reference field="20">
            <x v="52"/>
            <x v="100"/>
            <x v="110"/>
          </reference>
        </references>
      </pivotArea>
    </format>
    <format action="formatting" dxfId="497">
      <pivotArea type="normal" dataOnly="0" labelOnly="1" grandRow="1" outline="0" fieldPosition="0"/>
    </format>
    <format action="formatting" dxfId="496">
      <pivotArea type="all" dataOnly="0" outline="0" fieldPosition="0"/>
    </format>
    <format action="formatting" dxfId="495">
      <pivotArea type="normal" dataOnly="1" outline="0" collapsedLevelsAreSubtotals="1" fieldPosition="0"/>
    </format>
    <format action="formatting" dxfId="494">
      <pivotArea type="origin" dataOnly="0" labelOnly="1" outline="0" fieldPosition="0"/>
    </format>
    <format action="formatting" dxfId="493">
      <pivotArea field="36" type="button" dataOnly="0" labelOnly="1" outline="0" axis="axisCol" fieldPosition="0"/>
    </format>
    <format action="formatting" dxfId="492">
      <pivotArea type="topRight" dataOnly="0" labelOnly="1" outline="0" fieldPosition="0"/>
    </format>
    <format action="formatting" dxfId="491">
      <pivotArea field="20" type="button" dataOnly="0" labelOnly="1" outline="0" axis="axisRow" fieldPosition="0"/>
    </format>
    <format action="formatting" dxfId="490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 dxfId="489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 dxfId="488">
      <pivotArea type="normal" dataOnly="0" labelOnly="1" grandRow="1" outline="0" fieldPosition="0"/>
    </format>
    <format action="formatting" dxfId="487">
      <pivotArea type="normal" dataOnly="0" labelOnly="1" outline="1" fieldPosition="0">
        <references count="1">
          <reference field="36"/>
        </references>
      </pivotArea>
    </format>
    <format action="formatting" dxfId="486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action="formatting">
      <pivotArea type="normal" dataOnly="0" labelOnly="1" outline="1" fieldPosition="0">
        <references count="1">
          <reference field="2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action="formatting" dxfId="485">
      <pivotArea type="normal" dataOnly="0" labelOnly="1" outline="1" fieldPosition="0">
        <references count="1">
          <reference field="2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action="formatting" dxfId="484">
      <pivotArea type="normal" dataOnly="0" labelOnly="1" outline="1" fieldPosition="0">
        <references count="1">
          <reference field="20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action="formatting" dxfId="483">
      <pivotArea type="normal" dataOnly="0" labelOnly="1" outline="1" fieldPosition="0">
        <references count="1">
          <reference field="2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action="formatting" dxfId="482">
      <pivotArea type="normal" dataOnly="0" labelOnly="1" outline="1" fieldPosition="0">
        <references count="1">
          <reference field="20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action="formatting" dxfId="481">
      <pivotArea type="normal" dataOnly="0" labelOnly="1" outline="1" fieldPosition="0">
        <references count="1">
          <reference field="2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action="formatting" dxfId="480">
      <pivotArea type="normal" dataOnly="0" labelOnly="1" outline="1" fieldPosition="0">
        <references count="1">
          <reference field="20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action="formatting" dxfId="479">
      <pivotArea type="normal" dataOnly="0" labelOnly="1" outline="1" fieldPosition="0">
        <references count="1">
          <reference field="2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action="formatting" dxfId="478">
      <pivotArea type="normal" dataOnly="0" labelOnly="1" outline="1" fieldPosition="0">
        <references count="1">
          <reference field="20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 action="formatting">
      <pivotArea type="normal" dataOnly="0" labelOnly="1" outline="1" fieldPosition="0">
        <references count="1">
          <reference field="20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477">
      <pivotArea type="origin" dataOnly="0" labelOnly="1" outline="0" fieldPosition="0"/>
    </format>
    <format action="formatting" dxfId="476">
      <pivotArea field="20" type="button" dataOnly="0" labelOnly="1" outline="0" axis="axisRow" fieldPosition="0"/>
    </format>
    <format action="formatting" dxfId="475">
      <pivotArea type="normal" dataOnly="0" labelOnly="1" outline="1" fieldPosition="0">
        <references count="1">
          <reference field="2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action="formatting" dxfId="474">
      <pivotArea type="normal" dataOnly="0" labelOnly="1" outline="1" fieldPosition="0">
        <references count="1">
          <reference field="20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action="formatting" dxfId="473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8.xml><?xml version="1.0" encoding="utf-8"?>
<pivotTableDefinition xmlns:r="http://schemas.openxmlformats.org/officeDocument/2006/relationships" xmlns="http://schemas.openxmlformats.org/spreadsheetml/2006/main" name="Tabela dinâmica6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42:U103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07">
        <item t="data" sd="1" x="11"/>
        <item t="data" sd="1" x="14"/>
        <item t="data" sd="1" x="13"/>
        <item t="data" sd="1" x="28"/>
        <item t="data" sd="1" x="15"/>
        <item t="data" sd="1" m="1" x="62"/>
        <item t="data" sd="1" m="1" x="96"/>
        <item t="data" sd="1" x="29"/>
        <item t="data" sd="1" x="38"/>
        <item t="data" sd="1" m="1" x="84"/>
        <item t="data" sd="1" m="1" x="87"/>
        <item t="data" sd="1" x="39"/>
        <item t="data" sd="1" x="52"/>
        <item t="data" sd="1" m="1" x="103"/>
        <item t="data" sd="1" x="42"/>
        <item t="data" sd="1" x="32"/>
        <item t="data" sd="1" x="19"/>
        <item t="data" sd="1" x="21"/>
        <item t="data" sd="1" x="7"/>
        <item t="data" sd="1" x="6"/>
        <item t="data" sd="1" x="60"/>
        <item t="data" sd="1" x="3"/>
        <item t="data" sd="1" x="40"/>
        <item t="data" sd="1" x="1"/>
        <item t="data" sd="1" x="33"/>
        <item t="data" sd="1" x="35"/>
        <item t="data" sd="1" m="1" x="66"/>
        <item t="data" sd="1" x="31"/>
        <item t="data" sd="1" x="30"/>
        <item t="data" sd="1" x="2"/>
        <item t="data" sd="1" x="9"/>
        <item t="data" sd="1" x="12"/>
        <item t="data" sd="1" m="1" x="78"/>
        <item t="data" sd="1" x="20"/>
        <item t="data" sd="1" m="1" x="89"/>
        <item t="data" sd="1" m="1" x="65"/>
        <item t="data" sd="1" x="8"/>
        <item t="data" sd="1" x="10"/>
        <item t="data" sd="1" m="1" x="72"/>
        <item t="data" sd="1" x="25"/>
        <item t="data" sd="1" x="0"/>
        <item t="data" sd="1" x="44"/>
        <item t="data" sd="1" x="36"/>
        <item t="data" sd="1" x="22"/>
        <item t="data" sd="1" x="24"/>
        <item t="data" sd="1" x="16"/>
        <item t="data" sd="1" x="37"/>
        <item t="data" sd="1" m="1" x="79"/>
        <item t="data" sd="1" x="23"/>
        <item t="data" sd="1" x="45"/>
        <item t="data" sd="1" m="1" x="63"/>
        <item t="data" sd="1" m="1" x="68"/>
        <item t="data" sd="1" m="1" x="76"/>
        <item t="data" sd="1" x="46"/>
        <item t="data" sd="1" x="47"/>
        <item t="data" sd="1" x="48"/>
        <item t="data" sd="1" x="58"/>
        <item t="data" sd="1" x="34"/>
        <item t="data" sd="1" m="1" x="70"/>
        <item t="data" sd="1" x="4"/>
        <item t="data" sd="1" x="27"/>
        <item t="data" sd="1" m="1" x="69"/>
        <item t="data" sd="1" x="26"/>
        <item t="data" sd="1" m="1" x="77"/>
        <item t="data" sd="1" m="1" x="91"/>
        <item t="data" sd="1" x="49"/>
        <item t="data" sd="1" m="1" x="92"/>
        <item t="data" sd="1" x="43"/>
        <item t="data" sd="1" x="50"/>
        <item t="data" sd="1" x="51"/>
        <item t="data" sd="1" x="53"/>
        <item t="data" sd="1" m="1" x="93"/>
        <item t="data" sd="1" m="1" x="105"/>
        <item t="data" sd="1" m="1" x="75"/>
        <item t="data" sd="1" m="1" x="73"/>
        <item t="data" sd="1" m="1" x="86"/>
        <item t="data" sd="1" m="1" x="82"/>
        <item t="data" sd="1" x="41"/>
        <item t="data" sd="1" m="1" x="102"/>
        <item t="data" sd="1" m="1" x="98"/>
        <item t="data" sd="1" m="1" x="83"/>
        <item t="data" sd="1" x="17"/>
        <item t="data" sd="1" x="18"/>
        <item t="data" sd="1" m="1" x="101"/>
        <item t="data" sd="1" m="1" x="64"/>
        <item t="data" sd="1" m="1" x="80"/>
        <item t="data" sd="1" m="1" x="85"/>
        <item t="data" sd="1" m="1" x="104"/>
        <item t="data" sd="1" x="5"/>
        <item t="data" sd="1" m="1" x="71"/>
        <item t="data" sd="1" m="1" x="99"/>
        <item t="data" sd="1" m="1" x="100"/>
        <item t="data" sd="1" m="1" x="61"/>
        <item t="data" sd="1" m="1" x="81"/>
        <item t="data" sd="1" x="54"/>
        <item t="data" sd="1" m="1" x="88"/>
        <item t="data" sd="1" m="1" x="94"/>
        <item t="data" sd="1" x="57"/>
        <item t="data" sd="1" m="1" x="97"/>
        <item t="data" sd="1" x="56"/>
        <item t="data" sd="1" x="55"/>
        <item t="data" sd="1" m="1" x="95"/>
        <item t="data" sd="1" m="1" x="90"/>
        <item t="data" sd="1" m="1" x="67"/>
        <item t="data" sd="1" x="59"/>
        <item t="data" sd="1" m="1" x="74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1">
        <item t="data" sd="1" x="0"/>
        <item t="data" sd="1" x="3"/>
        <item t="data" sd="1" x="6"/>
        <item t="data" sd="1" x="2"/>
        <item t="data" h="1" sd="1" x="8"/>
        <item t="data" sd="1" x="5"/>
        <item t="data" sd="1" x="1"/>
        <item t="data" sd="1" x="4"/>
        <item t="data" h="1" sd="1" m="1" x="9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25"/>
  </rowFields>
  <rowItems count="60">
    <i t="data" r="0" i="0">
      <x v="18"/>
    </i>
    <i t="data" r="0" i="0">
      <x v="17"/>
    </i>
    <i t="data" r="0" i="0">
      <x v="41"/>
    </i>
    <i t="data" r="0" i="0">
      <x v="19"/>
    </i>
    <i t="data" r="0" i="0">
      <x v="94"/>
    </i>
    <i t="data" r="0" i="0">
      <x v="2"/>
    </i>
    <i t="data" r="0" i="0">
      <x v="42"/>
    </i>
    <i t="data" r="0" i="0">
      <x v="15"/>
    </i>
    <i t="data" r="0" i="0">
      <x v="3"/>
    </i>
    <i t="data" r="0" i="0">
      <x v="24"/>
    </i>
    <i t="data" r="0" i="0">
      <x v="12"/>
    </i>
    <i t="data" r="0" i="0">
      <x v="54"/>
    </i>
    <i t="data" r="0" i="0">
      <x v="22"/>
    </i>
    <i t="data" r="0" i="0">
      <x v="1"/>
    </i>
    <i t="data" r="0" i="0">
      <x v="97"/>
    </i>
    <i t="data" r="0" i="0">
      <x v="56"/>
    </i>
    <i t="data" r="0" i="0">
      <x v="21"/>
    </i>
    <i t="data" r="0" i="0">
      <x v="44"/>
    </i>
    <i t="data" r="0" i="0">
      <x v="0"/>
    </i>
    <i t="data" r="0" i="0">
      <x v="37"/>
    </i>
    <i t="data" r="0" i="0">
      <x v="31"/>
    </i>
    <i t="data" r="0" i="0">
      <x v="68"/>
    </i>
    <i t="data" r="0" i="0">
      <x v="69"/>
    </i>
    <i t="data" r="0" i="0">
      <x v="30"/>
    </i>
    <i t="data" r="0" i="0">
      <x v="14"/>
    </i>
    <i t="data" r="0" i="0">
      <x v="55"/>
    </i>
    <i t="data" r="0" i="0">
      <x v="65"/>
    </i>
    <i t="data" r="0" i="0">
      <x v="16"/>
    </i>
    <i t="data" r="0" i="0">
      <x v="33"/>
    </i>
    <i t="data" r="0" i="0">
      <x v="46"/>
    </i>
    <i t="data" r="0" i="0">
      <x v="59"/>
    </i>
    <i t="data" r="0" i="0">
      <x v="36"/>
    </i>
    <i t="data" r="0" i="0">
      <x v="43"/>
    </i>
    <i t="data" r="0" i="0">
      <x v="100"/>
    </i>
    <i t="data" r="0" i="0">
      <x v="57"/>
    </i>
    <i t="data" r="0" i="0">
      <x v="27"/>
    </i>
    <i t="data" r="0" i="0">
      <x v="39"/>
    </i>
    <i t="data" r="0" i="0">
      <x v="67"/>
    </i>
    <i t="data" r="0" i="0">
      <x v="7"/>
    </i>
    <i t="data" r="0" i="0">
      <x v="29"/>
    </i>
    <i t="data" r="0" i="0">
      <x v="82"/>
    </i>
    <i t="data" r="0" i="0">
      <x v="4"/>
    </i>
    <i t="data" r="0" i="0">
      <x v="53"/>
    </i>
    <i t="data" r="0" i="0">
      <x v="60"/>
    </i>
    <i t="data" r="0" i="0">
      <x v="23"/>
    </i>
    <i t="data" r="0" i="0">
      <x v="40"/>
    </i>
    <i t="data" r="0" i="0">
      <x v="88"/>
    </i>
    <i t="data" r="0" i="0">
      <x v="62"/>
    </i>
    <i t="data" r="0" i="0">
      <x v="49"/>
    </i>
    <i t="data" r="0" i="0">
      <x v="11"/>
    </i>
    <i t="data" r="0" i="0">
      <x v="25"/>
    </i>
    <i t="data" r="0" i="0">
      <x v="28"/>
    </i>
    <i t="data" r="0" i="0">
      <x v="48"/>
    </i>
    <i t="data" r="0" i="0">
      <x v="45"/>
    </i>
    <i t="data" r="0" i="0">
      <x v="99"/>
    </i>
    <i t="data" r="0" i="0">
      <x v="77"/>
    </i>
    <i t="data" r="0" i="0">
      <x v="104"/>
    </i>
    <i t="data" r="0" i="0">
      <x v="81"/>
    </i>
    <i t="data" r="0" i="0">
      <x v="8"/>
    </i>
    <i t="grand" r="0" i="0">
      <x v="0"/>
    </i>
  </rowItems>
  <colFields count="1">
    <field x="36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Contagem de OBT" fld="8" subtotal="count" showDataAs="normal" baseField="0" baseItem="0"/>
  </dataFields>
  <formats count="249">
    <format action="formatting" dxfId="1081">
      <pivotArea field="25" type="normal" dataOnly="1" grandCol="1" outline="1" collapsedLevelsAreSubtotals="1" axis="axisRow" fieldPosition="0">
        <references count="1">
          <reference field="25"/>
        </references>
      </pivotArea>
    </format>
    <format action="formatting" dxfId="1080">
      <pivotArea type="all" dataOnly="0" outline="0" fieldPosition="0"/>
    </format>
    <format action="formatting" dxfId="1079">
      <pivotArea type="normal" dataOnly="1" outline="0" collapsedLevelsAreSubtotals="1" fieldPosition="0"/>
    </format>
    <format action="formatting" dxfId="1078">
      <pivotArea type="origin" dataOnly="0" labelOnly="1" outline="0" fieldPosition="0"/>
    </format>
    <format action="formatting" dxfId="1077">
      <pivotArea field="25" type="button" dataOnly="0" labelOnly="1" outline="0" axis="axisRow" fieldPosition="0"/>
    </format>
    <format action="formatting" dxfId="1076">
      <pivotArea type="normal" dataOnly="0" labelOnly="1" outline="1" fieldPosition="0">
        <references count="1">
          <reference field="25"/>
        </references>
      </pivotArea>
    </format>
    <format action="formatting" dxfId="1075">
      <pivotArea type="normal" dataOnly="0" labelOnly="1" grandRow="1" outline="0" fieldPosition="0"/>
    </format>
    <format action="formatting" dxfId="1074">
      <pivotArea type="normal" dataOnly="0" labelOnly="1" outline="1" fieldPosition="0">
        <references count="1">
          <reference field="36">
            <x v="0"/>
            <x v="1"/>
            <x v="2"/>
            <x v="3"/>
          </reference>
        </references>
      </pivotArea>
    </format>
    <format action="formatting" dxfId="1073">
      <pivotArea type="normal" dataOnly="0" labelOnly="1" grandCol="1" outline="0" fieldPosition="0"/>
    </format>
    <format action="formatting" dxfId="1072">
      <pivotArea type="normal" dataOnly="1" outline="0" collapsedLevelsAreSubtotals="1" fieldPosition="0"/>
    </format>
    <format action="formatting" dxfId="1071">
      <pivotArea type="normal" dataOnly="0" labelOnly="1" outline="1" fieldPosition="0">
        <references count="1">
          <reference field="36">
            <x v="0"/>
            <x v="1"/>
            <x v="2"/>
            <x v="3"/>
          </reference>
        </references>
      </pivotArea>
    </format>
    <format action="formatting" dxfId="1070">
      <pivotArea type="normal" dataOnly="0" labelOnly="1" grandCol="1" outline="0" fieldPosition="0"/>
    </format>
    <format action="formatting" dxfId="1069">
      <pivotArea field="25" type="normal" dataOnly="1" grandCol="1" outline="1" collapsedLevelsAreSubtotals="1" axis="axisRow" fieldPosition="0">
        <references count="1">
          <reference field="25"/>
        </references>
      </pivotArea>
    </format>
    <format action="formatting" dxfId="1068">
      <pivotArea type="origin" dataOnly="0" labelOnly="1" outline="0" fieldPosition="0"/>
    </format>
    <format action="formatting" dxfId="1067">
      <pivotArea field="25" type="button" dataOnly="0" labelOnly="1" outline="0" axis="axisRow" fieldPosition="0"/>
    </format>
    <format action="formatting" dxfId="1066">
      <pivotArea type="normal" dataOnly="0" labelOnly="1" outline="1" fieldPosition="0">
        <references count="1">
          <reference field="25"/>
        </references>
      </pivotArea>
    </format>
    <format action="formatting" dxfId="1065">
      <pivotArea type="normal" dataOnly="0" labelOnly="1" grandRow="1" outline="0" fieldPosition="0"/>
    </format>
    <format action="formatting">
      <pivotArea type="origin" dataOnly="0" labelOnly="1" outline="0" fieldPosition="0"/>
    </format>
    <format action="formatting">
      <pivotArea field="25" type="button" dataOnly="0" labelOnly="1" outline="0" axis="axisRow" fieldPosition="0"/>
    </format>
    <format action="formatting">
      <pivotArea type="normal" dataOnly="0" labelOnly="1" outline="1" fieldPosition="0">
        <references count="1">
          <reference field="25"/>
        </references>
      </pivotArea>
    </format>
    <format action="formatting">
      <pivotArea type="normal" dataOnly="0" labelOnly="1" grandRow="1" outline="0" fieldPosition="0"/>
    </format>
    <format action="formatting" dxfId="1064">
      <pivotArea type="origin" dataOnly="0" labelOnly="1" outline="0" fieldPosition="0"/>
    </format>
    <format action="formatting" dxfId="1063">
      <pivotArea field="25" type="button" dataOnly="0" labelOnly="1" outline="0" axis="axisRow" fieldPosition="0"/>
    </format>
    <format action="formatting" dxfId="1062">
      <pivotArea type="normal" dataOnly="0" labelOnly="1" outline="1" fieldPosition="0">
        <references count="1">
          <reference field="25"/>
        </references>
      </pivotArea>
    </format>
    <format action="formatting" dxfId="1061">
      <pivotArea type="normal" dataOnly="0" labelOnly="1" grandRow="1" outline="0" fieldPosition="0"/>
    </format>
    <format action="formatting" dxfId="1060">
      <pivotArea type="all" dataOnly="0" outline="0" fieldPosition="0"/>
    </format>
    <format action="formatting" dxfId="1059">
      <pivotArea type="normal" dataOnly="1" outline="0" collapsedLevelsAreSubtotals="1" fieldPosition="0"/>
    </format>
    <format action="formatting" dxfId="1058">
      <pivotArea type="origin" dataOnly="0" labelOnly="1" outline="0" fieldPosition="0"/>
    </format>
    <format action="formatting" dxfId="1057">
      <pivotArea field="36" type="button" dataOnly="0" labelOnly="1" outline="0" axis="axisCol" fieldPosition="0"/>
    </format>
    <format action="formatting" dxfId="1056">
      <pivotArea type="topRight" dataOnly="0" labelOnly="1" outline="0" fieldPosition="0"/>
    </format>
    <format action="formatting" dxfId="1055">
      <pivotArea field="25" type="button" dataOnly="0" labelOnly="1" outline="0" axis="axisRow" fieldPosition="0"/>
    </format>
    <format action="formatting" dxfId="1054">
      <pivotArea type="normal" dataOnly="0" labelOnly="1" outline="1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action="formatting" dxfId="1053">
      <pivotArea type="normal" dataOnly="0" labelOnly="1" grandRow="1" outline="0" fieldPosition="0"/>
    </format>
    <format action="formatting" dxfId="1052">
      <pivotArea type="normal" dataOnly="0" labelOnly="1" outline="1" fieldPosition="0">
        <references count="1">
          <reference field="36"/>
        </references>
      </pivotArea>
    </format>
    <format action="formatting" dxfId="1051">
      <pivotArea type="normal" dataOnly="0" labelOnly="1" grandCol="1" outline="0" fieldPosition="0"/>
    </format>
    <format action="formatting" dxfId="1050">
      <pivotArea type="all" dataOnly="0" outline="0" fieldPosition="0"/>
    </format>
    <format action="formatting" dxfId="1049">
      <pivotArea type="normal" dataOnly="1" outline="0" collapsedLevelsAreSubtotals="1" fieldPosition="0"/>
    </format>
    <format action="formatting" dxfId="1048">
      <pivotArea type="origin" dataOnly="0" labelOnly="1" outline="0" fieldPosition="0"/>
    </format>
    <format action="formatting" dxfId="1047">
      <pivotArea field="36" type="button" dataOnly="0" labelOnly="1" outline="0" axis="axisCol" fieldPosition="0"/>
    </format>
    <format action="formatting" dxfId="1046">
      <pivotArea type="topRight" dataOnly="0" labelOnly="1" outline="0" fieldPosition="0"/>
    </format>
    <format action="formatting" dxfId="1045">
      <pivotArea field="25" type="button" dataOnly="0" labelOnly="1" outline="0" axis="axisRow" fieldPosition="0"/>
    </format>
    <format action="formatting" dxfId="1044">
      <pivotArea type="normal" dataOnly="0" labelOnly="1" outline="1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action="formatting" dxfId="1043">
      <pivotArea type="normal" dataOnly="0" labelOnly="1" grandRow="1" outline="0" fieldPosition="0"/>
    </format>
    <format action="formatting" dxfId="1042">
      <pivotArea type="normal" dataOnly="0" labelOnly="1" outline="1" fieldPosition="0">
        <references count="1">
          <reference field="36"/>
        </references>
      </pivotArea>
    </format>
    <format action="formatting" dxfId="1041">
      <pivotArea type="normal" dataOnly="0" labelOnly="1" grandCol="1" outline="0" fieldPosition="0"/>
    </format>
    <format action="formatting" dxfId="1040">
      <pivotArea type="all" dataOnly="0" outline="0" fieldPosition="0"/>
    </format>
    <format action="formatting" dxfId="1039">
      <pivotArea type="normal" dataOnly="1" outline="0" collapsedLevelsAreSubtotals="1" fieldPosition="0"/>
    </format>
    <format action="formatting" dxfId="1038">
      <pivotArea type="origin" dataOnly="0" labelOnly="1" outline="0" fieldPosition="0"/>
    </format>
    <format action="formatting" dxfId="1037">
      <pivotArea field="36" type="button" dataOnly="0" labelOnly="1" outline="0" axis="axisCol" fieldPosition="0"/>
    </format>
    <format action="formatting" dxfId="1036">
      <pivotArea type="topRight" dataOnly="0" labelOnly="1" outline="0" fieldPosition="0"/>
    </format>
    <format action="formatting" dxfId="1035">
      <pivotArea field="25" type="button" dataOnly="0" labelOnly="1" outline="0" axis="axisRow" fieldPosition="0"/>
    </format>
    <format action="formatting" dxfId="103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1033">
      <pivotArea type="normal" dataOnly="0" labelOnly="1" grandRow="1" outline="0" fieldPosition="0"/>
    </format>
    <format action="formatting" dxfId="1032">
      <pivotArea type="normal" dataOnly="0" labelOnly="1" outline="1" fieldPosition="0">
        <references count="1">
          <reference field="36"/>
        </references>
      </pivotArea>
    </format>
    <format action="formatting" dxfId="1031">
      <pivotArea type="normal" dataOnly="0" labelOnly="1" grandCol="1" outline="0" fieldPosition="0"/>
    </format>
    <format action="formatting" dxfId="1030">
      <pivotArea type="all" dataOnly="0" outline="0" fieldPosition="0"/>
    </format>
    <format action="formatting" dxfId="1029">
      <pivotArea type="normal" dataOnly="1" outline="0" collapsedLevelsAreSubtotals="1" fieldPosition="0"/>
    </format>
    <format action="formatting" dxfId="1028">
      <pivotArea type="origin" dataOnly="0" labelOnly="1" outline="0" fieldPosition="0"/>
    </format>
    <format action="formatting" dxfId="1027">
      <pivotArea field="36" type="button" dataOnly="0" labelOnly="1" outline="0" axis="axisCol" fieldPosition="0"/>
    </format>
    <format action="formatting" dxfId="1026">
      <pivotArea type="topRight" dataOnly="0" labelOnly="1" outline="0" fieldPosition="0"/>
    </format>
    <format action="formatting" dxfId="1025">
      <pivotArea field="25" type="button" dataOnly="0" labelOnly="1" outline="0" axis="axisRow" fieldPosition="0"/>
    </format>
    <format action="formatting" dxfId="102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1023">
      <pivotArea type="normal" dataOnly="0" labelOnly="1" grandRow="1" outline="0" fieldPosition="0"/>
    </format>
    <format action="formatting" dxfId="1022">
      <pivotArea type="normal" dataOnly="0" labelOnly="1" outline="1" fieldPosition="0">
        <references count="1">
          <reference field="36"/>
        </references>
      </pivotArea>
    </format>
    <format action="formatting" dxfId="1021">
      <pivotArea type="normal" dataOnly="0" labelOnly="1" grandCol="1" outline="0" fieldPosition="0"/>
    </format>
    <format action="formatting" dxfId="1020">
      <pivotArea type="all" dataOnly="0" outline="0" fieldPosition="0"/>
    </format>
    <format action="formatting" dxfId="1019">
      <pivotArea type="normal" dataOnly="1" outline="0" collapsedLevelsAreSubtotals="1" fieldPosition="0"/>
    </format>
    <format action="formatting" dxfId="1018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1017">
      <pivotArea type="normal" dataOnly="0" labelOnly="1" outline="1" fieldPosition="0">
        <references count="1">
          <reference field="36"/>
        </references>
      </pivotArea>
    </format>
    <format action="formatting" dxfId="1016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1015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action="formatting" dxfId="1014">
      <pivotArea type="normal" dataOnly="1" outline="0" collapsedLevelsAreSubtotals="1" fieldPosition="0"/>
    </format>
    <format action="formatting" dxfId="1013">
      <pivotArea type="normal" dataOnly="0" labelOnly="1" outline="1" fieldPosition="0">
        <references count="1">
          <reference field="36"/>
        </references>
      </pivotArea>
    </format>
    <format action="formatting" dxfId="1012">
      <pivotArea type="normal" dataOnly="0" labelOnly="1" grandCol="1" outline="0" fieldPosition="0"/>
    </format>
    <format action="formatting" dxfId="1011">
      <pivotArea type="all" dataOnly="0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1010">
      <pivotArea field="25" type="normal" dataOnly="1" grandCol="1" outline="1" collapsedLevelsAreSubtotals="1" axis="axisRow" fieldPosition="0">
        <references count="1">
          <reference field="25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action="formatting" dxfId="1009">
      <pivotArea field="25" type="normal" dataOnly="1" grandCol="1" outline="1" collapsedLevelsAreSubtotals="1" axis="axisRow" fieldPosition="0">
        <references count="1">
          <reference field="25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action="formatting" dxfId="1008">
      <pivotArea field="25" type="normal" dataOnly="1" grandCol="1" outline="1" collapsedLevelsAreSubtotals="1" axis="axisRow" fieldPosition="0">
        <references count="1">
          <reference field="25">
            <x v="2"/>
            <x v="7"/>
            <x v="9"/>
            <x v="10"/>
            <x v="12"/>
            <x v="19"/>
          </reference>
        </references>
      </pivotArea>
    </format>
    <format action="formatting" dxfId="1007">
      <pivotArea field="25" type="normal" dataOnly="1" grandCol="1" outline="1" collapsedLevelsAreSubtotals="1" axis="axisRow" fieldPosition="0">
        <references count="1">
          <reference field="25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action="formatting" dxfId="1006">
      <pivotArea field="25" type="normal" dataOnly="1" grandCol="1" outline="1" collapsedLevelsAreSubtotals="1" axis="axisRow" fieldPosition="0">
        <references count="1">
          <reference field="25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action="formatting" dxfId="1005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action="formatting" dxfId="1004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action="formatting" dxfId="1003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action="formatting" dxfId="1002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action="formatting" dxfId="1001">
      <pivotArea type="normal" dataOnly="1" outline="0" collapsedLevelsAreSubtotals="1" fieldPosition="0">
        <references count="1">
          <reference field="36" selected="0">
            <x v="1"/>
          </reference>
        </references>
      </pivotArea>
    </format>
    <format action="formatting" dxfId="1000">
      <pivotArea type="normal" dataOnly="1" outline="0" collapsedLevelsAreSubtotals="1" fieldPosition="0">
        <references count="1">
          <reference field="36" selected="0">
            <x v="3"/>
          </reference>
        </references>
      </pivotArea>
    </format>
    <format action="formatting" dxfId="999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action="formatting" dxfId="998">
      <pivotArea field="25" type="normal" dataOnly="1" grandCol="1" outline="1" collapsedLevelsAreSubtotals="1" axis="axisRow" fieldPosition="0">
        <references count="1">
          <reference field="25">
            <x v="2"/>
            <x v="10"/>
            <x v="18"/>
            <x v="19"/>
            <x v="26"/>
          </reference>
        </references>
      </pivotArea>
    </format>
    <format action="formatting" dxfId="997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action="formatting" dxfId="996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action="formatting" dxfId="995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action="formatting" dxfId="994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action="formatting" dxfId="993">
      <pivotArea field="25" type="normal" dataOnly="1" grandCol="1" outline="1" collapsedLevelsAreSubtotals="1" axis="axisRow" fieldPosition="0">
        <references count="1">
          <reference field="25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action="formatting" dxfId="992">
      <pivotArea type="all" dataOnly="0" outline="0" fieldPosition="0"/>
    </format>
    <format action="formatting" dxfId="991">
      <pivotArea type="normal" dataOnly="1" outline="0" collapsedLevelsAreSubtotals="1" fieldPosition="0"/>
    </format>
    <format action="formatting" dxfId="990">
      <pivotArea type="origin" dataOnly="0" labelOnly="1" outline="0" fieldPosition="0"/>
    </format>
    <format action="formatting" dxfId="989">
      <pivotArea field="36" type="button" dataOnly="0" labelOnly="1" outline="0" axis="axisCol" fieldPosition="0"/>
    </format>
    <format action="formatting" dxfId="988">
      <pivotArea type="topRight" dataOnly="0" labelOnly="1" outline="0" fieldPosition="0"/>
    </format>
    <format action="formatting" dxfId="987">
      <pivotArea field="25" type="button" dataOnly="0" labelOnly="1" outline="0" axis="axisRow" fieldPosition="0"/>
    </format>
    <format action="formatting" dxfId="986">
      <pivotArea type="normal" dataOnly="0" labelOnly="1" outline="1" fieldPosition="0">
        <references count="1">
          <reference field="25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action="formatting" dxfId="985">
      <pivotArea type="normal" dataOnly="0" labelOnly="1" grandRow="1" outline="0" fieldPosition="0"/>
    </format>
    <format action="formatting" dxfId="984">
      <pivotArea type="normal" dataOnly="0" labelOnly="1" outline="1" fieldPosition="0">
        <references count="1">
          <reference field="36"/>
        </references>
      </pivotArea>
    </format>
    <format action="formatting" dxfId="983">
      <pivotArea type="normal" dataOnly="0" labelOnly="1" grandCol="1" outline="0" fieldPosition="0"/>
    </format>
    <format action="formatting" dxfId="982">
      <pivotArea type="all" dataOnly="0" outline="0" fieldPosition="0"/>
    </format>
    <format action="formatting" dxfId="981">
      <pivotArea type="normal" dataOnly="1" outline="0" collapsedLevelsAreSubtotals="1" fieldPosition="0"/>
    </format>
    <format action="formatting" dxfId="980">
      <pivotArea field="36" type="button" dataOnly="0" labelOnly="1" outline="0" axis="axisCol" fieldPosition="0"/>
    </format>
    <format action="formatting" dxfId="979">
      <pivotArea type="topRight" dataOnly="0" labelOnly="1" outline="0" fieldPosition="0"/>
    </format>
    <format action="formatting" dxfId="978">
      <pivotArea type="normal" dataOnly="0" labelOnly="1" outline="1" fieldPosition="0">
        <references count="1">
          <reference field="25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action="formatting" dxfId="977">
      <pivotArea type="normal" dataOnly="0" labelOnly="1" outline="1" fieldPosition="0">
        <references count="1">
          <reference field="25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action="formatting" dxfId="976">
      <pivotArea type="normal" dataOnly="0" labelOnly="1" outline="1" fieldPosition="0">
        <references count="1">
          <reference field="36"/>
        </references>
      </pivotArea>
    </format>
    <format action="formatting" dxfId="975">
      <pivotArea type="normal" dataOnly="0" labelOnly="1" grandCol="1" outline="0" fieldPosition="0"/>
    </format>
    <format action="formatting" dxfId="97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action="formatting" dxfId="973">
      <pivotArea type="normal" dataOnly="0" labelOnly="1" outline="1" fieldPosition="0">
        <references count="1">
          <reference field="25">
            <x v="4"/>
            <x v="11"/>
            <x v="26"/>
            <x v="39"/>
            <x v="55"/>
            <x v="57"/>
          </reference>
        </references>
      </pivotArea>
    </format>
    <format action="formatting" dxfId="972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action="formatting" dxfId="971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action="formatting" dxfId="970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action="formatting" dxfId="969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action="formatting" dxfId="96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action="formatting" dxfId="967">
      <pivotArea type="normal" dataOnly="0" labelOnly="1" outline="1" fieldPosition="0">
        <references count="1">
          <reference field="25">
            <x v="4"/>
            <x v="7"/>
            <x v="13"/>
            <x v="27"/>
            <x v="39"/>
            <x v="52"/>
          </reference>
        </references>
      </pivotArea>
    </format>
    <format action="formatting" dxfId="966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action="formatting" dxfId="965">
      <pivotArea type="normal" dataOnly="0" labelOnly="1" outline="1" fieldPosition="0">
        <references count="1">
          <reference field="25">
            <x v="4"/>
            <x v="7"/>
            <x v="13"/>
            <x v="27"/>
            <x v="39"/>
            <x v="52"/>
          </reference>
        </references>
      </pivotArea>
    </format>
    <format action="formatting" dxfId="964">
      <pivotArea type="normal" dataOnly="0" labelOnly="1" outline="1" fieldPosition="0">
        <references count="1">
          <reference field="25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action="formatting" dxfId="963">
      <pivotArea type="normal" dataOnly="0" labelOnly="1" outline="1" fieldPosition="0">
        <references count="1">
          <reference field="25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action="formatting" dxfId="962">
      <pivotArea type="normal" dataOnly="0" labelOnly="1" outline="1" fieldPosition="0">
        <references count="1">
          <reference field="25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action="formatting" dxfId="961">
      <pivotArea type="normal" dataOnly="0" labelOnly="1" outline="1" fieldPosition="0">
        <references count="1">
          <reference field="25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action="formatting" dxfId="960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action="formatting" dxfId="959">
      <pivotArea type="normal" dataOnly="0" labelOnly="1" outline="1" fieldPosition="0">
        <references count="1">
          <reference field="25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action="formatting" dxfId="95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action="formatting" dxfId="957">
      <pivotArea type="normal" dataOnly="0" labelOnly="1" outline="1" fieldPosition="0">
        <references count="1">
          <reference field="25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action="formatting" dxfId="956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action="formatting" dxfId="955">
      <pivotArea type="normal" dataOnly="0" labelOnly="1" outline="1" fieldPosition="0">
        <references count="1">
          <reference field="25">
            <x v="4"/>
            <x v="37"/>
            <x v="38"/>
            <x v="49"/>
            <x v="58"/>
          </reference>
        </references>
      </pivotArea>
    </format>
    <format action="formatting" dxfId="954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action="formatting" dxfId="953">
      <pivotArea type="normal" dataOnly="0" labelOnly="1" outline="1" fieldPosition="0">
        <references count="1">
          <reference field="25">
            <x v="4"/>
            <x v="37"/>
            <x v="38"/>
            <x v="49"/>
            <x v="58"/>
          </reference>
        </references>
      </pivotArea>
    </format>
    <format action="formatting" dxfId="952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action="formatting" dxfId="951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action="formatting" dxfId="950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action="formatting" dxfId="949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action="formatting" dxfId="948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action="formatting" dxfId="947">
      <pivotArea type="normal" dataOnly="0" labelOnly="1" outline="1" fieldPosition="0">
        <references count="1">
          <reference field="25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action="formatting" dxfId="946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action="formatting" dxfId="945">
      <pivotArea type="normal" dataOnly="0" labelOnly="1" outline="1" fieldPosition="0">
        <references count="1">
          <reference field="25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action="formatting" dxfId="944">
      <pivotArea type="normal" dataOnly="0" labelOnly="1" outline="1" fieldPosition="0">
        <references count="1">
          <reference field="25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action="formatting" dxfId="943">
      <pivotArea type="normal" dataOnly="0" labelOnly="1" outline="1" fieldPosition="0">
        <references count="1">
          <reference field="25">
            <x v="4"/>
            <x v="21"/>
            <x v="27"/>
            <x v="46"/>
            <x v="54"/>
            <x v="55"/>
          </reference>
        </references>
      </pivotArea>
    </format>
    <format action="formatting" dxfId="942">
      <pivotArea type="normal" dataOnly="0" labelOnly="1" outline="1" fieldPosition="0">
        <references count="1">
          <reference field="25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action="formatting" dxfId="941">
      <pivotArea type="normal" dataOnly="0" labelOnly="1" outline="1" fieldPosition="0">
        <references count="1">
          <reference field="25">
            <x v="4"/>
            <x v="21"/>
            <x v="27"/>
            <x v="46"/>
            <x v="54"/>
            <x v="55"/>
          </reference>
        </references>
      </pivotArea>
    </format>
    <format action="formatting" dxfId="940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action="formatting" dxfId="939">
      <pivotArea type="normal" dataOnly="0" labelOnly="1" outline="1" fieldPosition="0">
        <references count="1">
          <reference field="25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action="formatting" dxfId="93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action="formatting" dxfId="937">
      <pivotArea type="normal" dataOnly="0" labelOnly="1" outline="1" fieldPosition="0">
        <references count="1">
          <reference field="25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action="formatting" dxfId="936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action="formatting" dxfId="935">
      <pivotArea type="normal" dataOnly="0" labelOnly="1" outline="1" fieldPosition="0">
        <references count="1">
          <reference field="2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action="formatting" dxfId="934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action="formatting" dxfId="933">
      <pivotArea type="normal" dataOnly="0" labelOnly="1" outline="1" fieldPosition="0">
        <references count="1">
          <reference field="2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action="formatting" dxfId="932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action="formatting" dxfId="931">
      <pivotArea type="normal" dataOnly="0" labelOnly="1" outline="1" fieldPosition="0">
        <references count="1">
          <reference field="25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action="formatting" dxfId="930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action="formatting" dxfId="929">
      <pivotArea type="normal" dataOnly="0" labelOnly="1" outline="1" fieldPosition="0">
        <references count="1">
          <reference field="25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action="formatting" dxfId="928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action="formatting" dxfId="927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action="formatting" dxfId="926">
      <pivotArea type="normal" dataOnly="0" labelOnly="1" outline="1" fieldPosition="0">
        <references count="1">
          <reference field="25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action="formatting" dxfId="925">
      <pivotArea type="normal" dataOnly="0" labelOnly="1" outline="1" fieldPosition="0">
        <references count="1">
          <reference field="25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action="formatting" dxfId="924">
      <pivotArea type="normal" dataOnly="0" labelOnly="1" outline="1" fieldPosition="0">
        <references count="1">
          <reference field="25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action="formatting" dxfId="923">
      <pivotArea type="normal" dataOnly="0" labelOnly="1" outline="1" fieldPosition="0">
        <references count="1">
          <reference field="25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action="formatting" dxfId="922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action="formatting" dxfId="921">
      <pivotArea type="normal" dataOnly="0" labelOnly="1" outline="1" fieldPosition="0">
        <references count="1">
          <reference field="25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action="formatting" dxfId="920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action="formatting" dxfId="919">
      <pivotArea type="normal" dataOnly="0" labelOnly="1" outline="1" fieldPosition="0">
        <references count="1">
          <reference field="25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action="formatting" dxfId="918">
      <pivotArea type="origin" dataOnly="0" labelOnly="1" outline="0" fieldPosition="0"/>
    </format>
    <format action="formatting" dxfId="917">
      <pivotArea field="25" type="button" dataOnly="0" labelOnly="1" outline="0" axis="axisRow" fieldPosition="0"/>
    </format>
    <format action="formatting" dxfId="916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action="formatting" dxfId="915">
      <pivotArea type="normal" dataOnly="0" labelOnly="1" outline="1" fieldPosition="0">
        <references count="1">
          <reference field="25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action="formatting" dxfId="914">
      <pivotArea type="normal" dataOnly="0" labelOnly="1" grandRow="1" outline="0" fieldPosition="0"/>
    </format>
    <format action="formatting" dxfId="913">
      <pivotArea type="origin" dataOnly="0" labelOnly="1" outline="0" fieldPosition="0"/>
    </format>
    <format action="formatting" dxfId="912">
      <pivotArea field="25" type="button" dataOnly="0" labelOnly="1" outline="0" axis="axisRow" fieldPosition="0"/>
    </format>
    <format action="formatting" dxfId="911">
      <pivotArea type="normal" dataOnly="0" labelOnly="1" outline="1" fieldPosition="0">
        <references count="1">
          <reference field="25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action="formatting" dxfId="910">
      <pivotArea type="normal" dataOnly="0" labelOnly="1" outline="1" fieldPosition="0">
        <references count="1">
          <reference field="25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action="formatting" dxfId="909">
      <pivotArea type="normal" dataOnly="0" labelOnly="1" grandRow="1" outline="0" fieldPosition="0"/>
    </format>
    <format action="formatting" dxfId="908">
      <pivotArea type="all" dataOnly="0" outline="0" fieldPosition="0"/>
    </format>
    <format action="formatting" dxfId="907">
      <pivotArea type="normal" dataOnly="1" outline="0" collapsedLevelsAreSubtotals="1" fieldPosition="0"/>
    </format>
    <format action="formatting" dxfId="906">
      <pivotArea type="origin" dataOnly="0" labelOnly="1" outline="0" fieldPosition="0"/>
    </format>
    <format action="formatting" dxfId="905">
      <pivotArea field="36" type="button" dataOnly="0" labelOnly="1" outline="0" axis="axisCol" fieldPosition="0"/>
    </format>
    <format action="formatting" dxfId="904">
      <pivotArea type="topRight" dataOnly="0" labelOnly="1" outline="0" fieldPosition="0"/>
    </format>
    <format action="formatting" dxfId="903">
      <pivotArea field="25" type="button" dataOnly="0" labelOnly="1" outline="0" axis="axisRow" fieldPosition="0"/>
    </format>
    <format action="formatting" dxfId="902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 dxfId="901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 dxfId="900">
      <pivotArea type="normal" dataOnly="0" labelOnly="1" grandRow="1" outline="0" fieldPosition="0"/>
    </format>
    <format action="formatting" dxfId="899">
      <pivotArea type="normal" dataOnly="0" labelOnly="1" outline="1" fieldPosition="0">
        <references count="1">
          <reference field="36"/>
        </references>
      </pivotArea>
    </format>
    <format action="formatting" dxfId="898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action="formatting">
      <pivotArea type="normal" dataOnly="0" labelOnly="1" outline="1" fieldPosition="0">
        <references count="1">
          <reference field="25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action="formatting" dxfId="897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action="formatting" dxfId="896">
      <pivotArea type="normal" dataOnly="0" labelOnly="1" outline="1" fieldPosition="0">
        <references count="1">
          <reference field="25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action="formatting" dxfId="895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action="formatting" dxfId="894">
      <pivotArea type="normal" dataOnly="0" labelOnly="1" outline="1" fieldPosition="0">
        <references count="1">
          <reference field="25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action="formatting" dxfId="893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action="formatting" dxfId="892">
      <pivotArea type="normal" dataOnly="0" labelOnly="1" outline="1" fieldPosition="0">
        <references count="1">
          <reference field="25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action="formatting" dxfId="891">
      <pivotArea type="normal" dataOnly="0" labelOnly="1" outline="1" fieldPosition="0">
        <references count="1">
          <reference field="25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action="formatting" dxfId="890">
      <pivotArea type="normal" dataOnly="0" labelOnly="1" outline="1" fieldPosition="0">
        <references count="1">
          <reference field="25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action="formatting" dxfId="889">
      <pivotArea type="normal" dataOnly="0" labelOnly="1" outline="1" fieldPosition="0">
        <references count="1">
          <reference field="25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action="formatting" dxfId="888">
      <pivotArea type="normal" dataOnly="0" labelOnly="1" outline="1" fieldPosition="0">
        <references count="1">
          <reference field="2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action="formatting" dxfId="887">
      <pivotArea type="normal" dataOnly="0" labelOnly="1" outline="1" fieldPosition="0">
        <references count="1">
          <reference field="25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action="formatting" dxfId="886">
      <pivotArea type="normal" dataOnly="0" labelOnly="1" outline="1" fieldPosition="0">
        <references count="1">
          <reference field="2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action="formatting" dxfId="885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action="formatting" dxfId="88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action="formatting" dxfId="883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action="formatting" dxfId="882">
      <pivotArea type="normal" dataOnly="0" labelOnly="1" outline="1" fieldPosition="0">
        <references count="1">
          <reference field="25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action="formatting" dxfId="881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action="formatting" dxfId="880">
      <pivotArea type="normal" dataOnly="0" labelOnly="1" outline="1" fieldPosition="0">
        <references count="1">
          <reference field="25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action="formatting" dxfId="879">
      <pivotArea type="normal" dataOnly="0" labelOnly="1" outline="1" fieldPosition="0">
        <references count="1">
          <reference field="25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action="formatting" dxfId="878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action="formatting" dxfId="877">
      <pivotArea type="normal" dataOnly="0" labelOnly="1" outline="1" fieldPosition="0">
        <references count="1">
          <reference field="25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action="formatting" dxfId="876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action="formatting" dxfId="875">
      <pivotArea type="normal" dataOnly="0" labelOnly="1" outline="1" fieldPosition="0">
        <references count="1">
          <reference field="25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action="formatting" dxfId="87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action="formatting" dxfId="873">
      <pivotArea type="normal" dataOnly="0" labelOnly="1" outline="1" fieldPosition="0">
        <references count="1">
          <reference field="25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action="formatting" dxfId="872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action="formatting" dxfId="871">
      <pivotArea type="normal" dataOnly="0" labelOnly="1" outline="1" fieldPosition="0">
        <references count="1">
          <reference field="25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36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 action="formatting">
      <pivotArea type="normal" dataOnly="0" labelOnly="1" outline="1" fieldPosition="0">
        <references count="1">
          <reference field="25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 action="formatting">
      <pivotArea type="normal" dataOnly="0" labelOnly="1" outline="1" fieldPosition="0">
        <references count="1">
          <reference field="36"/>
        </references>
      </pivotArea>
    </format>
    <format action="formatting">
      <pivotArea type="normal" dataOnly="0" labelOnly="1" grandCol="1" outline="0" fieldPosition="0"/>
    </format>
    <format action="formatting" dxfId="870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action="formatting" dxfId="869">
      <pivotArea type="normal" dataOnly="0" labelOnly="1" outline="1" fieldPosition="0">
        <references count="1">
          <reference field="25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action="formatting" dxfId="868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action="formatting" dxfId="867">
      <pivotArea type="normal" dataOnly="0" labelOnly="1" outline="1" fieldPosition="0">
        <references count="1">
          <reference field="25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action="formatting" dxfId="866">
      <pivotArea type="origin" dataOnly="0" labelOnly="1" outline="0" fieldPosition="0"/>
    </format>
    <format action="formatting" dxfId="865">
      <pivotArea field="25" type="button" dataOnly="0" labelOnly="1" outline="0" axis="axisRow" fieldPosition="0"/>
    </format>
    <format action="formatting" dxfId="864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action="formatting" dxfId="863">
      <pivotArea type="normal" dataOnly="0" labelOnly="1" outline="1" fieldPosition="0">
        <references count="1">
          <reference field="25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action="formatting" dxfId="862">
      <pivotArea type="normal" dataOnly="0" labelOnly="1" grandRow="1" outline="0" fieldPosition="0"/>
    </format>
    <format action="formatting" dxfId="861">
      <pivotArea type="origin" dataOnly="0" labelOnly="1" outline="0" fieldPosition="0"/>
    </format>
    <format action="formatting" dxfId="860">
      <pivotArea field="25" type="button" dataOnly="0" labelOnly="1" outline="0" axis="axisRow" fieldPosition="0"/>
    </format>
    <format action="formatting" dxfId="859">
      <pivotArea type="normal" dataOnly="0" labelOnly="1" outline="1" fieldPosition="0">
        <references count="1">
          <reference field="25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action="formatting" dxfId="858">
      <pivotArea type="normal" dataOnly="0" labelOnly="1" outline="1" fieldPosition="0">
        <references count="1">
          <reference field="25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action="formatting" dxfId="857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9.xml><?xml version="1.0" encoding="utf-8"?>
<pivotTableDefinition xmlns:r="http://schemas.openxmlformats.org/officeDocument/2006/relationships" xmlns="http://schemas.openxmlformats.org/spreadsheetml/2006/main" name="Tabela dinâmica13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121:N128" firstHeaderRow="1" firstDataRow="1" firstDataCol="1" rowPageCount="1" colPageCount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0"/>
        <item t="data" sd="1" x="2"/>
        <item t="data" sd="1" x="1"/>
        <item t="data" sd="1" x="6"/>
        <item t="data" sd="1" x="5"/>
        <item t="data" h="1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8001">
        <item t="data" h="1" sd="1" x="0"/>
        <item t="data" sd="1" m="1" x="2673"/>
        <item t="data" sd="1" m="1" x="477"/>
        <item t="data" sd="1" m="1" x="6594"/>
        <item t="data" sd="1" m="1" x="7334"/>
        <item t="data" sd="1" x="418"/>
        <item t="data" sd="1" x="104"/>
        <item t="data" sd="1" m="1" x="1608"/>
        <item t="data" sd="1" x="64"/>
        <item t="data" sd="1" x="351"/>
        <item t="data" sd="1" m="1" x="2486"/>
        <item t="data" sd="1" x="254"/>
        <item t="data" sd="1" x="177"/>
        <item t="data" sd="1" x="70"/>
        <item t="data" sd="1" x="58"/>
        <item t="data" sd="1" m="1" x="580"/>
        <item t="data" sd="1" x="54"/>
        <item t="data" sd="1" x="301"/>
        <item t="data" sd="1" m="1" x="2115"/>
        <item t="data" sd="1" x="2"/>
        <item t="data" sd="1" x="221"/>
        <item t="data" sd="1" m="1" x="1770"/>
        <item t="data" sd="1" m="1" x="626"/>
        <item t="data" sd="1" m="1" x="3105"/>
        <item t="data" sd="1" x="446"/>
        <item t="data" sd="1" m="1" x="1630"/>
        <item t="data" sd="1" m="1" x="1666"/>
        <item t="data" sd="1" m="1" x="1668"/>
        <item t="data" sd="1" m="1" x="1421"/>
        <item t="data" sd="1" m="1" x="5000"/>
        <item t="data" sd="1" x="135"/>
        <item t="data" sd="1" m="1" x="1559"/>
        <item t="data" sd="1" m="1" x="1673"/>
        <item t="data" sd="1" m="1" x="1415"/>
        <item t="data" sd="1" m="1" x="2418"/>
        <item t="data" sd="1" m="1" x="486"/>
        <item t="data" sd="1" x="140"/>
        <item t="data" sd="1" m="1" x="488"/>
        <item t="data" sd="1" x="227"/>
        <item t="data" sd="1" m="1" x="597"/>
        <item t="data" sd="1" x="176"/>
        <item t="data" sd="1" x="300"/>
        <item t="data" sd="1" m="1" x="596"/>
        <item t="data" sd="1" m="1" x="1411"/>
        <item t="data" sd="1" m="1" x="5450"/>
        <item t="data" sd="1" m="1" x="2861"/>
        <item t="data" sd="1" x="392"/>
        <item t="data" sd="1" m="1" x="4105"/>
        <item t="data" sd="1" m="1" x="592"/>
        <item t="data" sd="1" x="256"/>
        <item t="data" sd="1" m="1" x="784"/>
        <item t="data" sd="1" m="1" x="1548"/>
        <item t="data" h="1" sd="1" m="1" x="2644"/>
        <item t="data" h="1" sd="1" m="1" x="878"/>
        <item t="data" h="1" sd="1" m="1" x="1621"/>
        <item t="data" h="1" sd="1" x="375"/>
        <item t="data" h="1" sd="1" x="216"/>
        <item t="data" h="1" sd="1" x="173"/>
        <item t="data" h="1" sd="1" m="1" x="503"/>
        <item t="data" h="1" sd="1" m="1" x="485"/>
        <item t="data" h="1" sd="1" m="1" x="1754"/>
        <item t="data" h="1" sd="1" m="1" x="1744"/>
        <item t="data" h="1" sd="1" m="1" x="2321"/>
        <item t="data" h="1" sd="1" m="1" x="6777"/>
        <item t="data" h="1" sd="1" m="1" x="614"/>
        <item t="data" h="1" sd="1" m="1" x="487"/>
        <item t="data" h="1" sd="1" m="1" x="636"/>
        <item t="data" h="1" sd="1" m="1" x="2117"/>
        <item t="data" h="1" sd="1" x="59"/>
        <item t="data" h="1" sd="1" m="1" x="1730"/>
        <item t="data" h="1" sd="1" m="1" x="484"/>
        <item t="data" h="1" sd="1" m="1" x="2333"/>
        <item t="data" h="1" sd="1" x="376"/>
        <item t="data" h="1" sd="1" x="92"/>
        <item t="data" h="1" sd="1" x="1"/>
        <item t="data" h="1" sd="1" m="1" x="1635"/>
        <item t="data" h="1" sd="1" x="175"/>
        <item t="data" h="1" sd="1" m="1" x="1629"/>
        <item t="data" h="1" sd="1" m="1" x="532"/>
        <item t="data" h="1" sd="1" m="1" x="3586"/>
        <item t="data" h="1" sd="1" m="1" x="1725"/>
        <item t="data" h="1" sd="1" m="1" x="6851"/>
        <item t="data" h="1" sd="1" m="1" x="1648"/>
        <item t="data" h="1" sd="1" x="249"/>
        <item t="data" h="1" sd="1" m="1" x="6564"/>
        <item t="data" h="1" sd="1" m="1" x="4700"/>
        <item t="data" h="1" sd="1" m="1" x="4655"/>
        <item t="data" h="1" sd="1" m="1" x="2403"/>
        <item t="data" h="1" sd="1" m="1" x="606"/>
        <item t="data" h="1" sd="1" m="1" x="7794"/>
        <item t="data" h="1" sd="1" m="1" x="1704"/>
        <item t="data" h="1" sd="1" m="1" x="2042"/>
        <item t="data" h="1" sd="1" m="1" x="1722"/>
        <item t="data" h="1" sd="1" m="1" x="3926"/>
        <item t="data" h="1" sd="1" m="1" x="1656"/>
        <item t="data" h="1" sd="1" m="1" x="5452"/>
        <item t="data" h="1" sd="1" x="271"/>
        <item t="data" h="1" sd="1" m="1" x="1686"/>
        <item t="data" h="1" sd="1" m="1" x="2782"/>
        <item t="data" h="1" sd="1" m="1" x="1652"/>
        <item t="data" h="1" sd="1" x="61"/>
        <item t="data" h="1" sd="1" m="1" x="5232"/>
        <item t="data" h="1" sd="1" m="1" x="1654"/>
        <item t="data" h="1" sd="1" m="1" x="4214"/>
        <item t="data" h="1" sd="1" x="67"/>
        <item t="data" h="1" sd="1" m="1" x="3111"/>
        <item t="data" h="1" sd="1" m="1" x="6885"/>
        <item t="data" h="1" sd="1" m="1" x="600"/>
        <item t="data" h="1" sd="1" m="1" x="7977"/>
        <item t="data" h="1" sd="1" m="1" x="1556"/>
        <item t="data" h="1" sd="1" x="298"/>
        <item t="data" h="1" sd="1" m="1" x="4620"/>
        <item t="data" h="1" sd="1" m="1" x="5158"/>
        <item t="data" h="1" sd="1" m="1" x="4963"/>
        <item t="data" h="1" sd="1" m="1" x="2306"/>
        <item t="data" h="1" sd="1" m="1" x="6247"/>
        <item t="data" h="1" sd="1" m="1" x="1674"/>
        <item t="data" h="1" sd="1" m="1" x="7652"/>
        <item t="data" h="1" sd="1" m="1" x="5692"/>
        <item t="data" h="1" sd="1" m="1" x="7555"/>
        <item t="data" h="1" sd="1" x="226"/>
        <item t="data" h="1" sd="1" m="1" x="6547"/>
        <item t="data" h="1" sd="1" m="1" x="634"/>
        <item t="data" h="1" sd="1" m="1" x="5247"/>
        <item t="data" h="1" sd="1" m="1" x="1413"/>
        <item t="data" h="1" sd="1" m="1" x="5207"/>
        <item t="data" h="1" sd="1" x="62"/>
        <item t="data" h="1" sd="1" m="1" x="1756"/>
        <item t="data" h="1" sd="1" m="1" x="3250"/>
        <item t="data" h="1" sd="1" m="1" x="4163"/>
        <item t="data" h="1" sd="1" m="1" x="7305"/>
        <item t="data" h="1" sd="1" m="1" x="1659"/>
        <item t="data" h="1" sd="1" x="287"/>
        <item t="data" h="1" sd="1" m="1" x="712"/>
        <item t="data" h="1" sd="1" x="397"/>
        <item t="data" h="1" sd="1" x="93"/>
        <item t="data" h="1" sd="1" m="1" x="3196"/>
        <item t="data" h="1" sd="1" m="1" x="1995"/>
        <item t="data" h="1" sd="1" m="1" x="1821"/>
        <item t="data" h="1" sd="1" x="131"/>
        <item t="data" h="1" sd="1" m="1" x="7864"/>
        <item t="data" h="1" sd="1" x="280"/>
        <item t="data" h="1" sd="1" m="1" x="5445"/>
        <item t="data" h="1" sd="1" m="1" x="1670"/>
        <item t="data" h="1" sd="1" m="1" x="1374"/>
        <item t="data" h="1" sd="1" x="383"/>
        <item t="data" h="1" sd="1" m="1" x="7326"/>
        <item t="data" h="1" sd="1" x="408"/>
        <item t="data" h="1" sd="1" x="159"/>
        <item t="data" h="1" sd="1" m="1" x="1512"/>
        <item t="data" h="1" sd="1" m="1" x="576"/>
        <item t="data" h="1" sd="1" m="1" x="1620"/>
        <item t="data" h="1" sd="1" x="202"/>
        <item t="data" h="1" sd="1" m="1" x="7486"/>
        <item t="data" h="1" sd="1" m="1" x="1616"/>
        <item t="data" h="1" sd="1" x="174"/>
        <item t="data" h="1" sd="1" m="1" x="1585"/>
        <item t="data" h="1" sd="1" m="1" x="3703"/>
        <item t="data" h="1" sd="1" m="1" x="1676"/>
        <item t="data" h="1" sd="1" m="1" x="1454"/>
        <item t="data" h="1" sd="1" m="1" x="7012"/>
        <item t="data" h="1" sd="1" x="102"/>
        <item t="data" h="1" sd="1" m="1" x="4681"/>
        <item t="data" h="1" sd="1" m="1" x="5328"/>
        <item t="data" h="1" sd="1" m="1" x="6145"/>
        <item t="data" h="1" sd="1" m="1" x="3137"/>
        <item t="data" h="1" sd="1" m="1" x="799"/>
        <item t="data" h="1" sd="1" m="1" x="2020"/>
        <item t="data" h="1" sd="1" m="1" x="652"/>
        <item t="data" h="1" sd="1" m="1" x="1663"/>
        <item t="data" h="1" sd="1" m="1" x="593"/>
        <item t="data" h="1" sd="1" x="142"/>
        <item t="data" h="1" sd="1" m="1" x="520"/>
        <item t="data" h="1" sd="1" m="1" x="7317"/>
        <item t="data" h="1" sd="1" m="1" x="5432"/>
        <item t="data" h="1" sd="1" m="1" x="552"/>
        <item t="data" h="1" sd="1" m="1" x="6880"/>
        <item t="data" h="1" sd="1" m="1" x="519"/>
        <item t="data" h="1" sd="1" x="261"/>
        <item t="data" h="1" sd="1" m="1" x="1678"/>
        <item t="data" h="1" sd="1" m="1" x="7889"/>
        <item t="data" h="1" sd="1" x="299"/>
        <item t="data" h="1" sd="1" x="189"/>
        <item t="data" h="1" sd="1" m="1" x="649"/>
        <item t="data" h="1" sd="1" x="225"/>
        <item t="data" h="1" sd="1" m="1" x="3313"/>
        <item t="data" h="1" sd="1" m="1" x="1698"/>
        <item t="data" h="1" sd="1" m="1" x="654"/>
        <item t="data" h="1" sd="1" x="297"/>
        <item t="data" h="1" sd="1" m="1" x="648"/>
        <item t="data" h="1" sd="1" x="228"/>
        <item t="data" h="1" sd="1" m="1" x="3704"/>
        <item t="data" h="1" sd="1" x="288"/>
        <item t="data" h="1" sd="1" m="1" x="887"/>
        <item t="data" h="1" sd="1" m="1" x="3536"/>
        <item t="data" h="1" sd="1" m="1" x="7771"/>
        <item t="data" h="1" sd="1" m="1" x="6468"/>
        <item t="data" h="1" sd="1" x="349"/>
        <item t="data" h="1" sd="1" m="1" x="595"/>
        <item t="data" h="1" sd="1" m="1" x="6009"/>
        <item t="data" h="1" sd="1" m="1" x="3035"/>
        <item t="data" h="1" sd="1" m="1" x="7040"/>
        <item t="data" h="1" sd="1" m="1" x="7190"/>
        <item t="data" h="1" sd="1" x="210"/>
        <item t="data" h="1" sd="1" m="1" x="4182"/>
        <item t="data" h="1" sd="1" m="1" x="5322"/>
        <item t="data" h="1" sd="1" m="1" x="1801"/>
        <item t="data" h="1" sd="1" x="132"/>
        <item t="data" h="1" sd="1" m="1" x="1583"/>
        <item t="data" h="1" sd="1" m="1" x="7122"/>
        <item t="data" h="1" sd="1" m="1" x="3648"/>
        <item t="data" h="1" sd="1" m="1" x="1449"/>
        <item t="data" h="1" sd="1" m="1" x="476"/>
        <item t="data" h="1" sd="1" m="1" x="605"/>
        <item t="data" h="1" sd="1" x="138"/>
        <item t="data" h="1" sd="1" m="1" x="1642"/>
        <item t="data" h="1" sd="1" m="1" x="1708"/>
        <item t="data" h="1" sd="1" m="1" x="1786"/>
        <item t="data" h="1" sd="1" m="1" x="1623"/>
        <item t="data" h="1" sd="1" m="1" x="1877"/>
        <item t="data" h="1" sd="1" x="69"/>
        <item t="data" h="1" sd="1" m="1" x="4896"/>
        <item t="data" h="1" sd="1" m="1" x="5699"/>
        <item t="data" h="1" sd="1" m="1" x="6550"/>
        <item t="data" h="1" sd="1" m="1" x="7857"/>
        <item t="data" h="1" sd="1" m="1" x="2874"/>
        <item t="data" h="1" sd="1" m="1" x="2812"/>
        <item t="data" h="1" sd="1" x="251"/>
        <item t="data" h="1" sd="1" m="1" x="2424"/>
        <item t="data" h="1" sd="1" m="1" x="3146"/>
        <item t="data" h="1" sd="1" m="1" x="1752"/>
        <item t="data" h="1" sd="1" m="1" x="7321"/>
        <item t="data" h="1" sd="1" m="1" x="7023"/>
        <item t="data" h="1" sd="1" m="1" x="4268"/>
        <item t="data" h="1" sd="1" m="1" x="4308"/>
        <item t="data" h="1" sd="1" x="217"/>
        <item t="data" h="1" sd="1" m="1" x="7859"/>
        <item t="data" h="1" sd="1" m="1" x="7408"/>
        <item t="data" h="1" sd="1" m="1" x="5956"/>
        <item t="data" h="1" sd="1" m="1" x="1505"/>
        <item t="data" h="1" sd="1" m="1" x="6875"/>
        <item t="data" h="1" sd="1" x="231"/>
        <item t="data" h="1" sd="1" m="1" x="1450"/>
        <item t="data" h="1" sd="1" x="215"/>
        <item t="data" h="1" sd="1" m="1" x="5202"/>
        <item t="data" h="1" sd="1" m="1" x="2777"/>
        <item t="data" h="1" sd="1" m="1" x="7407"/>
        <item t="data" h="1" sd="1" m="1" x="3652"/>
        <item t="data" h="1" sd="1" x="218"/>
        <item t="data" h="1" sd="1" m="1" x="6607"/>
        <item t="data" h="1" sd="1" m="1" x="7385"/>
        <item t="data" h="1" sd="1" m="1" x="2697"/>
        <item t="data" h="1" sd="1" x="411"/>
        <item t="data" h="1" sd="1" x="262"/>
        <item t="data" h="1" sd="1" m="1" x="3001"/>
        <item t="data" h="1" sd="1" m="1" x="1977"/>
        <item t="data" h="1" sd="1" m="1" x="4613"/>
        <item t="data" h="1" sd="1" m="1" x="561"/>
        <item t="data" h="1" sd="1" m="1" x="533"/>
        <item t="data" h="1" sd="1" m="1" x="729"/>
        <item t="data" h="1" sd="1" m="1" x="7862"/>
        <item t="data" h="1" sd="1" m="1" x="3514"/>
        <item t="data" h="1" sd="1" m="1" x="2359"/>
        <item t="data" h="1" sd="1" m="1" x="1909"/>
        <item t="data" h="1" sd="1" m="1" x="7275"/>
        <item t="data" h="1" sd="1" m="1" x="7149"/>
        <item t="data" h="1" sd="1" m="1" x="7655"/>
        <item t="data" h="1" sd="1" m="1" x="5101"/>
        <item t="data" h="1" sd="1" m="1" x="1709"/>
        <item t="data" h="1" sd="1" m="1" x="5010"/>
        <item t="data" h="1" sd="1" m="1" x="7150"/>
        <item t="data" h="1" sd="1" m="1" x="3209"/>
        <item t="data" h="1" sd="1" m="1" x="7196"/>
        <item t="data" h="1" sd="1" x="382"/>
        <item t="data" h="1" sd="1" m="1" x="1905"/>
        <item t="data" h="1" sd="1" m="1" x="7072"/>
        <item t="data" h="1" sd="1" m="1" x="6206"/>
        <item t="data" h="1" sd="1" m="1" x="6622"/>
        <item t="data" h="1" sd="1" m="1" x="7622"/>
        <item t="data" h="1" sd="1" m="1" x="4195"/>
        <item t="data" h="1" sd="1" m="1" x="7861"/>
        <item t="data" h="1" sd="1" m="1" x="1699"/>
        <item t="data" h="1" sd="1" m="1" x="3838"/>
        <item t="data" h="1" sd="1" m="1" x="500"/>
        <item t="data" h="1" sd="1" m="1" x="5203"/>
        <item t="data" h="1" sd="1" m="1" x="6353"/>
        <item t="data" h="1" sd="1" m="1" x="5469"/>
        <item t="data" h="1" sd="1" m="1" x="4143"/>
        <item t="data" h="1" sd="1" m="1" x="2041"/>
        <item t="data" h="1" sd="1" m="1" x="2027"/>
        <item t="data" h="1" sd="1" x="393"/>
        <item t="data" h="1" sd="1" m="1" x="6582"/>
        <item t="data" h="1" sd="1" m="1" x="6790"/>
        <item t="data" h="1" sd="1" m="1" x="6360"/>
        <item t="data" h="1" sd="1" m="1" x="7833"/>
        <item t="data" h="1" sd="1" m="1" x="1632"/>
        <item t="data" h="1" sd="1" m="1" x="4954"/>
        <item t="data" h="1" sd="1" m="1" x="6958"/>
        <item t="data" h="1" sd="1" x="402"/>
        <item t="data" h="1" sd="1" m="1" x="3115"/>
        <item t="data" h="1" sd="1" x="252"/>
        <item t="data" h="1" sd="1" m="1" x="2978"/>
        <item t="data" h="1" sd="1" m="1" x="7831"/>
        <item t="data" h="1" sd="1" x="388"/>
        <item t="data" h="1" sd="1" m="1" x="7832"/>
        <item t="data" h="1" sd="1" m="1" x="3486"/>
        <item t="data" h="1" sd="1" m="1" x="2875"/>
        <item t="data" h="1" sd="1" m="1" x="2077"/>
        <item t="data" h="1" sd="1" m="1" x="2005"/>
        <item t="data" h="1" sd="1" m="1" x="5842"/>
        <item t="data" h="1" sd="1" m="1" x="7235"/>
        <item t="data" h="1" sd="1" m="1" x="7178"/>
        <item t="data" h="1" sd="1" m="1" x="7778"/>
        <item t="data" h="1" sd="1" m="1" x="7878"/>
        <item t="data" h="1" sd="1" m="1" x="5587"/>
        <item t="data" h="1" sd="1" m="1" x="6101"/>
        <item t="data" h="1" sd="1" m="1" x="7209"/>
        <item t="data" h="1" sd="1" m="1" x="4309"/>
        <item t="data" h="1" sd="1" m="1" x="6378"/>
        <item t="data" h="1" sd="1" m="1" x="6852"/>
        <item t="data" h="1" sd="1" m="1" x="6260"/>
        <item t="data" h="1" sd="1" m="1" x="5155"/>
        <item t="data" h="1" sd="1" m="1" x="7908"/>
        <item t="data" h="1" sd="1" m="1" x="4306"/>
        <item t="data" h="1" sd="1" x="378"/>
        <item t="data" h="1" sd="1" m="1" x="7489"/>
        <item t="data" h="1" sd="1" m="1" x="7870"/>
        <item t="data" h="1" sd="1" m="1" x="7505"/>
        <item t="data" h="1" sd="1" m="1" x="7360"/>
        <item t="data" h="1" sd="1" m="1" x="7787"/>
        <item t="data" h="1" sd="1" m="1" x="834"/>
        <item t="data" h="1" sd="1" m="1" x="4167"/>
        <item t="data" h="1" sd="1" m="1" x="7637"/>
        <item t="data" h="1" sd="1" m="1" x="7057"/>
        <item t="data" h="1" sd="1" m="1" x="6998"/>
        <item t="data" h="1" sd="1" m="1" x="4674"/>
        <item t="data" h="1" sd="1" m="1" x="1717"/>
        <item t="data" h="1" sd="1" m="1" x="7254"/>
        <item t="data" h="1" sd="1" m="1" x="5241"/>
        <item t="data" h="1" sd="1" m="1" x="6629"/>
        <item t="data" h="1" sd="1" m="1" x="4196"/>
        <item t="data" h="1" sd="1" m="1" x="909"/>
        <item t="data" h="1" sd="1" m="1" x="913"/>
        <item t="data" h="1" sd="1" x="253"/>
        <item t="data" h="1" sd="1" m="1" x="6532"/>
        <item t="data" h="1" sd="1" m="1" x="7285"/>
        <item t="data" h="1" sd="1" m="1" x="2778"/>
        <item t="data" h="1" sd="1" m="1" x="7343"/>
        <item t="data" h="1" sd="1" m="1" x="7981"/>
        <item t="data" h="1" sd="1" m="1" x="7519"/>
        <item t="data" h="1" sd="1" m="1" x="5860"/>
        <item t="data" h="1" sd="1" m="1" x="1562"/>
        <item t="data" h="1" sd="1" m="1" x="7654"/>
        <item t="data" h="1" sd="1" m="1" x="3194"/>
        <item t="data" h="1" sd="1" m="1" x="612"/>
        <item t="data" h="1" sd="1" m="1" x="2873"/>
        <item t="data" h="1" sd="1" m="1" x="3946"/>
        <item t="data" h="1" sd="1" m="1" x="7077"/>
        <item t="data" h="1" sd="1" x="264"/>
        <item t="data" h="1" sd="1" x="158"/>
        <item t="data" h="1" sd="1" m="1" x="544"/>
        <item t="data" h="1" sd="1" m="1" x="6833"/>
        <item t="data" h="1" sd="1" m="1" x="7271"/>
        <item t="data" h="1" sd="1" m="1" x="4704"/>
        <item t="data" h="1" sd="1" m="1" x="1298"/>
        <item t="data" h="1" sd="1" m="1" x="7589"/>
        <item t="data" h="1" sd="1" m="1" x="7093"/>
        <item t="data" h="1" sd="1" m="1" x="3208"/>
        <item t="data" h="1" sd="1" m="1" x="1605"/>
        <item t="data" h="1" sd="1" m="1" x="4643"/>
        <item t="data" h="1" sd="1" m="1" x="7998"/>
        <item t="data" h="1" sd="1" m="1" x="6229"/>
        <item t="data" h="1" sd="1" m="1" x="2479"/>
        <item t="data" h="1" sd="1" m="1" x="3600"/>
        <item t="data" h="1" sd="1" m="1" x="1657"/>
        <item t="data" h="1" sd="1" m="1" x="4254"/>
        <item t="data" h="1" sd="1" m="1" x="5719"/>
        <item t="data" h="1" sd="1" m="1" x="7268"/>
        <item t="data" h="1" sd="1" m="1" x="3096"/>
        <item t="data" h="1" sd="1" m="1" x="1837"/>
        <item t="data" h="1" sd="1" m="1" x="2582"/>
        <item t="data" h="1" sd="1" m="1" x="6744"/>
        <item t="data" h="1" sd="1" m="1" x="6929"/>
        <item t="data" h="1" sd="1" m="1" x="3587"/>
        <item t="data" h="1" sd="1" m="1" x="3277"/>
        <item t="data" h="1" sd="1" m="1" x="7581"/>
        <item t="data" h="1" sd="1" m="1" x="2000"/>
        <item t="data" h="1" sd="1" m="1" x="7179"/>
        <item t="data" h="1" sd="1" m="1" x="7071"/>
        <item t="data" h="1" sd="1" m="1" x="6589"/>
        <item t="data" h="1" sd="1" m="1" x="4307"/>
        <item t="data" h="1" sd="1" m="1" x="4243"/>
        <item t="data" h="1" sd="1" m="1" x="7919"/>
        <item t="data" h="1" sd="1" m="1" x="3507"/>
        <item t="data" h="1" sd="1" m="1" x="6441"/>
        <item t="data" h="1" sd="1" m="1" x="1577"/>
        <item t="data" h="1" sd="1" m="1" x="3501"/>
        <item t="data" h="1" sd="1" m="1" x="1696"/>
        <item t="data" h="1" sd="1" m="1" x="7409"/>
        <item t="data" h="1" sd="1" m="1" x="6064"/>
        <item t="data" h="1" sd="1" m="1" x="7970"/>
        <item t="data" h="1" sd="1" m="1" x="1811"/>
        <item t="data" h="1" sd="1" m="1" x="4005"/>
        <item t="data" h="1" sd="1" m="1" x="2322"/>
        <item t="data" h="1" sd="1" m="1" x="6800"/>
        <item t="data" h="1" sd="1" m="1" x="6288"/>
        <item t="data" h="1" sd="1" m="1" x="6975"/>
        <item t="data" h="1" sd="1" m="1" x="5186"/>
        <item t="data" h="1" sd="1" m="1" x="7860"/>
        <item t="data" h="1" sd="1" m="1" x="6449"/>
        <item t="data" h="1" sd="1" m="1" x="542"/>
        <item t="data" h="1" sd="1" m="1" x="6379"/>
        <item t="data" h="1" sd="1" m="1" x="1672"/>
        <item t="data" h="1" sd="1" m="1" x="583"/>
        <item t="data" h="1" sd="1" m="1" x="5295"/>
        <item t="data" h="1" sd="1" m="1" x="1805"/>
        <item t="data" h="1" sd="1" m="1" x="2870"/>
        <item t="data" h="1" sd="1" m="1" x="7132"/>
        <item t="data" h="1" sd="1" m="1" x="1359"/>
        <item t="data" h="1" sd="1" m="1" x="2556"/>
        <item t="data" h="1" sd="1" m="1" x="527"/>
        <item t="data" h="1" sd="1" m="1" x="5751"/>
        <item t="data" h="1" sd="1" m="1" x="3951"/>
        <item t="data" h="1" sd="1" m="1" x="7015"/>
        <item t="data" h="1" sd="1" m="1" x="5868"/>
        <item t="data" h="1" sd="1" m="1" x="4763"/>
        <item t="data" h="1" sd="1" m="1" x="1728"/>
        <item t="data" h="1" sd="1" m="1" x="1546"/>
        <item t="data" h="1" sd="1" m="1" x="2116"/>
        <item t="data" h="1" sd="1" m="1" x="6420"/>
        <item t="data" h="1" sd="1" m="1" x="2576"/>
        <item t="data" h="1" sd="1" m="1" x="1906"/>
        <item t="data" h="1" sd="1" m="1" x="1631"/>
        <item t="data" h="1" sd="1" m="1" x="6296"/>
        <item t="data" h="1" sd="1" m="1" x="4595"/>
        <item t="data" h="1" sd="1" m="1" x="7153"/>
        <item t="data" h="1" sd="1" m="1" x="5758"/>
        <item t="data" h="1" sd="1" m="1" x="6962"/>
        <item t="data" h="1" sd="1" m="1" x="7022"/>
        <item t="data" h="1" sd="1" m="1" x="4906"/>
        <item t="data" h="1" sd="1" m="1" x="6472"/>
        <item t="data" h="1" sd="1" m="1" x="2120"/>
        <item t="data" h="1" sd="1" m="1" x="2787"/>
        <item t="data" h="1" sd="1" m="1" x="2467"/>
        <item t="data" h="1" sd="1" m="1" x="4434"/>
        <item t="data" h="1" sd="1" m="1" x="1844"/>
        <item t="data" h="1" sd="1" m="1" x="3095"/>
        <item t="data" h="1" sd="1" m="1" x="4998"/>
        <item t="data" h="1" sd="1" m="1" x="5921"/>
        <item t="data" h="1" sd="1" m="1" x="6463"/>
        <item t="data" h="1" sd="1" m="1" x="7459"/>
        <item t="data" h="1" sd="1" m="1" x="6754"/>
        <item t="data" h="1" sd="1" m="1" x="6860"/>
        <item t="data" h="1" sd="1" m="1" x="5177"/>
        <item t="data" h="1" sd="1" m="1" x="4102"/>
        <item t="data" h="1" sd="1" m="1" x="1782"/>
        <item t="data" h="1" sd="1" m="1" x="6832"/>
        <item t="data" h="1" sd="1" m="1" x="4688"/>
        <item t="data" h="1" sd="1" m="1" x="6344"/>
        <item t="data" h="1" sd="1" m="1" x="6345"/>
        <item t="data" h="1" sd="1" m="1" x="3517"/>
        <item t="data" h="1" sd="1" m="1" x="2453"/>
        <item t="data" h="1" sd="1" m="1" x="3922"/>
        <item t="data" h="1" sd="1" m="1" x="4125"/>
        <item t="data" h="1" sd="1" m="1" x="7871"/>
        <item t="data" h="1" sd="1" m="1" x="5345"/>
        <item t="data" h="1" sd="1" m="1" x="3837"/>
        <item t="data" h="1" sd="1" m="1" x="3487"/>
        <item t="data" h="1" sd="1" m="1" x="5019"/>
        <item t="data" h="1" sd="1" m="1" x="5813"/>
        <item t="data" h="1" sd="1" m="1" x="2349"/>
        <item t="data" h="1" sd="1" m="1" x="2348"/>
        <item t="data" h="1" sd="1" m="1" x="3945"/>
        <item t="data" h="1" sd="1" m="1" x="6964"/>
        <item t="data" h="1" sd="1" m="1" x="535"/>
        <item t="data" h="1" sd="1" m="1" x="6895"/>
        <item t="data" h="1" sd="1" m="1" x="3800"/>
        <item t="data" h="1" sd="1" m="1" x="5922"/>
        <item t="data" h="1" sd="1" m="1" x="719"/>
        <item t="data" h="1" sd="1" m="1" x="638"/>
        <item t="data" h="1" sd="1" m="1" x="6389"/>
        <item t="data" h="1" sd="1" m="1" x="5245"/>
        <item t="data" h="1" sd="1" m="1" x="3653"/>
        <item t="data" h="1" sd="1" m="1" x="5298"/>
        <item t="data" h="1" sd="1" m="1" x="7629"/>
        <item t="data" h="1" sd="1" m="1" x="3221"/>
        <item t="data" h="1" sd="1" m="1" x="1482"/>
        <item t="data" h="1" sd="1" m="1" x="6595"/>
        <item t="data" h="1" sd="1" m="1" x="5422"/>
        <item t="data" h="1" sd="1" m="1" x="4425"/>
        <item t="data" h="1" sd="1" m="1" x="7825"/>
        <item t="data" h="1" sd="1" m="1" x="5360"/>
        <item t="data" h="1" sd="1" m="1" x="3407"/>
        <item t="data" h="1" sd="1" m="1" x="2771"/>
        <item t="data" h="1" sd="1" x="332"/>
        <item t="data" h="1" sd="1" m="1" x="3647"/>
        <item t="data" h="1" sd="1" m="1" x="6432"/>
        <item t="data" h="1" sd="1" m="1" x="3147"/>
        <item t="data" h="1" sd="1" m="1" x="2999"/>
        <item t="data" h="1" sd="1" m="1" x="4964"/>
        <item t="data" h="1" sd="1" m="1" x="3772"/>
        <item t="data" h="1" sd="1" m="1" x="7990"/>
        <item t="data" h="1" sd="1" m="1" x="4907"/>
        <item t="data" h="1" sd="1" m="1" x="5311"/>
        <item t="data" h="1" sd="1" m="1" x="6827"/>
        <item t="data" h="1" sd="1" m="1" x="464"/>
        <item t="data" h="1" sd="1" m="1" x="3193"/>
        <item t="data" h="1" sd="1" m="1" x="1597"/>
        <item t="data" h="1" sd="1" m="1" x="7980"/>
        <item t="data" h="1" sd="1" m="1" x="6580"/>
        <item t="data" h="1" sd="1" m="1" x="2788"/>
        <item t="data" h="1" sd="1" m="1" x="3938"/>
        <item t="data" h="1" sd="1" m="1" x="2337"/>
        <item t="data" h="1" sd="1" m="1" x="1697"/>
        <item t="data" h="1" sd="1" m="1" x="7430"/>
        <item t="data" h="1" sd="1" m="1" x="2981"/>
        <item t="data" h="1" sd="1" m="1" x="7988"/>
        <item t="data" h="1" sd="1" m="1" x="6837"/>
        <item t="data" h="1" sd="1" m="1" x="3003"/>
        <item t="data" h="1" sd="1" m="1" x="1070"/>
        <item t="data" h="1" sd="1" m="1" x="5589"/>
        <item t="data" h="1" sd="1" m="1" x="2065"/>
        <item t="data" h="1" sd="1" m="1" x="4209"/>
        <item t="data" h="1" sd="1" m="1" x="4970"/>
        <item t="data" h="1" sd="1" m="1" x="670"/>
        <item t="data" h="1" sd="1" x="381"/>
        <item t="data" h="1" sd="1" m="1" x="3331"/>
        <item t="data" h="1" sd="1" m="1" x="3455"/>
        <item t="data" h="1" sd="1" m="1" x="5934"/>
        <item t="data" h="1" sd="1" m="1" x="822"/>
        <item t="data" h="1" sd="1" m="1" x="4807"/>
        <item t="data" h="1" sd="1" m="1" x="4924"/>
        <item t="data" h="1" sd="1" m="1" x="2119"/>
        <item t="data" h="1" sd="1" m="1" x="7756"/>
        <item t="data" h="1" sd="1" m="1" x="1974"/>
        <item t="data" h="1" sd="1" m="1" x="7312"/>
        <item t="data" h="1" sd="1" m="1" x="7165"/>
        <item t="data" h="1" sd="1" m="1" x="5175"/>
        <item t="data" h="1" sd="1" m="1" x="1736"/>
        <item t="data" h="1" sd="1" m="1" x="6834"/>
        <item t="data" h="1" sd="1" m="1" x="4542"/>
        <item t="data" h="1" sd="1" m="1" x="3681"/>
        <item t="data" h="1" sd="1" m="1" x="4847"/>
        <item t="data" h="1" sd="1" m="1" x="6276"/>
        <item t="data" h="1" sd="1" m="1" x="6458"/>
        <item t="data" h="1" sd="1" m="1" x="645"/>
        <item t="data" h="1" sd="1" m="1" x="4677"/>
        <item t="data" h="1" sd="1" m="1" x="6769"/>
        <item t="data" h="1" sd="1" m="1" x="3345"/>
        <item t="data" h="1" sd="1" m="1" x="3522"/>
        <item t="data" h="1" sd="1" m="1" x="827"/>
        <item t="data" h="1" sd="1" m="1" x="7989"/>
        <item t="data" h="1" sd="1" m="1" x="5420"/>
        <item t="data" h="1" sd="1" m="1" x="2571"/>
        <item t="data" h="1" sd="1" m="1" x="6845"/>
        <item t="data" h="1" sd="1" m="1" x="5978"/>
        <item t="data" h="1" sd="1" m="1" x="4134"/>
        <item t="data" h="1" sd="1" m="1" x="6773"/>
        <item t="data" h="1" sd="1" x="398"/>
        <item t="data" h="1" sd="1" m="1" x="4739"/>
        <item t="data" h="1" sd="1" m="1" x="1182"/>
        <item t="data" h="1" sd="1" m="1" x="4895"/>
        <item t="data" h="1" sd="1" m="1" x="2118"/>
        <item t="data" h="1" sd="1" m="1" x="5924"/>
        <item t="data" h="1" sd="1" m="1" x="3831"/>
        <item t="data" h="1" sd="1" m="1" x="6982"/>
        <item t="data" h="1" sd="1" m="1" x="4135"/>
        <item t="data" h="1" sd="1" m="1" x="6251"/>
        <item t="data" h="1" sd="1" m="1" x="5012"/>
        <item t="data" h="1" sd="1" m="1" x="3521"/>
        <item t="data" h="1" sd="1" x="203"/>
        <item t="data" h="1" sd="1" m="1" x="633"/>
        <item t="data" h="1" sd="1" m="1" x="1122"/>
        <item t="data" h="1" sd="1" m="1" x="2245"/>
        <item t="data" h="1" sd="1" m="1" x="504"/>
        <item t="data" h="1" sd="1" m="1" x="1787"/>
        <item t="data" h="1" sd="1" m="1" x="4962"/>
        <item t="data" h="1" sd="1" m="1" x="2512"/>
        <item t="data" h="1" sd="1" m="1" x="4913"/>
        <item t="data" h="1" sd="1" m="1" x="6546"/>
        <item t="data" h="1" sd="1" m="1" x="6394"/>
        <item t="data" h="1" sd="1" m="1" x="1619"/>
        <item t="data" h="1" sd="1" m="1" x="6143"/>
        <item t="data" h="1" sd="1" m="1" x="7191"/>
        <item t="data" h="1" sd="1" m="1" x="3156"/>
        <item t="data" h="1" sd="1" m="1" x="7620"/>
        <item t="data" h="1" sd="1" m="1" x="3433"/>
        <item t="data" h="1" sd="1" m="1" x="546"/>
        <item t="data" h="1" sd="1" x="284"/>
        <item t="data" h="1" sd="1" m="1" x="2083"/>
        <item t="data" h="1" sd="1" m="1" x="6411"/>
        <item t="data" h="1" sd="1" m="1" x="6412"/>
        <item t="data" h="1" sd="1" m="1" x="6142"/>
        <item t="data" h="1" sd="1" m="1" x="6413"/>
        <item t="data" h="1" sd="1" m="1" x="6907"/>
        <item t="data" h="1" sd="1" m="1" x="4522"/>
        <item t="data" h="1" sd="1" m="1" x="3426"/>
        <item t="data" h="1" sd="1" m="1" x="1484"/>
        <item t="data" h="1" sd="1" x="289"/>
        <item t="data" h="1" sd="1" m="1" x="3810"/>
        <item t="data" h="1" sd="1" m="1" x="483"/>
        <item t="data" h="1" sd="1" x="267"/>
        <item t="data" h="1" sd="1" m="1" x="3792"/>
        <item t="data" h="1" sd="1" m="1" x="3242"/>
        <item t="data" h="1" sd="1" m="1" x="3804"/>
        <item t="data" h="1" sd="1" m="1" x="3077"/>
        <item t="data" h="1" sd="1" m="1" x="5926"/>
        <item t="data" h="1" sd="1" m="1" x="1567"/>
        <item t="data" h="1" sd="1" m="1" x="5256"/>
        <item t="data" h="1" sd="1" m="1" x="4248"/>
        <item t="data" h="1" sd="1" m="1" x="5386"/>
        <item t="data" h="1" sd="1" m="1" x="750"/>
        <item t="data" h="1" sd="1" m="1" x="6805"/>
        <item t="data" h="1" sd="1" m="1" x="7598"/>
        <item t="data" h="1" sd="1" m="1" x="5796"/>
        <item t="data" h="1" sd="1" m="1" x="1828"/>
        <item t="data" h="1" sd="1" m="1" x="1835"/>
        <item t="data" h="1" sd="1" m="1" x="7995"/>
        <item t="data" h="1" sd="1" m="1" x="3934"/>
        <item t="data" h="1" sd="1" x="50"/>
        <item t="data" h="1" sd="1" m="1" x="4818"/>
        <item t="data" h="1" sd="1" m="1" x="5745"/>
        <item t="data" h="1" sd="1" m="1" x="2842"/>
        <item t="data" h="1" sd="1" m="1" x="3291"/>
        <item t="data" h="1" sd="1" m="1" x="6175"/>
        <item t="data" h="1" sd="1" m="1" x="5185"/>
        <item t="data" h="1" sd="1" m="1" x="5184"/>
        <item t="data" h="1" sd="1" m="1" x="7775"/>
        <item t="data" h="1" sd="1" m="1" x="7302"/>
        <item t="data" h="1" sd="1" m="1" x="7999"/>
        <item t="data" h="1" sd="1" m="1" x="7705"/>
        <item t="data" h="1" sd="1" m="1" x="7893"/>
        <item t="data" h="1" sd="1" m="1" x="7830"/>
        <item t="data" h="1" sd="1" m="1" x="4779"/>
        <item t="data" h="1" sd="1" m="1" x="7909"/>
        <item t="data" h="1" sd="1" m="1" x="1110"/>
        <item t="data" h="1" sd="1" m="1" x="4745"/>
        <item t="data" h="1" sd="1" m="1" x="1272"/>
        <item t="data" h="1" sd="1" m="1" x="4742"/>
        <item t="data" h="1" sd="1" m="1" x="1081"/>
        <item t="data" h="1" sd="1" m="1" x="7774"/>
        <item t="data" h="1" sd="1" m="1" x="7973"/>
        <item t="data" h="1" sd="1" m="1" x="7865"/>
        <item t="data" h="1" sd="1" m="1" x="7874"/>
        <item t="data" h="1" sd="1" m="1" x="6829"/>
        <item t="data" h="1" sd="1" m="1" x="5884"/>
        <item t="data" h="1" sd="1" m="1" x="5927"/>
        <item t="data" h="1" sd="1" x="90"/>
        <item t="data" h="1" sd="1" m="1" x="6317"/>
        <item t="data" h="1" sd="1" m="1" x="1334"/>
        <item t="data" h="1" sd="1" m="1" x="893"/>
        <item t="data" h="1" sd="1" m="1" x="6186"/>
        <item t="data" h="1" sd="1" m="1" x="6330"/>
        <item t="data" h="1" sd="1" m="1" x="7515"/>
        <item t="data" h="1" sd="1" m="1" x="7967"/>
        <item t="data" h="1" sd="1" m="1" x="7773"/>
        <item t="data" h="1" sd="1" m="1" x="5183"/>
        <item t="data" h="1" sd="1" m="1" x="7868"/>
        <item t="data" h="1" sd="1" m="1" x="7869"/>
        <item t="data" h="1" sd="1" m="1" x="6236"/>
        <item t="data" h="1" sd="1" m="1" x="1669"/>
        <item t="data" h="1" sd="1" m="1" x="3921"/>
        <item t="data" h="1" sd="1" m="1" x="4908"/>
        <item t="data" h="1" sd="1" m="1" x="7779"/>
        <item t="data" h="1" sd="1" m="1" x="7906"/>
        <item t="data" h="1" sd="1" m="1" x="7772"/>
        <item t="data" h="1" sd="1" m="1" x="7533"/>
        <item t="data" h="1" sd="1" m="1" x="7948"/>
        <item t="data" h="1" sd="1" m="1" x="7737"/>
        <item t="data" h="1" sd="1" m="1" x="2765"/>
        <item t="data" h="1" sd="1" m="1" x="2764"/>
        <item t="data" h="1" sd="1" m="1" x="3434"/>
        <item t="data" h="1" sd="1" m="1" x="7867"/>
        <item t="data" h="1" sd="1" m="1" x="7978"/>
        <item t="data" h="1" sd="1" m="1" x="7982"/>
        <item t="data" h="1" sd="1" m="1" x="7983"/>
        <item t="data" h="1" sd="1" m="1" x="7984"/>
        <item t="data" h="1" sd="1" m="1" x="1628"/>
        <item t="data" h="1" sd="1" m="1" x="5585"/>
        <item t="data" h="1" sd="1" x="405"/>
        <item t="data" h="1" sd="1" m="1" x="6830"/>
        <item t="data" h="1" sd="1" m="1" x="1978"/>
        <item t="data" h="1" sd="1" m="1" x="7783"/>
        <item t="data" h="1" sd="1" m="1" x="7562"/>
        <item t="data" h="1" sd="1" m="1" x="7789"/>
        <item t="data" h="1" sd="1" m="1" x="7790"/>
        <item t="data" h="1" sd="1" m="1" x="7793"/>
        <item t="data" h="1" sd="1" m="1" x="7945"/>
        <item t="data" h="1" sd="1" m="1" x="875"/>
        <item t="data" h="1" sd="1" m="1" x="453"/>
        <item t="data" h="1" sd="1" m="1" x="7627"/>
        <item t="data" h="1" sd="1" m="1" x="7242"/>
        <item t="data" h="1" sd="1" m="1" x="721"/>
        <item t="data" h="1" sd="1" m="1" x="7807"/>
        <item t="data" h="1" sd="1" m="1" x="7966"/>
        <item t="data" h="1" sd="1" m="1" x="7972"/>
        <item t="data" h="1" sd="1" m="1" x="6828"/>
        <item t="data" h="1" sd="1" m="1" x="7841"/>
        <item t="data" h="1" sd="1" m="1" x="7872"/>
        <item t="data" h="1" sd="1" m="1" x="7876"/>
        <item t="data" h="1" sd="1" m="1" x="5613"/>
        <item t="data" h="1" sd="1" m="1" x="7769"/>
        <item t="data" h="1" sd="1" m="1" x="5760"/>
        <item t="data" h="1" sd="1" m="1" x="3895"/>
        <item t="data" h="1" sd="1" m="1" x="7891"/>
        <item t="data" h="1" sd="1" m="1" x="7322"/>
        <item t="data" h="1" sd="1" m="1" x="7791"/>
        <item t="data" h="1" sd="1" m="1" x="7942"/>
        <item t="data" h="1" sd="1" m="1" x="7736"/>
        <item t="data" h="1" sd="1" m="1" x="7798"/>
        <item t="data" h="1" sd="1" m="1" x="7949"/>
        <item t="data" h="1" sd="1" m="1" x="2678"/>
        <item t="data" h="1" sd="1" m="1" x="7806"/>
        <item t="data" h="1" sd="1" m="1" x="7822"/>
        <item t="data" h="1" sd="1" m="1" x="6388"/>
        <item t="data" h="1" sd="1" m="1" x="7823"/>
        <item t="data" h="1" sd="1" m="1" x="7964"/>
        <item t="data" h="1" sd="1" m="1" x="2794"/>
        <item t="data" h="1" sd="1" m="1" x="7768"/>
        <item t="data" h="1" sd="1" m="1" x="7971"/>
        <item t="data" h="1" sd="1" m="1" x="3673"/>
        <item t="data" h="1" sd="1" m="1" x="7843"/>
        <item t="data" h="1" sd="1" m="1" x="7846"/>
        <item t="data" h="1" sd="1" m="1" x="5675"/>
        <item t="data" h="1" sd="1" m="1" x="7976"/>
        <item t="data" h="1" sd="1" m="1" x="7875"/>
        <item t="data" h="1" sd="1" m="1" x="7993"/>
        <item t="data" h="1" sd="1" m="1" x="7992"/>
        <item t="data" h="1" sd="1" m="1" x="3515"/>
        <item t="data" h="1" sd="1" m="1" x="3870"/>
        <item t="data" h="1" sd="1" m="1" x="2982"/>
        <item t="data" h="1" sd="1" m="1" x="7888"/>
        <item t="data" h="1" sd="1" m="1" x="7887"/>
        <item t="data" h="1" sd="1" x="188"/>
        <item t="data" h="1" sd="1" m="1" x="7892"/>
        <item t="data" h="1" sd="1" m="1" x="7767"/>
        <item t="data" h="1" sd="1" m="1" x="7766"/>
        <item t="data" h="1" sd="1" m="1" x="7907"/>
        <item t="data" h="1" sd="1" m="1" x="7704"/>
        <item t="data" h="1" sd="1" m="1" x="6376"/>
        <item t="data" h="1" sd="1" m="1" x="7782"/>
        <item t="data" h="1" sd="1" m="1" x="7788"/>
        <item t="data" h="1" sd="1" m="1" x="7914"/>
        <item t="data" h="1" sd="1" m="1" x="7915"/>
        <item t="data" h="1" sd="1" m="1" x="7916"/>
        <item t="data" h="1" sd="1" m="1" x="7917"/>
        <item t="data" h="1" sd="1" m="1" x="7918"/>
        <item t="data" h="1" sd="1" m="1" x="6324"/>
        <item t="data" h="1" sd="1" m="1" x="7920"/>
        <item t="data" h="1" sd="1" m="1" x="7921"/>
        <item t="data" h="1" sd="1" m="1" x="7922"/>
        <item t="data" h="1" sd="1" m="1" x="7923"/>
        <item t="data" h="1" sd="1" m="1" x="7924"/>
        <item t="data" h="1" sd="1" m="1" x="1050"/>
        <item t="data" h="1" sd="1" m="1" x="7925"/>
        <item t="data" h="1" sd="1" m="1" x="7926"/>
        <item t="data" h="1" sd="1" m="1" x="7927"/>
        <item t="data" h="1" sd="1" m="1" x="7928"/>
        <item t="data" h="1" sd="1" m="1" x="7929"/>
        <item t="data" h="1" sd="1" m="1" x="7930"/>
        <item t="data" h="1" sd="1" m="1" x="7931"/>
        <item t="data" h="1" sd="1" m="1" x="7932"/>
        <item t="data" h="1" sd="1" m="1" x="7933"/>
        <item t="data" h="1" sd="1" m="1" x="7934"/>
        <item t="data" h="1" sd="1" m="1" x="7935"/>
        <item t="data" h="1" sd="1" m="1" x="7936"/>
        <item t="data" h="1" sd="1" m="1" x="7937"/>
        <item t="data" h="1" sd="1" m="1" x="7938"/>
        <item t="data" h="1" sd="1" m="1" x="7939"/>
        <item t="data" h="1" sd="1" m="1" x="7940"/>
        <item t="data" h="1" sd="1" m="1" x="7941"/>
        <item t="data" h="1" sd="1" m="1" x="7943"/>
        <item t="data" h="1" sd="1" m="1" x="7944"/>
        <item t="data" h="1" sd="1" m="1" x="5843"/>
        <item t="data" h="1" sd="1" m="1" x="7800"/>
        <item t="data" h="1" sd="1" m="1" x="7738"/>
        <item t="data" h="1" sd="1" m="1" x="7745"/>
        <item t="data" h="1" sd="1" m="1" x="7946"/>
        <item t="data" h="1" sd="1" m="1" x="7947"/>
        <item t="data" h="1" sd="1" m="1" x="6635"/>
        <item t="data" h="1" sd="1" m="1" x="3266"/>
        <item t="data" h="1" sd="1" m="1" x="7950"/>
        <item t="data" h="1" sd="1" m="1" x="7951"/>
        <item t="data" h="1" sd="1" m="1" x="7952"/>
        <item t="data" h="1" sd="1" m="1" x="7953"/>
        <item t="data" h="1" sd="1" m="1" x="7954"/>
        <item t="data" h="1" sd="1" m="1" x="7955"/>
        <item t="data" h="1" sd="1" m="1" x="7956"/>
        <item t="data" h="1" sd="1" m="1" x="2840"/>
        <item t="data" h="1" sd="1" m="1" x="7805"/>
        <item t="data" h="1" sd="1" m="1" x="7957"/>
        <item t="data" h="1" sd="1" m="1" x="7801"/>
        <item t="data" h="1" sd="1" m="1" x="7958"/>
        <item t="data" h="1" sd="1" m="1" x="7802"/>
        <item t="data" h="1" sd="1" m="1" x="7959"/>
        <item t="data" h="1" sd="1" m="1" x="7960"/>
        <item t="data" h="1" sd="1" m="1" x="7961"/>
        <item t="data" h="1" sd="1" m="1" x="7962"/>
        <item t="data" h="1" sd="1" m="1" x="7963"/>
        <item t="data" h="1" sd="1" m="1" x="7803"/>
        <item t="data" h="1" sd="1" m="1" x="7804"/>
        <item t="data" h="1" sd="1" m="1" x="7584"/>
        <item t="data" h="1" sd="1" m="1" x="5925"/>
        <item t="data" h="1" sd="1" m="1" x="5923"/>
        <item t="data" h="1" sd="1" m="1" x="7739"/>
        <item t="data" h="1" sd="1" m="1" x="5123"/>
        <item t="data" h="1" sd="1" m="1" x="7965"/>
        <item t="data" h="1" sd="1" m="1" x="7968"/>
        <item t="data" h="1" sd="1" m="1" x="7969"/>
        <item t="data" h="1" sd="1" m="1" x="3006"/>
        <item t="data" h="1" sd="1" m="1" x="7836"/>
        <item t="data" h="1" sd="1" m="1" x="7837"/>
        <item t="data" h="1" sd="1" m="1" x="7838"/>
        <item t="data" h="1" sd="1" m="1" x="7839"/>
        <item t="data" h="1" sd="1" m="1" x="6831"/>
        <item t="data" h="1" sd="1" m="1" x="7974"/>
        <item t="data" h="1" sd="1" m="1" x="7844"/>
        <item t="data" h="1" sd="1" m="1" x="7975"/>
        <item t="data" h="1" sd="1" m="1" x="7850"/>
        <item t="data" h="1" sd="1" m="1" x="7851"/>
        <item t="data" h="1" sd="1" m="1" x="7852"/>
        <item t="data" h="1" sd="1" m="1" x="7853"/>
        <item t="data" h="1" sd="1" m="1" x="7863"/>
        <item t="data" h="1" sd="1" m="1" x="7437"/>
        <item t="data" h="1" sd="1" m="1" x="7866"/>
        <item t="data" h="1" sd="1" m="1" x="7979"/>
        <item t="data" h="1" sd="1" m="1" x="7985"/>
        <item t="data" h="1" sd="1" m="1" x="7986"/>
        <item t="data" h="1" sd="1" m="1" x="7987"/>
        <item t="data" h="1" sd="1" m="1" x="7991"/>
        <item t="data" h="1" sd="1" m="1" x="5161"/>
        <item t="data" h="1" sd="1" m="1" x="7994"/>
        <item t="data" h="1" sd="1" m="1" x="7881"/>
        <item t="data" h="1" sd="1" m="1" x="6457"/>
        <item t="data" h="1" sd="1" m="1" x="7885"/>
        <item t="data" h="1" sd="1" m="1" x="7309"/>
        <item t="data" h="1" sd="1" m="1" x="5876"/>
        <item t="data" h="1" sd="1" m="1" x="7996"/>
        <item t="data" h="1" sd="1" m="1" x="7997"/>
        <item t="data" h="1" sd="1" m="1" x="715"/>
        <item t="data" h="1" sd="1" m="1" x="7894"/>
        <item t="data" h="1" sd="1" m="1" x="7895"/>
        <item t="data" h="1" sd="1" m="1" x="7899"/>
        <item t="data" h="1" sd="1" m="1" x="7905"/>
        <item t="data" h="1" sd="1" m="1" x="7901"/>
        <item t="data" h="1" sd="1" m="1" x="7902"/>
        <item t="data" h="1" sd="1" m="1" x="7903"/>
        <item t="data" h="1" sd="1" m="1" x="7904"/>
        <item t="data" h="1" sd="1" m="1" x="7614"/>
        <item t="data" h="1" sd="1" m="1" x="7471"/>
        <item t="data" h="1" sd="1" m="1" x="7912"/>
        <item t="data" h="1" sd="1" m="1" x="7913"/>
        <item t="data" h="1" sd="1" m="1" x="7752"/>
        <item t="data" h="1" sd="1" m="1" x="7780"/>
        <item t="data" h="1" sd="1" m="1" x="7781"/>
        <item t="data" h="1" sd="1" m="1" x="7335"/>
        <item t="data" h="1" sd="1" m="1" x="7784"/>
        <item t="data" h="1" sd="1" m="1" x="7785"/>
        <item t="data" h="1" sd="1" m="1" x="7786"/>
        <item t="data" h="1" sd="1" m="1" x="7770"/>
        <item t="data" h="1" sd="1" m="1" x="7792"/>
        <item t="data" h="1" sd="1" m="1" x="7750"/>
        <item t="data" h="1" sd="1" m="1" x="7795"/>
        <item t="data" h="1" sd="1" m="1" x="7796"/>
        <item t="data" h="1" sd="1" m="1" x="7797"/>
        <item t="data" h="1" sd="1" m="1" x="7749"/>
        <item t="data" h="1" sd="1" m="1" x="7799"/>
        <item t="data" h="1" sd="1" m="1" x="7765"/>
        <item t="data" h="1" sd="1" m="1" x="7808"/>
        <item t="data" h="1" sd="1" m="1" x="7809"/>
        <item t="data" h="1" sd="1" m="1" x="7810"/>
        <item t="data" h="1" sd="1" m="1" x="7811"/>
        <item t="data" h="1" sd="1" m="1" x="3602"/>
        <item t="data" h="1" sd="1" m="1" x="7812"/>
        <item t="data" h="1" sd="1" m="1" x="7813"/>
        <item t="data" h="1" sd="1" m="1" x="7814"/>
        <item t="data" h="1" sd="1" m="1" x="7815"/>
        <item t="data" h="1" sd="1" m="1" x="7816"/>
        <item t="data" h="1" sd="1" m="1" x="7817"/>
        <item t="data" h="1" sd="1" m="1" x="7818"/>
        <item t="data" h="1" sd="1" m="1" x="7819"/>
        <item t="data" h="1" sd="1" m="1" x="7820"/>
        <item t="data" h="1" sd="1" m="1" x="7757"/>
        <item t="data" h="1" sd="1" m="1" x="7821"/>
        <item t="data" h="1" sd="1" m="1" x="7824"/>
        <item t="data" h="1" sd="1" m="1" x="7776"/>
        <item t="data" h="1" sd="1" m="1" x="5564"/>
        <item t="data" h="1" sd="1" m="1" x="5565"/>
        <item t="data" h="1" sd="1" m="1" x="5563"/>
        <item t="data" h="1" sd="1" m="1" x="7826"/>
        <item t="data" h="1" sd="1" m="1" x="7827"/>
        <item t="data" h="1" sd="1" m="1" x="7828"/>
        <item t="data" h="1" sd="1" m="1" x="7829"/>
        <item t="data" h="1" sd="1" m="1" x="7759"/>
        <item t="data" h="1" sd="1" m="1" x="7758"/>
        <item t="data" h="1" sd="1" m="1" x="7762"/>
        <item t="data" h="1" sd="1" m="1" x="3010"/>
        <item t="data" h="1" sd="1" m="1" x="7834"/>
        <item t="data" h="1" sd="1" m="1" x="7748"/>
        <item t="data" h="1" sd="1" m="1" x="6017"/>
        <item t="data" h="1" sd="1" m="1" x="7835"/>
        <item t="data" h="1" sd="1" m="1" x="7840"/>
        <item t="data" h="1" sd="1" m="1" x="6381"/>
        <item t="data" h="1" sd="1" m="1" x="7842"/>
        <item t="data" h="1" sd="1" m="1" x="5182"/>
        <item t="data" h="1" sd="1" m="1" x="7292"/>
        <item t="data" h="1" sd="1" m="1" x="7845"/>
        <item t="data" h="1" sd="1" m="1" x="7847"/>
        <item t="data" h="1" sd="1" m="1" x="7848"/>
        <item t="data" h="1" sd="1" m="1" x="7849"/>
        <item t="data" h="1" sd="1" m="1" x="7854"/>
        <item t="data" h="1" sd="1" m="1" x="7855"/>
        <item t="data" h="1" sd="1" m="1" x="7856"/>
        <item t="data" h="1" sd="1" m="1" x="7601"/>
        <item t="data" h="1" sd="1" m="1" x="7858"/>
        <item t="data" h="1" sd="1" m="1" x="7603"/>
        <item t="data" h="1" sd="1" m="1" x="2072"/>
        <item t="data" h="1" sd="1" m="1" x="7873"/>
        <item t="data" h="1" sd="1" m="1" x="7877"/>
        <item t="data" h="1" sd="1" m="1" x="7879"/>
        <item t="data" h="1" sd="1" m="1" x="2713"/>
        <item t="data" h="1" sd="1" m="1" x="7880"/>
        <item t="data" h="1" sd="1" m="1" x="7420"/>
        <item t="data" h="1" sd="1" m="1" x="7882"/>
        <item t="data" h="1" sd="1" m="1" x="7883"/>
        <item t="data" h="1" sd="1" m="1" x="7764"/>
        <item t="data" h="1" sd="1" m="1" x="7763"/>
        <item t="data" h="1" sd="1" m="1" x="7686"/>
        <item t="data" h="1" sd="1" m="1" x="6114"/>
        <item t="data" h="1" sd="1" m="1" x="7307"/>
        <item t="data" h="1" sd="1" m="1" x="7884"/>
        <item t="data" h="1" sd="1" m="1" x="7886"/>
        <item t="data" h="1" sd="1" m="1" x="7304"/>
        <item t="data" h="1" sd="1" m="1" x="5877"/>
        <item t="data" h="1" sd="1" m="1" x="7890"/>
        <item t="data" h="1" sd="1" m="1" x="7609"/>
        <item t="data" h="1" sd="1" m="1" x="7610"/>
        <item t="data" h="1" sd="1" m="1" x="7751"/>
        <item t="data" h="1" sd="1" m="1" x="6961"/>
        <item t="data" h="1" sd="1" m="1" x="7896"/>
        <item t="data" h="1" sd="1" m="1" x="7897"/>
        <item t="data" h="1" sd="1" m="1" x="7898"/>
        <item t="data" h="1" sd="1" m="1" x="7440"/>
        <item t="data" h="1" sd="1" m="1" x="7900"/>
        <item t="data" h="1" sd="1" m="1" x="7458"/>
        <item t="data" h="1" sd="1" m="1" x="7561"/>
        <item t="data" h="1" sd="1" m="1" x="7560"/>
        <item t="data" h="1" sd="1" m="1" x="7910"/>
        <item t="data" h="1" sd="1" m="1" x="7911"/>
        <item t="data" h="1" sd="1" m="1" x="6609"/>
        <item t="data" h="1" sd="1" m="1" x="7333"/>
        <item t="data" h="1" sd="1" m="1" x="7728"/>
        <item t="data" h="1" sd="1" m="1" x="7717"/>
        <item t="data" h="1" sd="1" m="1" x="7718"/>
        <item t="data" h="1" sd="1" m="1" x="7231"/>
        <item t="data" h="1" sd="1" m="1" x="6488"/>
        <item t="data" h="1" sd="1" m="1" x="7735"/>
        <item t="data" h="1" sd="1" m="1" x="7761"/>
        <item t="data" h="1" sd="1" m="1" x="7726"/>
        <item t="data" h="1" sd="1" m="1" x="7746"/>
        <item t="data" h="1" sd="1" m="1" x="7479"/>
        <item t="data" h="1" sd="1" m="1" x="7727"/>
        <item t="data" h="1" sd="1" m="1" x="7721"/>
        <item t="data" h="1" sd="1" m="1" x="7723"/>
        <item t="data" h="1" sd="1" m="1" x="7747"/>
        <item t="data" h="1" sd="1" m="1" x="7733"/>
        <item t="data" h="1" sd="1" m="1" x="7643"/>
        <item t="data" h="1" sd="1" m="1" x="7644"/>
        <item t="data" h="1" sd="1" m="1" x="7729"/>
        <item t="data" h="1" sd="1" m="1" x="7719"/>
        <item t="data" h="1" sd="1" m="1" x="7640"/>
        <item t="data" h="1" sd="1" m="1" x="7722"/>
        <item t="data" h="1" sd="1" m="1" x="7724"/>
        <item t="data" h="1" sd="1" m="1" x="7760"/>
        <item t="data" h="1" sd="1" m="1" x="7659"/>
        <item t="data" h="1" sd="1" m="1" x="2463"/>
        <item t="data" h="1" sd="1" m="1" x="7599"/>
        <item t="data" h="1" sd="1" m="1" x="6956"/>
        <item t="data" h="1" sd="1" m="1" x="6957"/>
        <item t="data" h="1" sd="1" m="1" x="7660"/>
        <item t="data" h="1" sd="1" m="1" x="7661"/>
        <item t="data" h="1" sd="1" m="1" x="6963"/>
        <item t="data" h="1" sd="1" m="1" x="7665"/>
        <item t="data" h="1" sd="1" m="1" x="7734"/>
        <item t="data" h="1" sd="1" m="1" x="7725"/>
        <item t="data" h="1" sd="1" m="1" x="7741"/>
        <item t="data" h="1" sd="1" m="1" x="7720"/>
        <item t="data" h="1" sd="1" m="1" x="7743"/>
        <item t="data" h="1" sd="1" m="1" x="7742"/>
        <item t="data" h="1" sd="1" m="1" x="3456"/>
        <item t="data" h="1" sd="1" m="1" x="7676"/>
        <item t="data" h="1" sd="1" m="1" x="7675"/>
        <item t="data" h="1" sd="1" m="1" x="7677"/>
        <item t="data" h="1" sd="1" m="1" x="7558"/>
        <item t="data" h="1" sd="1" m="1" x="7740"/>
        <item t="data" h="1" sd="1" m="1" x="7732"/>
        <item t="data" h="1" sd="1" m="1" x="7777"/>
        <item t="data" h="1" sd="1" m="1" x="7682"/>
        <item t="data" h="1" sd="1" m="1" x="5732"/>
        <item t="data" h="1" sd="1" m="1" x="5733"/>
        <item t="data" h="1" sd="1" m="1" x="7194"/>
        <item t="data" h="1" sd="1" m="1" x="1720"/>
        <item t="data" h="1" sd="1" m="1" x="7687"/>
        <item t="data" h="1" sd="1" m="1" x="7753"/>
        <item t="data" h="1" sd="1" m="1" x="6212"/>
        <item t="data" h="1" sd="1" m="1" x="6113"/>
        <item t="data" h="1" sd="1" m="1" x="7185"/>
        <item t="data" h="1" sd="1" m="1" x="6959"/>
        <item t="data" h="1" sd="1" m="1" x="5797"/>
        <item t="data" h="1" sd="1" m="1" x="6960"/>
        <item t="data" h="1" sd="1" m="1" x="7690"/>
        <item t="data" h="1" sd="1" m="1" x="7691"/>
        <item t="data" h="1" sd="1" m="1" x="7692"/>
        <item t="data" h="1" sd="1" m="1" x="7694"/>
        <item t="data" h="1" sd="1" m="1" x="7695"/>
        <item t="data" h="1" sd="1" m="1" x="7453"/>
        <item t="data" h="1" sd="1" m="1" x="7700"/>
        <item t="data" h="1" sd="1" m="1" x="7701"/>
        <item t="data" h="1" sd="1" m="1" x="7702"/>
        <item t="data" h="1" sd="1" m="1" x="7703"/>
        <item t="data" h="1" sd="1" m="1" x="7559"/>
        <item t="data" h="1" sd="1" m="1" x="7755"/>
        <item t="data" h="1" sd="1" m="1" x="7754"/>
        <item t="data" h="1" sd="1" m="1" x="7706"/>
        <item t="data" h="1" sd="1" m="1" x="7707"/>
        <item t="data" h="1" sd="1" m="1" x="7708"/>
        <item t="data" h="1" sd="1" m="1" x="7731"/>
        <item t="data" h="1" sd="1" m="1" x="7730"/>
        <item t="data" h="1" sd="1" m="1" x="7744"/>
        <item t="data" h="1" sd="1" m="1" x="7710"/>
        <item t="data" h="1" sd="1" m="1" x="7712"/>
        <item t="data" h="1" sd="1" m="1" x="7713"/>
        <item t="data" h="1" sd="1" m="1" x="6618"/>
        <item t="data" h="1" sd="1" m="1" x="7714"/>
        <item t="data" h="1" sd="1" m="1" x="7715"/>
        <item t="data" h="1" sd="1" m="1" x="7467"/>
        <item t="data" h="1" sd="1" m="1" x="7474"/>
        <item t="data" h="1" sd="1" m="1" x="7711"/>
        <item t="data" h="1" sd="1" m="1" x="7616"/>
        <item t="data" h="1" sd="1" m="1" x="7617"/>
        <item t="data" h="1" sd="1" m="1" x="7618"/>
        <item t="data" h="1" sd="1" m="1" x="7619"/>
        <item t="data" h="1" sd="1" m="1" x="7621"/>
        <item t="data" h="1" sd="1" m="1" x="5523"/>
        <item t="data" h="1" sd="1" m="1" x="5524"/>
        <item t="data" h="1" sd="1" m="1" x="7623"/>
        <item t="data" h="1" sd="1" m="1" x="7624"/>
        <item t="data" h="1" sd="1" m="1" x="7625"/>
        <item t="data" h="1" sd="1" m="1" x="7626"/>
        <item t="data" h="1" sd="1" m="1" x="7628"/>
        <item t="data" h="1" sd="1" m="1" x="7577"/>
        <item t="data" h="1" sd="1" m="1" x="7578"/>
        <item t="data" h="1" sd="1" m="1" x="7630"/>
        <item t="data" h="1" sd="1" m="1" x="7631"/>
        <item t="data" h="1" sd="1" m="1" x="7632"/>
        <item t="data" h="1" sd="1" m="1" x="7633"/>
        <item t="data" h="1" sd="1" m="1" x="7344"/>
        <item t="data" h="1" sd="1" m="1" x="7244"/>
        <item t="data" h="1" sd="1" m="1" x="7634"/>
        <item t="data" h="1" sd="1" m="1" x="7635"/>
        <item t="data" h="1" sd="1" m="1" x="7636"/>
        <item t="data" h="1" sd="1" m="1" x="7638"/>
        <item t="data" h="1" sd="1" m="1" x="7639"/>
        <item t="data" h="1" sd="1" m="1" x="7243"/>
        <item t="data" h="1" sd="1" m="1" x="7641"/>
        <item t="data" h="1" sd="1" m="1" x="7642"/>
        <item t="data" h="1" sd="1" m="1" x="7645"/>
        <item t="data" h="1" sd="1" m="1" x="7646"/>
        <item t="data" h="1" sd="1" m="1" x="7647"/>
        <item t="data" h="1" sd="1" m="1" x="7573"/>
        <item t="data" h="1" sd="1" m="1" x="7574"/>
        <item t="data" h="1" sd="1" m="1" x="7648"/>
        <item t="data" h="1" sd="1" m="1" x="7245"/>
        <item t="data" h="1" sd="1" m="1" x="7649"/>
        <item t="data" h="1" sd="1" m="1" x="7650"/>
        <item t="data" h="1" sd="1" m="1" x="7651"/>
        <item t="data" h="1" sd="1" m="1" x="3090"/>
        <item t="data" h="1" sd="1" m="1" x="7653"/>
        <item t="data" h="1" sd="1" m="1" x="7656"/>
        <item t="data" h="1" sd="1" m="1" x="7657"/>
        <item t="data" h="1" sd="1" m="1" x="7658"/>
        <item t="data" h="1" sd="1" m="1" x="6969"/>
        <item t="data" h="1" sd="1" m="1" x="7662"/>
        <item t="data" h="1" sd="1" m="1" x="7663"/>
        <item t="data" h="1" sd="1" m="1" x="7664"/>
        <item t="data" h="1" sd="1" m="1" x="7402"/>
        <item t="data" h="1" sd="1" m="1" x="7556"/>
        <item t="data" h="1" sd="1" m="1" x="7666"/>
        <item t="data" h="1" sd="1" m="1" x="7667"/>
        <item t="data" h="1" sd="1" m="1" x="7668"/>
        <item t="data" h="1" sd="1" m="1" x="7669"/>
        <item t="data" h="1" sd="1" m="1" x="7670"/>
        <item t="data" h="1" sd="1" m="1" x="7671"/>
        <item t="data" h="1" sd="1" m="1" x="7672"/>
        <item t="data" h="1" sd="1" m="1" x="7673"/>
        <item t="data" h="1" sd="1" m="1" x="7674"/>
        <item t="data" h="1" sd="1" m="1" x="5685"/>
        <item t="data" h="1" sd="1" m="1" x="5686"/>
        <item t="data" h="1" sd="1" m="1" x="7600"/>
        <item t="data" h="1" sd="1" m="1" x="1969"/>
        <item t="data" h="1" sd="1" m="1" x="5586"/>
        <item t="data" h="1" sd="1" m="1" x="1868"/>
        <item t="data" h="1" sd="1" m="1" x="7678"/>
        <item t="data" h="1" sd="1" m="1" x="7679"/>
        <item t="data" h="1" sd="1" m="1" x="7680"/>
        <item t="data" h="1" sd="1" m="1" x="7681"/>
        <item t="data" h="1" sd="1" m="1" x="7606"/>
        <item t="data" h="1" sd="1" m="1" x="7416"/>
        <item t="data" h="1" sd="1" m="1" x="7419"/>
        <item t="data" h="1" sd="1" m="1" x="5730"/>
        <item t="data" h="1" sd="1" m="1" x="6669"/>
        <item t="data" h="1" sd="1" m="1" x="7683"/>
        <item t="data" h="1" sd="1" m="1" x="7684"/>
        <item t="data" h="1" sd="1" m="1" x="7685"/>
        <item t="data" h="1" sd="1" m="1" x="4867"/>
        <item t="data" h="1" sd="1" m="1" x="7303"/>
        <item t="data" h="1" sd="1" m="1" x="7557"/>
        <item t="data" h="1" sd="1" m="1" x="7186"/>
        <item t="data" h="1" sd="1" m="1" x="6208"/>
        <item t="data" h="1" sd="1" m="1" x="6112"/>
        <item t="data" h="1" sd="1" m="1" x="6418"/>
        <item t="data" h="1" sd="1" m="1" x="7313"/>
        <item t="data" h="1" sd="1" m="1" x="7688"/>
        <item t="data" h="1" sd="1" m="1" x="7689"/>
        <item t="data" h="1" sd="1" m="1" x="607"/>
        <item t="data" h="1" sd="1" x="394"/>
        <item t="data" h="1" sd="1" m="1" x="6973"/>
        <item t="data" h="1" sd="1" m="1" x="7693"/>
        <item t="data" h="1" sd="1" m="1" x="7696"/>
        <item t="data" h="1" sd="1" m="1" x="7613"/>
        <item t="data" h="1" sd="1" m="1" x="7697"/>
        <item t="data" h="1" sd="1" m="1" x="7698"/>
        <item t="data" h="1" sd="1" m="1" x="7699"/>
        <item t="data" h="1" sd="1" m="1" x="7325"/>
        <item t="data" h="1" sd="1" m="1" x="7709"/>
        <item t="data" h="1" sd="1" m="1" x="5547"/>
        <item t="data" h="1" sd="1" m="1" x="6029"/>
        <item t="data" h="1" sd="1" m="1" x="6030"/>
        <item t="data" h="1" sd="1" m="1" x="7716"/>
        <item t="data" h="1" sd="1" m="1" x="7563"/>
        <item t="data" h="1" sd="1" m="1" x="7564"/>
        <item t="data" h="1" sd="1" m="1" x="7337"/>
        <item t="data" h="1" sd="1" m="1" x="5180"/>
        <item t="data" h="1" sd="1" m="1" x="7565"/>
        <item t="data" h="1" sd="1" m="1" x="7566"/>
        <item t="data" h="1" sd="1" m="1" x="7567"/>
        <item t="data" h="1" sd="1" m="1" x="7568"/>
        <item t="data" h="1" sd="1" m="1" x="7569"/>
        <item t="data" h="1" sd="1" m="1" x="7570"/>
        <item t="data" h="1" sd="1" m="1" x="7571"/>
        <item t="data" h="1" sd="1" m="1" x="7246"/>
        <item t="data" h="1" sd="1" m="1" x="1518"/>
        <item t="data" h="1" sd="1" m="1" x="7572"/>
        <item t="data" h="1" sd="1" m="1" x="7575"/>
        <item t="data" h="1" sd="1" m="1" x="7576"/>
        <item t="data" h="1" sd="1" m="1" x="718"/>
        <item t="data" h="1" sd="1" m="1" x="7579"/>
        <item t="data" h="1" sd="1" m="1" x="7580"/>
        <item t="data" h="1" sd="1" m="1" x="7582"/>
        <item t="data" h="1" sd="1" m="1" x="7583"/>
        <item t="data" h="1" sd="1" m="1" x="7585"/>
        <item t="data" h="1" sd="1" m="1" x="7586"/>
        <item t="data" h="1" sd="1" m="1" x="7587"/>
        <item t="data" h="1" sd="1" m="1" x="7588"/>
        <item t="data" h="1" sd="1" m="1" x="4849"/>
        <item t="data" h="1" sd="1" m="1" x="7378"/>
        <item t="data" h="1" sd="1" m="1" x="7590"/>
        <item t="data" h="1" sd="1" m="1" x="7591"/>
        <item t="data" h="1" sd="1" m="1" x="7592"/>
        <item t="data" h="1" sd="1" m="1" x="7593"/>
        <item t="data" h="1" sd="1" m="1" x="7594"/>
        <item t="data" h="1" sd="1" m="1" x="7595"/>
        <item t="data" h="1" sd="1" m="1" x="7596"/>
        <item t="data" h="1" sd="1" m="1" x="7597"/>
        <item t="data" h="1" sd="1" m="1" x="5588"/>
        <item t="data" h="1" sd="1" m="1" x="6970"/>
        <item t="data" h="1" sd="1" m="1" x="4569"/>
        <item t="data" h="1" sd="1" m="1" x="7392"/>
        <item t="data" h="1" sd="1" m="1" x="7390"/>
        <item t="data" h="1" sd="1" m="1" x="7393"/>
        <item t="data" h="1" sd="1" m="1" x="7395"/>
        <item t="data" h="1" sd="1" m="1" x="7396"/>
        <item t="data" h="1" sd="1" m="1" x="4940"/>
        <item t="data" h="1" sd="1" m="1" x="5597"/>
        <item t="data" h="1" sd="1" m="1" x="7550"/>
        <item t="data" h="1" sd="1" m="1" x="7602"/>
        <item t="data" h="1" sd="1" m="1" x="7604"/>
        <item t="data" h="1" sd="1" m="1" x="7605"/>
        <item t="data" h="1" sd="1" m="1" x="7548"/>
        <item t="data" h="1" sd="1" m="1" x="7546"/>
        <item t="data" h="1" sd="1" m="1" x="7552"/>
        <item t="data" h="1" sd="1" m="1" x="7549"/>
        <item t="data" h="1" sd="1" m="1" x="7551"/>
        <item t="data" h="1" sd="1" x="371"/>
        <item t="data" h="1" sd="1" m="1" x="7413"/>
        <item t="data" h="1" sd="1" m="1" x="6900"/>
        <item t="data" h="1" sd="1" m="1" x="7415"/>
        <item t="data" h="1" sd="1" m="1" x="7417"/>
        <item t="data" h="1" sd="1" m="1" x="7547"/>
        <item t="data" h="1" sd="1" m="1" x="7424"/>
        <item t="data" h="1" sd="1" m="1" x="7607"/>
        <item t="data" h="1" sd="1" m="1" x="7481"/>
        <item t="data" h="1" sd="1" m="1" x="6127"/>
        <item t="data" h="1" sd="1" m="1" x="7187"/>
        <item t="data" h="1" sd="1" m="1" x="7553"/>
        <item t="data" h="1" sd="1" m="1" x="7192"/>
        <item t="data" h="1" sd="1" m="1" x="7431"/>
        <item t="data" h="1" sd="1" m="1" x="5774"/>
        <item t="data" h="1" sd="1" m="1" x="7608"/>
        <item t="data" h="1" sd="1" m="1" x="7611"/>
        <item t="data" h="1" sd="1" m="1" x="7612"/>
        <item t="data" h="1" sd="1" m="1" x="7442"/>
        <item t="data" h="1" sd="1" m="1" x="7443"/>
        <item t="data" h="1" sd="1" m="1" x="7444"/>
        <item t="data" h="1" sd="1" m="1" x="7445"/>
        <item t="data" h="1" sd="1" m="1" x="7449"/>
        <item t="data" h="1" sd="1" m="1" x="7450"/>
        <item t="data" h="1" sd="1" m="1" x="7454"/>
        <item t="data" h="1" sd="1" m="1" x="7545"/>
        <item t="data" h="1" sd="1" m="1" x="7554"/>
        <item t="data" h="1" sd="1" m="1" x="6295"/>
        <item t="data" h="1" sd="1" m="1" x="7615"/>
        <item t="data" h="1" sd="1" m="1" x="7461"/>
        <item t="data" h="1" sd="1" m="1" x="7473"/>
        <item t="data" h="1" sd="1" m="1" x="7544"/>
        <item t="data" h="1" sd="1" m="1" x="7472"/>
        <item t="data" h="1" sd="1" m="1" x="7465"/>
        <item t="data" h="1" sd="1" m="1" x="7466"/>
        <item t="data" h="1" sd="1" m="1" x="5834"/>
        <item t="data" h="1" sd="1" m="1" x="6286"/>
        <item t="data" h="1" sd="1" m="1" x="6016"/>
        <item t="data" h="1" sd="1" m="1" x="7470"/>
        <item t="data" h="1" sd="1" m="1" x="7527"/>
        <item t="data" h="1" sd="1" m="1" x="7342"/>
        <item t="data" h="1" sd="1" m="1" x="7341"/>
        <item t="data" h="1" sd="1" m="1" x="7478"/>
        <item t="data" h="1" sd="1" m="1" x="7338"/>
        <item t="data" h="1" sd="1" m="1" x="7339"/>
        <item t="data" h="1" sd="1" m="1" x="7340"/>
        <item t="data" h="1" sd="1" m="1" x="7537"/>
        <item t="data" h="1" sd="1" m="1" x="7482"/>
        <item t="data" h="1" sd="1" m="1" x="5484"/>
        <item t="data" h="1" sd="1" m="1" x="7534"/>
        <item t="data" h="1" sd="1" m="1" x="7543"/>
        <item t="data" h="1" sd="1" m="1" x="5772"/>
        <item t="data" h="1" sd="1" m="1" x="7353"/>
        <item t="data" h="1" sd="1" m="1" x="7485"/>
        <item t="data" h="1" sd="1" m="1" x="7484"/>
        <item t="data" h="1" sd="1" m="1" x="7483"/>
        <item t="data" h="1" sd="1" x="30"/>
        <item t="data" h="1" sd="1" m="1" x="7354"/>
        <item t="data" h="1" sd="1" m="1" x="7477"/>
        <item t="data" h="1" sd="1" m="1" x="7476"/>
        <item t="data" h="1" sd="1" m="1" x="7475"/>
        <item t="data" h="1" sd="1" m="1" x="7355"/>
        <item t="data" h="1" sd="1" m="1" x="7352"/>
        <item t="data" h="1" sd="1" m="1" x="7351"/>
        <item t="data" h="1" sd="1" m="1" x="3385"/>
        <item t="data" h="1" sd="1" m="1" x="7499"/>
        <item t="data" h="1" sd="1" m="1" x="7508"/>
        <item t="data" h="1" sd="1" m="1" x="7348"/>
        <item t="data" h="1" sd="1" m="1" x="7509"/>
        <item t="data" h="1" sd="1" m="1" x="7350"/>
        <item t="data" h="1" sd="1" m="1" x="6914"/>
        <item t="data" h="1" sd="1" m="1" x="7349"/>
        <item t="data" h="1" sd="1" m="1" x="7518"/>
        <item t="data" h="1" sd="1" m="1" x="7517"/>
        <item t="data" h="1" sd="1" m="1" x="7516"/>
        <item t="data" h="1" sd="1" m="1" x="7514"/>
        <item t="data" h="1" sd="1" m="1" x="7536"/>
        <item t="data" h="1" sd="1" m="1" x="7538"/>
        <item t="data" h="1" sd="1" m="1" x="7345"/>
        <item t="data" h="1" sd="1" m="1" x="7535"/>
        <item t="data" h="1" sd="1" m="1" x="7542"/>
        <item t="data" h="1" sd="1" m="1" x="7541"/>
        <item t="data" h="1" sd="1" m="1" x="7540"/>
        <item t="data" h="1" sd="1" m="1" x="7346"/>
        <item t="data" h="1" sd="1" m="1" x="7528"/>
        <item t="data" h="1" sd="1" m="1" x="7523"/>
        <item t="data" h="1" sd="1" m="1" x="7524"/>
        <item t="data" h="1" sd="1" m="1" x="7347"/>
        <item t="data" h="1" sd="1" m="1" x="7522"/>
        <item t="data" h="1" sd="1" m="1" x="7506"/>
        <item t="data" h="1" sd="1" m="1" x="7507"/>
        <item t="data" h="1" sd="1" m="1" x="7498"/>
        <item t="data" h="1" sd="1" m="1" x="7497"/>
        <item t="data" h="1" sd="1" m="1" x="7503"/>
        <item t="data" h="1" sd="1" m="1" x="7532"/>
        <item t="data" h="1" sd="1" m="1" x="7379"/>
        <item t="data" h="1" sd="1" m="1" x="7383"/>
        <item t="data" h="1" sd="1" m="1" x="505"/>
        <item t="data" h="1" sd="1" m="1" x="6835"/>
        <item t="data" h="1" sd="1" m="1" x="6540"/>
        <item t="data" h="1" sd="1" m="1" x="7513"/>
        <item t="data" h="1" sd="1" m="1" x="7512"/>
        <item t="data" h="1" sd="1" m="1" x="7394"/>
        <item t="data" h="1" sd="1" m="1" x="7387"/>
        <item t="data" h="1" sd="1" m="1" x="2049"/>
        <item t="data" h="1" sd="1" m="1" x="7388"/>
        <item t="data" h="1" sd="1" m="1" x="5590"/>
        <item t="data" h="1" sd="1" m="1" x="7495"/>
        <item t="data" h="1" sd="1" m="1" x="7401"/>
        <item t="data" h="1" sd="1" m="1" x="7400"/>
        <item t="data" h="1" sd="1" m="1" x="5616"/>
        <item t="data" h="1" sd="1" m="1" x="7531"/>
        <item t="data" h="1" sd="1" m="1" x="7530"/>
        <item t="data" h="1" sd="1" m="1" x="7529"/>
        <item t="data" h="1" sd="1" m="1" x="7490"/>
        <item t="data" h="1" sd="1" m="1" x="6494"/>
        <item t="data" h="1" sd="1" m="1" x="7406"/>
        <item t="data" h="1" sd="1" m="1" x="3410"/>
        <item t="data" h="1" sd="1" m="1" x="7487"/>
        <item t="data" h="1" sd="1" m="1" x="5704"/>
        <item t="data" h="1" sd="1" m="1" x="7526"/>
        <item t="data" h="1" sd="1" m="1" x="7510"/>
        <item t="data" h="1" sd="1" m="1" x="7488"/>
        <item t="data" h="1" sd="1" m="1" x="7525"/>
        <item t="data" h="1" sd="1" m="1" x="7496"/>
        <item t="data" h="1" sd="1" m="1" x="6613"/>
        <item t="data" h="1" sd="1" m="1" x="6590"/>
        <item t="data" h="1" sd="1" m="1" x="5722"/>
        <item t="data" h="1" sd="1" m="1" x="7414"/>
        <item t="data" h="1" sd="1" m="1" x="2010"/>
        <item t="data" h="1" sd="1" m="1" x="3954"/>
        <item t="data" h="1" sd="1" m="1" x="7422"/>
        <item t="data" h="1" sd="1" m="1" x="7520"/>
        <item t="data" h="1" sd="1" m="1" x="7418"/>
        <item t="data" h="1" sd="1" m="1" x="7421"/>
        <item t="data" h="1" sd="1" m="1" x="5736"/>
        <item t="data" h="1" sd="1" m="1" x="5735"/>
        <item t="data" h="1" sd="1" m="1" x="5005"/>
        <item t="data" h="1" sd="1" m="1" x="7428"/>
        <item t="data" h="1" sd="1" m="1" x="5744"/>
        <item t="data" h="1" sd="1" m="1" x="5965"/>
        <item t="data" h="1" sd="1" m="1" x="6417"/>
        <item t="data" h="1" sd="1" m="1" x="5006"/>
        <item t="data" h="1" sd="1" m="1" x="5007"/>
        <item t="data" h="1" sd="1" m="1" x="5008"/>
        <item t="data" h="1" sd="1" m="1" x="7193"/>
        <item t="data" h="1" sd="1" m="1" x="7539"/>
        <item t="data" h="1" sd="1" m="1" x="6745"/>
        <item t="data" h="1" sd="1" m="1" x="7432"/>
        <item t="data" h="1" sd="1" m="1" x="7315"/>
        <item t="data" h="1" sd="1" m="1" x="7433"/>
        <item t="data" h="1" sd="1" m="1" x="7434"/>
        <item t="data" h="1" sd="1" m="1" x="7435"/>
        <item t="data" h="1" sd="1" m="1" x="7511"/>
        <item t="data" h="1" sd="1" m="1" x="7436"/>
        <item t="data" h="1" sd="1" m="1" x="6972"/>
        <item t="data" h="1" sd="1" m="1" x="7480"/>
        <item t="data" h="1" sd="1" m="1" x="2568"/>
        <item t="data" h="1" sd="1" m="1" x="7504"/>
        <item t="data" h="1" sd="1" m="1" x="7492"/>
        <item t="data" h="1" sd="1" m="1" x="7491"/>
        <item t="data" h="1" sd="1" x="399"/>
        <item t="data" h="1" sd="1" m="1" x="7448"/>
        <item t="data" h="1" sd="1" m="1" x="7439"/>
        <item t="data" h="1" sd="1" m="1" x="7441"/>
        <item t="data" h="1" sd="1" m="1" x="7455"/>
        <item t="data" h="1" sd="1" m="1" x="7456"/>
        <item t="data" h="1" sd="1" m="1" x="7451"/>
        <item t="data" h="1" sd="1" m="1" x="7521"/>
        <item t="data" h="1" sd="1" m="1" x="7324"/>
        <item t="data" h="1" sd="1" m="1" x="7494"/>
        <item t="data" h="1" sd="1" m="1" x="7493"/>
        <item t="data" h="1" sd="1" m="1" x="5952"/>
        <item t="data" h="1" sd="1" m="1" x="7502"/>
        <item t="data" h="1" sd="1" m="1" x="7469"/>
        <item t="data" h="1" sd="1" m="1" x="7501"/>
        <item t="data" h="1" sd="1" m="1" x="7463"/>
        <item t="data" h="1" sd="1" m="1" x="7464"/>
        <item t="data" h="1" sd="1" m="1" x="6270"/>
        <item t="data" h="1" sd="1" m="1" x="7500"/>
        <item t="data" h="1" sd="1" m="1" x="7462"/>
        <item t="data" h="1" sd="1" m="1" x="3841"/>
        <item t="data" h="1" sd="1" m="1" x="7336"/>
        <item t="data" h="1" sd="1" m="1" x="5840"/>
        <item t="data" h="1" sd="1" m="1" x="5841"/>
        <item t="data" h="1" sd="1" m="1" x="7356"/>
        <item t="data" h="1" sd="1" m="1" x="7357"/>
        <item t="data" h="1" sd="1" m="1" x="7358"/>
        <item t="data" h="1" sd="1" m="1" x="7359"/>
        <item t="data" h="1" sd="1" m="1" x="7361"/>
        <item t="data" h="1" sd="1" m="1" x="7362"/>
        <item t="data" h="1" sd="1" m="1" x="7363"/>
        <item t="data" h="1" sd="1" m="1" x="7364"/>
        <item t="data" h="1" sd="1" m="1" x="7365"/>
        <item t="data" h="1" sd="1" m="1" x="7366"/>
        <item t="data" h="1" sd="1" m="1" x="7367"/>
        <item t="data" h="1" sd="1" m="1" x="7368"/>
        <item t="data" h="1" sd="1" m="1" x="7369"/>
        <item t="data" h="1" sd="1" m="1" x="7370"/>
        <item t="data" h="1" sd="1" m="1" x="7371"/>
        <item t="data" h="1" sd="1" m="1" x="7372"/>
        <item t="data" h="1" sd="1" m="1" x="7373"/>
        <item t="data" h="1" sd="1" m="1" x="7374"/>
        <item t="data" h="1" sd="1" m="1" x="7375"/>
        <item t="data" h="1" sd="1" m="1" x="7376"/>
        <item t="data" h="1" sd="1" m="1" x="7003"/>
        <item t="data" h="1" sd="1" m="1" x="7377"/>
        <item t="data" h="1" sd="1" m="1" x="7273"/>
        <item t="data" h="1" sd="1" m="1" x="7274"/>
        <item t="data" h="1" sd="1" m="1" x="7380"/>
        <item t="data" h="1" sd="1" m="1" x="7381"/>
        <item t="data" h="1" sd="1" m="1" x="7382"/>
        <item t="data" h="1" sd="1" m="1" x="7384"/>
        <item t="data" h="1" sd="1" m="1" x="7386"/>
        <item t="data" h="1" sd="1" m="1" x="6544"/>
        <item t="data" h="1" sd="1" m="1" x="6543"/>
        <item t="data" h="1" sd="1" m="1" x="7281"/>
        <item t="data" h="1" sd="1" m="1" x="7282"/>
        <item t="data" h="1" sd="1" m="1" x="7280"/>
        <item t="data" h="1" sd="1" m="1" x="4990"/>
        <item t="data" h="1" sd="1" m="1" x="7287"/>
        <item t="data" h="1" sd="1" m="1" x="6836"/>
        <item t="data" h="1" sd="1" m="1" x="4989"/>
        <item t="data" h="1" sd="1" m="1" x="3485"/>
        <item t="data" h="1" sd="1" m="1" x="6971"/>
        <item t="data" h="1" sd="1" m="1" x="6974"/>
        <item t="data" h="1" sd="1" m="1" x="7389"/>
        <item t="data" h="1" sd="1" m="1" x="7391"/>
        <item t="data" h="1" sd="1" m="1" x="7288"/>
        <item t="data" h="1" sd="1" m="1" x="4946"/>
        <item t="data" h="1" sd="1" m="1" x="4949"/>
        <item t="data" h="1" sd="1" m="1" x="4948"/>
        <item t="data" h="1" sd="1" m="1" x="7397"/>
        <item t="data" h="1" sd="1" m="1" x="7398"/>
        <item t="data" h="1" sd="1" m="1" x="6965"/>
        <item t="data" h="1" sd="1" m="1" x="5596"/>
        <item t="data" h="1" sd="1" m="1" x="7399"/>
        <item t="data" h="1" sd="1" m="1" x="3605"/>
        <item t="data" h="1" sd="1" m="1" x="6966"/>
        <item t="data" h="1" sd="1" m="1" x="6967"/>
        <item t="data" h="1" sd="1" m="1" x="7291"/>
        <item t="data" h="1" sd="1" m="1" x="5659"/>
        <item t="data" h="1" sd="1" m="1" x="5658"/>
        <item t="data" h="1" sd="1" m="1" x="5650"/>
        <item t="data" h="1" sd="1" m="1" x="5656"/>
        <item t="data" h="1" sd="1" m="1" x="5657"/>
        <item t="data" h="1" sd="1" m="1" x="5644"/>
        <item t="data" h="1" sd="1" m="1" x="5645"/>
        <item t="data" h="1" sd="1" m="1" x="5670"/>
        <item t="data" h="1" sd="1" m="1" x="5662"/>
        <item t="data" h="1" sd="1" m="1" x="5663"/>
        <item t="data" h="1" sd="1" m="1" x="5661"/>
        <item t="data" h="1" sd="1" m="1" x="5664"/>
        <item t="data" h="1" sd="1" m="1" x="5665"/>
        <item t="data" h="1" sd="1" m="1" x="5660"/>
        <item t="data" h="1" sd="1" m="1" x="5625"/>
        <item t="data" h="1" sd="1" m="1" x="5629"/>
        <item t="data" h="1" sd="1" m="1" x="5626"/>
        <item t="data" h="1" sd="1" m="1" x="5627"/>
        <item t="data" h="1" sd="1" m="1" x="5628"/>
        <item t="data" h="1" sd="1" m="1" x="5630"/>
        <item t="data" h="1" sd="1" m="1" x="5631"/>
        <item t="data" h="1" sd="1" m="1" x="5632"/>
        <item t="data" h="1" sd="1" m="1" x="6968"/>
        <item t="data" h="1" sd="1" m="1" x="7403"/>
        <item t="data" h="1" sd="1" m="1" x="7404"/>
        <item t="data" h="1" sd="1" m="1" x="7405"/>
        <item t="data" h="1" sd="1" m="1" x="5703"/>
        <item t="data" h="1" sd="1" m="1" x="7410"/>
        <item t="data" h="1" sd="1" m="1" x="7411"/>
        <item t="data" h="1" sd="1" m="1" x="7412"/>
        <item t="data" h="1" sd="1" m="1" x="5721"/>
        <item t="data" h="1" sd="1" m="1" x="6409"/>
        <item t="data" h="1" sd="1" m="1" x="6410"/>
        <item t="data" h="1" sd="1" m="1" x="7423"/>
        <item t="data" h="1" sd="1" m="1" x="7425"/>
        <item t="data" h="1" sd="1" m="1" x="7301"/>
        <item t="data" h="1" sd="1" m="1" x="7426"/>
        <item t="data" h="1" sd="1" m="1" x="7427"/>
        <item t="data" h="1" sd="1" m="1" x="5734"/>
        <item t="data" h="1" sd="1" m="1" x="5958"/>
        <item t="data" h="1" sd="1" m="1" x="7429"/>
        <item t="data" h="1" sd="1" m="1" x="6211"/>
        <item t="data" h="1" sd="1" m="1" x="6116"/>
        <item t="data" h="1" sd="1" m="1" x="7308"/>
        <item t="data" h="1" sd="1" m="1" x="7188"/>
        <item t="data" h="1" sd="1" m="1" x="7189"/>
        <item t="data" h="1" sd="1" m="1" x="6746"/>
        <item t="data" h="1" sd="1" m="1" x="7438"/>
        <item t="data" h="1" sd="1" m="1" x="7446"/>
        <item t="data" h="1" sd="1" m="1" x="7447"/>
        <item t="data" h="1" sd="1" m="1" x="7452"/>
        <item t="data" h="1" sd="1" m="1" x="7457"/>
        <item t="data" h="1" sd="1" m="1" x="6012"/>
        <item t="data" h="1" sd="1" m="1" x="1836"/>
        <item t="data" h="1" sd="1" m="1" x="7323"/>
        <item t="data" h="1" sd="1" m="1" x="7327"/>
        <item t="data" h="1" sd="1" m="1" x="7460"/>
        <item t="data" h="1" sd="1" m="1" x="6675"/>
        <item t="data" h="1" sd="1" m="1" x="7468"/>
        <item t="data" h="1" sd="1" m="1" x="7215"/>
        <item t="data" h="1" sd="1" m="1" x="7222"/>
        <item t="data" h="1" sd="1" m="1" x="7223"/>
        <item t="data" h="1" sd="1" m="1" x="7224"/>
        <item t="data" h="1" sd="1" m="1" x="7225"/>
        <item t="data" h="1" sd="1" m="1" x="7226"/>
        <item t="data" h="1" sd="1" m="1" x="7227"/>
        <item t="data" h="1" sd="1" m="1" x="1453"/>
        <item t="data" h="1" sd="1" m="1" x="7228"/>
        <item t="data" h="1" sd="1" m="1" x="7229"/>
        <item t="data" h="1" sd="1" m="1" x="7230"/>
        <item t="data" h="1" sd="1" m="1" x="7232"/>
        <item t="data" h="1" sd="1" m="1" x="7233"/>
        <item t="data" h="1" sd="1" m="1" x="7234"/>
        <item t="data" h="1" sd="1" m="1" x="7236"/>
        <item t="data" h="1" sd="1" m="1" x="7237"/>
        <item t="data" h="1" sd="1" m="1" x="6861"/>
        <item t="data" h="1" sd="1" m="1" x="7238"/>
        <item t="data" h="1" sd="1" m="1" x="7239"/>
        <item t="data" h="1" sd="1" m="1" x="7240"/>
        <item t="data" h="1" sd="1" m="1" x="7241"/>
        <item t="data" h="1" sd="1" m="1" x="7247"/>
        <item t="data" h="1" sd="1" m="1" x="7248"/>
        <item t="data" h="1" sd="1" m="1" x="7249"/>
        <item t="data" h="1" sd="1" m="1" x="7250"/>
        <item t="data" h="1" sd="1" m="1" x="7251"/>
        <item t="data" h="1" sd="1" m="1" x="7252"/>
        <item t="data" h="1" sd="1" m="1" x="7253"/>
        <item t="data" h="1" sd="1" m="1" x="7255"/>
        <item t="data" h="1" sd="1" m="1" x="7256"/>
        <item t="data" h="1" sd="1" m="1" x="7257"/>
        <item t="data" h="1" sd="1" m="1" x="7258"/>
        <item t="data" h="1" sd="1" m="1" x="7259"/>
        <item t="data" h="1" sd="1" m="1" x="7260"/>
        <item t="data" h="1" sd="1" m="1" x="7261"/>
        <item t="data" h="1" sd="1" m="1" x="7262"/>
        <item t="data" h="1" sd="1" m="1" x="7263"/>
        <item t="data" h="1" sd="1" m="1" x="7264"/>
        <item t="data" h="1" sd="1" m="1" x="7265"/>
        <item t="data" h="1" sd="1" m="1" x="7266"/>
        <item t="data" h="1" sd="1" m="1" x="7267"/>
        <item t="data" h="1" sd="1" m="1" x="7269"/>
        <item t="data" h="1" sd="1" m="1" x="7270"/>
        <item t="data" h="1" sd="1" m="1" x="7272"/>
        <item t="data" h="1" sd="1" m="1" x="7276"/>
        <item t="data" h="1" sd="1" m="1" x="5395"/>
        <item t="data" h="1" sd="1" m="1" x="7277"/>
        <item t="data" h="1" sd="1" m="1" x="7278"/>
        <item t="data" h="1" sd="1" m="1" x="7279"/>
        <item t="data" h="1" sd="1" m="1" x="7283"/>
        <item t="data" h="1" sd="1" m="1" x="7284"/>
        <item t="data" h="1" sd="1" m="1" x="7286"/>
        <item t="data" h="1" sd="1" m="1" x="6983"/>
        <item t="data" h="1" sd="1" m="1" x="7154"/>
        <item t="data" h="1" sd="1" m="1" x="6542"/>
        <item t="data" h="1" sd="1" m="1" x="7156"/>
        <item t="data" h="1" sd="1" m="1" x="7289"/>
        <item t="data" h="1" sd="1" m="1" x="7290"/>
        <item t="data" h="1" sd="1" m="1" x="6541"/>
        <item t="data" h="1" sd="1" m="1" x="6977"/>
        <item t="data" h="1" sd="1" m="1" x="6978"/>
        <item t="data" h="1" sd="1" m="1" x="6979"/>
        <item t="data" h="1" sd="1" m="1" x="6980"/>
        <item t="data" h="1" sd="1" m="1" x="7158"/>
        <item t="data" h="1" sd="1" m="1" x="7159"/>
        <item t="data" h="1" sd="1" m="1" x="6981"/>
        <item t="data" h="1" sd="1" m="1" x="5623"/>
        <item t="data" h="1" sd="1" m="1" x="5624"/>
        <item t="data" h="1" sd="1" m="1" x="5620"/>
        <item t="data" h="1" sd="1" m="1" x="5621"/>
        <item t="data" h="1" sd="1" m="1" x="5622"/>
        <item t="data" h="1" sd="1" m="1" x="7293"/>
        <item t="data" h="1" sd="1" m="1" x="7294"/>
        <item t="data" h="1" sd="1" m="1" x="6747"/>
        <item t="data" h="1" sd="1" m="1" x="7295"/>
        <item t="data" h="1" sd="1" m="1" x="7296"/>
        <item t="data" h="1" sd="1" m="1" x="7297"/>
        <item t="data" h="1" sd="1" m="1" x="2506"/>
        <item t="data" h="1" sd="1" m="1" x="7298"/>
        <item t="data" h="1" sd="1" m="1" x="7299"/>
        <item t="data" h="1" sd="1" m="1" x="5702"/>
        <item t="data" h="1" sd="1" m="1" x="3256"/>
        <item t="data" h="1" sd="1" m="1" x="7173"/>
        <item t="data" h="1" sd="1" m="1" x="7176"/>
        <item t="data" h="1" sd="1" m="1" x="7300"/>
        <item t="data" h="1" sd="1" m="1" x="6847"/>
        <item t="data" h="1" sd="1" m="1" x="497"/>
        <item t="data" h="1" sd="1" m="1" x="3265"/>
        <item t="data" h="1" sd="1" m="1" x="7181"/>
        <item t="data" h="1" sd="1" m="1" x="7182"/>
        <item t="data" h="1" sd="1" m="1" x="7183"/>
        <item t="data" h="1" sd="1" m="1" x="7184"/>
        <item t="data" h="1" sd="1" m="1" x="7306"/>
        <item t="data" h="1" sd="1" m="1" x="6241"/>
        <item t="data" h="1" sd="1" m="1" x="7310"/>
        <item t="data" h="1" sd="1" m="1" x="7311"/>
        <item t="data" h="1" sd="1" m="1" x="7314"/>
        <item t="data" h="1" sd="1" m="1" x="7316"/>
        <item t="data" h="1" sd="1" m="1" x="7318"/>
        <item t="data" h="1" sd="1" m="1" x="7319"/>
        <item t="data" h="1" sd="1" m="1" x="7320"/>
        <item t="data" h="1" sd="1" m="1" x="1711"/>
        <item t="data" h="1" sd="1" m="1" x="7208"/>
        <item t="data" h="1" sd="1" m="1" x="6996"/>
        <item t="data" h="1" sd="1" m="1" x="7210"/>
        <item t="data" h="1" sd="1" m="1" x="1634"/>
        <item t="data" h="1" sd="1" m="1" x="5181"/>
        <item t="data" h="1" sd="1" m="1" x="6013"/>
        <item t="data" h="1" sd="1" m="1" x="7328"/>
        <item t="data" h="1" sd="1" m="1" x="7329"/>
        <item t="data" h="1" sd="1" m="1" x="7330"/>
        <item t="data" h="1" sd="1" m="1" x="7331"/>
        <item t="data" h="1" sd="1" m="1" x="7332"/>
        <item t="data" h="1" sd="1" m="1" x="6267"/>
        <item t="data" h="1" sd="1" m="1" x="7221"/>
        <item t="data" h="1" sd="1" m="1" x="5835"/>
        <item t="data" h="1" sd="1" m="1" x="7214"/>
        <item t="data" h="1" sd="1" m="1" x="6991"/>
        <item t="data" h="1" sd="1" m="1" x="7220"/>
        <item t="data" h="1" sd="1" m="1" x="7216"/>
        <item t="data" h="1" sd="1" m="1" x="6506"/>
        <item t="data" h="1" sd="1" m="1" x="6507"/>
        <item t="data" h="1" sd="1" m="1" x="7007"/>
        <item t="data" h="1" sd="1" m="1" x="7090"/>
        <item t="data" h="1" sd="1" m="1" x="5156"/>
        <item t="data" h="1" sd="1" m="1" x="7091"/>
        <item t="data" h="1" sd="1" m="1" x="7092"/>
        <item t="data" h="1" sd="1" m="1" x="7094"/>
        <item t="data" h="1" sd="1" m="1" x="7095"/>
        <item t="data" h="1" sd="1" m="1" x="7096"/>
        <item t="data" h="1" sd="1" m="1" x="7097"/>
        <item t="data" h="1" sd="1" m="1" x="7098"/>
        <item t="data" h="1" sd="1" m="1" x="7099"/>
        <item t="data" h="1" sd="1" m="1" x="7100"/>
        <item t="data" h="1" sd="1" m="1" x="7101"/>
        <item t="data" h="1" sd="1" m="1" x="7102"/>
        <item t="data" h="1" sd="1" m="1" x="7103"/>
        <item t="data" h="1" sd="1" m="1" x="5512"/>
        <item t="data" h="1" sd="1" m="1" x="6755"/>
        <item t="data" h="1" sd="1" m="1" x="7104"/>
        <item t="data" h="1" sd="1" m="1" x="7105"/>
        <item t="data" h="1" sd="1" m="1" x="7106"/>
        <item t="data" h="1" sd="1" m="1" x="7107"/>
        <item t="data" h="1" sd="1" m="1" x="6428"/>
        <item t="data" h="1" sd="1" m="1" x="6429"/>
        <item t="data" h="1" sd="1" m="1" x="6183"/>
        <item t="data" h="1" sd="1" m="1" x="7108"/>
        <item t="data" h="1" sd="1" m="1" x="6843"/>
        <item t="data" h="1" sd="1" m="1" x="7109"/>
        <item t="data" h="1" sd="1" m="1" x="7110"/>
        <item t="data" h="1" sd="1" m="1" x="6863"/>
        <item t="data" h="1" sd="1" m="1" x="7111"/>
        <item t="data" h="1" sd="1" m="1" x="7112"/>
        <item t="data" h="1" sd="1" m="1" x="7113"/>
        <item t="data" h="1" sd="1" m="1" x="7114"/>
        <item t="data" h="1" sd="1" m="1" x="6760"/>
        <item t="data" h="1" sd="1" m="1" x="7115"/>
        <item t="data" h="1" sd="1" m="1" x="7116"/>
        <item t="data" h="1" sd="1" m="1" x="7117"/>
        <item t="data" h="1" sd="1" m="1" x="7118"/>
        <item t="data" h="1" sd="1" m="1" x="7119"/>
        <item t="data" h="1" sd="1" m="1" x="7120"/>
        <item t="data" h="1" sd="1" m="1" x="7121"/>
        <item t="data" h="1" sd="1" m="1" x="7123"/>
        <item t="data" h="1" sd="1" m="1" x="7124"/>
        <item t="data" h="1" sd="1" m="1" x="7125"/>
        <item t="data" h="1" sd="1" m="1" x="7126"/>
        <item t="data" h="1" sd="1" m="1" x="7127"/>
        <item t="data" h="1" sd="1" m="1" x="7128"/>
        <item t="data" h="1" sd="1" m="1" x="7129"/>
        <item t="data" h="1" sd="1" m="1" x="7130"/>
        <item t="data" h="1" sd="1" m="1" x="7131"/>
        <item t="data" h="1" sd="1" m="1" x="7133"/>
        <item t="data" h="1" sd="1" m="1" x="7134"/>
        <item t="data" h="1" sd="1" m="1" x="7000"/>
        <item t="data" h="1" sd="1" m="1" x="7135"/>
        <item t="data" h="1" sd="1" m="1" x="7136"/>
        <item t="data" h="1" sd="1" m="1" x="7001"/>
        <item t="data" h="1" sd="1" m="1" x="7137"/>
        <item t="data" h="1" sd="1" m="1" x="7138"/>
        <item t="data" h="1" sd="1" m="1" x="7139"/>
        <item t="data" h="1" sd="1" x="312"/>
        <item t="data" h="1" sd="1" m="1" x="7005"/>
        <item t="data" h="1" sd="1" m="1" x="7004"/>
        <item t="data" h="1" sd="1" m="1" x="7140"/>
        <item t="data" h="1" sd="1" m="1" x="582"/>
        <item t="data" h="1" sd="1" m="1" x="7141"/>
        <item t="data" h="1" sd="1" m="1" x="7142"/>
        <item t="data" h="1" sd="1" m="1" x="6838"/>
        <item t="data" h="1" sd="1" m="1" x="7143"/>
        <item t="data" h="1" sd="1" m="1" x="7144"/>
        <item t="data" h="1" sd="1" m="1" x="7145"/>
        <item t="data" h="1" sd="1" m="1" x="7146"/>
        <item t="data" h="1" sd="1" m="1" x="5571"/>
        <item t="data" h="1" sd="1" m="1" x="5570"/>
        <item t="data" h="1" sd="1" m="1" x="5569"/>
        <item t="data" h="1" sd="1" m="1" x="7006"/>
        <item t="data" h="1" sd="1" m="1" x="7147"/>
        <item t="data" h="1" sd="1" m="1" x="7148"/>
        <item t="data" h="1" sd="1" m="1" x="5575"/>
        <item t="data" h="1" sd="1" m="1" x="7151"/>
        <item t="data" h="1" sd="1" m="1" x="7152"/>
        <item t="data" h="1" sd="1" m="1" x="6844"/>
        <item t="data" h="1" sd="1" m="1" x="7155"/>
        <item t="data" h="1" sd="1" m="1" x="5858"/>
        <item t="data" h="1" sd="1" m="1" x="7157"/>
        <item t="data" h="1" sd="1" m="1" x="4947"/>
        <item t="data" h="1" sd="1" m="1" x="7160"/>
        <item t="data" h="1" sd="1" m="1" x="7161"/>
        <item t="data" h="1" sd="1" m="1" x="7162"/>
        <item t="data" h="1" sd="1" m="1" x="7163"/>
        <item t="data" h="1" sd="1" m="1" x="7164"/>
        <item t="data" h="1" sd="1" m="1" x="6853"/>
        <item t="data" h="1" sd="1" m="1" x="4679"/>
        <item t="data" h="1" sd="1" m="1" x="7166"/>
        <item t="data" h="1" sd="1" m="1" x="7167"/>
        <item t="data" h="1" sd="1" m="1" x="5667"/>
        <item t="data" h="1" sd="1" m="1" x="5651"/>
        <item t="data" h="1" sd="1" m="1" x="5652"/>
        <item t="data" h="1" sd="1" m="1" x="7168"/>
        <item t="data" h="1" sd="1" m="1" x="6839"/>
        <item t="data" h="1" sd="1" m="1" x="7169"/>
        <item t="data" h="1" sd="1" m="1" x="6976"/>
        <item t="data" h="1" sd="1" m="1" x="7170"/>
        <item t="data" h="1" sd="1" m="1" x="6545"/>
        <item t="data" h="1" sd="1" m="1" x="7171"/>
        <item t="data" h="1" sd="1" m="1" x="7172"/>
        <item t="data" h="1" sd="1" m="1" x="6758"/>
        <item t="data" h="1" sd="1" m="1" x="7008"/>
        <item t="data" h="1" sd="1" m="1" x="7174"/>
        <item t="data" h="1" sd="1" m="1" x="7175"/>
        <item t="data" h="1" sd="1" m="1" x="7177"/>
        <item t="data" h="1" sd="1" m="1" x="6846"/>
        <item t="data" h="1" sd="1" m="1" x="6464"/>
        <item t="data" h="1" sd="1" m="1" x="5731"/>
        <item t="data" h="1" sd="1" m="1" x="7180"/>
        <item t="data" h="1" sd="1" m="1" x="7195"/>
        <item t="data" h="1" sd="1" m="1" x="6416"/>
        <item t="data" h="1" sd="1" m="1" x="7197"/>
        <item t="data" h="1" sd="1" m="1" x="5157"/>
        <item t="data" h="1" sd="1" m="1" x="7198"/>
        <item t="data" h="1" sd="1" m="1" x="6984"/>
        <item t="data" h="1" sd="1" m="1" x="7199"/>
        <item t="data" h="1" sd="1" m="1" x="6985"/>
        <item t="data" h="1" sd="1" m="1" x="6986"/>
        <item t="data" h="1" sd="1" m="1" x="6023"/>
        <item t="data" h="1" sd="1" m="1" x="7200"/>
        <item t="data" h="1" sd="1" m="1" x="7201"/>
        <item t="data" h="1" sd="1" m="1" x="7202"/>
        <item t="data" h="1" sd="1" m="1" x="7203"/>
        <item t="data" h="1" sd="1" m="1" x="7204"/>
        <item t="data" h="1" sd="1" m="1" x="7205"/>
        <item t="data" h="1" sd="1" m="1" x="1028"/>
        <item t="data" h="1" sd="1" m="1" x="7206"/>
        <item t="data" h="1" sd="1" m="1" x="7207"/>
        <item t="data" h="1" sd="1" m="1" x="7211"/>
        <item t="data" h="1" sd="1" m="1" x="7212"/>
        <item t="data" h="1" sd="1" m="1" x="6987"/>
        <item t="data" h="1" sd="1" m="1" x="6850"/>
        <item t="data" h="1" sd="1" m="1" x="7213"/>
        <item t="data" h="1" sd="1" m="1" x="1816"/>
        <item t="data" h="1" sd="1" m="1" x="6849"/>
        <item t="data" h="1" sd="1" m="1" x="6848"/>
        <item t="data" h="1" sd="1" m="1" x="6495"/>
        <item t="data" h="1" sd="1" m="1" x="6496"/>
        <item t="data" h="1" sd="1" m="1" x="6990"/>
        <item t="data" h="1" sd="1" m="1" x="6025"/>
        <item t="data" h="1" sd="1" m="1" x="6018"/>
        <item t="data" h="1" sd="1" m="1" x="7217"/>
        <item t="data" h="1" sd="1" m="1" x="7218"/>
        <item t="data" h="1" sd="1" m="1" x="7219"/>
        <item t="data" h="1" sd="1" m="1" x="2098"/>
        <item t="data" h="1" sd="1" m="1" x="6459"/>
        <item t="data" h="1" sd="1" m="1" x="4967"/>
        <item t="data" h="1" sd="1" m="1" x="6213"/>
        <item t="data" h="1" sd="1" m="1" x="6122"/>
        <item t="data" h="1" sd="1" m="1" x="6841"/>
        <item t="data" h="1" sd="1" m="1" x="6123"/>
        <item t="data" h="1" sd="1" m="1" x="6559"/>
        <item t="data" h="1" sd="1" m="1" x="6124"/>
        <item t="data" h="1" sd="1" m="1" x="6988"/>
        <item t="data" h="1" sd="1" m="1" x="6989"/>
        <item t="data" h="1" sd="1" m="1" x="6992"/>
        <item t="data" h="1" sd="1" m="1" x="6993"/>
        <item t="data" h="1" sd="1" m="1" x="6994"/>
        <item t="data" h="1" sd="1" m="1" x="6995"/>
        <item t="data" h="1" sd="1" m="1" x="6855"/>
        <item t="data" h="1" sd="1" m="1" x="6316"/>
        <item t="data" h="1" sd="1" m="1" x="5087"/>
        <item t="data" h="1" sd="1" m="1" x="5747"/>
        <item t="data" h="1" sd="1" m="1" x="5742"/>
        <item t="data" h="1" sd="1" m="1" x="5746"/>
        <item t="data" h="1" sd="1" m="1" x="6997"/>
        <item t="data" h="1" sd="1" m="1" x="6999"/>
        <item t="data" h="1" sd="1" m="1" x="5741"/>
        <item t="data" h="1" sd="1" m="1" x="6705"/>
        <item t="data" h="1" sd="1" m="1" x="6867"/>
        <item t="data" h="1" sd="1" m="1" x="6866"/>
        <item t="data" h="1" sd="1" m="1" x="7002"/>
        <item t="data" h="1" sd="1" m="1" x="5172"/>
        <item t="data" h="1" sd="1" m="1" x="6210"/>
        <item t="data" h="1" sd="1" m="1" x="6209"/>
        <item t="data" h="1" sd="1" m="1" x="6442"/>
        <item t="data" h="1" sd="1" m="1" x="7009"/>
        <item t="data" h="1" sd="1" m="1" x="7010"/>
        <item t="data" h="1" sd="1" m="1" x="7011"/>
        <item t="data" h="1" sd="1" m="1" x="1822"/>
        <item t="data" h="1" sd="1" m="1" x="7013"/>
        <item t="data" h="1" sd="1" m="1" x="7014"/>
        <item t="data" h="1" sd="1" m="1" x="7016"/>
        <item t="data" h="1" sd="1" m="1" x="7017"/>
        <item t="data" h="1" sd="1" m="1" x="6548"/>
        <item t="data" h="1" sd="1" m="1" x="7018"/>
        <item t="data" h="1" sd="1" m="1" x="5562"/>
        <item t="data" h="1" sd="1" m="1" x="7019"/>
        <item t="data" h="1" sd="1" m="1" x="7020"/>
        <item t="data" h="1" sd="1" m="1" x="6840"/>
        <item t="data" h="1" sd="1" m="1" x="7021"/>
        <item t="data" h="1" sd="1" m="1" x="7024"/>
        <item t="data" h="1" sd="1" m="1" x="2863"/>
        <item t="data" h="1" sd="1" m="1" x="7025"/>
        <item t="data" h="1" sd="1" m="1" x="6551"/>
        <item t="data" h="1" sd="1" m="1" x="6552"/>
        <item t="data" h="1" sd="1" m="1" x="6553"/>
        <item t="data" h="1" sd="1" m="1" x="6554"/>
        <item t="data" h="1" sd="1" m="1" x="7026"/>
        <item t="data" h="1" sd="1" m="1" x="6556"/>
        <item t="data" h="1" sd="1" m="1" x="7027"/>
        <item t="data" h="1" sd="1" m="1" x="7028"/>
        <item t="data" h="1" sd="1" m="1" x="6842"/>
        <item t="data" h="1" sd="1" m="1" x="6557"/>
        <item t="data" h="1" sd="1" m="1" x="6558"/>
        <item t="data" h="1" sd="1" m="1" x="7029"/>
        <item t="data" h="1" sd="1" m="1" x="7030"/>
        <item t="data" h="1" sd="1" m="1" x="6752"/>
        <item t="data" h="1" sd="1" m="1" x="6753"/>
        <item t="data" h="1" sd="1" m="1" x="6771"/>
        <item t="data" h="1" sd="1" m="1" x="7031"/>
        <item t="data" h="1" sd="1" m="1" x="4991"/>
        <item t="data" h="1" sd="1" m="1" x="7032"/>
        <item t="data" h="1" sd="1" m="1" x="7033"/>
        <item t="data" h="1" sd="1" m="1" x="6414"/>
        <item t="data" h="1" sd="1" m="1" x="7034"/>
        <item t="data" h="1" sd="1" m="1" x="7035"/>
        <item t="data" h="1" sd="1" m="1" x="7036"/>
        <item t="data" h="1" sd="1" m="1" x="7037"/>
        <item t="data" h="1" sd="1" m="1" x="7038"/>
        <item t="data" h="1" sd="1" m="1" x="5401"/>
        <item t="data" h="1" sd="1" m="1" x="7039"/>
        <item t="data" h="1" sd="1" m="1" x="7041"/>
        <item t="data" h="1" sd="1" m="1" x="7042"/>
        <item t="data" h="1" sd="1" m="1" x="7043"/>
        <item t="data" h="1" sd="1" m="1" x="7044"/>
        <item t="data" h="1" sd="1" m="1" x="7045"/>
        <item t="data" h="1" sd="1" m="1" x="5970"/>
        <item t="data" h="1" sd="1" m="1" x="7046"/>
        <item t="data" h="1" sd="1" m="1" x="7047"/>
        <item t="data" h="1" sd="1" m="1" x="7048"/>
        <item t="data" h="1" sd="1" m="1" x="6868"/>
        <item t="data" h="1" sd="1" m="1" x="7049"/>
        <item t="data" h="1" sd="1" m="1" x="7050"/>
        <item t="data" h="1" sd="1" m="1" x="7051"/>
        <item t="data" h="1" sd="1" m="1" x="7052"/>
        <item t="data" h="1" sd="1" m="1" x="7053"/>
        <item t="data" h="1" sd="1" m="1" x="6750"/>
        <item t="data" h="1" sd="1" m="1" x="7054"/>
        <item t="data" h="1" sd="1" m="1" x="6854"/>
        <item t="data" h="1" sd="1" m="1" x="6857"/>
        <item t="data" h="1" sd="1" m="1" x="6856"/>
        <item t="data" h="1" sd="1" m="1" x="6757"/>
        <item t="data" h="1" sd="1" m="1" x="6859"/>
        <item t="data" h="1" sd="1" m="1" x="5672"/>
        <item t="data" h="1" sd="1" m="1" x="5567"/>
        <item t="data" h="1" sd="1" m="1" x="5566"/>
        <item t="data" h="1" sd="1" m="1" x="5771"/>
        <item t="data" h="1" sd="1" m="1" x="6862"/>
        <item t="data" h="1" sd="1" m="1" x="7055"/>
        <item t="data" h="1" sd="1" m="1" x="5617"/>
        <item t="data" h="1" sd="1" m="1" x="5618"/>
        <item t="data" h="1" sd="1" m="1" x="6173"/>
        <item t="data" h="1" sd="1" m="1" x="7056"/>
        <item t="data" h="1" sd="1" m="1" x="7058"/>
        <item t="data" h="1" sd="1" m="1" x="2676"/>
        <item t="data" h="1" sd="1" m="1" x="7059"/>
        <item t="data" h="1" sd="1" m="1" x="5619"/>
        <item t="data" h="1" sd="1" m="1" x="6337"/>
        <item t="data" h="1" sd="1" m="1" x="7060"/>
        <item t="data" h="1" sd="1" m="1" x="6513"/>
        <item t="data" h="1" sd="1" m="1" x="5752"/>
        <item t="data" h="1" sd="1" m="1" x="7061"/>
        <item t="data" h="1" sd="1" m="1" x="6346"/>
        <item t="data" h="1" sd="1" m="1" x="6347"/>
        <item t="data" h="1" sd="1" m="1" x="6348"/>
        <item t="data" h="1" sd="1" m="1" x="6350"/>
        <item t="data" h="1" sd="1" m="1" x="6351"/>
        <item t="data" h="1" sd="1" m="1" x="7062"/>
        <item t="data" h="1" sd="1" m="1" x="7063"/>
        <item t="data" h="1" sd="1" m="1" x="6354"/>
        <item t="data" h="1" sd="1" m="1" x="6359"/>
        <item t="data" h="1" sd="1" m="1" x="6357"/>
        <item t="data" h="1" sd="1" m="1" x="6358"/>
        <item t="data" h="1" sd="1" m="1" x="6355"/>
        <item t="data" h="1" sd="1" m="1" x="6356"/>
        <item t="data" h="1" sd="1" m="1" x="7064"/>
        <item t="data" h="1" sd="1" m="1" x="6761"/>
        <item t="data" h="1" sd="1" m="1" x="864"/>
        <item t="data" h="1" sd="1" m="1" x="7065"/>
        <item t="data" h="1" sd="1" m="1" x="7066"/>
        <item t="data" h="1" sd="1" m="1" x="7067"/>
        <item t="data" h="1" sd="1" m="1" x="7068"/>
        <item t="data" h="1" sd="1" m="1" x="6865"/>
        <item t="data" h="1" sd="1" m="1" x="6864"/>
        <item t="data" h="1" sd="1" m="1" x="7069"/>
        <item t="data" h="1" sd="1" m="1" x="6374"/>
        <item t="data" h="1" sd="1" m="1" x="7070"/>
        <item t="data" h="1" sd="1" m="1" x="6570"/>
        <item t="data" h="1" sd="1" m="1" x="6572"/>
        <item t="data" h="1" sd="1" m="1" x="6571"/>
        <item t="data" h="1" sd="1" m="1" x="6953"/>
        <item t="data" h="1" sd="1" m="1" x="1706"/>
        <item t="data" h="1" sd="1" m="1" x="5873"/>
        <item t="data" h="1" sd="1" m="1" x="7073"/>
        <item t="data" h="1" sd="1" m="1" x="7074"/>
        <item t="data" h="1" sd="1" m="1" x="7075"/>
        <item t="data" h="1" sd="1" m="1" x="7076"/>
        <item t="data" h="1" sd="1" m="1" x="1305"/>
        <item t="data" h="1" sd="1" m="1" x="7078"/>
        <item t="data" h="1" sd="1" m="1" x="5684"/>
        <item t="data" h="1" sd="1" m="1" x="7079"/>
        <item t="data" h="1" sd="1" m="1" x="7080"/>
        <item t="data" h="1" sd="1" m="1" x="7081"/>
        <item t="data" h="1" sd="1" m="1" x="7082"/>
        <item t="data" h="1" sd="1" m="1" x="7083"/>
        <item t="data" h="1" sd="1" m="1" x="7084"/>
        <item t="data" h="1" sd="1" m="1" x="6943"/>
        <item t="data" h="1" sd="1" m="1" x="7085"/>
        <item t="data" h="1" sd="1" m="1" x="7086"/>
        <item t="data" h="1" sd="1" m="1" x="7087"/>
        <item t="data" h="1" sd="1" m="1" x="7088"/>
        <item t="data" h="1" sd="1" m="1" x="1082"/>
        <item t="data" h="1" sd="1" m="1" x="7089"/>
        <item t="data" h="1" sd="1" m="1" x="5319"/>
        <item t="data" h="1" sd="1" m="1" x="6858"/>
        <item t="data" h="1" sd="1" m="1" x="6869"/>
        <item t="data" h="1" sd="1" m="1" x="6870"/>
        <item t="data" h="1" sd="1" m="1" x="4923"/>
        <item t="data" h="1" sd="1" m="1" x="6871"/>
        <item t="data" h="1" sd="1" m="1" x="6872"/>
        <item t="data" h="1" sd="1" m="1" x="6873"/>
        <item t="data" h="1" sd="1" m="1" x="6748"/>
        <item t="data" h="1" sd="1" m="1" x="6874"/>
        <item t="data" h="1" sd="1" m="1" x="6706"/>
        <item t="data" h="1" sd="1" m="1" x="4968"/>
        <item t="data" h="1" sd="1" m="1" x="6876"/>
        <item t="data" h="1" sd="1" m="1" x="6877"/>
        <item t="data" h="1" sd="1" m="1" x="6878"/>
        <item t="data" h="1" sd="1" m="1" x="6879"/>
        <item t="data" h="1" sd="1" m="1" x="6455"/>
        <item t="data" h="1" sd="1" m="1" x="6881"/>
        <item t="data" h="1" sd="1" m="1" x="6882"/>
        <item t="data" h="1" sd="1" m="1" x="6883"/>
        <item t="data" h="1" sd="1" m="1" x="6884"/>
        <item t="data" h="1" sd="1" m="1" x="6886"/>
        <item t="data" h="1" sd="1" m="1" x="6749"/>
        <item t="data" h="1" sd="1" m="1" x="6779"/>
        <item t="data" h="1" sd="1" m="1" x="6560"/>
        <item t="data" h="1" sd="1" m="1" x="6887"/>
        <item t="data" h="1" sd="1" m="1" x="6888"/>
        <item t="data" h="1" sd="1" m="1" x="6889"/>
        <item t="data" h="1" sd="1" m="1" x="6890"/>
        <item t="data" h="1" sd="1" m="1" x="6891"/>
        <item t="data" h="1" sd="1" m="1" x="6892"/>
        <item t="data" h="1" sd="1" m="1" x="6893"/>
        <item t="data" h="1" sd="1" m="1" x="1903"/>
        <item t="data" h="1" sd="1" m="1" x="4496"/>
        <item t="data" h="1" sd="1" m="1" x="6894"/>
        <item t="data" h="1" sd="1" m="1" x="6561"/>
        <item t="data" h="1" sd="1" m="1" x="6896"/>
        <item t="data" h="1" sd="1" m="1" x="4999"/>
        <item t="data" h="1" sd="1" m="1" x="6897"/>
        <item t="data" h="1" sd="1" m="1" x="1892"/>
        <item t="data" h="1" sd="1" x="168"/>
        <item t="data" h="1" sd="1" m="1" x="6898"/>
        <item t="data" h="1" sd="1" m="1" x="6899"/>
        <item t="data" h="1" sd="1" m="1" x="6751"/>
        <item t="data" h="1" sd="1" m="1" x="5461"/>
        <item t="data" h="1" sd="1" m="1" x="5995"/>
        <item t="data" h="1" sd="1" m="1" x="6473"/>
        <item t="data" h="1" sd="1" m="1" x="6901"/>
        <item t="data" h="1" sd="1" m="1" x="6902"/>
        <item t="data" h="1" sd="1" m="1" x="6903"/>
        <item t="data" h="1" sd="1" m="1" x="6904"/>
        <item t="data" h="1" sd="1" m="1" x="1923"/>
        <item t="data" h="1" sd="1" m="1" x="6905"/>
        <item t="data" h="1" sd="1" m="1" x="6568"/>
        <item t="data" h="1" sd="1" m="1" x="3955"/>
        <item t="data" h="1" sd="1" m="1" x="5887"/>
        <item t="data" h="1" sd="1" m="1" x="6906"/>
        <item t="data" h="1" sd="1" m="1" x="5695"/>
        <item t="data" h="1" sd="1" m="1" x="6908"/>
        <item t="data" h="1" sd="1" m="1" x="6756"/>
        <item t="data" h="1" sd="1" m="1" x="6909"/>
        <item t="data" h="1" sd="1" m="1" x="6910"/>
        <item t="data" h="1" sd="1" m="1" x="5682"/>
        <item t="data" h="1" sd="1" m="1" x="5683"/>
        <item t="data" h="1" sd="1" m="1" x="6911"/>
        <item t="data" h="1" sd="1" m="1" x="6912"/>
        <item t="data" h="1" sd="1" m="1" x="6913"/>
        <item t="data" h="1" sd="1" m="1" x="6915"/>
        <item t="data" h="1" sd="1" m="1" x="6916"/>
        <item t="data" h="1" sd="1" m="1" x="958"/>
        <item t="data" h="1" sd="1" m="1" x="6759"/>
        <item t="data" h="1" sd="1" m="1" x="6917"/>
        <item t="data" h="1" sd="1" m="1" x="6918"/>
        <item t="data" h="1" sd="1" m="1" x="6919"/>
        <item t="data" h="1" sd="1" m="1" x="5096"/>
        <item t="data" h="1" sd="1" m="1" x="6920"/>
        <item t="data" h="1" sd="1" m="1" x="6921"/>
        <item t="data" h="1" sd="1" m="1" x="6922"/>
        <item t="data" h="1" sd="1" m="1" x="6923"/>
        <item t="data" h="1" sd="1" m="1" x="6924"/>
        <item t="data" h="1" sd="1" m="1" x="6925"/>
        <item t="data" h="1" sd="1" m="1" x="6926"/>
        <item t="data" h="1" sd="1" m="1" x="6927"/>
        <item t="data" h="1" sd="1" m="1" x="5122"/>
        <item t="data" h="1" sd="1" m="1" x="5612"/>
        <item t="data" h="1" sd="1" m="1" x="5826"/>
        <item t="data" h="1" sd="1" m="1" x="6928"/>
        <item t="data" h="1" sd="1" m="1" x="5149"/>
        <item t="data" h="1" sd="1" m="1" x="6930"/>
        <item t="data" h="1" sd="1" m="1" x="6931"/>
        <item t="data" h="1" sd="1" m="1" x="6932"/>
        <item t="data" h="1" sd="1" m="1" x="6933"/>
        <item t="data" h="1" sd="1" m="1" x="6934"/>
        <item t="data" h="1" sd="1" m="1" x="6935"/>
        <item t="data" h="1" sd="1" m="1" x="6936"/>
        <item t="data" h="1" sd="1" m="1" x="6937"/>
        <item t="data" h="1" sd="1" m="1" x="6762"/>
        <item t="data" h="1" sd="1" m="1" x="6938"/>
        <item t="data" h="1" sd="1" m="1" x="6767"/>
        <item t="data" h="1" sd="1" m="1" x="6939"/>
        <item t="data" h="1" sd="1" m="1" x="6940"/>
        <item t="data" h="1" sd="1" m="1" x="6763"/>
        <item t="data" h="1" sd="1" m="1" x="6941"/>
        <item t="data" h="1" sd="1" m="1" x="6942"/>
        <item t="data" h="1" sd="1" m="1" x="6764"/>
        <item t="data" h="1" sd="1" x="220"/>
        <item t="data" h="1" sd="1" m="1" x="6765"/>
        <item t="data" h="1" sd="1" m="1" x="6766"/>
        <item t="data" h="1" sd="1" m="1" x="6768"/>
        <item t="data" h="1" sd="1" m="1" x="5174"/>
        <item t="data" h="1" sd="1" m="1" x="6770"/>
        <item t="data" h="1" sd="1" m="1" x="6944"/>
        <item t="data" h="1" sd="1" m="1" x="6945"/>
        <item t="data" h="1" sd="1" m="1" x="6946"/>
        <item t="data" h="1" sd="1" m="1" x="6947"/>
        <item t="data" h="1" sd="1" m="1" x="6948"/>
        <item t="data" h="1" sd="1" m="1" x="6949"/>
        <item t="data" h="1" sd="1" m="1" x="6950"/>
        <item t="data" h="1" sd="1" m="1" x="6951"/>
        <item t="data" h="1" sd="1" m="1" x="6952"/>
        <item t="data" h="1" sd="1" m="1" x="6772"/>
        <item t="data" h="1" sd="1" m="1" x="6954"/>
        <item t="data" h="1" sd="1" m="1" x="1161"/>
        <item t="data" h="1" sd="1" m="1" x="6955"/>
        <item t="data" h="1" sd="1" m="1" x="6825"/>
        <item t="data" h="1" sd="1" m="1" x="4955"/>
        <item t="data" h="1" sd="1" m="1" x="6710"/>
        <item t="data" h="1" sd="1" m="1" x="6221"/>
        <item t="data" h="1" sd="1" m="1" x="6549"/>
        <item t="data" h="1" sd="1" m="1" x="6451"/>
        <item t="data" h="1" sd="1" m="1" x="572"/>
        <item t="data" h="1" sd="1" m="1" x="6605"/>
        <item t="data" h="1" sd="1" m="1" x="6774"/>
        <item t="data" h="1" sd="1" m="1" x="4972"/>
        <item t="data" h="1" sd="1" m="1" x="6555"/>
        <item t="data" h="1" sd="1" m="1" x="6244"/>
        <item t="data" h="1" sd="1" m="1" x="6775"/>
        <item t="data" h="1" sd="1" m="1" x="6776"/>
        <item t="data" h="1" sd="1" m="1" x="6778"/>
        <item t="data" h="1" sd="1" m="1" x="6780"/>
        <item t="data" h="1" sd="1" m="1" x="6781"/>
        <item t="data" h="1" sd="1" m="1" x="6712"/>
        <item t="data" h="1" sd="1" m="1" x="6713"/>
        <item t="data" h="1" sd="1" m="1" x="6782"/>
        <item t="data" h="1" sd="1" m="1" x="3160"/>
        <item t="data" h="1" sd="1" m="1" x="6562"/>
        <item t="data" h="1" sd="1" m="1" x="6563"/>
        <item t="data" h="1" sd="1" m="1" x="6259"/>
        <item t="data" h="1" sd="1" m="1" x="6783"/>
        <item t="data" h="1" sd="1" m="1" x="5447"/>
        <item t="data" h="1" sd="1" m="1" x="6565"/>
        <item t="data" h="1" sd="1" m="1" x="6784"/>
        <item t="data" h="1" sd="1" m="1" x="6566"/>
        <item t="data" h="1" sd="1" m="1" x="6567"/>
        <item t="data" h="1" sd="1" m="1" x="6614"/>
        <item t="data" h="1" sd="1" m="1" x="6475"/>
        <item t="data" h="1" sd="1" m="1" x="6476"/>
        <item t="data" h="1" sd="1" m="1" x="6477"/>
        <item t="data" h="1" sd="1" m="1" x="6707"/>
        <item t="data" h="1" sd="1" m="1" x="6625"/>
        <item t="data" h="1" sd="1" m="1" x="5058"/>
        <item t="data" h="1" sd="1" m="1" x="6569"/>
        <item t="data" h="1" sd="1" m="1" x="6628"/>
        <item t="data" h="1" sd="1" m="1" x="6785"/>
        <item t="data" h="1" sd="1" m="1" x="6786"/>
        <item t="data" h="1" sd="1" m="1" x="6787"/>
        <item t="data" h="1" sd="1" m="1" x="6788"/>
        <item t="data" h="1" sd="1" m="1" x="6789"/>
        <item t="data" h="1" sd="1" m="1" x="6791"/>
        <item t="data" h="1" sd="1" m="1" x="6792"/>
        <item t="data" h="1" sd="1" m="1" x="6793"/>
        <item t="data" h="1" sd="1" m="1" x="6794"/>
        <item t="data" h="1" sd="1" m="1" x="5693"/>
        <item t="data" h="1" sd="1" m="1" x="6795"/>
        <item t="data" h="1" sd="1" m="1" x="6796"/>
        <item t="data" h="1" sd="1" m="1" x="6797"/>
        <item t="data" h="1" sd="1" m="1" x="6798"/>
        <item t="data" h="1" sd="1" m="1" x="6799"/>
        <item t="data" h="1" sd="1" m="1" x="6801"/>
        <item t="data" h="1" sd="1" m="1" x="6802"/>
        <item t="data" h="1" sd="1" m="1" x="6708"/>
        <item t="data" h="1" sd="1" m="1" x="6803"/>
        <item t="data" h="1" sd="1" m="1" x="6720"/>
        <item t="data" h="1" sd="1" m="1" x="5580"/>
        <item t="data" h="1" sd="1" m="1" x="6804"/>
        <item t="data" h="1" sd="1" m="1" x="6721"/>
        <item t="data" h="1" sd="1" m="1" x="6806"/>
        <item t="data" h="1" sd="1" m="1" x="6807"/>
        <item t="data" h="1" sd="1" m="1" x="6352"/>
        <item t="data" h="1" sd="1" m="1" x="6808"/>
        <item t="data" h="1" sd="1" m="1" x="6809"/>
        <item t="data" h="1" sd="1" m="1" x="6423"/>
        <item t="data" h="1" sd="1" m="1" x="6810"/>
        <item t="data" h="1" sd="1" m="1" x="6811"/>
        <item t="data" h="1" sd="1" m="1" x="4012"/>
        <item t="data" h="1" sd="1" m="1" x="6812"/>
        <item t="data" h="1" sd="1" m="1" x="6813"/>
        <item t="data" h="1" sd="1" m="1" x="6814"/>
        <item t="data" h="1" sd="1" m="1" x="6815"/>
        <item t="data" h="1" sd="1" m="1" x="6816"/>
        <item t="data" h="1" sd="1" m="1" x="6817"/>
        <item t="data" h="1" sd="1" m="1" x="6818"/>
        <item t="data" h="1" sd="1" m="1" x="6819"/>
        <item t="data" h="1" sd="1" m="1" x="6820"/>
        <item t="data" h="1" sd="1" m="1" x="6821"/>
        <item t="data" h="1" sd="1" m="1" x="6822"/>
        <item t="data" h="1" sd="1" m="1" x="6823"/>
        <item t="data" h="1" sd="1" m="1" x="6824"/>
        <item t="data" h="1" sd="1" m="1" x="6826"/>
        <item t="data" h="1" sd="1" m="1" x="6573"/>
        <item t="data" h="1" sd="1" m="1" x="6332"/>
        <item t="data" h="1" sd="1" m="1" x="6709"/>
        <item t="data" h="1" sd="1" m="1" x="6443"/>
        <item t="data" h="1" sd="1" m="1" x="6574"/>
        <item t="data" h="1" sd="1" m="1" x="6575"/>
        <item t="data" h="1" sd="1" m="1" x="2776"/>
        <item t="data" h="1" sd="1" m="1" x="6576"/>
        <item t="data" h="1" sd="1" m="1" x="4295"/>
        <item t="data" h="1" sd="1" m="1" x="5828"/>
        <item t="data" h="1" sd="1" m="1" x="6447"/>
        <item t="data" h="1" sd="1" m="1" x="6581"/>
        <item t="data" h="1" sd="1" m="1" x="5593"/>
        <item t="data" h="1" sd="1" m="1" x="5594"/>
        <item t="data" h="1" sd="1" m="1" x="5595"/>
        <item t="data" h="1" sd="1" m="1" x="4969"/>
        <item t="data" h="1" sd="1" m="1" x="6604"/>
        <item t="data" h="1" sd="1" m="1" x="5574"/>
        <item t="data" h="1" sd="1" m="1" x="6606"/>
        <item t="data" h="1" sd="1" m="1" x="6711"/>
        <item t="data" h="1" sd="1" m="1" x="6588"/>
        <item t="data" h="1" sd="1" m="1" x="1777"/>
        <item t="data" h="1" sd="1" m="1" x="6462"/>
        <item t="data" h="1" sd="1" m="1" x="6599"/>
        <item t="data" h="1" sd="1" m="1" x="6596"/>
        <item t="data" h="1" sd="1" m="1" x="6597"/>
        <item t="data" h="1" sd="1" m="1" x="6598"/>
        <item t="data" h="1" sd="1" m="1" x="4367"/>
        <item t="data" h="1" sd="1" m="1" x="2894"/>
        <item t="data" h="1" sd="1" m="1" x="6600"/>
        <item t="data" h="1" sd="1" m="1" x="6601"/>
        <item t="data" h="1" sd="1" m="1" x="6602"/>
        <item t="data" h="1" sd="1" m="1" x="6610"/>
        <item t="data" h="1" sd="1" m="1" x="6612"/>
        <item t="data" h="1" sd="1" m="1" x="6615"/>
        <item t="data" h="1" sd="1" m="1" x="3754"/>
        <item t="data" h="1" sd="1" m="1" x="6616"/>
        <item t="data" h="1" sd="1" m="1" x="6617"/>
        <item t="data" h="1" sd="1" m="1" x="6619"/>
        <item t="data" h="1" sd="1" m="1" x="6479"/>
        <item t="data" h="1" sd="1" m="1" x="6621"/>
        <item t="data" h="1" sd="1" m="1" x="6714"/>
        <item t="data" h="1" sd="1" m="1" x="6626"/>
        <item t="data" h="1" sd="1" m="1" x="6685"/>
        <item t="data" h="1" sd="1" m="1" x="3893"/>
        <item t="data" h="1" sd="1" m="1" x="6632"/>
        <item t="data" h="1" sd="1" m="1" x="6630"/>
        <item t="data" h="1" sd="1" m="1" x="6631"/>
        <item t="data" h="1" sd="1" m="1" x="6633"/>
        <item t="data" h="1" sd="1" m="1" x="6715"/>
        <item t="data" h="1" sd="1" m="1" x="5691"/>
        <item t="data" h="1" sd="1" m="1" x="6634"/>
        <item t="data" h="1" sd="1" m="1" x="3214"/>
        <item t="data" h="1" sd="1" m="1" x="6716"/>
        <item t="data" h="1" sd="1" m="1" x="6717"/>
        <item t="data" h="1" sd="1" m="1" x="6489"/>
        <item t="data" h="1" sd="1" m="1" x="6070"/>
        <item t="data" h="1" sd="1" m="1" x="6718"/>
        <item t="data" h="1" sd="1" m="1" x="6719"/>
        <item t="data" h="1" sd="1" m="1" x="5655"/>
        <item t="data" h="1" sd="1" m="1" x="5654"/>
        <item t="data" h="1" sd="1" m="1" x="6722"/>
        <item t="data" h="1" sd="1" m="1" x="6723"/>
        <item t="data" h="1" sd="1" m="1" x="6724"/>
        <item t="data" h="1" sd="1" m="1" x="6725"/>
        <item t="data" h="1" sd="1" m="1" x="6726"/>
        <item t="data" h="1" sd="1" m="1" x="6727"/>
        <item t="data" h="1" sd="1" m="1" x="6728"/>
        <item t="data" h="1" sd="1" m="1" x="6729"/>
        <item t="data" h="1" sd="1" m="1" x="6730"/>
        <item t="data" h="1" sd="1" m="1" x="5687"/>
        <item t="data" h="1" sd="1" m="1" x="5688"/>
        <item t="data" h="1" sd="1" m="1" x="5707"/>
        <item t="data" h="1" sd="1" m="1" x="6731"/>
        <item t="data" h="1" sd="1" m="1" x="6732"/>
        <item t="data" h="1" sd="1" m="1" x="6733"/>
        <item t="data" h="1" sd="1" m="1" x="6659"/>
        <item t="data" h="1" sd="1" m="1" x="6734"/>
        <item t="data" h="1" sd="1" m="1" x="6735"/>
        <item t="data" h="1" sd="1" m="1" x="6736"/>
        <item t="data" h="1" sd="1" m="1" x="6737"/>
        <item t="data" h="1" sd="1" m="1" x="6738"/>
        <item t="data" h="1" sd="1" m="1" x="6739"/>
        <item t="data" h="1" sd="1" m="1" x="6740"/>
        <item t="data" h="1" sd="1" m="1" x="6741"/>
        <item t="data" h="1" sd="1" m="1" x="5178"/>
        <item t="data" h="1" sd="1" m="1" x="6539"/>
        <item t="data" h="1" sd="1" m="1" x="6742"/>
        <item t="data" h="1" sd="1" m="1" x="6743"/>
        <item t="data" h="1" sd="1" m="1" x="4218"/>
        <item t="data" h="1" sd="1" m="1" x="6577"/>
        <item t="data" h="1" sd="1" m="1" x="6578"/>
        <item t="data" h="1" sd="1" m="1" x="6579"/>
        <item t="data" h="1" sd="1" m="1" x="6583"/>
        <item t="data" h="1" sd="1" m="1" x="4216"/>
        <item t="data" h="1" sd="1" m="1" x="6584"/>
        <item t="data" h="1" sd="1" m="1" x="6585"/>
        <item t="data" h="1" sd="1" m="1" x="6586"/>
        <item t="data" h="1" sd="1" m="1" x="6587"/>
        <item t="data" h="1" sd="1" m="1" x="6471"/>
        <item t="data" h="1" sd="1" m="1" x="6591"/>
        <item t="data" h="1" sd="1" m="1" x="6592"/>
        <item t="data" h="1" sd="1" m="1" x="6408"/>
        <item t="data" h="1" sd="1" m="1" x="6593"/>
        <item t="data" h="1" sd="1" m="1" x="6465"/>
        <item t="data" h="1" sd="1" m="1" x="6603"/>
        <item t="data" h="1" sd="1" m="1" x="6608"/>
        <item t="data" h="1" sd="1" m="1" x="6611"/>
        <item t="data" h="1" sd="1" m="1" x="6620"/>
        <item t="data" h="1" sd="1" m="1" x="6248"/>
        <item t="data" h="1" sd="1" m="1" x="6623"/>
        <item t="data" h="1" sd="1" m="1" x="5963"/>
        <item t="data" h="1" sd="1" m="1" x="6624"/>
        <item t="data" h="1" sd="1" m="1" x="6627"/>
        <item t="data" h="1" sd="1" m="1" x="5526"/>
        <item t="data" h="1" sd="1" m="1" x="5208"/>
        <item t="data" h="1" sd="1" m="1" x="6483"/>
        <item t="data" h="1" sd="1" m="1" x="6636"/>
        <item t="data" h="1" sd="1" m="1" x="6637"/>
        <item t="data" h="1" sd="1" m="1" x="6638"/>
        <item t="data" h="1" sd="1" m="1" x="6639"/>
        <item t="data" h="1" sd="1" m="1" x="6640"/>
        <item t="data" h="1" sd="1" m="1" x="6498"/>
        <item t="data" h="1" sd="1" m="1" x="6641"/>
        <item t="data" h="1" sd="1" m="1" x="6642"/>
        <item t="data" h="1" sd="1" m="1" x="6643"/>
        <item t="data" h="1" sd="1" m="1" x="6644"/>
        <item t="data" h="1" sd="1" m="1" x="6645"/>
        <item t="data" h="1" sd="1" m="1" x="5815"/>
        <item t="data" h="1" sd="1" m="1" x="5749"/>
        <item t="data" h="1" sd="1" m="1" x="6646"/>
        <item t="data" h="1" sd="1" m="1" x="6647"/>
        <item t="data" h="1" sd="1" m="1" x="6648"/>
        <item t="data" h="1" sd="1" m="1" x="5510"/>
        <item t="data" h="1" sd="1" m="1" x="6649"/>
        <item t="data" h="1" sd="1" m="1" x="6650"/>
        <item t="data" h="1" sd="1" m="1" x="6651"/>
        <item t="data" h="1" sd="1" m="1" x="6652"/>
        <item t="data" h="1" sd="1" m="1" x="6653"/>
        <item t="data" h="1" sd="1" m="1" x="6654"/>
        <item t="data" h="1" sd="1" m="1" x="6655"/>
        <item t="data" h="1" sd="1" m="1" x="5361"/>
        <item t="data" h="1" sd="1" m="1" x="1151"/>
        <item t="data" h="1" sd="1" m="1" x="6656"/>
        <item t="data" h="1" sd="1" m="1" x="6657"/>
        <item t="data" h="1" sd="1" m="1" x="6658"/>
        <item t="data" h="1" sd="1" m="1" x="6660"/>
        <item t="data" h="1" sd="1" m="1" x="6661"/>
        <item t="data" h="1" sd="1" m="1" x="6662"/>
        <item t="data" h="1" sd="1" m="1" x="6663"/>
        <item t="data" h="1" sd="1" m="1" x="515"/>
        <item t="data" h="1" sd="1" m="1" x="5408"/>
        <item t="data" h="1" sd="1" m="1" x="6664"/>
        <item t="data" h="1" sd="1" m="1" x="5163"/>
        <item t="data" h="1" sd="1" m="1" x="1476"/>
        <item t="data" h="1" sd="1" m="1" x="6665"/>
        <item t="data" h="1" sd="1" m="1" x="6666"/>
        <item t="data" h="1" sd="1" m="1" x="6667"/>
        <item t="data" h="1" sd="1" m="1" x="6668"/>
        <item t="data" h="1" sd="1" m="1" x="3919"/>
        <item t="data" h="1" sd="1" m="1" x="6670"/>
        <item t="data" h="1" sd="1" m="1" x="6671"/>
        <item t="data" h="1" sd="1" m="1" x="6672"/>
        <item t="data" h="1" sd="1" m="1" x="6673"/>
        <item t="data" h="1" sd="1" m="1" x="3463"/>
        <item t="data" h="1" sd="1" m="1" x="6674"/>
        <item t="data" h="1" sd="1" m="1" x="6031"/>
        <item t="data" h="1" sd="1" m="1" x="6676"/>
        <item t="data" h="1" sd="1" m="1" x="6677"/>
        <item t="data" h="1" sd="1" m="1" x="6678"/>
        <item t="data" h="1" sd="1" m="1" x="6679"/>
        <item t="data" h="1" sd="1" m="1" x="6680"/>
        <item t="data" h="1" sd="1" m="1" x="6681"/>
        <item t="data" h="1" sd="1" m="1" x="6682"/>
        <item t="data" h="1" sd="1" m="1" x="6683"/>
        <item t="data" h="1" sd="1" m="1" x="6684"/>
        <item t="data" h="1" sd="1" m="1" x="6686"/>
        <item t="data" h="1" sd="1" m="1" x="6687"/>
        <item t="data" h="1" sd="1" m="1" x="6688"/>
        <item t="data" h="1" sd="1" m="1" x="6689"/>
        <item t="data" h="1" sd="1" m="1" x="6690"/>
        <item t="data" h="1" sd="1" m="1" x="6691"/>
        <item t="data" h="1" sd="1" m="1" x="6692"/>
        <item t="data" h="1" sd="1" m="1" x="6693"/>
        <item t="data" h="1" sd="1" m="1" x="3864"/>
        <item t="data" h="1" sd="1" m="1" x="6694"/>
        <item t="data" h="1" sd="1" m="1" x="6695"/>
        <item t="data" h="1" sd="1" m="1" x="6696"/>
        <item t="data" h="1" sd="1" m="1" x="6697"/>
        <item t="data" h="1" sd="1" m="1" x="5756"/>
        <item t="data" h="1" sd="1" m="1" x="5757"/>
        <item t="data" h="1" sd="1" m="1" x="6698"/>
        <item t="data" h="1" sd="1" m="1" x="5739"/>
        <item t="data" h="1" sd="1" m="1" x="5754"/>
        <item t="data" h="1" sd="1" m="1" x="6339"/>
        <item t="data" h="1" sd="1" m="1" x="5777"/>
        <item t="data" h="1" sd="1" m="1" x="5800"/>
        <item t="data" h="1" sd="1" m="1" x="5690"/>
        <item t="data" h="1" sd="1" m="1" x="6699"/>
        <item t="data" h="1" sd="1" m="1" x="4892"/>
        <item t="data" h="1" sd="1" m="1" x="6700"/>
        <item t="data" h="1" sd="1" m="1" x="6701"/>
        <item t="data" h="1" sd="1" m="1" x="6702"/>
        <item t="data" h="1" sd="1" m="1" x="6703"/>
        <item t="data" h="1" sd="1" m="1" x="5468"/>
        <item t="data" h="1" sd="1" m="1" x="6704"/>
        <item t="data" h="1" sd="1" m="1" x="6383"/>
        <item t="data" h="1" sd="1" m="1" x="6214"/>
        <item t="data" h="1" sd="1" m="1" x="6444"/>
        <item t="data" h="1" sd="1" m="1" x="6445"/>
        <item t="data" h="1" sd="1" m="1" x="6446"/>
        <item t="data" h="1" sd="1" m="1" x="6218"/>
        <item t="data" h="1" sd="1" m="1" x="6385"/>
        <item t="data" h="1" sd="1" m="1" x="6386"/>
        <item t="data" h="1" sd="1" m="1" x="6220"/>
        <item t="data" h="1" sd="1" m="1" x="2683"/>
        <item t="data" h="1" sd="1" m="1" x="6448"/>
        <item t="data" h="1" sd="1" m="1" x="2809"/>
        <item t="data" h="1" sd="1" m="1" x="6232"/>
        <item t="data" h="1" sd="1" m="1" x="5317"/>
        <item t="data" h="1" sd="1" m="1" x="4800"/>
        <item t="data" h="1" sd="1" m="1" x="6450"/>
        <item t="data" h="1" sd="1" m="1" x="6078"/>
        <item t="data" h="1" sd="1" m="1" x="4573"/>
        <item t="data" h="1" sd="1" m="1" x="3199"/>
        <item t="data" h="1" sd="1" m="1" x="2461"/>
        <item t="data" h="1" sd="1" m="1" x="6452"/>
        <item t="data" h="1" sd="1" m="1" x="4220"/>
        <item t="data" h="1" sd="1" m="1" x="6382"/>
        <item t="data" h="1" sd="1" m="1" x="6453"/>
        <item t="data" h="1" sd="1" m="1" x="6454"/>
        <item t="data" h="1" sd="1" m="1" x="6456"/>
        <item t="data" h="1" sd="1" m="1" x="6390"/>
        <item t="data" h="1" sd="1" m="1" x="6391"/>
        <item t="data" h="1" sd="1" m="1" x="6392"/>
        <item t="data" h="1" sd="1" m="1" x="6393"/>
        <item t="data" h="1" sd="1" m="1" x="6243"/>
        <item t="data" h="1" sd="1" m="1" x="5964"/>
        <item t="data" h="1" sd="1" m="1" x="6246"/>
        <item t="data" h="1" sd="1" m="1" x="6460"/>
        <item t="data" h="1" sd="1" m="1" x="651"/>
        <item t="data" h="1" sd="1" m="1" x="6089"/>
        <item t="data" h="1" sd="1" m="1" x="6397"/>
        <item t="data" h="1" sd="1" m="1" x="6088"/>
        <item t="data" h="1" sd="1" m="1" x="6384"/>
        <item t="data" h="1" sd="1" m="1" x="6249"/>
        <item t="data" h="1" sd="1" m="1" x="6399"/>
        <item t="data" h="1" sd="1" m="1" x="6257"/>
        <item t="data" h="1" sd="1" m="1" x="6254"/>
        <item t="data" h="1" sd="1" m="1" x="6255"/>
        <item t="data" h="1" sd="1" m="1" x="3123"/>
        <item t="data" h="1" sd="1" m="1" x="6461"/>
        <item t="data" h="1" sd="1" m="1" x="6466"/>
        <item t="data" h="1" sd="1" m="1" x="6467"/>
        <item t="data" h="1" sd="1" m="1" x="6469"/>
        <item t="data" h="1" sd="1" m="1" x="4221"/>
        <item t="data" h="1" sd="1" m="1" x="6400"/>
        <item t="data" h="1" sd="1" m="1" x="6470"/>
        <item t="data" h="1" sd="1" m="1" x="6134"/>
        <item t="data" h="1" sd="1" m="1" x="5929"/>
        <item t="data" h="1" sd="1" m="1" x="6415"/>
        <item t="data" h="1" sd="1" m="1" x="772"/>
        <item t="data" h="1" sd="1" m="1" x="5020"/>
        <item t="data" h="1" sd="1" m="1" x="6266"/>
        <item t="data" h="1" sd="1" m="1" x="6269"/>
        <item t="data" h="1" sd="1" m="1" x="6272"/>
        <item t="data" h="1" sd="1" m="1" x="5991"/>
        <item t="data" h="1" sd="1" m="1" x="6273"/>
        <item t="data" h="1" sd="1" m="1" x="6474"/>
        <item t="data" h="1" sd="1" m="1" x="6478"/>
        <item t="data" h="1" sd="1" m="1" x="6480"/>
        <item t="data" h="1" sd="1" m="1" x="5584"/>
        <item t="data" h="1" sd="1" m="1" x="6010"/>
        <item t="data" h="1" sd="1" m="1" x="6277"/>
        <item t="data" h="1" sd="1" m="1" x="6293"/>
        <item t="data" h="1" sd="1" m="1" x="6291"/>
        <item t="data" h="1" sd="1" m="1" x="6481"/>
        <item t="data" h="1" sd="1" m="1" x="6292"/>
        <item t="data" h="1" sd="1" m="1" x="6289"/>
        <item t="data" h="1" sd="1" m="1" x="5389"/>
        <item t="data" h="1" sd="1" m="1" x="5816"/>
        <item t="data" h="1" sd="1" m="1" x="5823"/>
        <item t="data" h="1" sd="1" m="1" x="5824"/>
        <item t="data" h="1" sd="1" m="1" x="5817"/>
        <item t="data" h="1" sd="1" m="1" x="5818"/>
        <item t="data" h="1" sd="1" m="1" x="5819"/>
        <item t="data" h="1" sd="1" m="1" x="6482"/>
        <item t="data" h="1" sd="1" m="1" x="6307"/>
        <item t="data" h="1" sd="1" m="1" x="5939"/>
        <item t="data" h="1" sd="1" m="1" x="6484"/>
        <item t="data" h="1" sd="1" m="1" x="6485"/>
        <item t="data" h="1" sd="1" m="1" x="6486"/>
        <item t="data" h="1" sd="1" m="1" x="6487"/>
        <item t="data" h="1" sd="1" m="1" x="6490"/>
        <item t="data" h="1" sd="1" m="1" x="6491"/>
        <item t="data" h="1" sd="1" m="1" x="6492"/>
        <item t="data" h="1" sd="1" m="1" x="5789"/>
        <item t="data" h="1" sd="1" m="1" x="6493"/>
        <item t="data" h="1" sd="1" m="1" x="6422"/>
        <item t="data" h="1" sd="1" m="1" x="5647"/>
        <item t="data" h="1" sd="1" m="1" x="5822"/>
        <item t="data" h="1" sd="1" m="1" x="5825"/>
        <item t="data" h="1" sd="1" m="1" x="588"/>
        <item t="data" h="1" sd="1" m="1" x="6497"/>
        <item t="data" h="1" sd="1" m="1" x="5827"/>
        <item t="data" h="1" sd="1" m="1" x="6499"/>
        <item t="data" h="1" sd="1" m="1" x="5516"/>
        <item t="data" h="1" sd="1" m="1" x="6500"/>
        <item t="data" h="1" sd="1" m="1" x="6501"/>
        <item t="data" h="1" sd="1" m="1" x="6502"/>
        <item t="data" h="1" sd="1" m="1" x="6503"/>
        <item t="data" h="1" sd="1" m="1" x="847"/>
        <item t="data" h="1" sd="1" m="1" x="6504"/>
        <item t="data" h="1" sd="1" m="1" x="6080"/>
        <item t="data" h="1" sd="1" m="1" x="6505"/>
        <item t="data" h="1" sd="1" m="1" x="1947"/>
        <item t="data" h="1" sd="1" m="1" x="6508"/>
        <item t="data" h="1" sd="1" m="1" x="5084"/>
        <item t="data" h="1" sd="1" m="1" x="6509"/>
        <item t="data" h="1" sd="1" m="1" x="6510"/>
        <item t="data" h="1" sd="1" m="1" x="5766"/>
        <item t="data" h="1" sd="1" m="1" x="6511"/>
        <item t="data" h="1" sd="1" m="1" x="6512"/>
        <item t="data" h="1" sd="1" m="1" x="5775"/>
        <item t="data" h="1" sd="1" m="1" x="5755"/>
        <item t="data" h="1" sd="1" m="1" x="6090"/>
        <item t="data" h="1" sd="1" m="1" x="6514"/>
        <item t="data" h="1" sd="1" m="1" x="5753"/>
        <item t="data" h="1" sd="1" m="1" x="6091"/>
        <item t="data" h="1" sd="1" m="1" x="6340"/>
        <item t="data" h="1" sd="1" m="1" x="6515"/>
        <item t="data" h="1" sd="1" m="1" x="5968"/>
        <item t="data" h="1" sd="1" m="1" x="6516"/>
        <item t="data" h="1" sd="1" m="1" x="5778"/>
        <item t="data" h="1" sd="1" m="1" x="6517"/>
        <item t="data" h="1" sd="1" m="1" x="6518"/>
        <item t="data" h="1" sd="1" m="1" x="6519"/>
        <item t="data" h="1" sd="1" m="1" x="6520"/>
        <item t="data" h="1" sd="1" m="1" x="5649"/>
        <item t="data" h="1" sd="1" m="1" x="6521"/>
        <item t="data" h="1" sd="1" m="1" x="5809"/>
        <item t="data" h="1" sd="1" m="1" x="4872"/>
        <item t="data" h="1" sd="1" m="1" x="4873"/>
        <item t="data" h="1" sd="1" m="1" x="5764"/>
        <item t="data" h="1" sd="1" m="1" x="5761"/>
        <item t="data" h="1" sd="1" m="1" x="6522"/>
        <item t="data" h="1" sd="1" m="1" x="6523"/>
        <item t="data" h="1" sd="1" m="1" x="5525"/>
        <item t="data" h="1" sd="1" m="1" x="5648"/>
        <item t="data" h="1" sd="1" m="1" x="5467"/>
        <item t="data" h="1" sd="1" m="1" x="6437"/>
        <item t="data" h="1" sd="1" m="1" x="6524"/>
        <item t="data" h="1" sd="1" m="1" x="6074"/>
        <item t="data" h="1" sd="1" m="1" x="5705"/>
        <item t="data" h="1" sd="1" m="1" x="6525"/>
        <item t="data" h="1" sd="1" m="1" x="6526"/>
        <item t="data" h="1" sd="1" m="1" x="6527"/>
        <item t="data" h="1" sd="1" m="1" x="5415"/>
        <item t="data" h="1" sd="1" m="1" x="6528"/>
        <item t="data" h="1" sd="1" m="1" x="6529"/>
        <item t="data" h="1" sd="1" m="1" x="6530"/>
        <item t="data" h="1" sd="1" m="1" x="6531"/>
        <item t="data" h="1" sd="1" m="1" x="5689"/>
        <item t="data" h="1" sd="1" m="1" x="6533"/>
        <item t="data" h="1" sd="1" m="1" x="6534"/>
        <item t="data" h="1" sd="1" m="1" x="6535"/>
        <item t="data" h="1" sd="1" m="1" x="6536"/>
        <item t="data" h="1" sd="1" m="1" x="6537"/>
        <item t="data" h="1" sd="1" m="1" x="5681"/>
        <item t="data" h="1" sd="1" m="1" x="6538"/>
        <item t="data" h="1" sd="1" m="1" x="4222"/>
        <item t="data" h="1" sd="1" m="1" x="5646"/>
        <item t="data" h="1" sd="1" m="1" x="6201"/>
        <item t="data" h="1" sd="1" m="1" x="6072"/>
        <item t="data" h="1" sd="1" m="1" x="6207"/>
        <item t="data" h="1" sd="1" m="1" x="6073"/>
        <item t="data" h="1" sd="1" m="1" x="6071"/>
        <item t="data" h="1" sd="1" m="1" x="5190"/>
        <item t="data" h="1" sd="1" m="1" x="6217"/>
        <item t="data" h="1" sd="1" m="1" x="6108"/>
        <item t="data" h="1" sd="1" m="1" x="6219"/>
        <item t="data" h="1" sd="1" m="1" x="4219"/>
        <item t="data" h="1" sd="1" m="1" x="6387"/>
        <item t="data" h="1" sd="1" m="1" x="6223"/>
        <item t="data" h="1" sd="1" m="1" x="6222"/>
        <item t="data" h="1" sd="1" m="1" x="6231"/>
        <item t="data" h="1" sd="1" m="1" x="6233"/>
        <item t="data" h="1" sd="1" m="1" x="2039"/>
        <item t="data" h="1" sd="1" m="1" x="6238"/>
        <item t="data" h="1" sd="1" m="1" x="6239"/>
        <item t="data" h="1" sd="1" m="1" x="1372"/>
        <item t="data" h="1" sd="1" m="1" x="5393"/>
        <item t="data" h="1" sd="1" m="1" x="4910"/>
        <item t="data" h="1" sd="1" m="1" x="4657"/>
        <item t="data" h="1" sd="1" m="1" x="6240"/>
        <item t="data" h="1" sd="1" m="1" x="6245"/>
        <item t="data" h="1" sd="1" m="1" x="6120"/>
        <item t="data" h="1" sd="1" m="1" x="6121"/>
        <item t="data" h="1" sd="1" m="1" x="6395"/>
        <item t="data" h="1" sd="1" m="1" x="6396"/>
        <item t="data" h="1" sd="1" m="1" x="3833"/>
        <item t="data" h="1" sd="1" m="1" x="6398"/>
        <item t="data" h="1" sd="1" m="1" x="6138"/>
        <item t="data" h="1" sd="1" m="1" x="6401"/>
        <item t="data" h="1" sd="1" m="1" x="6402"/>
        <item t="data" h="1" sd="1" m="1" x="6403"/>
        <item t="data" h="1" sd="1" m="1" x="6404"/>
        <item t="data" h="1" sd="1" m="1" x="5398"/>
        <item t="data" h="1" sd="1" m="1" x="6252"/>
        <item t="data" h="1" sd="1" m="1" x="6253"/>
        <item t="data" h="1" sd="1" m="1" x="6405"/>
        <item t="data" h="1" sd="1" m="1" x="6406"/>
        <item t="data" h="1" sd="1" m="1" x="6407"/>
        <item t="data" h="1" sd="1" m="1" x="6256"/>
        <item t="data" h="1" sd="1" m="1" x="4656"/>
        <item t="data" h="1" sd="1" m="1" x="6264"/>
        <item t="data" h="1" sd="1" m="1" x="3518"/>
        <item t="data" h="1" sd="1" m="1" x="6261"/>
        <item t="data" h="1" sd="1" m="1" x="4230"/>
        <item t="data" h="1" sd="1" m="1" x="6263"/>
        <item t="data" h="1" sd="1" m="1" x="4802"/>
        <item t="data" h="1" sd="1" m="1" x="6271"/>
        <item t="data" h="1" sd="1" m="1" x="5882"/>
        <item t="data" h="1" sd="1" m="1" x="6274"/>
        <item t="data" h="1" sd="1" m="1" x="539"/>
        <item t="data" h="1" sd="1" m="1" x="6280"/>
        <item t="data" h="1" sd="1" m="1" x="6281"/>
        <item t="data" h="1" sd="1" m="1" x="6020"/>
        <item t="data" h="1" sd="1" m="1" x="4819"/>
        <item t="data" h="1" sd="1" m="1" x="6008"/>
        <item t="data" h="1" sd="1" m="1" x="6298"/>
        <item t="data" h="1" sd="1" m="1" x="6299"/>
        <item t="data" h="1" sd="1" m="1" x="6290"/>
        <item t="data" h="1" sd="1" m="1" x="4233"/>
        <item t="data" h="1" sd="1" m="1" x="6301"/>
        <item t="data" h="1" sd="1" m="1" x="6302"/>
        <item t="data" h="1" sd="1" m="1" x="6303"/>
        <item t="data" h="1" sd="1" m="1" x="6304"/>
        <item t="data" h="1" sd="1" m="1" x="6305"/>
        <item t="data" h="1" sd="1" m="1" x="6312"/>
        <item t="data" h="1" sd="1" m="1" x="6315"/>
        <item t="data" h="1" sd="1" m="1" x="6419"/>
        <item t="data" h="1" sd="1" m="1" x="6308"/>
        <item t="data" h="1" sd="1" m="1" x="6421"/>
        <item t="data" h="1" sd="1" m="1" x="4835"/>
        <item t="data" h="1" sd="1" m="1" x="6334"/>
        <item t="data" h="1" sd="1" m="1" x="6424"/>
        <item t="data" h="1" sd="1" m="1" x="5614"/>
        <item t="data" h="1" sd="1" m="1" x="6425"/>
        <item t="data" h="1" sd="1" m="1" x="6320"/>
        <item t="data" h="1" sd="1" m="1" x="6426"/>
        <item t="data" h="1" sd="1" m="1" x="6323"/>
        <item t="data" h="1" sd="1" m="1" x="6427"/>
        <item t="data" h="1" sd="1" m="1" x="5669"/>
        <item t="data" h="1" sd="1" m="1" x="6430"/>
        <item t="data" h="1" sd="1" m="1" x="6431"/>
        <item t="data" h="1" sd="1" m="1" x="5641"/>
        <item t="data" h="1" sd="1" m="1" x="6433"/>
        <item t="data" h="1" sd="1" m="1" x="5668"/>
        <item t="data" h="1" sd="1" m="1" x="6434"/>
        <item t="data" h="1" sd="1" m="1" x="5634"/>
        <item t="data" h="1" sd="1" m="1" x="6435"/>
        <item t="data" h="1" sd="1" m="1" x="6436"/>
        <item t="data" h="1" sd="1" m="1" x="5636"/>
        <item t="data" h="1" sd="1" m="1" x="5639"/>
        <item t="data" h="1" sd="1" m="1" x="5642"/>
        <item t="data" h="1" sd="1" m="1" x="5640"/>
        <item t="data" h="1" sd="1" m="1" x="5643"/>
        <item t="data" h="1" sd="1" m="1" x="5635"/>
        <item t="data" h="1" sd="1" m="1" x="5638"/>
        <item t="data" h="1" sd="1" m="1" x="5637"/>
        <item t="data" h="1" sd="1" m="1" x="6011"/>
        <item t="data" h="1" sd="1" m="1" x="6369"/>
        <item t="data" h="1" sd="1" m="1" x="6438"/>
        <item t="data" h="1" sd="1" m="1" x="6371"/>
        <item t="data" h="1" sd="1" m="1" x="6366"/>
        <item t="data" h="1" sd="1" m="1" x="6191"/>
        <item t="data" h="1" sd="1" m="1" x="6363"/>
        <item t="data" h="1" sd="1" m="1" x="5633"/>
        <item t="data" h="1" sd="1" m="1" x="6439"/>
        <item t="data" h="1" sd="1" m="1" x="6440"/>
        <item t="data" h="1" sd="1" m="1" x="6380"/>
        <item t="data" h="1" sd="1" m="1" x="6215"/>
        <item t="data" h="1" sd="1" m="1" x="6216"/>
        <item t="data" h="1" sd="1" m="1" x="5413"/>
        <item t="data" h="1" sd="1" m="1" x="5412"/>
        <item t="data" h="1" sd="1" m="1" x="6224"/>
        <item t="data" h="1" sd="1" m="1" x="6225"/>
        <item t="data" h="1" sd="1" m="1" x="6226"/>
        <item t="data" h="1" sd="1" m="1" x="6227"/>
        <item t="data" h="1" sd="1" m="1" x="6228"/>
        <item t="data" h="1" sd="1" m="1" x="4943"/>
        <item t="data" h="1" sd="1" m="1" x="5941"/>
        <item t="data" h="1" sd="1" m="1" x="6230"/>
        <item t="data" h="1" sd="1" m="1" x="6234"/>
        <item t="data" h="1" sd="1" m="1" x="6235"/>
        <item t="data" h="1" sd="1" m="1" x="6237"/>
        <item t="data" h="1" sd="1" m="1" x="4225"/>
        <item t="data" h="1" sd="1" m="1" x="4226"/>
        <item t="data" h="1" sd="1" m="1" x="3198"/>
        <item t="data" h="1" sd="1" m="1" x="6118"/>
        <item t="data" h="1" sd="1" m="1" x="6242"/>
        <item t="data" h="1" sd="1" m="1" x="525"/>
        <item t="data" h="1" sd="1" m="1" x="3022"/>
        <item t="data" h="1" sd="1" m="1" x="6250"/>
        <item t="data" h="1" sd="1" m="1" x="6140"/>
        <item t="data" h="1" sd="1" m="1" x="6258"/>
        <item t="data" h="1" sd="1" m="1" x="6262"/>
        <item t="data" h="1" sd="1" m="1" x="6265"/>
        <item t="data" h="1" sd="1" m="1" x="6268"/>
        <item t="data" h="1" sd="1" m="1" x="1474"/>
        <item t="data" h="1" sd="1" m="1" x="6144"/>
        <item t="data" h="1" sd="1" m="1" x="472"/>
        <item t="data" h="1" sd="1" m="1" x="6275"/>
        <item t="data" h="1" sd="1" m="1" x="6278"/>
        <item t="data" h="1" sd="1" m="1" x="6279"/>
        <item t="data" h="1" sd="1" m="1" x="6148"/>
        <item t="data" h="1" sd="1" m="1" x="6282"/>
        <item t="data" h="1" sd="1" m="1" x="6283"/>
        <item t="data" h="1" sd="1" m="1" x="6149"/>
        <item t="data" h="1" sd="1" m="1" x="6284"/>
        <item t="data" h="1" sd="1" m="1" x="6285"/>
        <item t="data" h="1" sd="1" m="1" x="6147"/>
        <item t="data" h="1" sd="1" m="1" x="6287"/>
        <item t="data" h="1" sd="1" m="1" x="6294"/>
        <item t="data" h="1" sd="1" m="1" x="6297"/>
        <item t="data" h="1" sd="1" m="1" x="6300"/>
        <item t="data" h="1" sd="1" m="1" x="5794"/>
        <item t="data" h="1" sd="1" m="1" x="5959"/>
        <item t="data" h="1" sd="1" m="1" x="6306"/>
        <item t="data" h="1" sd="1" m="1" x="6158"/>
        <item t="data" h="1" sd="1" m="1" x="6309"/>
        <item t="data" h="1" sd="1" m="1" x="6310"/>
        <item t="data" h="1" sd="1" m="1" x="6311"/>
        <item t="data" h="1" sd="1" m="1" x="6313"/>
        <item t="data" h="1" sd="1" m="1" x="6314"/>
        <item t="data" h="1" sd="1" m="1" x="6318"/>
        <item t="data" h="1" sd="1" m="1" x="6319"/>
        <item t="data" h="1" sd="1" m="1" x="6321"/>
        <item t="data" h="1" sd="1" m="1" x="6322"/>
        <item t="data" h="1" sd="1" m="1" x="6168"/>
        <item t="data" h="1" sd="1" m="1" x="6325"/>
        <item t="data" h="1" sd="1" m="1" x="6326"/>
        <item t="data" h="1" sd="1" m="1" x="6327"/>
        <item t="data" h="1" sd="1" m="1" x="6328"/>
        <item t="data" h="1" sd="1" m="1" x="6329"/>
        <item t="data" h="1" sd="1" m="1" x="5666"/>
        <item t="data" h="1" sd="1" m="1" x="6176"/>
        <item t="data" h="1" sd="1" m="1" x="6331"/>
        <item t="data" h="1" sd="1" m="1" x="5697"/>
        <item t="data" h="1" sd="1" m="1" x="5486"/>
        <item t="data" h="1" sd="1" m="1" x="5769"/>
        <item t="data" h="1" sd="1" m="1" x="6333"/>
        <item t="data" h="1" sd="1" m="1" x="5750"/>
        <item t="data" h="1" sd="1" m="1" x="4859"/>
        <item t="data" h="1" sd="1" m="1" x="6335"/>
        <item t="data" h="1" sd="1" m="1" x="5743"/>
        <item t="data" h="1" sd="1" m="1" x="4860"/>
        <item t="data" h="1" sd="1" m="1" x="5740"/>
        <item t="data" h="1" sd="1" m="1" x="6336"/>
        <item t="data" h="1" sd="1" m="1" x="6338"/>
        <item t="data" h="1" sd="1" m="1" x="6341"/>
        <item t="data" h="1" sd="1" m="1" x="6342"/>
        <item t="data" h="1" sd="1" m="1" x="6343"/>
        <item t="data" h="1" sd="1" m="1" x="6349"/>
        <item t="data" h="1" sd="1" m="1" x="6184"/>
        <item t="data" h="1" sd="1" m="1" x="6361"/>
        <item t="data" h="1" sd="1" m="1" x="6197"/>
        <item t="data" h="1" sd="1" m="1" x="6362"/>
        <item t="data" h="1" sd="1" m="1" x="697"/>
        <item t="data" h="1" sd="1" m="1" x="6364"/>
        <item t="data" h="1" sd="1" m="1" x="6365"/>
        <item t="data" h="1" sd="1" m="1" x="6367"/>
        <item t="data" h="1" sd="1" m="1" x="6368"/>
        <item t="data" h="1" sd="1" m="1" x="6370"/>
        <item t="data" h="1" sd="1" m="1" x="6199"/>
        <item t="data" h="1" sd="1" m="1" x="6372"/>
        <item t="data" h="1" sd="1" m="1" x="6373"/>
        <item t="data" h="1" sd="1" m="1" x="6375"/>
        <item t="data" h="1" sd="1" m="1" x="6377"/>
        <item t="data" h="1" sd="1" m="1" x="4232"/>
        <item t="data" h="1" sd="1" m="1" x="6104"/>
        <item t="data" h="1" sd="1" m="1" x="6105"/>
        <item t="data" h="1" sd="1" m="1" x="6106"/>
        <item t="data" h="1" sd="1" m="1" x="6107"/>
        <item t="data" h="1" sd="1" m="1" x="5946"/>
        <item t="data" h="1" sd="1" m="1" x="5947"/>
        <item t="data" h="1" sd="1" m="1" x="4660"/>
        <item t="data" h="1" sd="1" m="1" x="5192"/>
        <item t="data" h="1" sd="1" m="1" x="6109"/>
        <item t="data" h="1" sd="1" m="1" x="6110"/>
        <item t="data" h="1" sd="1" m="1" x="4223"/>
        <item t="data" h="1" sd="1" m="1" x="5936"/>
        <item t="data" h="1" sd="1" m="1" x="5402"/>
        <item t="data" h="1" sd="1" m="1" x="4224"/>
        <item t="data" h="1" sd="1" m="1" x="2692"/>
        <item t="data" h="1" sd="1" m="1" x="534"/>
        <item t="data" h="1" sd="1" m="1" x="6111"/>
        <item t="data" h="1" sd="1" m="1" x="4658"/>
        <item t="data" h="1" sd="1" m="1" x="6115"/>
        <item t="data" h="1" sd="1" m="1" x="6117"/>
        <item t="data" h="1" sd="1" m="1" x="6119"/>
        <item t="data" h="1" sd="1" m="1" x="6125"/>
        <item t="data" h="1" sd="1" m="1" x="6126"/>
        <item t="data" h="1" sd="1" m="1" x="5875"/>
        <item t="data" h="1" sd="1" m="1" x="4228"/>
        <item t="data" h="1" sd="1" m="1" x="4227"/>
        <item t="data" h="1" sd="1" m="1" x="6128"/>
        <item t="data" h="1" sd="1" m="1" x="6129"/>
        <item t="data" h="1" sd="1" m="1" x="6130"/>
        <item t="data" h="1" sd="1" m="1" x="6131"/>
        <item t="data" h="1" sd="1" m="1" x="6132"/>
        <item t="data" h="1" sd="1" m="1" x="5200"/>
        <item t="data" h="1" sd="1" m="1" x="6133"/>
        <item t="data" h="1" sd="1" m="1" x="4986"/>
        <item t="data" h="1" sd="1" m="1" x="6135"/>
        <item t="data" h="1" sd="1" m="1" x="6136"/>
        <item t="data" h="1" sd="1" m="1" x="6137"/>
        <item t="data" h="1" sd="1" m="1" x="6139"/>
        <item t="data" h="1" sd="1" m="1" x="5399"/>
        <item t="data" h="1" sd="1" m="1" x="5954"/>
        <item t="data" h="1" sd="1" m="1" x="5955"/>
        <item t="data" h="1" sd="1" m="1" x="4659"/>
        <item t="data" h="1" sd="1" m="1" x="5957"/>
        <item t="data" h="1" sd="1" m="1" x="4527"/>
        <item t="data" h="1" sd="1" m="1" x="4229"/>
        <item t="data" h="1" sd="1" m="1" x="4529"/>
        <item t="data" h="1" sd="1" m="1" x="4528"/>
        <item t="data" h="1" sd="1" m="1" x="6141"/>
        <item t="data" h="1" sd="1" x="369"/>
        <item t="data" h="1" sd="1" m="1" x="4231"/>
        <item t="data" h="1" sd="1" m="1" x="5933"/>
        <item t="data" h="1" sd="1" m="1" x="6146"/>
        <item t="data" h="1" sd="1" m="1" x="3523"/>
        <item t="data" h="1" sd="1" m="1" x="518"/>
        <item t="data" h="1" sd="1" m="1" x="5987"/>
        <item t="data" h="1" sd="1" m="1" x="5997"/>
        <item t="data" h="1" sd="1" m="1" x="5998"/>
        <item t="data" h="1" sd="1" m="1" x="5986"/>
        <item t="data" h="1" sd="1" m="1" x="5988"/>
        <item t="data" h="1" sd="1" m="1" x="5989"/>
        <item t="data" h="1" sd="1" m="1" x="5990"/>
        <item t="data" h="1" sd="1" m="1" x="5453"/>
        <item t="data" h="1" sd="1" m="1" x="4037"/>
        <item t="data" h="1" sd="1" m="1" x="5205"/>
        <item t="data" h="1" sd="1" m="1" x="5206"/>
        <item t="data" h="1" sd="1" m="1" x="6026"/>
        <item t="data" h="1" sd="1" m="1" x="6027"/>
        <item t="data" h="1" sd="1" m="1" x="6150"/>
        <item t="data" h="1" sd="1" m="1" x="6151"/>
        <item t="data" h="1" sd="1" m="1" x="6152"/>
        <item t="data" h="1" sd="1" m="1" x="5985"/>
        <item t="data" h="1" sd="1" m="1" x="6153"/>
        <item t="data" h="1" sd="1" m="1" x="5974"/>
        <item t="data" h="1" sd="1" m="1" x="5984"/>
        <item t="data" h="1" sd="1" m="1" x="5979"/>
        <item t="data" h="1" sd="1" m="1" x="4234"/>
        <item t="data" h="1" sd="1" m="1" x="6154"/>
        <item t="data" h="1" sd="1" m="1" x="6155"/>
        <item t="data" h="1" sd="1" m="1" x="6156"/>
        <item t="data" h="1" sd="1" m="1" x="6157"/>
        <item t="data" h="1" sd="1" m="1" x="6159"/>
        <item t="data" h="1" sd="1" m="1" x="6160"/>
        <item t="data" h="1" sd="1" m="1" x="5911"/>
        <item t="data" h="1" sd="1" m="1" x="5912"/>
        <item t="data" h="1" sd="1" m="1" x="3224"/>
        <item t="data" h="1" sd="1" m="1" x="6161"/>
        <item t="data" h="1" sd="1" m="1" x="6162"/>
        <item t="data" h="1" sd="1" m="1" x="6163"/>
        <item t="data" h="1" sd="1" m="1" x="6164"/>
        <item t="data" h="1" sd="1" m="1" x="5759"/>
        <item t="data" h="1" sd="1" m="1" x="6165"/>
        <item t="data" h="1" sd="1" m="1" x="5226"/>
        <item t="data" h="1" sd="1" m="1" x="6166"/>
        <item t="data" h="1" sd="1" m="1" x="6167"/>
        <item t="data" h="1" sd="1" m="1" x="6169"/>
        <item t="data" h="1" sd="1" m="1" x="6170"/>
        <item t="data" h="1" sd="1" m="1" x="6171"/>
        <item t="data" h="1" sd="1" m="1" x="6172"/>
        <item t="data" h="1" sd="1" m="1" x="6081"/>
        <item t="data" h="1" sd="1" m="1" x="6174"/>
        <item t="data" h="1" sd="1" m="1" x="5738"/>
        <item t="data" h="1" sd="1" m="1" x="6177"/>
        <item t="data" h="1" sd="1" m="1" x="6178"/>
        <item t="data" h="1" sd="1" m="1" x="5768"/>
        <item t="data" h="1" sd="1" m="1" x="6179"/>
        <item t="data" h="1" sd="1" m="1" x="5779"/>
        <item t="data" h="1" sd="1" m="1" x="5780"/>
        <item t="data" h="1" sd="1" m="1" x="5767"/>
        <item t="data" h="1" sd="1" m="1" x="6095"/>
        <item t="data" h="1" sd="1" m="1" x="6180"/>
        <item t="data" h="1" sd="1" m="1" x="4837"/>
        <item t="data" h="1" sd="1" m="1" x="4838"/>
        <item t="data" h="1" sd="1" m="1" x="6000"/>
        <item t="data" h="1" sd="1" m="1" x="6098"/>
        <item t="data" h="1" sd="1" m="1" x="5762"/>
        <item t="data" h="1" sd="1" m="1" x="5791"/>
        <item t="data" h="1" sd="1" m="1" x="5792"/>
        <item t="data" h="1" sd="1" m="1" x="6181"/>
        <item t="data" h="1" sd="1" m="1" x="3076"/>
        <item t="data" h="1" sd="1" m="1" x="6182"/>
        <item t="data" h="1" sd="1" m="1" x="6185"/>
        <item t="data" h="1" sd="1" m="1" x="6187"/>
        <item t="data" h="1" sd="1" m="1" x="6188"/>
        <item t="data" h="1" sd="1" m="1" x="6189"/>
        <item t="data" h="1" sd="1" m="1" x="6190"/>
        <item t="data" h="1" sd="1" m="1" x="6192"/>
        <item t="data" h="1" sd="1" m="1" x="6193"/>
        <item t="data" h="1" sd="1" m="1" x="6194"/>
        <item t="data" h="1" sd="1" m="1" x="6195"/>
        <item t="data" h="1" sd="1" m="1" x="6196"/>
        <item t="data" h="1" sd="1" m="1" x="6198"/>
        <item t="data" h="1" sd="1" m="1" x="6200"/>
        <item t="data" h="1" sd="1" m="1" x="5572"/>
        <item t="data" h="1" sd="1" m="1" x="5573"/>
        <item t="data" h="1" sd="1" m="1" x="5821"/>
        <item t="data" h="1" sd="1" m="1" x="6202"/>
        <item t="data" h="1" sd="1" m="1" x="6203"/>
        <item t="data" h="1" sd="1" m="1" x="6204"/>
        <item t="data" h="1" sd="1" m="1" x="6205"/>
        <item t="data" h="1" sd="1" m="1" x="2560"/>
        <item t="data" h="1" sd="1" m="1" x="3816"/>
        <item t="data" h="1" sd="1" m="1" x="4905"/>
        <item t="data" h="1" sd="1" m="1" x="5321"/>
        <item t="data" h="1" sd="1" m="1" x="4246"/>
        <item t="data" h="1" sd="1" m="1" x="5378"/>
        <item t="data" h="1" sd="1" m="1" x="6032"/>
        <item t="data" h="1" sd="1" m="1" x="6033"/>
        <item t="data" h="1" sd="1" m="1" x="6034"/>
        <item t="data" h="1" sd="1" m="1" x="6035"/>
        <item t="data" h="1" sd="1" m="1" x="5465"/>
        <item t="data" h="1" sd="1" m="1" x="6036"/>
        <item t="data" h="1" sd="1" m="1" x="3175"/>
        <item t="data" h="1" sd="1" m="1" x="5193"/>
        <item t="data" h="1" sd="1" m="1" x="6037"/>
        <item t="data" h="1" sd="1" m="1" x="6038"/>
        <item t="data" h="1" sd="1" m="1" x="5518"/>
        <item t="data" h="1" sd="1" m="1" x="5519"/>
        <item t="data" h="1" sd="1" m="1" x="6039"/>
        <item t="data" h="1" sd="1" m="1" x="6040"/>
        <item t="data" h="1" sd="1" m="1" x="866"/>
        <item t="data" h="1" sd="1" m="1" x="6041"/>
        <item t="data" h="1" sd="1" m="1" x="6042"/>
        <item t="data" h="1" sd="1" m="1" x="6043"/>
        <item t="data" h="1" sd="1" m="1" x="6044"/>
        <item t="data" h="1" sd="1" m="1" x="6045"/>
        <item t="data" h="1" sd="1" m="1" x="6046"/>
        <item t="data" h="1" sd="1" m="1" x="6047"/>
        <item t="data" h="1" sd="1" m="1" x="6048"/>
        <item t="data" h="1" sd="1" m="1" x="6049"/>
        <item t="data" h="1" sd="1" m="1" x="6050"/>
        <item t="data" h="1" sd="1" m="1" x="6051"/>
        <item t="data" h="1" sd="1" m="1" x="6052"/>
        <item t="data" h="1" sd="1" m="1" x="6053"/>
        <item t="data" h="1" sd="1" m="1" x="5916"/>
        <item t="data" h="1" sd="1" m="1" x="5917"/>
        <item t="data" h="1" sd="1" m="1" x="6054"/>
        <item t="data" h="1" sd="1" m="1" x="6055"/>
        <item t="data" h="1" sd="1" m="1" x="6056"/>
        <item t="data" h="1" sd="1" m="1" x="6057"/>
        <item t="data" h="1" sd="1" m="1" x="6058"/>
        <item t="data" h="1" sd="1" m="1" x="6059"/>
        <item t="data" h="1" sd="1" m="1" x="6060"/>
        <item t="data" h="1" sd="1" m="1" x="6061"/>
        <item t="data" h="1" sd="1" m="1" x="6062"/>
        <item t="data" h="1" sd="1" m="1" x="6063"/>
        <item t="data" h="1" sd="1" m="1" x="6065"/>
        <item t="data" h="1" sd="1" m="1" x="6066"/>
        <item t="data" h="1" sd="1" m="1" x="6067"/>
        <item t="data" h="1" sd="1" m="1" x="6068"/>
        <item t="data" h="1" sd="1" m="1" x="3359"/>
        <item t="data" h="1" sd="1" m="1" x="5920"/>
        <item t="data" h="1" sd="1" m="1" x="6069"/>
        <item t="data" h="1" sd="1" m="1" x="5856"/>
        <item t="data" h="1" sd="1" m="1" x="6075"/>
        <item t="data" h="1" sd="1" m="1" x="4662"/>
        <item t="data" h="1" sd="1" m="1" x="6076"/>
        <item t="data" h="1" sd="1" m="1" x="6077"/>
        <item t="data" h="1" sd="1" m="1" x="4304"/>
        <item t="data" h="1" sd="1" m="1" x="4661"/>
        <item t="data" h="1" sd="1" m="1" x="5201"/>
        <item t="data" h="1" sd="1" m="1" x="5931"/>
        <item t="data" h="1" sd="1" m="1" x="5318"/>
        <item t="data" h="1" sd="1" m="1" x="5060"/>
        <item t="data" h="1" sd="1" m="1" x="6079"/>
        <item t="data" h="1" sd="1" m="1" x="5347"/>
        <item t="data" h="1" sd="1" m="1" x="5671"/>
        <item t="data" h="1" sd="1" m="1" x="5944"/>
        <item t="data" h="1" sd="1" m="1" x="5942"/>
        <item t="data" h="1" sd="1" m="1" x="5943"/>
        <item t="data" h="1" sd="1" m="1" x="5701"/>
        <item t="data" h="1" sd="1" m="1" x="6082"/>
        <item t="data" h="1" sd="1" m="1" x="6083"/>
        <item t="data" h="1" sd="1" m="1" x="6084"/>
        <item t="data" h="1" sd="1" m="1" x="5421"/>
        <item t="data" h="1" sd="1" m="1" x="5951"/>
        <item t="data" h="1" sd="1" m="1" x="4993"/>
        <item t="data" h="1" sd="1" m="1" x="5950"/>
        <item t="data" h="1" sd="1" m="1" x="5728"/>
        <item t="data" h="1" sd="1" m="1" x="1625"/>
        <item t="data" h="1" sd="1" m="1" x="4244"/>
        <item t="data" h="1" sd="1" m="1" x="4663"/>
        <item t="data" h="1" sd="1" m="1" x="6085"/>
        <item t="data" h="1" sd="1" m="1" x="5737"/>
        <item t="data" h="1" sd="1" m="1" x="5962"/>
        <item t="data" h="1" sd="1" m="1" x="5863"/>
        <item t="data" h="1" sd="1" m="1" x="5961"/>
        <item t="data" h="1" sd="1" m="1" x="5781"/>
        <item t="data" h="1" sd="1" m="1" x="6086"/>
        <item t="data" h="1" sd="1" m="1" x="5770"/>
        <item t="data" h="1" sd="1" m="1" x="5776"/>
        <item t="data" h="1" sd="1" m="1" x="6087"/>
        <item t="data" h="1" sd="1" m="1" x="4240"/>
        <item t="data" h="1" sd="1" m="1" x="5966"/>
        <item t="data" h="1" sd="1" m="1" x="4241"/>
        <item t="data" h="1" sd="1" m="1" x="5874"/>
        <item t="data" h="1" sd="1" m="1" x="5783"/>
        <item t="data" h="1" sd="1" m="1" x="5784"/>
        <item t="data" h="1" sd="1" m="1" x="6092"/>
        <item t="data" h="1" sd="1" m="1" x="6093"/>
        <item t="data" h="1" sd="1" m="1" x="6094"/>
        <item t="data" h="1" sd="1" m="1" x="6096"/>
        <item t="data" h="1" sd="1" m="1" x="6097"/>
        <item t="data" h="1" sd="1" m="1" x="5969"/>
        <item t="data" h="1" sd="1" m="1" x="5438"/>
        <item t="data" h="1" sd="1" m="1" x="5439"/>
        <item t="data" h="1" sd="1" m="1" x="5795"/>
        <item t="data" h="1" sd="1" m="1" x="501"/>
        <item t="data" h="1" sd="1" m="1" x="4664"/>
        <item t="data" h="1" sd="1" m="1" x="5883"/>
        <item t="data" h="1" sd="1" m="1" x="5975"/>
        <item t="data" h="1" sd="1" m="1" x="5976"/>
        <item t="data" h="1" sd="1" m="1" x="5977"/>
        <item t="data" h="1" sd="1" m="1" x="5808"/>
        <item t="data" h="1" sd="1" m="1" x="5996"/>
        <item t="data" h="1" sd="1" m="1" x="6099"/>
        <item t="data" h="1" sd="1" m="1" x="5820"/>
        <item t="data" h="1" sd="1" m="1" x="6006"/>
        <item t="data" h="1" sd="1" m="1" x="6007"/>
        <item t="data" h="1" sd="1" m="1" x="1646"/>
        <item t="data" h="1" sd="1" m="1" x="6100"/>
        <item t="data" h="1" sd="1" m="1" x="6102"/>
        <item t="data" h="1" sd="1" m="1" x="5886"/>
        <item t="data" h="1" sd="1" m="1" x="6028"/>
        <item t="data" h="1" sd="1" m="1" x="5889"/>
        <item t="data" h="1" sd="1" m="1" x="6019"/>
        <item t="data" h="1" sd="1" m="1" x="6103"/>
        <item t="data" h="1" sd="1" m="1" x="4247"/>
        <item t="data" h="1" sd="1" m="1" x="5462"/>
        <item t="data" h="1" sd="1" m="1" x="5892"/>
        <item t="data" h="1" sd="1" m="1" x="5893"/>
        <item t="data" h="1" sd="1" m="1" x="5894"/>
        <item t="data" h="1" sd="1" m="1" x="5480"/>
        <item t="data" h="1" sd="1" m="1" x="5466"/>
        <item t="data" h="1" sd="1" m="1" x="5477"/>
        <item t="data" h="1" sd="1" m="1" x="5479"/>
        <item t="data" h="1" sd="1" m="1" x="5478"/>
        <item t="data" h="1" sd="1" m="1" x="3965"/>
        <item t="data" h="1" sd="1" m="1" x="5476"/>
        <item t="data" h="1" sd="1" m="1" x="3964"/>
        <item t="data" h="1" sd="1" m="1" x="5470"/>
        <item t="data" h="1" sd="1" m="1" x="3966"/>
        <item t="data" h="1" sd="1" m="1" x="5475"/>
        <item t="data" h="1" sd="1" m="1" x="5472"/>
        <item t="data" h="1" sd="1" m="1" x="5473"/>
        <item t="data" h="1" sd="1" m="1" x="5471"/>
        <item t="data" h="1" sd="1" m="1" x="5474"/>
        <item t="data" h="1" sd="1" m="1" x="5488"/>
        <item t="data" h="1" sd="1" m="1" x="5494"/>
        <item t="data" h="1" sd="1" m="1" x="5483"/>
        <item t="data" h="1" sd="1" m="1" x="5490"/>
        <item t="data" h="1" sd="1" m="1" x="5487"/>
        <item t="data" h="1" sd="1" m="1" x="5492"/>
        <item t="data" h="1" sd="1" m="1" x="5496"/>
        <item t="data" h="1" sd="1" m="1" x="5489"/>
        <item t="data" h="1" sd="1" m="1" x="5491"/>
        <item t="data" h="1" sd="1" m="1" x="5504"/>
        <item t="data" h="1" sd="1" m="1" x="5498"/>
        <item t="data" h="1" sd="1" m="1" x="5499"/>
        <item t="data" h="1" sd="1" m="1" x="5497"/>
        <item t="data" h="1" sd="1" m="1" x="5502"/>
        <item t="data" h="1" sd="1" m="1" x="5503"/>
        <item t="data" h="1" sd="1" m="1" x="5495"/>
        <item t="data" h="1" sd="1" m="1" x="5481"/>
        <item t="data" h="1" sd="1" m="1" x="5482"/>
        <item t="data" h="1" sd="1" m="1" x="5501"/>
        <item t="data" h="1" sd="1" m="1" x="5500"/>
        <item t="data" h="1" sd="1" m="1" x="5493"/>
        <item t="data" h="1" sd="1" m="1" x="5485"/>
        <item t="data" h="1" sd="1" m="1" x="5509"/>
        <item t="data" h="1" sd="1" m="1" x="5508"/>
        <item t="data" h="1" sd="1" m="1" x="5194"/>
        <item t="data" h="1" sd="1" m="1" x="5895"/>
        <item t="data" h="1" sd="1" m="1" x="5511"/>
        <item t="data" h="1" sd="1" m="1" x="5896"/>
        <item t="data" h="1" sd="1" m="1" x="5515"/>
        <item t="data" h="1" sd="1" m="1" x="5514"/>
        <item t="data" h="1" sd="1" m="1" x="5897"/>
        <item t="data" h="1" sd="1" m="1" x="5521"/>
        <item t="data" h="1" sd="1" m="1" x="5522"/>
        <item t="data" h="1" sd="1" m="1" x="4804"/>
        <item t="data" h="1" sd="1" m="1" x="5898"/>
        <item t="data" h="1" sd="1" m="1" x="5899"/>
        <item t="data" h="1" sd="1" m="1" x="5900"/>
        <item t="data" h="1" sd="1" m="1" x="5901"/>
        <item t="data" h="1" sd="1" m="1" x="5902"/>
        <item t="data" h="1" sd="1" m="1" x="5903"/>
        <item t="data" h="1" sd="1" m="1" x="5904"/>
        <item t="data" h="1" sd="1" m="1" x="5905"/>
        <item t="data" h="1" sd="1" m="1" x="5906"/>
        <item t="data" h="1" sd="1" m="1" x="5907"/>
        <item t="data" h="1" sd="1" m="1" x="5855"/>
        <item t="data" h="1" sd="1" m="1" x="5908"/>
        <item t="data" h="1" sd="1" m="1" x="2146"/>
        <item t="data" h="1" sd="1" m="1" x="5909"/>
        <item t="data" h="1" sd="1" m="1" x="1011"/>
        <item t="data" h="1" sd="1" m="1" x="5910"/>
        <item t="data" h="1" sd="1" m="1" x="5913"/>
        <item t="data" h="1" sd="1" m="1" x="5914"/>
        <item t="data" h="1" sd="1" m="1" x="5915"/>
        <item t="data" h="1" sd="1" m="1" x="5918"/>
        <item t="data" h="1" sd="1" m="1" x="5919"/>
        <item t="data" h="1" sd="1" m="1" x="4250"/>
        <item t="data" h="1" sd="1" m="1" x="4249"/>
        <item t="data" h="1" sd="1" m="1" x="5568"/>
        <item t="data" h="1" sd="1" m="1" x="5121"/>
        <item t="data" h="1" sd="1" m="1" x="5928"/>
        <item t="data" h="1" sd="1" m="1" x="5148"/>
        <item t="data" h="1" sd="1" m="1" x="5577"/>
        <item t="data" h="1" sd="1" m="1" x="4423"/>
        <item t="data" h="1" sd="1" m="1" x="5930"/>
        <item t="data" h="1" sd="1" m="1" x="4242"/>
        <item t="data" h="1" sd="1" m="1" x="5932"/>
        <item t="data" h="1" sd="1" m="1" x="5935"/>
        <item t="data" h="1" sd="1" m="1" x="5592"/>
        <item t="data" h="1" sd="1" m="1" x="5406"/>
        <item t="data" h="1" sd="1" m="1" x="5937"/>
        <item t="data" h="1" sd="1" m="1" x="5405"/>
        <item t="data" h="1" sd="1" m="1" x="5611"/>
        <item t="data" h="1" sd="1" m="1" x="5653"/>
        <item t="data" h="1" sd="1" m="1" x="5299"/>
        <item t="data" h="1" sd="1" m="1" x="5300"/>
        <item t="data" h="1" sd="1" m="1" x="5677"/>
        <item t="data" h="1" sd="1" m="1" x="5938"/>
        <item t="data" h="1" sd="1" m="1" x="620"/>
        <item t="data" h="1" sd="1" m="1" x="5940"/>
        <item t="data" h="1" sd="1" m="1" x="5696"/>
        <item t="data" h="1" sd="1" m="1" x="5414"/>
        <item t="data" h="1" sd="1" m="1" x="1607"/>
        <item t="data" h="1" sd="1" m="1" x="2641"/>
        <item t="data" h="1" sd="1" m="1" x="4255"/>
        <item t="data" h="1" sd="1" m="1" x="4673"/>
        <item t="data" h="1" sd="1" m="1" x="5945"/>
        <item t="data" h="1" sd="1" m="1" x="5948"/>
        <item t="data" h="1" sd="1" m="1" x="5949"/>
        <item t="data" h="1" sd="1" m="1" x="5708"/>
        <item t="data" h="1" sd="1" m="1" x="5709"/>
        <item t="data" h="1" sd="1" m="1" x="5710"/>
        <item t="data" h="1" sd="1" m="1" x="4051"/>
        <item t="data" h="1" sd="1" m="1" x="5141"/>
        <item t="data" h="1" sd="1" m="1" x="5718"/>
        <item t="data" h="1" sd="1" m="1" x="5711"/>
        <item t="data" h="1" sd="1" m="1" x="5712"/>
        <item t="data" h="1" sd="1" m="1" x="5953"/>
        <item t="data" h="1" sd="1" m="1" x="4245"/>
        <item t="data" h="1" sd="1" m="1" x="5424"/>
        <item t="data" h="1" sd="1" m="1" x="5866"/>
        <item t="data" h="1" sd="1" m="1" x="5960"/>
        <item t="data" h="1" sd="1" m="1" x="5748"/>
        <item t="data" h="1" sd="1" m="1" x="5763"/>
        <item t="data" h="1" sd="1" m="1" x="4236"/>
        <item t="data" h="1" sd="1" m="1" x="4237"/>
        <item t="data" h="1" sd="1" m="1" x="4238"/>
        <item t="data" h="1" sd="1" m="1" x="4239"/>
        <item t="data" h="1" sd="1" m="1" x="4251"/>
        <item t="data" h="1" sd="1" m="1" x="4911"/>
        <item t="data" h="1" sd="1" m="1" x="4912"/>
        <item t="data" h="1" sd="1" m="1" x="4813"/>
        <item t="data" h="1" sd="1" m="1" x="5870"/>
        <item t="data" h="1" sd="1" m="1" x="5967"/>
        <item t="data" h="1" sd="1" m="1" x="5871"/>
        <item t="data" h="1" sd="1" m="1" x="5872"/>
        <item t="data" h="1" sd="1" m="1" x="5248"/>
        <item t="data" h="1" sd="1" m="1" x="5773"/>
        <item t="data" h="1" sd="1" m="1" x="5785"/>
        <item t="data" h="1" sd="1" m="1" x="5788"/>
        <item t="data" h="1" sd="1" m="1" x="5444"/>
        <item t="data" h="1" sd="1" m="1" x="5971"/>
        <item t="data" h="1" sd="1" m="1" x="5972"/>
        <item t="data" h="1" sd="1" m="1" x="5973"/>
        <item t="data" h="1" sd="1" m="1" x="5980"/>
        <item t="data" h="1" sd="1" m="1" x="5981"/>
        <item t="data" h="1" sd="1" m="1" x="5982"/>
        <item t="data" h="1" sd="1" m="1" x="5983"/>
        <item t="data" h="1" sd="1" m="1" x="5880"/>
        <item t="data" h="1" sd="1" m="1" x="5992"/>
        <item t="data" h="1" sd="1" m="1" x="5993"/>
        <item t="data" h="1" sd="1" m="1" x="5994"/>
        <item t="data" h="1" sd="1" m="1" x="5999"/>
        <item t="data" h="1" sd="1" m="1" x="6001"/>
        <item t="data" h="1" sd="1" m="1" x="6002"/>
        <item t="data" h="1" sd="1" m="1" x="1387"/>
        <item t="data" h="1" sd="1" m="1" x="6003"/>
        <item t="data" h="1" sd="1" m="1" x="6004"/>
        <item t="data" h="1" sd="1" m="1" x="6005"/>
        <item t="data" h="1" sd="1" m="1" x="6014"/>
        <item t="data" h="1" sd="1" m="1" x="5885"/>
        <item t="data" h="1" sd="1" m="1" x="6015"/>
        <item t="data" h="1" sd="1" m="1" x="5888"/>
        <item t="data" h="1" sd="1" m="1" x="4671"/>
        <item t="data" h="1" sd="1" m="1" x="6021"/>
        <item t="data" h="1" sd="1" m="1" x="6022"/>
        <item t="data" h="1" sd="1" m="1" x="6024"/>
        <item t="data" h="1" sd="1" m="1" x="5052"/>
        <item t="data" h="1" sd="1" m="1" x="4554"/>
        <item t="data" h="1" sd="1" m="1" x="5463"/>
        <item t="data" h="1" sd="1" m="1" x="5836"/>
        <item t="data" h="1" sd="1" m="1" x="5837"/>
        <item t="data" h="1" sd="1" m="1" x="5838"/>
        <item t="data" h="1" sd="1" m="1" x="5839"/>
        <item t="data" h="1" sd="1" m="1" x="5382"/>
        <item t="data" h="1" sd="1" m="1" x="5195"/>
        <item t="data" h="1" sd="1" m="1" x="5844"/>
        <item t="data" h="1" sd="1" m="1" x="4803"/>
        <item t="data" h="1" sd="1" m="1" x="4531"/>
        <item t="data" h="1" sd="1" m="1" x="4532"/>
        <item t="data" h="1" sd="1" m="1" x="5845"/>
        <item t="data" h="1" sd="1" m="1" x="4866"/>
        <item t="data" h="1" sd="1" m="1" x="5520"/>
        <item t="data" h="1" sd="1" m="1" x="3634"/>
        <item t="data" h="1" sd="1" m="1" x="5846"/>
        <item t="data" h="1" sd="1" m="1" x="5847"/>
        <item t="data" h="1" sd="1" m="1" x="5848"/>
        <item t="data" h="1" sd="1" m="1" x="5557"/>
        <item t="data" h="1" sd="1" m="1" x="5849"/>
        <item t="data" h="1" sd="1" m="1" x="5850"/>
        <item t="data" h="1" sd="1" m="1" x="5851"/>
        <item t="data" h="1" sd="1" m="1" x="5530"/>
        <item t="data" h="1" sd="1" m="1" x="5531"/>
        <item t="data" h="1" sd="1" m="1" x="5532"/>
        <item t="data" h="1" sd="1" m="1" x="5556"/>
        <item t="data" h="1" sd="1" m="1" x="5537"/>
        <item t="data" h="1" sd="1" m="1" x="5555"/>
        <item t="data" h="1" sd="1" m="1" x="1231"/>
        <item t="data" h="1" sd="1" m="1" x="5554"/>
        <item t="data" h="1" sd="1" m="1" x="5558"/>
        <item t="data" h="1" sd="1" m="1" x="5559"/>
        <item t="data" h="1" sd="1" m="1" x="5538"/>
        <item t="data" h="1" sd="1" m="1" x="5852"/>
        <item t="data" h="1" sd="1" m="1" x="5853"/>
        <item t="data" h="1" sd="1" m="1" x="5854"/>
        <item t="data" h="1" sd="1" x="37"/>
        <item t="data" h="1" sd="1" m="1" x="5546"/>
        <item t="data" h="1" sd="1" m="1" x="5543"/>
        <item t="data" h="1" sd="1" m="1" x="5544"/>
        <item t="data" h="1" sd="1" m="1" x="5545"/>
        <item t="data" h="1" sd="1" m="1" x="5539"/>
        <item t="data" h="1" sd="1" m="1" x="5540"/>
        <item t="data" h="1" sd="1" m="1" x="5541"/>
        <item t="data" h="1" sd="1" m="1" x="5542"/>
        <item t="data" h="1" sd="1" m="1" x="5548"/>
        <item t="data" h="1" sd="1" m="1" x="4253"/>
        <item t="data" h="1" sd="1" m="1" x="5857"/>
        <item t="data" h="1" sd="1" m="1" x="5578"/>
        <item t="data" h="1" sd="1" m="1" x="5038"/>
        <item t="data" h="1" sd="1" m="1" x="5581"/>
        <item t="data" h="1" sd="1" m="1" x="5582"/>
        <item t="data" h="1" sd="1" m="1" x="5859"/>
        <item t="data" h="1" sd="1" m="1" x="5591"/>
        <item t="data" h="1" sd="1" m="1" x="2448"/>
        <item t="data" h="1" sd="1" m="1" x="5404"/>
        <item t="data" h="1" sd="1" x="263"/>
        <item t="data" h="1" sd="1" m="1" x="5598"/>
        <item t="data" h="1" sd="1" m="1" x="5599"/>
        <item t="data" h="1" sd="1" m="1" x="5600"/>
        <item t="data" h="1" sd="1" m="1" x="5601"/>
        <item t="data" h="1" sd="1" m="1" x="5602"/>
        <item t="data" h="1" sd="1" m="1" x="5610"/>
        <item t="data" h="1" sd="1" m="1" x="5609"/>
        <item t="data" h="1" sd="1" m="1" x="5606"/>
        <item t="data" h="1" sd="1" m="1" x="5607"/>
        <item t="data" h="1" sd="1" m="1" x="5608"/>
        <item t="data" h="1" sd="1" m="1" x="5604"/>
        <item t="data" h="1" sd="1" m="1" x="5605"/>
        <item t="data" h="1" sd="1" m="1" x="3103"/>
        <item t="data" h="1" sd="1" m="1" x="5301"/>
        <item t="data" h="1" sd="1" m="1" x="4530"/>
        <item t="data" h="1" sd="1" m="1" x="5694"/>
        <item t="data" h="1" sd="1" m="1" x="5713"/>
        <item t="data" h="1" sd="1" m="1" x="5861"/>
        <item t="data" h="1" sd="1" m="1" x="5727"/>
        <item t="data" h="1" sd="1" m="1" x="1614"/>
        <item t="data" h="1" sd="1" m="1" x="5862"/>
        <item t="data" h="1" sd="1" m="1" x="1613"/>
        <item t="data" h="1" sd="1" m="1" x="5729"/>
        <item t="data" h="1" sd="1" m="1" x="5864"/>
        <item t="data" h="1" sd="1" m="1" x="5865"/>
        <item t="data" h="1" sd="1" m="1" x="5867"/>
        <item t="data" h="1" sd="1" m="1" x="5869"/>
        <item t="data" h="1" sd="1" m="1" x="5786"/>
        <item t="data" h="1" sd="1" m="1" x="5787"/>
        <item t="data" h="1" sd="1" m="1" x="5442"/>
        <item t="data" h="1" sd="1" m="1" x="5793"/>
        <item t="data" h="1" sd="1" m="1" x="1810"/>
        <item t="data" h="1" sd="1" m="1" x="4670"/>
        <item t="data" h="1" sd="1" m="1" x="5878"/>
        <item t="data" h="1" sd="1" m="1" x="5807"/>
        <item t="data" h="1" sd="1" m="1" x="5879"/>
        <item t="data" h="1" sd="1" m="1" x="3268"/>
        <item t="data" h="1" sd="1" m="1" x="5881"/>
        <item t="data" h="1" sd="1" m="1" x="4210"/>
        <item t="data" h="1" sd="1" m="1" x="5204"/>
        <item t="data" h="1" sd="1" m="1" x="5814"/>
        <item t="data" h="1" sd="1" m="1" x="2888"/>
        <item t="data" h="1" sd="1" m="1" x="4672"/>
        <item t="data" h="1" sd="1" m="1" x="4212"/>
        <item t="data" h="1" sd="1" m="1" x="2122"/>
        <item t="data" h="1" sd="1" m="1" x="2736"/>
        <item t="data" h="1" sd="1" m="1" x="5890"/>
        <item t="data" h="1" sd="1" m="1" x="5891"/>
        <item t="data" h="1" sd="1" m="1" x="5460"/>
        <item t="data" h="1" sd="1" m="1" x="5464"/>
        <item t="data" h="1" sd="1" m="1" x="5505"/>
        <item t="data" h="1" sd="1" m="1" x="5506"/>
        <item t="data" h="1" sd="1" m="1" x="5507"/>
        <item t="data" h="1" sd="1" m="1" x="5513"/>
        <item t="data" h="1" sd="1" m="1" x="5517"/>
        <item t="data" h="1" sd="1" m="1" x="5527"/>
        <item t="data" h="1" sd="1" m="1" x="5528"/>
        <item t="data" h="1" sd="1" m="1" x="5529"/>
        <item t="data" h="1" sd="1" m="1" x="4832"/>
        <item t="data" h="1" sd="1" m="1" x="3876"/>
        <item t="data" h="1" sd="1" m="1" x="4830"/>
        <item t="data" h="1" sd="1" m="1" x="4831"/>
        <item t="data" h="1" sd="1" m="1" x="5533"/>
        <item t="data" h="1" sd="1" m="1" x="5534"/>
        <item t="data" h="1" sd="1" m="1" x="5535"/>
        <item t="data" h="1" sd="1" m="1" x="5536"/>
        <item t="data" h="1" sd="1" m="1" x="5549"/>
        <item t="data" h="1" sd="1" m="1" x="5550"/>
        <item t="data" h="1" sd="1" m="1" x="5551"/>
        <item t="data" h="1" sd="1" m="1" x="5552"/>
        <item t="data" h="1" sd="1" m="1" x="5553"/>
        <item t="data" h="1" sd="1" m="1" x="5560"/>
        <item t="data" h="1" sd="1" m="1" x="5561"/>
        <item t="data" h="1" sd="1" m="1" x="5576"/>
        <item t="data" h="1" sd="1" m="1" x="2696"/>
        <item t="data" h="1" sd="1" m="1" x="3351"/>
        <item t="data" h="1" sd="1" m="1" x="1876"/>
        <item t="data" h="1" sd="1" m="1" x="4992"/>
        <item t="data" h="1" sd="1" m="1" x="2605"/>
        <item t="data" h="1" sd="1" m="1" x="5579"/>
        <item t="data" h="1" sd="1" m="1" x="5583"/>
        <item t="data" h="1" sd="1" m="1" x="5454"/>
        <item t="data" h="1" sd="1" m="1" x="4981"/>
        <item t="data" h="1" sd="1" m="1" x="5403"/>
        <item t="data" h="1" sd="1" m="1" x="5407"/>
        <item t="data" h="1" sd="1" m="1" x="5603"/>
        <item t="data" h="1" sd="1" m="1" x="5615"/>
        <item t="data" h="1" sd="1" m="1" x="1612"/>
        <item t="data" h="1" sd="1" m="1" x="1611"/>
        <item t="data" h="1" sd="1" m="1" x="5410"/>
        <item t="data" h="1" sd="1" m="1" x="5673"/>
        <item t="data" h="1" sd="1" m="1" x="5674"/>
        <item t="data" h="1" sd="1" m="1" x="5676"/>
        <item t="data" h="1" sd="1" m="1" x="5191"/>
        <item t="data" h="1" sd="1" m="1" x="5678"/>
        <item t="data" h="1" sd="1" m="1" x="5679"/>
        <item t="data" h="1" sd="1" m="1" x="5680"/>
        <item t="data" h="1" sd="1" m="1" x="5313"/>
        <item t="data" h="1" sd="1" m="1" x="5698"/>
        <item t="data" h="1" sd="1" m="1" x="5700"/>
        <item t="data" h="1" sd="1" m="1" x="5706"/>
        <item t="data" h="1" sd="1" m="1" x="5120"/>
        <item t="data" h="1" sd="1" m="1" x="5714"/>
        <item t="data" h="1" sd="1" m="1" x="5715"/>
        <item t="data" h="1" sd="1" m="1" x="5716"/>
        <item t="data" h="1" sd="1" m="1" x="5717"/>
        <item t="data" h="1" sd="1" m="1" x="5720"/>
        <item t="data" h="1" sd="1" m="1" x="5723"/>
        <item t="data" h="1" sd="1" m="1" x="5724"/>
        <item t="data" h="1" sd="1" m="1" x="5725"/>
        <item t="data" h="1" sd="1" m="1" x="5726"/>
        <item t="data" h="1" sd="1" m="1" x="5257"/>
        <item t="data" h="1" sd="1" m="1" x="4534"/>
        <item t="data" h="1" sd="1" m="1" x="4982"/>
        <item t="data" h="1" sd="1" m="1" x="4235"/>
        <item t="data" h="1" sd="1" m="1" x="5765"/>
        <item t="data" h="1" sd="1" m="1" x="5782"/>
        <item t="data" h="1" sd="1" m="1" x="5330"/>
        <item t="data" h="1" sd="1" m="1" x="5375"/>
        <item t="data" h="1" sd="1" m="1" x="5790"/>
        <item t="data" h="1" sd="1" m="1" x="5443"/>
        <item t="data" h="1" sd="1" m="1" x="5446"/>
        <item t="data" h="1" sd="1" m="1" x="1377"/>
        <item t="data" h="1" sd="1" m="1" x="1610"/>
        <item t="data" h="1" sd="1" m="1" x="5033"/>
        <item t="data" h="1" sd="1" m="1" x="4936"/>
        <item t="data" h="1" sd="1" m="1" x="5798"/>
        <item t="data" h="1" sd="1" m="1" x="5799"/>
        <item t="data" h="1" sd="1" m="1" x="5801"/>
        <item t="data" h="1" sd="1" m="1" x="5802"/>
        <item t="data" h="1" sd="1" m="1" x="1304"/>
        <item t="data" h="1" sd="1" m="1" x="5062"/>
        <item t="data" h="1" sd="1" m="1" x="5803"/>
        <item t="data" h="1" sd="1" m="1" x="5804"/>
        <item t="data" h="1" sd="1" m="1" x="5805"/>
        <item t="data" h="1" sd="1" m="1" x="5806"/>
        <item t="data" h="1" sd="1" m="1" x="3541"/>
        <item t="data" h="1" sd="1" m="1" x="5810"/>
        <item t="data" h="1" sd="1" m="1" x="1803"/>
        <item t="data" h="1" sd="1" m="1" x="5811"/>
        <item t="data" h="1" sd="1" m="1" x="5056"/>
        <item t="data" h="1" sd="1" m="1" x="5812"/>
        <item t="data" h="1" sd="1" m="1" x="3443"/>
        <item t="data" h="1" sd="1" m="1" x="4371"/>
        <item t="data" h="1" sd="1" m="1" x="3246"/>
        <item t="data" h="1" sd="1" m="1" x="2277"/>
        <item t="data" h="1" sd="1" m="1" x="2909"/>
        <item t="data" h="1" sd="1" m="1" x="2096"/>
        <item t="data" h="1" sd="1" m="1" x="3445"/>
        <item t="data" h="1" sd="1" m="1" x="5216"/>
        <item t="data" h="1" sd="1" m="1" x="5829"/>
        <item t="data" h="1" sd="1" m="1" x="5830"/>
        <item t="data" h="1" sd="1" m="1" x="2480"/>
        <item t="data" h="1" sd="1" m="1" x="5831"/>
        <item t="data" h="1" sd="1" m="1" x="5832"/>
        <item t="data" h="1" sd="1" m="1" x="5833"/>
        <item t="data" h="1" sd="1" m="1" x="5379"/>
        <item t="data" h="1" sd="1" m="1" x="5380"/>
        <item t="data" h="1" sd="1" m="1" x="5381"/>
        <item t="data" h="1" sd="1" m="1" x="5383"/>
        <item t="data" h="1" sd="1" m="1" x="5384"/>
        <item t="data" h="1" sd="1" m="1" x="5323"/>
        <item t="data" h="1" sd="1" m="1" x="4776"/>
        <item t="data" h="1" sd="1" m="1" x="5385"/>
        <item t="data" h="1" sd="1" m="1" x="5387"/>
        <item t="data" h="1" sd="1" m="1" x="5388"/>
        <item t="data" h="1" sd="1" m="1" x="5390"/>
        <item t="data" h="1" sd="1" m="1" x="5391"/>
        <item t="data" h="1" sd="1" m="1" x="5333"/>
        <item t="data" h="1" sd="1" m="1" x="5392"/>
        <item t="data" h="1" sd="1" m="1" x="4131"/>
        <item t="data" h="1" sd="1" m="1" x="3204"/>
        <item t="data" h="1" sd="1" m="1" x="5394"/>
        <item t="data" h="1" sd="1" m="1" x="3201"/>
        <item t="data" h="1" sd="1" m="1" x="5326"/>
        <item t="data" h="1" sd="1" m="1" x="4021"/>
        <item t="data" h="1" sd="1" m="1" x="5325"/>
        <item t="data" h="1" sd="1" m="1" x="5252"/>
        <item t="data" h="1" sd="1" m="1" x="5396"/>
        <item t="data" h="1" sd="1" m="1" x="5251"/>
        <item t="data" h="1" sd="1" m="1" x="5250"/>
        <item t="data" h="1" sd="1" m="1" x="5397"/>
        <item t="data" h="1" sd="1" m="1" x="4754"/>
        <item t="data" h="1" sd="1" m="1" x="3900"/>
        <item t="data" h="1" sd="1" m="1" x="3901"/>
        <item t="data" h="1" sd="1" m="1" x="3902"/>
        <item t="data" h="1" sd="1" m="1" x="1973"/>
        <item t="data" h="1" sd="1" m="1" x="4372"/>
        <item t="data" h="1" sd="1" m="1" x="5400"/>
        <item t="data" h="1" sd="1" m="1" x="5106"/>
        <item t="data" h="1" sd="1" m="1" x="5078"/>
        <item t="data" h="1" sd="1" m="1" x="5079"/>
        <item t="data" h="1" sd="1" m="1" x="5409"/>
        <item t="data" h="1" sd="1" m="1" x="4472"/>
        <item t="data" h="1" sd="1" m="1" x="4473"/>
        <item t="data" h="1" sd="1" m="1" x="4474"/>
        <item t="data" h="1" sd="1" m="1" x="4475"/>
        <item t="data" h="1" sd="1" m="1" x="5150"/>
        <item t="data" h="1" sd="1" m="1" x="5112"/>
        <item t="data" h="1" sd="1" m="1" x="4914"/>
        <item t="data" h="1" sd="1" m="1" x="5108"/>
        <item t="data" h="1" sd="1" m="1" x="4256"/>
        <item t="data" h="1" sd="1" m="1" x="594"/>
        <item t="data" h="1" sd="1" m="1" x="1617"/>
        <item t="data" h="1" sd="1" m="1" x="5307"/>
        <item t="data" h="1" sd="1" m="1" x="4916"/>
        <item t="data" h="1" sd="1" m="1" x="5411"/>
        <item t="data" h="1" sd="1" m="1" x="5308"/>
        <item t="data" h="1" sd="1" m="1" x="5309"/>
        <item t="data" h="1" sd="1" m="1" x="5136"/>
        <item t="data" h="1" sd="1" m="1" x="1609"/>
        <item t="data" h="1" sd="1" m="1" x="1615"/>
        <item t="data" h="1" sd="1" m="1" x="4796"/>
        <item t="data" h="1" sd="1" m="1" x="5416"/>
        <item t="data" h="1" sd="1" m="1" x="5417"/>
        <item t="data" h="1" sd="1" m="1" x="5418"/>
        <item t="data" h="1" sd="1" m="1" x="2936"/>
        <item t="data" h="1" sd="1" m="1" x="5419"/>
        <item t="data" h="1" sd="1" m="1" x="5423"/>
        <item t="data" h="1" sd="1" m="1" x="4667"/>
        <item t="data" h="1" sd="1" m="1" x="4669"/>
        <item t="data" h="1" sd="1" m="1" x="4666"/>
        <item t="data" h="1" sd="1" m="1" x="4668"/>
        <item t="data" h="1" sd="1" m="1" x="4533"/>
        <item t="data" h="1" sd="1" m="1" x="4665"/>
        <item t="data" h="1" sd="1" m="1" x="1618"/>
        <item t="data" h="1" sd="1" m="1" x="3933"/>
        <item t="data" h="1" sd="1" m="1" x="5009"/>
        <item t="data" h="1" sd="1" m="1" x="4810"/>
        <item t="data" h="1" sd="1" m="1" x="4811"/>
        <item t="data" h="1" sd="1" m="1" x="4812"/>
        <item t="data" h="1" sd="1" m="1" x="5129"/>
        <item t="data" h="1" sd="1" m="1" x="5425"/>
        <item t="data" h="1" sd="1" m="1" x="5426"/>
        <item t="data" h="1" sd="1" m="1" x="5427"/>
        <item t="data" h="1" sd="1" m="1" x="5428"/>
        <item t="data" h="1" sd="1" m="1" x="5429"/>
        <item t="data" h="1" sd="1" m="1" x="3283"/>
        <item t="data" h="1" sd="1" m="1" x="3284"/>
        <item t="data" h="1" sd="1" m="1" x="3688"/>
        <item t="data" h="1" sd="1" m="1" x="4257"/>
        <item t="data" h="1" sd="1" m="1" x="5430"/>
        <item t="data" h="1" sd="1" m="1" x="5431"/>
        <item t="data" h="1" sd="1" m="1" x="5246"/>
        <item t="data" h="1" sd="1" m="1" x="5433"/>
        <item t="data" h="1" sd="1" m="1" x="5434"/>
        <item t="data" h="1" sd="1" m="1" x="601"/>
        <item t="data" h="1" sd="1" m="1" x="5435"/>
        <item t="data" h="1" sd="1" m="1" x="5138"/>
        <item t="data" h="1" sd="1" m="1" x="5137"/>
        <item t="data" h="1" sd="1" m="1" x="5436"/>
        <item t="data" h="1" sd="1" m="1" x="5437"/>
        <item t="data" h="1" sd="1" m="1" x="5377"/>
        <item t="data" h="1" sd="1" m="1" x="5440"/>
        <item t="data" h="1" sd="1" m="1" x="5441"/>
        <item t="data" h="1" sd="1" m="1" x="5024"/>
        <item t="data" h="1" sd="1" m="1" x="5025"/>
        <item t="data" h="1" sd="1" m="1" x="5015"/>
        <item t="data" h="1" sd="1" m="1" x="5342"/>
        <item t="data" h="1" sd="1" m="1" x="5016"/>
        <item t="data" h="1" sd="1" m="1" x="5448"/>
        <item t="data" h="1" sd="1" m="1" x="5449"/>
        <item t="data" h="1" sd="1" m="1" x="5451"/>
        <item t="data" h="1" sd="1" m="1" x="4884"/>
        <item t="data" h="1" sd="1" m="1" x="4879"/>
        <item t="data" h="1" sd="1" m="1" x="5455"/>
        <item t="data" h="1" sd="1" m="1" x="5456"/>
        <item t="data" h="1" sd="1" m="1" x="5047"/>
        <item t="data" h="1" sd="1" m="1" x="5261"/>
        <item t="data" h="1" sd="1" m="1" x="5260"/>
        <item t="data" h="1" sd="1" m="1" x="5281"/>
        <item t="data" h="1" sd="1" m="1" x="5457"/>
        <item t="data" h="1" sd="1" m="1" x="2029"/>
        <item t="data" h="1" sd="1" m="1" x="5458"/>
        <item t="data" h="1" sd="1" m="1" x="5459"/>
        <item t="data" h="1" sd="1" m="1" x="4536"/>
        <item t="data" h="1" sd="1" m="1" x="5302"/>
        <item t="data" h="1" sd="1" m="1" x="5303"/>
        <item t="data" h="1" sd="1" m="1" x="5304"/>
        <item t="data" h="1" sd="1" m="1" x="5305"/>
        <item t="data" h="1" sd="1" m="1" x="5306"/>
        <item t="data" h="1" sd="1" m="1" x="4697"/>
        <item t="data" h="1" sd="1" m="1" x="4929"/>
        <item t="data" h="1" sd="1" m="1" x="4930"/>
        <item t="data" h="1" sd="1" m="1" x="4939"/>
        <item t="data" h="1" sd="1" m="1" x="5196"/>
        <item t="data" h="1" sd="1" m="1" x="5310"/>
        <item t="data" h="1" sd="1" m="1" x="4941"/>
        <item t="data" h="1" sd="1" m="1" x="2008"/>
        <item t="data" h="1" sd="1" m="1" x="5312"/>
        <item t="data" h="1" sd="1" m="1" x="5197"/>
        <item t="data" h="1" sd="1" m="1" x="5314"/>
        <item t="data" h="1" sd="1" m="1" x="5315"/>
        <item t="data" h="1" sd="1" m="1" x="5316"/>
        <item t="data" h="1" sd="1" m="1" x="5320"/>
        <item t="data" h="1" sd="1" m="1" x="4977"/>
        <item t="data" h="1" sd="1" m="1" x="4978"/>
        <item t="data" h="1" sd="1" m="1" x="4130"/>
        <item t="data" h="1" sd="1" m="1" x="5324"/>
        <item t="data" h="1" sd="1" m="1" x="3903"/>
        <item t="data" h="1" sd="1" m="1" x="5253"/>
        <item t="data" h="1" sd="1" m="1" x="4994"/>
        <item t="data" h="1" sd="1" m="1" x="5327"/>
        <item t="data" h="1" sd="1" m="1" x="4689"/>
        <item t="data" h="1" sd="1" m="1" x="4690"/>
        <item t="data" h="1" sd="1" m="1" x="4691"/>
        <item t="data" h="1" sd="1" m="1" x="5244"/>
        <item t="data" h="1" sd="1" m="1" x="5249"/>
        <item t="data" h="1" sd="1" m="1" x="5011"/>
        <item t="data" h="1" sd="1" m="1" x="5023"/>
        <item t="data" h="1" sd="1" m="1" x="5014"/>
        <item t="data" h="1" sd="1" m="1" x="2897"/>
        <item t="data" h="1" sd="1" m="1" x="4424"/>
        <item t="data" h="1" sd="1" m="1" x="5032"/>
        <item t="data" h="1" sd="1" m="1" x="2273"/>
        <item t="data" h="1" sd="1" m="1" x="5040"/>
        <item t="data" h="1" sd="1" m="1" x="3731"/>
        <item t="data" h="1" sd="1" m="1" x="5048"/>
        <item t="data" h="1" sd="1" m="1" x="1999"/>
        <item t="data" h="1" sd="1" m="1" x="2913"/>
        <item t="data" h="1" sd="1" m="1" x="5329"/>
        <item t="data" h="1" sd="1" m="1" x="4701"/>
        <item t="data" h="1" sd="1" m="1" x="5331"/>
        <item t="data" h="1" sd="1" m="1" x="5332"/>
        <item t="data" h="1" sd="1" m="1" x="4824"/>
        <item t="data" h="1" sd="1" m="1" x="5265"/>
        <item t="data" h="1" sd="1" m="1" x="5334"/>
        <item t="data" h="1" sd="1" m="1" x="5335"/>
        <item t="data" h="1" sd="1" m="1" x="5336"/>
        <item t="data" h="1" sd="1" m="1" x="5337"/>
        <item t="data" h="1" sd="1" m="1" x="5338"/>
        <item t="data" h="1" sd="1" m="1" x="5264"/>
        <item t="data" h="1" sd="1" m="1" x="5339"/>
        <item t="data" h="1" sd="1" m="1" x="5340"/>
        <item t="data" h="1" sd="1" m="1" x="5341"/>
        <item t="data" h="1" sd="1" m="1" x="5343"/>
        <item t="data" h="1" sd="1" m="1" x="5217"/>
        <item t="data" h="1" sd="1" m="1" x="5344"/>
        <item t="data" h="1" sd="1" m="1" x="5346"/>
        <item t="data" h="1" sd="1" m="1" x="4846"/>
        <item t="data" h="1" sd="1" m="1" x="5348"/>
        <item t="data" h="1" sd="1" m="1" x="5349"/>
        <item t="data" h="1" sd="1" m="1" x="5350"/>
        <item t="data" h="1" sd="1" m="1" x="5107"/>
        <item t="data" h="1" sd="1" m="1" x="5351"/>
        <item t="data" h="1" sd="1" m="1" x="5352"/>
        <item t="data" h="1" sd="1" m="1" x="5353"/>
        <item t="data" h="1" sd="1" m="1" x="5354"/>
        <item t="data" h="1" sd="1" m="1" x="5355"/>
        <item t="data" h="1" sd="1" m="1" x="5100"/>
        <item t="data" h="1" sd="1" m="1" x="5356"/>
        <item t="data" h="1" sd="1" m="1" x="2684"/>
        <item t="data" h="1" sd="1" m="1" x="5231"/>
        <item t="data" h="1" sd="1" m="1" x="4874"/>
        <item t="data" h="1" sd="1" m="1" x="4875"/>
        <item t="data" h="1" sd="1" m="1" x="5357"/>
        <item t="data" h="1" sd="1" m="1" x="5358"/>
        <item t="data" h="1" sd="1" m="1" x="4893"/>
        <item t="data" h="1" sd="1" m="1" x="5359"/>
        <item t="data" h="1" sd="1" m="1" x="5362"/>
        <item t="data" h="1" sd="1" m="1" x="5363"/>
        <item t="data" h="1" sd="1" m="1" x="5364"/>
        <item t="data" h="1" sd="1" m="1" x="776"/>
        <item t="data" h="1" sd="1" m="1" x="5365"/>
        <item t="data" h="1" sd="1" m="1" x="5366"/>
        <item t="data" h="1" sd="1" m="1" x="5367"/>
        <item t="data" h="1" sd="1" m="1" x="5368"/>
        <item t="data" h="1" sd="1" m="1" x="5369"/>
        <item t="data" h="1" sd="1" m="1" x="5370"/>
        <item t="data" h="1" sd="1" m="1" x="5371"/>
        <item t="data" h="1" sd="1" m="1" x="5372"/>
        <item t="data" h="1" sd="1" m="1" x="5373"/>
        <item t="data" h="1" sd="1" m="1" x="5374"/>
        <item t="data" h="1" sd="1" m="1" x="618"/>
        <item t="data" h="1" sd="1" m="1" x="1824"/>
        <item t="data" h="1" sd="1" m="1" x="5376"/>
        <item t="data" h="1" sd="1" m="1" x="2987"/>
        <item t="data" h="1" sd="1" m="1" x="4917"/>
        <item t="data" h="1" sd="1" m="1" x="1970"/>
        <item t="data" h="1" sd="1" m="1" x="4932"/>
        <item t="data" h="1" sd="1" m="1" x="3628"/>
        <item t="data" h="1" sd="1" m="1" x="4945"/>
        <item t="data" h="1" sd="1" m="1" x="4953"/>
        <item t="data" h="1" sd="1" m="1" x="5242"/>
        <item t="data" h="1" sd="1" m="1" x="5243"/>
        <item t="data" h="1" sd="1" m="1" x="5198"/>
        <item t="data" h="1" sd="1" m="1" x="4539"/>
        <item t="data" h="1" sd="1" m="1" x="4540"/>
        <item t="data" h="1" sd="1" m="1" x="4979"/>
        <item t="data" h="1" sd="1" m="1" x="4974"/>
        <item t="data" h="1" sd="1" m="1" x="4975"/>
        <item t="data" h="1" sd="1" m="1" x="4976"/>
        <item t="data" h="1" sd="1" m="1" x="4162"/>
        <item t="data" h="1" sd="1" m="1" x="4675"/>
        <item t="data" h="1" sd="1" m="1" x="5199"/>
        <item t="data" h="1" sd="1" m="1" x="4676"/>
        <item t="data" h="1" sd="1" m="1" x="4678"/>
        <item t="data" h="1" sd="1" m="1" x="5254"/>
        <item t="data" h="1" sd="1" m="1" x="4985"/>
        <item t="data" h="1" sd="1" m="1" x="4984"/>
        <item t="data" h="1" sd="1" m="1" x="5255"/>
        <item t="data" h="1" sd="1" m="1" x="4758"/>
        <item t="data" h="1" sd="1" m="1" x="4995"/>
        <item t="data" h="1" sd="1" m="1" x="4683"/>
        <item t="data" h="1" sd="1" m="1" x="5001"/>
        <item t="data" h="1" sd="1" m="1" x="1627"/>
        <item t="data" h="1" sd="1" m="1" x="1626"/>
        <item t="data" h="1" sd="1" m="1" x="5002"/>
        <item t="data" h="1" sd="1" m="1" x="4694"/>
        <item t="data" h="1" sd="1" m="1" x="4693"/>
        <item t="data" h="1" sd="1" m="1" x="4687"/>
        <item t="data" h="1" sd="1" m="1" x="4692"/>
        <item t="data" h="1" sd="1" m="1" x="5004"/>
        <item t="data" h="1" sd="1" m="1" x="5258"/>
        <item t="data" h="1" sd="1" m="1" x="5027"/>
        <item t="data" h="1" sd="1" m="1" x="5026"/>
        <item t="data" h="1" sd="1" m="1" x="4696"/>
        <item t="data" h="1" sd="1" m="1" x="2727"/>
        <item t="data" h="1" sd="1" m="1" x="5021"/>
        <item t="data" h="1" sd="1" m="1" x="5018"/>
        <item t="data" h="1" sd="1" m="1" x="5022"/>
        <item t="data" h="1" sd="1" m="1" x="2594"/>
        <item t="data" h="1" sd="1" m="1" x="5034"/>
        <item t="data" h="1" sd="1" m="1" x="5035"/>
        <item t="data" h="1" sd="1" m="1" x="5036"/>
        <item t="data" h="1" sd="1" m="1" x="2256"/>
        <item t="data" h="1" sd="1" m="1" x="5041"/>
        <item t="data" h="1" sd="1" m="1" x="4318"/>
        <item t="data" h="1" sd="1" m="1" x="5042"/>
        <item t="data" h="1" sd="1" m="1" x="5043"/>
        <item t="data" h="1" sd="1" m="1" x="5044"/>
        <item t="data" h="1" sd="1" m="1" x="5045"/>
        <item t="data" h="1" sd="1" m="1" x="4549"/>
        <item t="data" h="1" sd="1" m="1" x="5259"/>
        <item t="data" h="1" sd="1" m="1" x="3752"/>
        <item t="data" h="1" sd="1" m="1" x="5049"/>
        <item t="data" h="1" sd="1" m="1" x="4699"/>
        <item t="data" h="1" sd="1" m="1" x="3490"/>
        <item t="data" h="1" sd="1" m="1" x="4276"/>
        <item t="data" h="1" sd="1" m="1" x="2934"/>
        <item t="data" h="1" sd="1" m="1" x="2734"/>
        <item t="data" h="1" sd="1" m="1" x="5053"/>
        <item t="data" h="1" sd="1" m="1" x="5057"/>
        <item t="data" h="1" sd="1" m="1" x="4821"/>
        <item t="data" h="1" sd="1" m="1" x="4822"/>
        <item t="data" h="1" sd="1" m="1" x="5064"/>
        <item t="data" h="1" sd="1" m="1" x="5065"/>
        <item t="data" h="1" sd="1" m="1" x="5066"/>
        <item t="data" h="1" sd="1" m="1" x="5067"/>
        <item t="data" h="1" sd="1" m="1" x="5075"/>
        <item t="data" h="1" sd="1" m="1" x="4262"/>
        <item t="data" h="1" sd="1" m="1" x="4263"/>
        <item t="data" h="1" sd="1" m="1" x="4264"/>
        <item t="data" h="1" sd="1" m="1" x="4440"/>
        <item t="data" h="1" sd="1" m="1" x="5211"/>
        <item t="data" h="1" sd="1" m="1" x="5262"/>
        <item t="data" h="1" sd="1" m="1" x="5212"/>
        <item t="data" h="1" sd="1" m="1" x="5263"/>
        <item t="data" h="1" sd="1" m="1" x="4427"/>
        <item t="data" h="1" sd="1" m="1" x="5133"/>
        <item t="data" h="1" sd="1" m="1" x="5266"/>
        <item t="data" h="1" sd="1" m="1" x="5267"/>
        <item t="data" h="1" sd="1" m="1" x="5127"/>
        <item t="data" h="1" sd="1" m="1" x="5128"/>
        <item t="data" h="1" sd="1" m="1" x="2945"/>
        <item t="data" h="1" sd="1" m="1" x="5268"/>
        <item t="data" h="1" sd="1" m="1" x="5269"/>
        <item t="data" h="1" sd="1" m="1" x="5270"/>
        <item t="data" h="1" sd="1" m="1" x="5271"/>
        <item t="data" h="1" sd="1" m="1" x="5272"/>
        <item t="data" h="1" sd="1" m="1" x="5273"/>
        <item t="data" h="1" sd="1" m="1" x="5274"/>
        <item t="data" h="1" sd="1" m="1" x="5275"/>
        <item t="data" h="1" sd="1" m="1" x="5276"/>
        <item t="data" h="1" sd="1" m="1" x="5277"/>
        <item t="data" h="1" sd="1" m="1" x="5278"/>
        <item t="data" h="1" sd="1" m="1" x="5088"/>
        <item t="data" h="1" sd="1" m="1" x="5279"/>
        <item t="data" h="1" sd="1" m="1" x="5280"/>
        <item t="data" h="1" sd="1" m="1" x="5119"/>
        <item t="data" h="1" sd="1" m="1" x="4842"/>
        <item t="data" h="1" sd="1" m="1" x="4843"/>
        <item t="data" h="1" sd="1" m="1" x="5144"/>
        <item t="data" h="1" sd="1" m="1" x="5143"/>
        <item t="data" h="1" sd="1" m="1" x="5282"/>
        <item t="data" h="1" sd="1" m="1" x="5283"/>
        <item t="data" h="1" sd="1" m="1" x="4881"/>
        <item t="data" h="1" sd="1" m="1" x="4882"/>
        <item t="data" h="1" sd="1" m="1" x="5284"/>
        <item t="data" h="1" sd="1" m="1" x="5285"/>
        <item t="data" h="1" sd="1" m="1" x="2069"/>
        <item t="data" h="1" sd="1" m="1" x="4898"/>
        <item t="data" h="1" sd="1" m="1" x="5286"/>
        <item t="data" h="1" sd="1" m="1" x="5287"/>
        <item t="data" h="1" sd="1" m="1" x="2854"/>
        <item t="data" h="1" sd="1" m="1" x="5288"/>
        <item t="data" h="1" sd="1" m="1" x="5289"/>
        <item t="data" h="1" sd="1" m="1" x="5290"/>
        <item t="data" h="1" sd="1" m="1" x="5291"/>
        <item t="data" h="1" sd="1" m="1" x="5292"/>
        <item t="data" h="1" sd="1" m="1" x="5293"/>
        <item t="data" h="1" sd="1" m="1" x="5294"/>
        <item t="data" h="1" sd="1" m="1" x="5296"/>
        <item t="data" h="1" sd="1" m="1" x="5297"/>
        <item t="data" h="1" sd="1" m="1" x="4903"/>
        <item t="data" h="1" sd="1" m="1" x="4902"/>
        <item t="data" h="1" sd="1" m="1" x="3960"/>
        <item t="data" h="1" sd="1" m="1" x="5189"/>
        <item t="data" h="1" sd="1" m="1" x="4927"/>
        <item t="data" h="1" sd="1" m="1" x="4928"/>
        <item t="data" h="1" sd="1" m="1" x="4920"/>
        <item t="data" h="1" sd="1" m="1" x="4921"/>
        <item t="data" h="1" sd="1" m="1" x="4922"/>
        <item t="data" h="1" sd="1" m="1" x="4938"/>
        <item t="data" h="1" sd="1" m="1" x="4933"/>
        <item t="data" h="1" sd="1" m="1" x="4817"/>
        <item t="data" h="1" sd="1" m="1" x="4944"/>
        <item t="data" h="1" sd="1" m="1" x="2965"/>
        <item t="data" h="1" sd="1" m="1" x="4961"/>
        <item t="data" h="1" sd="1" m="1" x="4980"/>
        <item t="data" h="1" sd="1" m="1" x="4166"/>
        <item t="data" h="1" sd="1" m="1" x="4997"/>
        <item t="data" h="1" sd="1" m="1" x="4682"/>
        <item t="data" h="1" sd="1" m="1" x="1753"/>
        <item t="data" h="1" sd="1" x="130"/>
        <item t="data" h="1" sd="1" m="1" x="5003"/>
        <item t="data" h="1" sd="1" m="1" x="4695"/>
        <item t="data" h="1" sd="1" m="1" x="4680"/>
        <item t="data" h="1" sd="1" m="1" x="4983"/>
        <item t="data" h="1" sd="1" m="1" x="5029"/>
        <item t="data" h="1" sd="1" m="1" x="5030"/>
        <item t="data" h="1" sd="1" m="1" x="865"/>
        <item t="data" h="1" sd="1" m="1" x="5017"/>
        <item t="data" h="1" sd="1" m="1" x="5031"/>
        <item t="data" h="1" sd="1" m="1" x="5037"/>
        <item t="data" h="1" sd="1" m="1" x="4935"/>
        <item t="data" h="1" sd="1" m="1" x="4548"/>
        <item t="data" h="1" sd="1" m="1" x="3450"/>
        <item t="data" h="1" sd="1" m="1" x="5059"/>
        <item t="data" h="1" sd="1" m="1" x="4698"/>
        <item t="data" h="1" sd="1" m="1" x="5054"/>
        <item t="data" h="1" sd="1" m="1" x="5055"/>
        <item t="data" h="1" sd="1" m="1" x="3753"/>
        <item t="data" h="1" sd="1" m="1" x="5071"/>
        <item t="data" h="1" sd="1" m="1" x="5072"/>
        <item t="data" h="1" sd="1" m="1" x="5074"/>
        <item t="data" h="1" sd="1" m="1" x="5070"/>
        <item t="data" h="1" sd="1" m="1" x="5061"/>
        <item t="data" h="1" sd="1" m="1" x="5076"/>
        <item t="data" h="1" sd="1" m="1" x="5209"/>
        <item t="data" h="1" sd="1" m="1" x="5210"/>
        <item t="data" h="1" sd="1" m="1" x="5213"/>
        <item t="data" h="1" sd="1" m="1" x="5214"/>
        <item t="data" h="1" sd="1" m="1" x="5215"/>
        <item t="data" h="1" sd="1" m="1" x="5218"/>
        <item t="data" h="1" sd="1" m="1" x="5219"/>
        <item t="data" h="1" sd="1" m="1" x="5220"/>
        <item t="data" h="1" sd="1" m="1" x="5221"/>
        <item t="data" h="1" sd="1" m="1" x="5222"/>
        <item t="data" h="1" sd="1" m="1" x="5223"/>
        <item t="data" h="1" sd="1" m="1" x="5224"/>
        <item t="data" h="1" sd="1" m="1" x="5225"/>
        <item t="data" h="1" sd="1" m="1" x="5098"/>
        <item t="data" h="1" sd="1" m="1" x="5227"/>
        <item t="data" h="1" sd="1" m="1" x="5228"/>
        <item t="data" h="1" sd="1" m="1" x="5229"/>
        <item t="data" h="1" sd="1" m="1" x="4458"/>
        <item t="data" h="1" sd="1" m="1" x="5230"/>
        <item t="data" h="1" sd="1" m="1" x="4853"/>
        <item t="data" h="1" sd="1" m="1" x="4877"/>
        <item t="data" h="1" sd="1" m="1" x="4880"/>
        <item t="data" h="1" sd="1" m="1" x="5233"/>
        <item t="data" h="1" sd="1" m="1" x="5234"/>
        <item t="data" h="1" sd="1" m="1" x="5235"/>
        <item t="data" h="1" sd="1" m="1" x="5236"/>
        <item t="data" h="1" sd="1" m="1" x="5237"/>
        <item t="data" h="1" sd="1" m="1" x="5238"/>
        <item t="data" h="1" sd="1" m="1" x="5239"/>
        <item t="data" h="1" sd="1" m="1" x="5240"/>
        <item t="data" h="1" sd="1" m="1" x="5173"/>
        <item t="data" h="1" sd="1" m="1" x="3134"/>
        <item t="data" h="1" sd="1" m="1" x="4909"/>
        <item t="data" h="1" sd="1" m="1" x="4915"/>
        <item t="data" h="1" sd="1" m="1" x="4535"/>
        <item t="data" h="1" sd="1" m="1" x="4918"/>
        <item t="data" h="1" sd="1" m="1" x="4919"/>
        <item t="data" h="1" sd="1" m="1" x="4925"/>
        <item t="data" h="1" sd="1" m="1" x="4926"/>
        <item t="data" h="1" sd="1" m="1" x="4476"/>
        <item t="data" h="1" sd="1" m="1" x="4931"/>
        <item t="data" h="1" sd="1" m="1" x="4934"/>
        <item t="data" h="1" sd="1" m="1" x="4937"/>
        <item t="data" h="1" sd="1" m="1" x="4942"/>
        <item t="data" h="1" sd="1" m="1" x="4950"/>
        <item t="data" h="1" sd="1" m="1" x="4951"/>
        <item t="data" h="1" sd="1" m="1" x="4952"/>
        <item t="data" h="1" sd="1" m="1" x="4956"/>
        <item t="data" h="1" sd="1" m="1" x="4957"/>
        <item t="data" h="1" sd="1" m="1" x="4958"/>
        <item t="data" h="1" sd="1" m="1" x="4959"/>
        <item t="data" h="1" sd="1" m="1" x="4960"/>
        <item t="data" h="1" sd="1" m="1" x="4801"/>
        <item t="data" h="1" sd="1" m="1" x="4965"/>
        <item t="data" h="1" sd="1" m="1" x="4966"/>
        <item t="data" h="1" sd="1" m="1" x="4971"/>
        <item t="data" h="1" sd="1" m="1" x="4973"/>
        <item t="data" h="1" sd="1" m="1" x="4164"/>
        <item t="data" h="1" sd="1" m="1" x="4541"/>
        <item t="data" h="1" sd="1" m="1" x="4816"/>
        <item t="data" h="1" sd="1" m="1" x="4805"/>
        <item t="data" h="1" sd="1" m="1" x="4987"/>
        <item t="data" h="1" sd="1" m="1" x="4988"/>
        <item t="data" h="1" sd="1" m="1" x="3693"/>
        <item t="data" h="1" sd="1" m="1" x="4996"/>
        <item t="data" h="1" sd="1" m="1" x="4706"/>
        <item t="data" h="1" sd="1" m="1" x="4684"/>
        <item t="data" h="1" sd="1" m="1" x="4685"/>
        <item t="data" h="1" sd="1" m="1" x="4686"/>
        <item t="data" h="1" sd="1" m="1" x="3249"/>
        <item t="data" h="1" sd="1" m="1" x="4707"/>
        <item t="data" h="1" sd="1" m="1" x="4545"/>
        <item t="data" h="1" sd="1" m="1" x="3692"/>
        <item t="data" h="1" sd="1" m="1" x="5013"/>
        <item t="data" h="1" sd="1" m="1" x="5028"/>
        <item t="data" h="1" sd="1" m="1" x="5039"/>
        <item t="data" h="1" sd="1" m="1" x="2490"/>
        <item t="data" h="1" sd="1" m="1" x="4197"/>
        <item t="data" h="1" sd="1" m="1" x="4199"/>
        <item t="data" h="1" sd="1" m="1" x="4201"/>
        <item t="data" h="1" sd="1" m="1" x="4261"/>
        <item t="data" h="1" sd="1" m="1" x="5046"/>
        <item t="data" h="1" sd="1" m="1" x="4202"/>
        <item t="data" h="1" sd="1" m="1" x="1622"/>
        <item t="data" h="1" sd="1" m="1" x="5050"/>
        <item t="data" h="1" sd="1" m="1" x="5051"/>
        <item t="data" h="1" sd="1" m="1" x="1846"/>
        <item t="data" h="1" sd="1" m="1" x="1644"/>
        <item t="data" h="1" sd="1" m="1" x="1633"/>
        <item t="data" h="1" sd="1" m="1" x="1595"/>
        <item t="data" h="1" sd="1" m="1" x="1636"/>
        <item t="data" h="1" sd="1" m="1" x="4426"/>
        <item t="data" h="1" sd="1" m="1" x="5063"/>
        <item t="data" h="1" sd="1" m="1" x="5068"/>
        <item t="data" h="1" sd="1" m="1" x="5069"/>
        <item t="data" h="1" sd="1" m="1" x="5073"/>
        <item t="data" h="1" sd="1" m="1" x="5077"/>
        <item t="data" h="1" sd="1" m="1" x="5080"/>
        <item t="data" h="1" sd="1" m="1" x="5081"/>
        <item t="data" h="1" sd="1" m="1" x="4719"/>
        <item t="data" h="1" sd="1" m="1" x="4720"/>
        <item t="data" h="1" sd="1" m="1" x="4718"/>
        <item t="data" h="1" sd="1" m="1" x="5082"/>
        <item t="data" h="1" sd="1" m="1" x="5083"/>
        <item t="data" h="1" sd="1" m="1" x="5085"/>
        <item t="data" h="1" sd="1" m="1" x="5086"/>
        <item t="data" h="1" sd="1" m="1" x="5089"/>
        <item t="data" h="1" sd="1" m="1" x="5090"/>
        <item t="data" h="1" sd="1" m="1" x="5091"/>
        <item t="data" h="1" sd="1" m="1" x="5092"/>
        <item t="data" h="1" sd="1" m="1" x="5093"/>
        <item t="data" h="1" sd="1" m="1" x="5094"/>
        <item t="data" h="1" sd="1" m="1" x="5095"/>
        <item t="data" h="1" sd="1" m="1" x="5097"/>
        <item t="data" h="1" sd="1" m="1" x="5099"/>
        <item t="data" h="1" sd="1" m="1" x="5102"/>
        <item t="data" h="1" sd="1" m="1" x="5103"/>
        <item t="data" h="1" sd="1" m="1" x="5104"/>
        <item t="data" h="1" sd="1" m="1" x="5105"/>
        <item t="data" h="1" sd="1" m="1" x="4728"/>
        <item t="data" h="1" sd="1" m="1" x="5109"/>
        <item t="data" h="1" sd="1" m="1" x="5110"/>
        <item t="data" h="1" sd="1" m="1" x="5111"/>
        <item t="data" h="1" sd="1" m="1" x="4726"/>
        <item t="data" h="1" sd="1" m="1" x="4727"/>
        <item t="data" h="1" sd="1" m="1" x="5113"/>
        <item t="data" h="1" sd="1" m="1" x="5114"/>
        <item t="data" h="1" sd="1" m="1" x="4729"/>
        <item t="data" h="1" sd="1" m="1" x="5115"/>
        <item t="data" h="1" sd="1" m="1" x="5116"/>
        <item t="data" h="1" sd="1" m="1" x="5117"/>
        <item t="data" h="1" sd="1" m="1" x="5118"/>
        <item t="data" h="1" sd="1" m="1" x="4265"/>
        <item t="data" h="1" sd="1" m="1" x="5124"/>
        <item t="data" h="1" sd="1" m="1" x="5125"/>
        <item t="data" h="1" sd="1" m="1" x="5126"/>
        <item t="data" h="1" sd="1" m="1" x="4058"/>
        <item t="data" h="1" sd="1" m="1" x="5130"/>
        <item t="data" h="1" sd="1" m="1" x="5131"/>
        <item t="data" h="1" sd="1" m="1" x="5132"/>
        <item t="data" h="1" sd="1" m="1" x="5134"/>
        <item t="data" h="1" sd="1" m="1" x="5135"/>
        <item t="data" h="1" sd="1" m="1" x="4329"/>
        <item t="data" h="1" sd="1" m="1" x="4841"/>
        <item t="data" h="1" sd="1" m="1" x="5139"/>
        <item t="data" h="1" sd="1" m="1" x="4845"/>
        <item t="data" h="1" sd="1" m="1" x="5140"/>
        <item t="data" h="1" sd="1" m="1" x="5142"/>
        <item t="data" h="1" sd="1" m="1" x="5145"/>
        <item t="data" h="1" sd="1" m="1" x="4871"/>
        <item t="data" h="1" sd="1" m="1" x="4878"/>
        <item t="data" h="1" sd="1" m="1" x="5146"/>
        <item t="data" h="1" sd="1" m="1" x="5147"/>
        <item t="data" h="1" sd="1" m="1" x="4292"/>
        <item t="data" h="1" sd="1" m="1" x="4876"/>
        <item t="data" h="1" sd="1" m="1" x="4482"/>
        <item t="data" h="1" sd="1" m="1" x="4734"/>
        <item t="data" h="1" sd="1" m="1" x="4733"/>
        <item t="data" h="1" sd="1" m="1" x="4885"/>
        <item t="data" h="1" sd="1" m="1" x="5151"/>
        <item t="data" h="1" sd="1" m="1" x="4890"/>
        <item t="data" h="1" sd="1" m="1" x="5152"/>
        <item t="data" h="1" sd="1" m="1" x="4736"/>
        <item t="data" h="1" sd="1" m="1" x="4735"/>
        <item t="data" h="1" sd="1" m="1" x="5153"/>
        <item t="data" h="1" sd="1" m="1" x="5154"/>
        <item t="data" h="1" sd="1" m="1" x="4737"/>
        <item t="data" h="1" sd="1" m="1" x="1624"/>
        <item t="data" h="1" sd="1" m="1" x="4894"/>
        <item t="data" h="1" sd="1" m="1" x="4897"/>
        <item t="data" h="1" sd="1" m="1" x="5159"/>
        <item t="data" h="1" sd="1" m="1" x="3991"/>
        <item t="data" h="1" sd="1" m="1" x="5160"/>
        <item t="data" h="1" sd="1" m="1" x="5162"/>
        <item t="data" h="1" sd="1" m="1" x="5164"/>
        <item t="data" h="1" sd="1" m="1" x="5165"/>
        <item t="data" h="1" sd="1" m="1" x="5166"/>
        <item t="data" h="1" sd="1" m="1" x="5167"/>
        <item t="data" h="1" sd="1" m="1" x="5168"/>
        <item t="data" h="1" sd="1" m="1" x="5169"/>
        <item t="data" h="1" sd="1" m="1" x="5170"/>
        <item t="data" h="1" sd="1" m="1" x="5171"/>
        <item t="data" h="1" sd="1" m="1" x="5176"/>
        <item t="data" h="1" sd="1" m="1" x="4904"/>
        <item t="data" h="1" sd="1" m="1" x="5179"/>
        <item t="data" h="1" sd="1" m="1" x="1553"/>
        <item t="data" h="1" sd="1" m="1" x="4749"/>
        <item t="data" h="1" sd="1" m="1" x="5187"/>
        <item t="data" h="1" sd="1" m="1" x="5188"/>
        <item t="data" h="1" sd="1" m="1" x="1645"/>
        <item t="data" h="1" sd="1" m="1" x="3060"/>
        <item t="data" h="1" sd="1" m="1" x="4159"/>
        <item t="data" h="1" sd="1" m="1" x="4557"/>
        <item t="data" h="1" sd="1" m="1" x="4558"/>
        <item t="data" h="1" sd="1" m="1" x="4797"/>
        <item t="data" h="1" sd="1" m="1" x="4703"/>
        <item t="data" h="1" sd="1" m="1" x="4562"/>
        <item t="data" h="1" sd="1" m="1" x="4537"/>
        <item t="data" h="1" sd="1" m="1" x="4538"/>
        <item t="data" h="1" sd="1" m="1" x="4798"/>
        <item t="data" h="1" sd="1" m="1" x="4799"/>
        <item t="data" h="1" sd="1" m="1" x="3287"/>
        <item t="data" h="1" sd="1" m="1" x="3422"/>
        <item t="data" h="1" sd="1" m="1" x="3288"/>
        <item t="data" h="1" sd="1" m="1" x="4806"/>
        <item t="data" h="1" sd="1" m="1" x="4808"/>
        <item t="data" h="1" sd="1" m="1" x="4809"/>
        <item t="data" h="1" sd="1" m="1" x="3280"/>
        <item t="data" h="1" sd="1" m="1" x="4814"/>
        <item t="data" h="1" sd="1" m="1" x="4815"/>
        <item t="data" h="1" sd="1" m="1" x="4258"/>
        <item t="data" h="1" sd="1" m="1" x="3348"/>
        <item t="data" h="1" sd="1" m="1" x="4543"/>
        <item t="data" h="1" sd="1" m="1" x="4544"/>
        <item t="data" h="1" sd="1" m="1" x="3437"/>
        <item t="data" h="1" sd="1" m="1" x="4578"/>
        <item t="data" h="1" sd="1" m="1" x="4708"/>
        <item t="data" h="1" sd="1" m="1" x="4710"/>
        <item t="data" h="1" sd="1" m="1" x="4709"/>
        <item t="data" h="1" sd="1" m="1" x="4711"/>
        <item t="data" h="1" sd="1" m="1" x="4584"/>
        <item t="data" h="1" sd="1" m="1" x="4547"/>
        <item t="data" h="1" sd="1" m="1" x="4546"/>
        <item t="data" h="1" sd="1" m="1" x="1641"/>
        <item t="data" h="1" sd="1" m="1" x="1643"/>
        <item t="data" h="1" sd="1" m="1" x="4820"/>
        <item t="data" h="1" sd="1" m="1" x="4713"/>
        <item t="data" h="1" sd="1" m="1" x="4211"/>
        <item t="data" h="1" sd="1" m="1" x="3465"/>
        <item t="data" h="1" sd="1" m="1" x="4550"/>
        <item t="data" h="1" sd="1" m="1" x="4551"/>
        <item t="data" h="1" sd="1" m="1" x="3726"/>
        <item t="data" h="1" sd="1" m="1" x="4593"/>
        <item t="data" h="1" sd="1" m="1" x="4590"/>
        <item t="data" h="1" sd="1" m="1" x="4591"/>
        <item t="data" h="1" sd="1" m="1" x="1637"/>
        <item t="data" h="1" sd="1" m="1" x="4597"/>
        <item t="data" h="1" sd="1" m="1" x="4823"/>
        <item t="data" h="1" sd="1" m="1" x="4384"/>
        <item t="data" h="1" sd="1" m="1" x="4825"/>
        <item t="data" h="1" sd="1" m="1" x="4826"/>
        <item t="data" h="1" sd="1" m="1" x="4827"/>
        <item t="data" h="1" sd="1" m="1" x="4828"/>
        <item t="data" h="1" sd="1" m="1" x="3503"/>
        <item t="data" h="1" sd="1" m="1" x="4829"/>
        <item t="data" h="1" sd="1" m="1" x="4833"/>
        <item t="data" h="1" sd="1" m="1" x="4834"/>
        <item t="data" h="1" sd="1" m="1" x="4836"/>
        <item t="data" h="1" sd="1" m="1" x="4839"/>
        <item t="data" h="1" sd="1" m="1" x="4840"/>
        <item t="data" h="1" sd="1" m="1" x="4844"/>
        <item t="data" h="1" sd="1" m="1" x="4848"/>
        <item t="data" h="1" sd="1" m="1" x="462"/>
        <item t="data" h="1" sd="1" m="1" x="2492"/>
        <item t="data" h="1" sd="1" m="1" x="4850"/>
        <item t="data" h="1" sd="1" m="1" x="4851"/>
        <item t="data" h="1" sd="1" m="1" x="4852"/>
        <item t="data" h="1" sd="1" m="1" x="4854"/>
        <item t="data" h="1" sd="1" m="1" x="4855"/>
        <item t="data" h="1" sd="1" m="1" x="4856"/>
        <item t="data" h="1" sd="1" m="1" x="4857"/>
        <item t="data" h="1" sd="1" m="1" x="4858"/>
        <item t="data" h="1" sd="1" m="1" x="4861"/>
        <item t="data" h="1" sd="1" m="1" x="4862"/>
        <item t="data" h="1" sd="1" m="1" x="4863"/>
        <item t="data" h="1" sd="1" m="1" x="4864"/>
        <item t="data" h="1" sd="1" m="1" x="4865"/>
        <item t="data" h="1" sd="1" m="1" x="4868"/>
        <item t="data" h="1" sd="1" m="1" x="4869"/>
        <item t="data" h="1" sd="1" m="1" x="4870"/>
        <item t="data" h="1" sd="1" m="1" x="4883"/>
        <item t="data" h="1" sd="1" m="1" x="4732"/>
        <item t="data" h="1" sd="1" m="1" x="4886"/>
        <item t="data" h="1" sd="1" m="1" x="4887"/>
        <item t="data" h="1" sd="1" m="1" x="4888"/>
        <item t="data" h="1" sd="1" m="1" x="4889"/>
        <item t="data" h="1" sd="1" m="1" x="4891"/>
        <item t="data" h="1" sd="1" m="1" x="4899"/>
        <item t="data" h="1" sd="1" m="1" x="4900"/>
        <item t="data" h="1" sd="1" m="1" x="4740"/>
        <item t="data" h="1" sd="1" m="1" x="4901"/>
        <item t="data" h="1" sd="1" m="1" x="4016"/>
        <item t="data" h="1" sd="1" m="1" x="3222"/>
        <item t="data" h="1" sd="1" m="1" x="1664"/>
        <item t="data" h="1" sd="1" m="1" x="4556"/>
        <item t="data" h="1" sd="1" m="1" x="4702"/>
        <item t="data" h="1" sd="1" m="1" x="4564"/>
        <item t="data" h="1" sd="1" m="1" x="4572"/>
        <item t="data" h="1" sd="1" m="1" x="2004"/>
        <item t="data" h="1" sd="1" m="1" x="4259"/>
        <item t="data" h="1" sd="1" m="1" x="4260"/>
        <item t="data" h="1" sd="1" m="1" x="3289"/>
        <item t="data" h="1" sd="1" m="1" x="950"/>
        <item t="data" h="1" sd="1" m="1" x="3282"/>
        <item t="data" h="1" sd="1" m="1" x="3290"/>
        <item t="data" h="1" sd="1" m="1" x="3285"/>
        <item t="data" h="1" sd="1" m="1" x="3286"/>
        <item t="data" h="1" sd="1" m="1" x="1784"/>
        <item t="data" h="1" sd="1" m="1" x="4705"/>
        <item t="data" h="1" sd="1" m="1" x="1544"/>
        <item t="data" h="1" sd="1" m="1" x="3694"/>
        <item t="data" h="1" sd="1" m="1" x="4577"/>
        <item t="data" h="1" sd="1" m="1" x="2001"/>
        <item t="data" h="1" sd="1" m="1" x="3247"/>
        <item t="data" h="1" sd="1" m="1" x="1639"/>
        <item t="data" h="1" sd="1" m="1" x="1647"/>
        <item t="data" h="1" sd="1" m="1" x="4576"/>
        <item t="data" h="1" sd="1" m="1" x="1640"/>
        <item t="data" h="1" sd="1" m="1" x="4712"/>
        <item t="data" h="1" sd="1" m="1" x="4585"/>
        <item t="data" h="1" sd="1" m="1" x="4586"/>
        <item t="data" h="1" sd="1" m="1" x="2003"/>
        <item t="data" h="1" sd="1" m="1" x="1596"/>
        <item t="data" h="1" sd="1" m="1" x="1675"/>
        <item t="data" h="1" sd="1" m="1" x="4592"/>
        <item t="data" h="1" sd="1" m="1" x="1638"/>
        <item t="data" h="1" sd="1" m="1" x="4714"/>
        <item t="data" h="1" sd="1" m="1" x="4715"/>
        <item t="data" h="1" sd="1" m="1" x="4716"/>
        <item t="data" h="1" sd="1" m="1" x="4717"/>
        <item t="data" h="1" sd="1" m="1" x="3625"/>
        <item t="data" h="1" sd="1" m="1" x="4721"/>
        <item t="data" h="1" sd="1" m="1" x="4722"/>
        <item t="data" h="1" sd="1" m="1" x="4723"/>
        <item t="data" h="1" sd="1" m="1" x="4724"/>
        <item t="data" h="1" sd="1" m="1" x="1314"/>
        <item t="data" h="1" sd="1" m="1" x="4725"/>
        <item t="data" h="1" sd="1" m="1" x="4730"/>
        <item t="data" h="1" sd="1" m="1" x="4731"/>
        <item t="data" h="1" sd="1" m="1" x="4738"/>
        <item t="data" h="1" sd="1" m="1" x="4741"/>
        <item t="data" h="1" sd="1" m="1" x="4743"/>
        <item t="data" h="1" sd="1" m="1" x="4744"/>
        <item t="data" h="1" sd="1" m="1" x="4746"/>
        <item t="data" h="1" sd="1" m="1" x="4747"/>
        <item t="data" h="1" sd="1" m="1" x="4748"/>
        <item t="data" h="1" sd="1" m="1" x="1140"/>
        <item t="data" h="1" sd="1" m="1" x="4488"/>
        <item t="data" h="1" sd="1" m="1" x="4152"/>
        <item t="data" h="1" sd="1" m="1" x="3700"/>
        <item t="data" h="1" sd="1" m="1" x="4555"/>
        <item t="data" h="1" sd="1" m="1" x="4559"/>
        <item t="data" h="1" sd="1" m="1" x="4560"/>
        <item t="data" h="1" sd="1" m="1" x="4561"/>
        <item t="data" h="1" sd="1" m="1" x="1665"/>
        <item t="data" h="1" sd="1" m="1" x="2473"/>
        <item t="data" h="1" sd="1" m="1" x="3220"/>
        <item t="data" h="1" sd="1" m="1" x="4567"/>
        <item t="data" h="1" sd="1" m="1" x="4571"/>
        <item t="data" h="1" sd="1" m="1" x="2127"/>
        <item t="data" h="1" sd="1" m="1" x="4750"/>
        <item t="data" h="1" sd="1" m="1" x="4139"/>
        <item t="data" h="1" sd="1" m="1" x="3910"/>
        <item t="data" h="1" sd="1" m="1" x="4568"/>
        <item t="data" h="1" sd="1" m="1" x="4751"/>
        <item t="data" h="1" sd="1" m="1" x="3908"/>
        <item t="data" h="1" sd="1" m="1" x="4752"/>
        <item t="data" h="1" sd="1" m="1" x="3904"/>
        <item t="data" h="1" sd="1" m="1" x="3200"/>
        <item t="data" h="1" sd="1" m="1" x="4753"/>
        <item t="data" h="1" sd="1" m="1" x="841"/>
        <item t="data" h="1" sd="1" m="1" x="4020"/>
        <item t="data" h="1" sd="1" m="1" x="4755"/>
        <item t="data" h="1" sd="1" m="1" x="4756"/>
        <item t="data" h="1" sd="1" m="1" x="4757"/>
        <item t="data" h="1" sd="1" m="1" x="4759"/>
        <item t="data" h="1" sd="1" m="1" x="4138"/>
        <item t="data" h="1" sd="1" m="1" x="1653"/>
        <item t="data" h="1" sd="1" m="1" x="4147"/>
        <item t="data" h="1" sd="1" m="1" x="4137"/>
        <item t="data" h="1" sd="1" m="1" x="3278"/>
        <item t="data" h="1" sd="1" m="1" x="3279"/>
        <item t="data" h="1" sd="1" m="1" x="4570"/>
        <item t="data" h="1" sd="1" m="1" x="4760"/>
        <item t="data" h="1" sd="1" m="1" x="4579"/>
        <item t="data" h="1" sd="1" m="1" x="4761"/>
        <item t="data" h="1" sd="1" m="1" x="3262"/>
        <item t="data" h="1" sd="1" m="1" x="3263"/>
        <item t="data" h="1" sd="1" m="1" x="4574"/>
        <item t="data" h="1" sd="1" m="1" x="3261"/>
        <item t="data" h="1" sd="1" m="1" x="4762"/>
        <item t="data" h="1" sd="1" m="1" x="4583"/>
        <item t="data" h="1" sd="1" m="1" x="4764"/>
        <item t="data" h="1" sd="1" m="1" x="3542"/>
        <item t="data" h="1" sd="1" m="1" x="3733"/>
        <item t="data" h="1" sd="1" m="1" x="4588"/>
        <item t="data" h="1" sd="1" m="1" x="4587"/>
        <item t="data" h="1" sd="1" m="1" x="4580"/>
        <item t="data" h="1" sd="1" m="1" x="4192"/>
        <item t="data" h="1" sd="1" m="1" x="4608"/>
        <item t="data" h="1" sd="1" m="1" x="4765"/>
        <item t="data" h="1" sd="1" m="1" x="4766"/>
        <item t="data" h="1" sd="1" m="1" x="4767"/>
        <item t="data" h="1" sd="1" m="1" x="4768"/>
        <item t="data" h="1" sd="1" m="1" x="4769"/>
        <item t="data" h="1" sd="1" m="1" x="4770"/>
        <item t="data" h="1" sd="1" m="1" x="4771"/>
        <item t="data" h="1" sd="1" m="1" x="4772"/>
        <item t="data" h="1" sd="1" m="1" x="4773"/>
        <item t="data" h="1" sd="1" m="1" x="4774"/>
        <item t="data" h="1" sd="1" m="1" x="4775"/>
        <item t="data" h="1" sd="1" m="1" x="4777"/>
        <item t="data" h="1" sd="1" m="1" x="4778"/>
        <item t="data" h="1" sd="1" m="1" x="4780"/>
        <item t="data" h="1" sd="1" m="1" x="4288"/>
        <item t="data" h="1" sd="1" m="1" x="4781"/>
        <item t="data" h="1" sd="1" m="1" x="4782"/>
        <item t="data" h="1" sd="1" m="1" x="4783"/>
        <item t="data" h="1" sd="1" m="1" x="4784"/>
        <item t="data" h="1" sd="1" m="1" x="4785"/>
        <item t="data" h="1" sd="1" m="1" x="4786"/>
        <item t="data" h="1" sd="1" m="1" x="4787"/>
        <item t="data" h="1" sd="1" m="1" x="4788"/>
        <item t="data" h="1" sd="1" m="1" x="4789"/>
        <item t="data" h="1" sd="1" m="1" x="4790"/>
        <item t="data" h="1" sd="1" m="1" x="4791"/>
        <item t="data" h="1" sd="1" m="1" x="4521"/>
        <item t="data" h="1" sd="1" m="1" x="4792"/>
        <item t="data" h="1" sd="1" m="1" x="4793"/>
        <item t="data" h="1" sd="1" m="1" x="4489"/>
        <item t="data" h="1" sd="1" m="1" x="4794"/>
        <item t="data" h="1" sd="1" m="1" x="4795"/>
        <item t="data" h="1" sd="1" m="1" x="4609"/>
        <item t="data" h="1" sd="1" m="1" x="4552"/>
        <item t="data" h="1" sd="1" m="1" x="4553"/>
        <item t="data" h="1" sd="1" m="1" x="4563"/>
        <item t="data" h="1" sd="1" m="1" x="4565"/>
        <item t="data" h="1" sd="1" m="1" x="1671"/>
        <item t="data" h="1" sd="1" m="1" x="4566"/>
        <item t="data" h="1" sd="1" m="1" x="4141"/>
        <item t="data" h="1" sd="1" m="1" x="4140"/>
        <item t="data" h="1" sd="1" m="1" x="3540"/>
        <item t="data" h="1" sd="1" m="1" x="3281"/>
        <item t="data" h="1" sd="1" m="1" x="3689"/>
        <item t="data" h="1" sd="1" m="1" x="4153"/>
        <item t="data" h="1" sd="1" m="1" x="1649"/>
        <item t="data" h="1" sd="1" m="1" x="3203"/>
        <item t="data" h="1" sd="1" m="1" x="2391"/>
        <item t="data" h="1" sd="1" m="1" x="3264"/>
        <item t="data" h="1" sd="1" m="1" x="3254"/>
        <item t="data" h="1" sd="1" m="1" x="4575"/>
        <item t="data" h="1" sd="1" m="1" x="2025"/>
        <item t="data" h="1" sd="1" m="1" x="4581"/>
        <item t="data" h="1" sd="1" m="1" x="4582"/>
        <item t="data" h="1" sd="1" m="1" x="4589"/>
        <item t="data" h="1" sd="1" m="1" x="4281"/>
        <item t="data" h="1" sd="1" m="1" x="4594"/>
        <item t="data" h="1" sd="1" m="1" x="4596"/>
        <item t="data" h="1" sd="1" m="1" x="4184"/>
        <item t="data" h="1" sd="1" m="1" x="3767"/>
        <item t="data" h="1" sd="1" m="1" x="4285"/>
        <item t="data" h="1" sd="1" m="1" x="4598"/>
        <item t="data" h="1" sd="1" m="1" x="4599"/>
        <item t="data" h="1" sd="1" m="1" x="4600"/>
        <item t="data" h="1" sd="1" m="1" x="4601"/>
        <item t="data" h="1" sd="1" m="1" x="4602"/>
        <item t="data" h="1" sd="1" m="1" x="4603"/>
        <item t="data" h="1" sd="1" m="1" x="4604"/>
        <item t="data" h="1" sd="1" m="1" x="4198"/>
        <item t="data" h="1" sd="1" m="1" x="4605"/>
        <item t="data" h="1" sd="1" m="1" x="4606"/>
        <item t="data" h="1" sd="1" m="1" x="4607"/>
        <item t="data" h="1" sd="1" m="1" x="4029"/>
        <item t="data" h="1" sd="1" m="1" x="498"/>
        <item t="data" h="1" sd="1" m="1" x="3651"/>
        <item t="data" h="1" sd="1" m="1" x="4610"/>
        <item t="data" h="1" sd="1" m="1" x="4611"/>
        <item t="data" h="1" sd="1" m="1" x="4612"/>
        <item t="data" h="1" sd="1" m="1" x="3233"/>
        <item t="data" h="1" sd="1" m="1" x="4614"/>
        <item t="data" h="1" sd="1" m="1" x="4615"/>
        <item t="data" h="1" sd="1" m="1" x="4616"/>
        <item t="data" h="1" sd="1" m="1" x="4617"/>
        <item t="data" h="1" sd="1" m="1" x="1681"/>
        <item t="data" h="1" sd="1" m="1" x="650"/>
        <item t="data" h="1" sd="1" m="1" x="4618"/>
        <item t="data" h="1" sd="1" m="1" x="4619"/>
        <item t="data" h="1" sd="1" m="1" x="4621"/>
        <item t="data" h="1" sd="1" m="1" x="4622"/>
        <item t="data" h="1" sd="1" m="1" x="3191"/>
        <item t="data" h="1" sd="1" m="1" x="4351"/>
        <item t="data" h="1" sd="1" m="1" x="4623"/>
        <item t="data" h="1" sd="1" m="1" x="4428"/>
        <item t="data" h="1" sd="1" m="1" x="3300"/>
        <item t="data" h="1" sd="1" m="1" x="4624"/>
        <item t="data" h="1" sd="1" m="1" x="4625"/>
        <item t="data" h="1" sd="1" m="1" x="4626"/>
        <item t="data" h="1" sd="1" m="1" x="3259"/>
        <item t="data" h="1" sd="1" m="1" x="1710"/>
        <item t="data" h="1" sd="1" x="334"/>
        <item t="data" h="1" sd="1" m="1" x="4627"/>
        <item t="data" h="1" sd="1" m="1" x="4628"/>
        <item t="data" h="1" sd="1" m="1" x="4629"/>
        <item t="data" h="1" sd="1" m="1" x="4630"/>
        <item t="data" h="1" sd="1" m="1" x="4631"/>
        <item t="data" h="1" sd="1" m="1" x="4632"/>
        <item t="data" h="1" sd="1" m="1" x="4429"/>
        <item t="data" h="1" sd="1" m="1" x="3950"/>
        <item t="data" h="1" sd="1" m="1" x="2926"/>
        <item t="data" h="1" sd="1" m="1" x="4206"/>
        <item t="data" h="1" sd="1" m="1" x="3737"/>
        <item t="data" h="1" sd="1" m="1" x="4633"/>
        <item t="data" h="1" sd="1" m="1" x="4634"/>
        <item t="data" h="1" sd="1" m="1" x="4635"/>
        <item t="data" h="1" sd="1" m="1" x="3539"/>
        <item t="data" h="1" sd="1" m="1" x="4636"/>
        <item t="data" h="1" sd="1" m="1" x="3535"/>
        <item t="data" h="1" sd="1" m="1" x="4637"/>
        <item t="data" h="1" sd="1" m="1" x="4282"/>
        <item t="data" h="1" sd="1" m="1" x="4091"/>
        <item t="data" h="1" sd="1" m="1" x="4638"/>
        <item t="data" h="1" sd="1" m="1" x="4284"/>
        <item t="data" h="1" sd="1" m="1" x="4639"/>
        <item t="data" h="1" sd="1" m="1" x="4640"/>
        <item t="data" h="1" sd="1" m="1" x="4479"/>
        <item t="data" h="1" sd="1" m="1" x="4641"/>
        <item t="data" h="1" sd="1" m="1" x="4642"/>
        <item t="data" h="1" sd="1" m="1" x="4644"/>
        <item t="data" h="1" sd="1" m="1" x="4645"/>
        <item t="data" h="1" sd="1" m="1" x="4478"/>
        <item t="data" h="1" sd="1" m="1" x="4286"/>
        <item t="data" h="1" sd="1" m="1" x="4646"/>
        <item t="data" h="1" sd="1" m="1" x="4283"/>
        <item t="data" h="1" sd="1" m="1" x="4481"/>
        <item t="data" h="1" sd="1" m="1" x="4150"/>
        <item t="data" h="1" sd="1" m="1" x="4647"/>
        <item t="data" h="1" sd="1" m="1" x="4483"/>
        <item t="data" h="1" sd="1" m="1" x="4484"/>
        <item t="data" h="1" sd="1" m="1" x="4290"/>
        <item t="data" h="1" sd="1" m="1" x="4648"/>
        <item t="data" h="1" sd="1" m="1" x="4291"/>
        <item t="data" h="1" sd="1" m="1" x="4293"/>
        <item t="data" h="1" sd="1" m="1" x="4063"/>
        <item t="data" h="1" sd="1" m="1" x="4294"/>
        <item t="data" h="1" sd="1" m="1" x="4649"/>
        <item t="data" h="1" sd="1" m="1" x="4650"/>
        <item t="data" h="1" sd="1" m="1" x="4651"/>
        <item t="data" h="1" sd="1" m="1" x="4652"/>
        <item t="data" h="1" sd="1" m="1" x="4653"/>
        <item t="data" h="1" sd="1" m="1" x="4654"/>
        <item t="data" h="1" sd="1" m="1" x="4252"/>
        <item t="data" h="1" sd="1" m="1" x="3130"/>
        <item t="data" h="1" sd="1" m="1" x="3905"/>
        <item t="data" h="1" sd="1" m="1" x="3898"/>
        <item t="data" h="1" sd="1" m="1" x="4477"/>
        <item t="data" h="1" sd="1" m="1" x="1679"/>
        <item t="data" h="1" sd="1" m="1" x="3258"/>
        <item t="data" h="1" sd="1" m="1" x="3257"/>
        <item t="data" h="1" sd="1" m="1" x="4274"/>
        <item t="data" h="1" sd="1" m="1" x="4275"/>
        <item t="data" h="1" sd="1" m="1" x="4277"/>
        <item t="data" h="1" sd="1" m="1" x="4431"/>
        <item t="data" h="1" sd="1" m="1" x="4033"/>
        <item t="data" h="1" sd="1" m="1" x="4287"/>
        <item t="data" h="1" sd="1" m="1" x="4480"/>
        <item t="data" h="1" sd="1" m="1" x="4485"/>
        <item t="data" h="1" sd="1" m="1" x="4486"/>
        <item t="data" h="1" sd="1" m="1" x="4487"/>
        <item t="data" h="1" sd="1" m="1" x="3219"/>
        <item t="data" h="1" sd="1" m="1" x="2643"/>
        <item t="data" h="1" sd="1" m="1" x="2507"/>
        <item t="data" h="1" sd="1" m="1" x="4296"/>
        <item t="data" h="1" sd="1" m="1" x="4266"/>
        <item t="data" h="1" sd="1" m="1" x="4160"/>
        <item t="data" h="1" sd="1" m="1" x="3498"/>
        <item t="data" h="1" sd="1" m="1" x="4267"/>
        <item t="data" h="1" sd="1" m="1" x="1667"/>
        <item t="data" h="1" sd="1" m="1" x="2379"/>
        <item t="data" h="1" sd="1" m="1" x="4490"/>
        <item t="data" h="1" sd="1" m="1" x="4491"/>
        <item t="data" h="1" sd="1" x="114"/>
        <item t="data" h="1" sd="1" m="1" x="4492"/>
        <item t="data" h="1" sd="1" m="1" x="3494"/>
        <item t="data" h="1" sd="1" m="1" x="3495"/>
        <item t="data" h="1" sd="1" m="1" x="3496"/>
        <item t="data" h="1" sd="1" m="1" x="3493"/>
        <item t="data" h="1" sd="1" m="1" x="4493"/>
        <item t="data" h="1" sd="1" m="1" x="2952"/>
        <item t="data" h="1" sd="1" m="1" x="4310"/>
        <item t="data" h="1" sd="1" m="1" x="3649"/>
        <item t="data" h="1" sd="1" m="1" x="3301"/>
        <item t="data" h="1" sd="1" m="1" x="3302"/>
        <item t="data" h="1" sd="1" m="1" x="4494"/>
        <item t="data" h="1" sd="1" m="1" x="2254"/>
        <item t="data" h="1" sd="1" m="1" x="3906"/>
        <item t="data" h="1" sd="1" m="1" x="3907"/>
        <item t="data" h="1" sd="1" m="1" x="4495"/>
        <item t="data" h="1" sd="1" m="1" x="3304"/>
        <item t="data" h="1" sd="1" m="1" x="4270"/>
        <item t="data" h="1" sd="1" m="1" x="3251"/>
        <item t="data" h="1" sd="1" m="1" x="3260"/>
        <item t="data" h="1" sd="1" m="1" x="3680"/>
        <item t="data" h="1" sd="1" m="1" x="3760"/>
        <item t="data" h="1" sd="1" m="1" x="4314"/>
        <item t="data" h="1" sd="1" m="1" x="4316"/>
        <item t="data" h="1" sd="1" m="1" x="4269"/>
        <item t="data" h="1" sd="1" m="1" x="4271"/>
        <item t="data" h="1" sd="1" m="1" x="3740"/>
        <item t="data" h="1" sd="1" m="1" x="3755"/>
        <item t="data" h="1" sd="1" m="1" x="4272"/>
        <item t="data" h="1" sd="1" m="1" x="3087"/>
        <item t="data" h="1" sd="1" m="1" x="4273"/>
        <item t="data" h="1" sd="1" m="1" x="4278"/>
        <item t="data" h="1" sd="1" m="1" x="4208"/>
        <item t="data" h="1" sd="1" m="1" x="4279"/>
        <item t="data" h="1" sd="1" m="1" x="4280"/>
        <item t="data" h="1" sd="1" m="1" x="4319"/>
        <item t="data" h="1" sd="1" m="1" x="4320"/>
        <item t="data" h="1" sd="1" m="1" x="3715"/>
        <item t="data" h="1" sd="1" m="1" x="4322"/>
        <item t="data" h="1" sd="1" m="1" x="1680"/>
        <item t="data" h="1" sd="1" m="1" x="4207"/>
        <item t="data" h="1" sd="1" m="1" x="1662"/>
        <item t="data" h="1" sd="1" m="1" x="4437"/>
        <item t="data" h="1" sd="1" m="1" x="4438"/>
        <item t="data" h="1" sd="1" m="1" x="4439"/>
        <item t="data" h="1" sd="1" m="1" x="3488"/>
        <item t="data" h="1" sd="1" m="1" x="4497"/>
        <item t="data" h="1" sd="1" m="1" x="4327"/>
        <item t="data" h="1" sd="1" m="1" x="4430"/>
        <item t="data" h="1" sd="1" m="1" x="4498"/>
        <item t="data" h="1" sd="1" m="1" x="4499"/>
        <item t="data" h="1" sd="1" m="1" x="4500"/>
        <item t="data" h="1" sd="1" m="1" x="4501"/>
        <item t="data" h="1" sd="1" m="1" x="4502"/>
        <item t="data" h="1" sd="1" m="1" x="4325"/>
        <item t="data" h="1" sd="1" m="1" x="4503"/>
        <item t="data" h="1" sd="1" m="1" x="4504"/>
        <item t="data" h="1" sd="1" m="1" x="4505"/>
        <item t="data" h="1" sd="1" m="1" x="4506"/>
        <item t="data" h="1" sd="1" m="1" x="4507"/>
        <item t="data" h="1" sd="1" m="1" x="4508"/>
        <item t="data" h="1" sd="1" m="1" x="4509"/>
        <item t="data" h="1" sd="1" m="1" x="4510"/>
        <item t="data" h="1" sd="1" m="1" x="4511"/>
        <item t="data" h="1" sd="1" m="1" x="4328"/>
        <item t="data" h="1" sd="1" m="1" x="4512"/>
        <item t="data" h="1" sd="1" m="1" x="4448"/>
        <item t="data" h="1" sd="1" m="1" x="4289"/>
        <item t="data" h="1" sd="1" m="1" x="4330"/>
        <item t="data" h="1" sd="1" m="1" x="4449"/>
        <item t="data" h="1" sd="1" m="1" x="4333"/>
        <item t="data" h="1" sd="1" m="1" x="4334"/>
        <item t="data" h="1" sd="1" m="1" x="4513"/>
        <item t="data" h="1" sd="1" m="1" x="4337"/>
        <item t="data" h="1" sd="1" m="1" x="4338"/>
        <item t="data" h="1" sd="1" m="1" x="4514"/>
        <item t="data" h="1" sd="1" m="1" x="4515"/>
        <item t="data" h="1" sd="1" m="1" x="4516"/>
        <item t="data" h="1" sd="1" m="1" x="4517"/>
        <item t="data" h="1" sd="1" m="1" x="4518"/>
        <item t="data" h="1" sd="1" m="1" x="4519"/>
        <item t="data" h="1" sd="1" m="1" x="4520"/>
        <item t="data" h="1" sd="1" m="1" x="4523"/>
        <item t="data" h="1" sd="1" m="1" x="4524"/>
        <item t="data" h="1" sd="1" m="1" x="4525"/>
        <item t="data" h="1" sd="1" m="1" x="1677"/>
        <item t="data" h="1" sd="1" m="1" x="4168"/>
        <item t="data" h="1" sd="1" m="1" x="4340"/>
        <item t="data" h="1" sd="1" m="1" x="3303"/>
        <item t="data" h="1" sd="1" m="1" x="4526"/>
        <item t="data" h="1" sd="1" m="1" x="4341"/>
        <item t="data" h="1" sd="1" m="1" x="2985"/>
        <item t="data" h="1" sd="1" m="1" x="4300"/>
        <item t="data" h="1" sd="1" m="1" x="3104"/>
        <item t="data" h="1" sd="1" m="1" x="2320"/>
        <item t="data" h="1" sd="1" m="1" x="4302"/>
        <item t="data" h="1" sd="1" m="1" x="2449"/>
        <item t="data" h="1" sd="1" m="1" x="2450"/>
        <item t="data" h="1" sd="1" m="1" x="4432"/>
        <item t="data" h="1" sd="1" m="1" x="4433"/>
        <item t="data" h="1" sd="1" m="1" x="3497"/>
        <item t="data" h="1" sd="1" m="1" x="3395"/>
        <item t="data" h="1" sd="1" m="1" x="3031"/>
        <item t="data" h="1" sd="1" m="1" x="4305"/>
        <item t="data" h="1" sd="1" x="243"/>
        <item t="data" h="1" sd="1" m="1" x="4435"/>
        <item t="data" h="1" sd="1" m="1" x="4436"/>
        <item t="data" h="1" sd="1" m="1" x="3202"/>
        <item t="data" h="1" sd="1" m="1" x="4311"/>
        <item t="data" h="1" sd="1" m="1" x="4312"/>
        <item t="data" h="1" sd="1" m="1" x="4313"/>
        <item t="data" h="1" sd="1" m="1" x="2002"/>
        <item t="data" h="1" sd="1" m="1" x="4315"/>
        <item t="data" h="1" sd="1" m="1" x="1658"/>
        <item t="data" h="1" sd="1" m="1" x="4324"/>
        <item t="data" h="1" sd="1" m="1" x="4326"/>
        <item t="data" h="1" sd="1" m="1" x="4441"/>
        <item t="data" h="1" sd="1" m="1" x="4442"/>
        <item t="data" h="1" sd="1" m="1" x="4443"/>
        <item t="data" h="1" sd="1" m="1" x="4444"/>
        <item t="data" h="1" sd="1" m="1" x="4445"/>
        <item t="data" h="1" sd="1" m="1" x="4446"/>
        <item t="data" h="1" sd="1" m="1" x="4447"/>
        <item t="data" h="1" sd="1" m="1" x="4331"/>
        <item t="data" h="1" sd="1" m="1" x="4332"/>
        <item t="data" h="1" sd="1" m="1" x="4339"/>
        <item t="data" h="1" sd="1" m="1" x="4450"/>
        <item t="data" h="1" sd="1" m="1" x="4451"/>
        <item t="data" h="1" sd="1" m="1" x="4452"/>
        <item t="data" h="1" sd="1" m="1" x="4453"/>
        <item t="data" h="1" sd="1" m="1" x="3197"/>
        <item t="data" h="1" sd="1" m="1" x="3550"/>
        <item t="data" h="1" sd="1" m="1" x="3089"/>
        <item t="data" h="1" sd="1" m="1" x="4173"/>
        <item t="data" h="1" sd="1" m="1" x="4172"/>
        <item t="data" h="1" sd="1" m="1" x="4297"/>
        <item t="data" h="1" sd="1" m="1" x="4298"/>
        <item t="data" h="1" sd="1" m="1" x="4299"/>
        <item t="data" h="1" sd="1" m="1" x="4301"/>
        <item t="data" h="1" sd="1" m="1" x="4303"/>
        <item t="data" h="1" sd="1" m="1" x="4454"/>
        <item t="data" h="1" sd="1" m="1" x="3675"/>
        <item t="data" h="1" sd="1" m="1" x="4317"/>
        <item t="data" h="1" sd="1" m="1" x="3738"/>
        <item t="data" h="1" sd="1" m="1" x="3739"/>
        <item t="data" h="1" sd="1" x="431"/>
        <item t="data" h="1" sd="1" x="432"/>
        <item t="data" h="1" sd="1" m="1" x="3336"/>
        <item t="data" h="1" sd="1" m="1" x="2730"/>
        <item t="data" h="1" sd="1" m="1" x="4321"/>
        <item t="data" h="1" sd="1" m="1" x="4323"/>
        <item t="data" h="1" sd="1" m="1" x="3952"/>
        <item t="data" h="1" sd="1" m="1" x="4455"/>
        <item t="data" h="1" sd="1" m="1" x="4456"/>
        <item t="data" h="1" sd="1" m="1" x="4457"/>
        <item t="data" h="1" sd="1" m="1" x="4459"/>
        <item t="data" h="1" sd="1" m="1" x="4460"/>
        <item t="data" h="1" sd="1" m="1" x="3216"/>
        <item t="data" h="1" sd="1" m="1" x="4461"/>
        <item t="data" h="1" sd="1" m="1" x="4462"/>
        <item t="data" h="1" sd="1" m="1" x="4463"/>
        <item t="data" h="1" sd="1" m="1" x="3981"/>
        <item t="data" h="1" sd="1" m="1" x="3953"/>
        <item t="data" h="1" sd="1" m="1" x="4464"/>
        <item t="data" h="1" sd="1" m="1" x="4465"/>
        <item t="data" h="1" sd="1" m="1" x="4466"/>
        <item t="data" h="1" sd="1" m="1" x="4335"/>
        <item t="data" h="1" sd="1" m="1" x="4467"/>
        <item t="data" h="1" sd="1" m="1" x="4336"/>
        <item t="data" h="1" sd="1" m="1" x="4468"/>
        <item t="data" h="1" sd="1" m="1" x="4200"/>
        <item t="data" h="1" sd="1" m="1" x="3215"/>
        <item t="data" h="1" sd="1" m="1" x="4469"/>
        <item t="data" h="1" sd="1" m="1" x="4470"/>
        <item t="data" h="1" sd="1" m="1" x="3213"/>
        <item t="data" h="1" sd="1" m="1" x="4471"/>
        <item t="data" h="1" sd="1" m="1" x="3094"/>
        <item t="data" h="1" sd="1" m="1" x="4215"/>
        <item t="data" h="1" sd="1" m="1" x="4217"/>
        <item t="data" h="1" sd="1" m="1" x="4342"/>
        <item t="data" h="1" sd="1" m="1" x="4343"/>
        <item t="data" h="1" sd="1" m="1" x="1506"/>
        <item t="data" h="1" sd="1" m="1" x="4344"/>
        <item t="data" h="1" sd="1" m="1" x="4345"/>
        <item t="data" h="1" sd="1" m="1" x="4346"/>
        <item t="data" h="1" sd="1" m="1" x="2319"/>
        <item t="data" h="1" sd="1" m="1" x="3554"/>
        <item t="data" h="1" sd="1" m="1" x="4347"/>
        <item t="data" h="1" sd="1" m="1" x="4348"/>
        <item t="data" h="1" sd="1" m="1" x="4349"/>
        <item t="data" h="1" sd="1" m="1" x="4350"/>
        <item t="data" h="1" sd="1" m="1" x="2951"/>
        <item t="data" h="1" sd="1" m="1" x="3174"/>
        <item t="data" h="1" sd="1" m="1" x="1650"/>
        <item t="data" h="1" sd="1" m="1" x="3585"/>
        <item t="data" h="1" sd="1" m="1" x="3190"/>
        <item t="data" h="1" sd="1" m="1" x="3817"/>
        <item t="data" h="1" sd="1" m="1" x="4352"/>
        <item t="data" h="1" sd="1" m="1" x="4353"/>
        <item t="data" h="1" sd="1" m="1" x="4354"/>
        <item t="data" h="1" sd="1" m="1" x="4355"/>
        <item t="data" h="1" sd="1" m="1" x="4132"/>
        <item t="data" h="1" sd="1" m="1" x="4133"/>
        <item t="data" h="1" sd="1" m="1" x="4356"/>
        <item t="data" h="1" sd="1" m="1" x="4357"/>
        <item t="data" h="1" sd="1" m="1" x="4358"/>
        <item t="data" h="1" sd="1" m="1" x="4359"/>
        <item t="data" h="1" sd="1" m="1" x="4360"/>
        <item t="data" h="1" sd="1" m="1" x="4361"/>
        <item t="data" h="1" sd="1" m="1" x="1655"/>
        <item t="data" h="1" sd="1" m="1" x="4362"/>
        <item t="data" h="1" sd="1" m="1" x="3252"/>
        <item t="data" h="1" sd="1" m="1" x="3253"/>
        <item t="data" h="1" sd="1" m="1" x="3255"/>
        <item t="data" h="1" sd="1" m="1" x="3248"/>
        <item t="data" h="1" sd="1" m="1" x="4081"/>
        <item t="data" h="1" sd="1" m="1" x="4363"/>
        <item t="data" h="1" sd="1" m="1" x="4364"/>
        <item t="data" h="1" sd="1" m="1" x="4365"/>
        <item t="data" h="1" sd="1" m="1" x="4181"/>
        <item t="data" h="1" sd="1" m="1" x="3529"/>
        <item t="data" h="1" sd="1" m="1" x="4366"/>
        <item t="data" h="1" sd="1" m="1" x="4368"/>
        <item t="data" h="1" sd="1" m="1" x="4369"/>
        <item t="data" h="1" sd="1" m="1" x="4370"/>
        <item t="data" h="1" sd="1" m="1" x="3758"/>
        <item t="data" h="1" sd="1" m="1" x="4373"/>
        <item t="data" h="1" sd="1" m="1" x="4374"/>
        <item t="data" h="1" sd="1" m="1" x="4375"/>
        <item t="data" h="1" sd="1" m="1" x="1660"/>
        <item t="data" h="1" sd="1" m="1" x="4205"/>
        <item t="data" h="1" sd="1" m="1" x="4376"/>
        <item t="data" h="1" sd="1" m="1" x="3530"/>
        <item t="data" h="1" sd="1" m="1" x="4377"/>
        <item t="data" h="1" sd="1" m="1" x="4378"/>
        <item t="data" h="1" sd="1" m="1" x="3948"/>
        <item t="data" h="1" sd="1" m="1" x="4379"/>
        <item t="data" h="1" sd="1" m="1" x="2088"/>
        <item t="data" h="1" sd="1" m="1" x="4380"/>
        <item t="data" h="1" sd="1" m="1" x="4381"/>
        <item t="data" h="1" sd="1" m="1" x="4382"/>
        <item t="data" h="1" sd="1" m="1" x="4383"/>
        <item t="data" h="1" sd="1" m="1" x="4385"/>
        <item t="data" h="1" sd="1" m="1" x="4386"/>
        <item t="data" h="1" sd="1" m="1" x="4387"/>
        <item t="data" h="1" sd="1" m="1" x="4388"/>
        <item t="data" h="1" sd="1" m="1" x="4389"/>
        <item t="data" h="1" sd="1" m="1" x="3983"/>
        <item t="data" h="1" sd="1" m="1" x="4390"/>
        <item t="data" h="1" sd="1" m="1" x="4391"/>
        <item t="data" h="1" sd="1" m="1" x="4392"/>
        <item t="data" h="1" sd="1" m="1" x="4393"/>
        <item t="data" h="1" sd="1" m="1" x="4036"/>
        <item t="data" h="1" sd="1" m="1" x="4394"/>
        <item t="data" h="1" sd="1" m="1" x="4395"/>
        <item t="data" h="1" sd="1" m="1" x="4396"/>
        <item t="data" h="1" sd="1" m="1" x="4397"/>
        <item t="data" h="1" sd="1" m="1" x="4398"/>
        <item t="data" h="1" sd="1" m="1" x="4399"/>
        <item t="data" h="1" sd="1" m="1" x="3963"/>
        <item t="data" h="1" sd="1" m="1" x="4400"/>
        <item t="data" h="1" sd="1" m="1" x="4401"/>
        <item t="data" h="1" sd="1" m="1" x="4402"/>
        <item t="data" h="1" sd="1" m="1" x="4403"/>
        <item t="data" h="1" sd="1" m="1" x="4404"/>
        <item t="data" h="1" sd="1" m="1" x="4405"/>
        <item t="data" h="1" sd="1" m="1" x="4406"/>
        <item t="data" h="1" sd="1" m="1" x="4407"/>
        <item t="data" h="1" sd="1" m="1" x="4408"/>
        <item t="data" h="1" sd="1" m="1" x="4409"/>
        <item t="data" h="1" sd="1" m="1" x="4410"/>
        <item t="data" h="1" sd="1" m="1" x="4411"/>
        <item t="data" h="1" sd="1" m="1" x="4412"/>
        <item t="data" h="1" sd="1" m="1" x="4413"/>
        <item t="data" h="1" sd="1" m="1" x="4414"/>
        <item t="data" h="1" sd="1" m="1" x="4415"/>
        <item t="data" h="1" sd="1" m="1" x="4416"/>
        <item t="data" h="1" sd="1" m="1" x="4417"/>
        <item t="data" h="1" sd="1" m="1" x="4418"/>
        <item t="data" h="1" sd="1" m="1" x="4034"/>
        <item t="data" h="1" sd="1" m="1" x="4035"/>
        <item t="data" h="1" sd="1" m="1" x="4419"/>
        <item t="data" h="1" sd="1" m="1" x="4420"/>
        <item t="data" h="1" sd="1" m="1" x="4421"/>
        <item t="data" h="1" sd="1" m="1" x="4422"/>
        <item t="data" h="1" sd="1" m="1" x="4156"/>
        <item t="data" h="1" sd="1" m="1" x="4117"/>
        <item t="data" h="1" sd="1" m="1" x="4118"/>
        <item t="data" h="1" sd="1" m="1" x="4119"/>
        <item t="data" h="1" sd="1" m="1" x="4120"/>
        <item t="data" h="1" sd="1" m="1" x="4121"/>
        <item t="data" h="1" sd="1" m="1" x="4122"/>
        <item t="data" h="1" sd="1" m="1" x="4123"/>
        <item t="data" h="1" sd="1" m="1" x="4124"/>
        <item t="data" h="1" sd="1" m="1" x="3985"/>
        <item t="data" h="1" sd="1" m="1" x="3982"/>
        <item t="data" h="1" sd="1" m="1" x="3986"/>
        <item t="data" h="1" sd="1" m="1" x="3980"/>
        <item t="data" h="1" sd="1" m="1" x="4126"/>
        <item t="data" h="1" sd="1" m="1" x="4127"/>
        <item t="data" h="1" sd="1" m="1" x="4128"/>
        <item t="data" h="1" sd="1" m="1" x="4129"/>
        <item t="data" h="1" sd="1" m="1" x="3997"/>
        <item t="data" h="1" sd="1" m="1" x="3999"/>
        <item t="data" h="1" sd="1" m="1" x="3882"/>
        <item t="data" h="1" sd="1" m="1" x="4000"/>
        <item t="data" h="1" sd="1" m="1" x="4001"/>
        <item t="data" h="1" sd="1" m="1" x="3998"/>
        <item t="data" h="1" sd="1" m="1" x="3873"/>
        <item t="data" h="1" sd="1" m="1" x="3874"/>
        <item t="data" h="1" sd="1" m="1" x="3875"/>
        <item t="data" h="1" sd="1" m="1" x="3871"/>
        <item t="data" h="1" sd="1" m="1" x="4007"/>
        <item t="data" h="1" sd="1" m="1" x="4010"/>
        <item t="data" h="1" sd="1" m="1" x="4008"/>
        <item t="data" h="1" sd="1" m="1" x="3996"/>
        <item t="data" h="1" sd="1" m="1" x="3872"/>
        <item t="data" h="1" sd="1" m="1" x="4003"/>
        <item t="data" h="1" sd="1" m="1" x="4004"/>
        <item t="data" h="1" sd="1" m="1" x="4002"/>
        <item t="data" h="1" sd="1" m="1" x="4009"/>
        <item t="data" h="1" sd="1" m="1" x="4011"/>
        <item t="data" h="1" sd="1" m="1" x="3987"/>
        <item t="data" h="1" sd="1" m="1" x="4013"/>
        <item t="data" h="1" sd="1" m="1" x="4014"/>
        <item t="data" h="1" sd="1" m="1" x="4017"/>
        <item t="data" h="1" sd="1" m="1" x="4018"/>
        <item t="data" h="1" sd="1" m="1" x="3819"/>
        <item t="data" h="1" sd="1" m="1" x="3899"/>
        <item t="data" h="1" sd="1" m="1" x="4136"/>
        <item t="data" h="1" sd="1" m="1" x="4142"/>
        <item t="data" h="1" sd="1" m="1" x="4144"/>
        <item t="data" h="1" sd="1" m="1" x="4027"/>
        <item t="data" h="1" sd="1" m="1" x="4145"/>
        <item t="data" h="1" sd="1" m="1" x="4028"/>
        <item t="data" h="1" sd="1" m="1" x="4146"/>
        <item t="data" h="1" sd="1" m="1" x="4148"/>
        <item t="data" h="1" sd="1" m="1" x="3491"/>
        <item t="data" h="1" sd="1" m="1" x="3394"/>
        <item t="data" h="1" sd="1" m="1" x="3913"/>
        <item t="data" h="1" sd="1" m="1" x="3914"/>
        <item t="data" h="1" sd="1" m="1" x="3915"/>
        <item t="data" h="1" sd="1" m="1" x="3917"/>
        <item t="data" h="1" sd="1" m="1" x="4149"/>
        <item t="data" h="1" sd="1" m="1" x="4151"/>
        <item t="data" h="1" sd="1" m="1" x="1496"/>
        <item t="data" h="1" sd="1" m="1" x="3618"/>
        <item t="data" h="1" sd="1" m="1" x="2977"/>
        <item t="data" h="1" sd="1" m="1" x="2980"/>
        <item t="data" h="1" sd="1" m="1" x="4154"/>
        <item t="data" h="1" sd="1" m="1" x="2979"/>
        <item t="data" h="1" sd="1" m="1" x="4032"/>
        <item t="data" h="1" sd="1" m="1" x="4155"/>
        <item t="data" h="1" sd="1" m="1" x="4038"/>
        <item t="data" h="1" sd="1" m="1" x="4043"/>
        <item t="data" h="1" sd="1" m="1" x="4157"/>
        <item t="data" h="1" sd="1" m="1" x="4158"/>
        <item t="data" h="1" sd="1" m="1" x="2637"/>
        <item t="data" h="1" sd="1" m="1" x="4161"/>
        <item t="data" h="1" sd="1" m="1" x="4165"/>
        <item t="data" h="1" sd="1" m="1" x="2988"/>
        <item t="data" h="1" sd="1" m="1" x="3929"/>
        <item t="data" h="1" sd="1" m="1" x="3662"/>
        <item t="data" h="1" sd="1" m="1" x="4053"/>
        <item t="data" h="1" sd="1" m="1" x="4054"/>
        <item t="data" h="1" sd="1" m="1" x="4055"/>
        <item t="data" h="1" sd="1" m="1" x="4049"/>
        <item t="data" h="1" sd="1" m="1" x="4048"/>
        <item t="data" h="1" sd="1" m="1" x="4064"/>
        <item t="data" h="1" sd="1" m="1" x="4065"/>
        <item t="data" h="1" sd="1" m="1" x="3843"/>
        <item t="data" h="1" sd="1" m="1" x="4066"/>
        <item t="data" h="1" sd="1" m="1" x="4067"/>
        <item t="data" h="1" sd="1" m="1" x="4068"/>
        <item t="data" h="1" sd="1" m="1" x="4069"/>
        <item t="data" h="1" sd="1" m="1" x="4044"/>
        <item t="data" h="1" sd="1" m="1" x="4046"/>
        <item t="data" h="1" sd="1" m="1" x="4047"/>
        <item t="data" h="1" sd="1" m="1" x="4045"/>
        <item t="data" h="1" sd="1" m="1" x="4052"/>
        <item t="data" h="1" sd="1" m="1" x="3669"/>
        <item t="data" h="1" sd="1" m="1" x="3670"/>
        <item t="data" h="1" sd="1" m="1" x="3668"/>
        <item t="data" h="1" sd="1" m="1" x="3666"/>
        <item t="data" h="1" sd="1" m="1" x="3667"/>
        <item t="data" h="1" sd="1" x="427"/>
        <item t="data" h="1" sd="1" m="1" x="3671"/>
        <item t="data" h="1" sd="1" m="1" x="3672"/>
        <item t="data" h="1" sd="1" m="1" x="4073"/>
        <item t="data" h="1" sd="1" m="1" x="4074"/>
        <item t="data" h="1" sd="1" m="1" x="4078"/>
        <item t="data" h="1" sd="1" m="1" x="4076"/>
        <item t="data" h="1" sd="1" m="1" x="4077"/>
        <item t="data" h="1" sd="1" m="1" x="4079"/>
        <item t="data" h="1" sd="1" m="1" x="4075"/>
        <item t="data" h="1" sd="1" m="1" x="4056"/>
        <item t="data" h="1" sd="1" m="1" x="4057"/>
        <item t="data" h="1" sd="1" m="1" x="3656"/>
        <item t="data" h="1" sd="1" m="1" x="3657"/>
        <item t="data" h="1" sd="1" m="1" x="3658"/>
        <item t="data" h="1" sd="1" m="1" x="3659"/>
        <item t="data" h="1" sd="1" m="1" x="3660"/>
        <item t="data" h="1" sd="1" m="1" x="4060"/>
        <item t="data" h="1" sd="1" m="1" x="4059"/>
        <item t="data" h="1" sd="1" m="1" x="4061"/>
        <item t="data" h="1" sd="1" m="1" x="4062"/>
        <item t="data" h="1" sd="1" m="1" x="3511"/>
        <item t="data" h="1" sd="1" m="1" x="3930"/>
        <item t="data" h="1" sd="1" m="1" x="3132"/>
        <item t="data" h="1" sd="1" m="1" x="4169"/>
        <item t="data" h="1" sd="1" m="1" x="4080"/>
        <item t="data" h="1" sd="1" m="1" x="4170"/>
        <item t="data" h="1" sd="1" m="1" x="3931"/>
        <item t="data" h="1" sd="1" m="1" x="3932"/>
        <item t="data" h="1" sd="1" m="1" x="4171"/>
        <item t="data" h="1" sd="1" m="1" x="4103"/>
        <item t="data" h="1" sd="1" m="1" x="4174"/>
        <item t="data" h="1" sd="1" m="1" x="4104"/>
        <item t="data" h="1" sd="1" m="1" x="2356"/>
        <item t="data" h="1" sd="1" m="1" x="4175"/>
        <item t="data" h="1" sd="1" m="1" x="4176"/>
        <item t="data" h="1" sd="1" m="1" x="3940"/>
        <item t="data" h="1" sd="1" m="1" x="3939"/>
        <item t="data" h="1" sd="1" m="1" x="3941"/>
        <item t="data" h="1" sd="1" m="1" x="4082"/>
        <item t="data" h="1" sd="1" m="1" x="4083"/>
        <item t="data" h="1" sd="1" m="1" x="3937"/>
        <item t="data" h="1" sd="1" m="1" x="4084"/>
        <item t="data" h="1" sd="1" m="1" x="4177"/>
        <item t="data" h="1" sd="1" m="1" x="4087"/>
        <item t="data" h="1" sd="1" m="1" x="4088"/>
        <item t="data" h="1" sd="1" m="1" x="4089"/>
        <item t="data" h="1" sd="1" m="1" x="4090"/>
        <item t="data" h="1" sd="1" m="1" x="3295"/>
        <item t="data" h="1" sd="1" m="1" x="3296"/>
        <item t="data" h="1" sd="1" m="1" x="3297"/>
        <item t="data" h="1" sd="1" m="1" x="4098"/>
        <item t="data" h="1" sd="1" m="1" x="3298"/>
        <item t="data" h="1" sd="1" m="1" x="3299"/>
        <item t="data" h="1" sd="1" m="1" x="4097"/>
        <item t="data" h="1" sd="1" m="1" x="3293"/>
        <item t="data" h="1" sd="1" m="1" x="3294"/>
        <item t="data" h="1" sd="1" m="1" x="4085"/>
        <item t="data" h="1" sd="1" m="1" x="4086"/>
        <item t="data" h="1" sd="1" m="1" x="4092"/>
        <item t="data" h="1" sd="1" m="1" x="4093"/>
        <item t="data" h="1" sd="1" m="1" x="4094"/>
        <item t="data" h="1" sd="1" m="1" x="4096"/>
        <item t="data" h="1" sd="1" m="1" x="4095"/>
        <item t="data" h="1" sd="1" m="1" x="3292"/>
        <item t="data" h="1" sd="1" m="1" x="4178"/>
        <item t="data" h="1" sd="1" m="1" x="4179"/>
        <item t="data" h="1" sd="1" m="1" x="4180"/>
        <item t="data" h="1" sd="1" m="1" x="3527"/>
        <item t="data" h="1" sd="1" m="1" x="4183"/>
        <item t="data" h="1" sd="1" m="1" x="4111"/>
        <item t="data" h="1" sd="1" m="1" x="4112"/>
        <item t="data" h="1" sd="1" m="1" x="4185"/>
        <item t="data" h="1" sd="1" m="1" x="4186"/>
        <item t="data" h="1" sd="1" m="1" x="4187"/>
        <item t="data" h="1" sd="1" m="1" x="4188"/>
        <item t="data" h="1" sd="1" m="1" x="3949"/>
        <item t="data" h="1" sd="1" m="1" x="4189"/>
        <item t="data" h="1" sd="1" m="1" x="4190"/>
        <item t="data" h="1" sd="1" m="1" x="4191"/>
        <item t="data" h="1" sd="1" m="1" x="4193"/>
        <item t="data" h="1" sd="1" m="1" x="4194"/>
        <item t="data" h="1" sd="1" m="1" x="4203"/>
        <item t="data" h="1" sd="1" m="1" x="4204"/>
        <item t="data" h="1" sd="1" m="1" x="4114"/>
        <item t="data" h="1" sd="1" m="1" x="4115"/>
        <item t="data" h="1" sd="1" m="1" x="4116"/>
        <item t="data" h="1" sd="1" x="357"/>
        <item t="data" h="1" sd="1" m="1" x="2274"/>
        <item t="data" h="1" sd="1" m="1" x="4213"/>
        <item t="data" h="1" sd="1" m="1" x="3959"/>
        <item t="data" h="1" sd="1" m="1" x="3961"/>
        <item t="data" h="1" sd="1" m="1" x="3856"/>
        <item t="data" h="1" sd="1" m="1" x="3962"/>
        <item t="data" h="1" sd="1" m="1" x="3967"/>
        <item t="data" h="1" sd="1" m="1" x="3968"/>
        <item t="data" h="1" sd="1" m="1" x="3969"/>
        <item t="data" h="1" sd="1" m="1" x="3970"/>
        <item t="data" h="1" sd="1" m="1" x="3971"/>
        <item t="data" h="1" sd="1" m="1" x="3972"/>
        <item t="data" h="1" sd="1" m="1" x="3973"/>
        <item t="data" h="1" sd="1" m="1" x="3974"/>
        <item t="data" h="1" sd="1" m="1" x="3975"/>
        <item t="data" h="1" sd="1" m="1" x="3976"/>
        <item t="data" h="1" sd="1" m="1" x="3977"/>
        <item t="data" h="1" sd="1" m="1" x="3978"/>
        <item t="data" h="1" sd="1" m="1" x="3551"/>
        <item t="data" h="1" sd="1" m="1" x="3979"/>
        <item t="data" h="1" sd="1" m="1" x="3177"/>
        <item t="data" h="1" sd="1" m="1" x="3412"/>
        <item t="data" h="1" sd="1" m="1" x="3858"/>
        <item t="data" h="1" sd="1" m="1" x="3555"/>
        <item t="data" h="1" sd="1" m="1" x="3984"/>
        <item t="data" h="1" sd="1" m="1" x="3988"/>
        <item t="data" h="1" sd="1" m="1" x="3865"/>
        <item t="data" h="1" sd="1" m="1" x="3989"/>
        <item t="data" h="1" sd="1" m="1" x="3990"/>
        <item t="data" h="1" sd="1" m="1" x="3786"/>
        <item t="data" h="1" sd="1" m="1" x="3785"/>
        <item t="data" h="1" sd="1" m="1" x="3866"/>
        <item t="data" h="1" sd="1" m="1" x="3799"/>
        <item t="data" h="1" sd="1" m="1" x="3992"/>
        <item t="data" h="1" sd="1" m="1" x="3869"/>
        <item t="data" h="1" sd="1" m="1" x="3993"/>
        <item t="data" h="1" sd="1" m="1" x="3994"/>
        <item t="data" h="1" sd="1" m="1" x="3995"/>
        <item t="data" h="1" sd="1" m="1" x="3867"/>
        <item t="data" h="1" sd="1" m="1" x="3877"/>
        <item t="data" h="1" sd="1" m="1" x="3878"/>
        <item t="data" h="1" sd="1" m="1" x="3879"/>
        <item t="data" h="1" sd="1" m="1" x="3880"/>
        <item t="data" h="1" sd="1" m="1" x="3881"/>
        <item t="data" h="1" sd="1" m="1" x="4006"/>
        <item t="data" h="1" sd="1" m="1" x="3868"/>
        <item t="data" h="1" sd="1" m="1" x="1651"/>
        <item t="data" h="1" sd="1" x="201"/>
        <item t="data" h="1" sd="1" m="1" x="3584"/>
        <item t="data" h="1" sd="1" m="1" x="4015"/>
        <item t="data" h="1" sd="1" m="1" x="1707"/>
        <item t="data" h="1" sd="1" m="1" x="4019"/>
        <item t="data" h="1" sd="1" m="1" x="3818"/>
        <item t="data" h="1" sd="1" m="1" x="2460"/>
        <item t="data" h="1" sd="1" m="1" x="3820"/>
        <item t="data" h="1" sd="1" m="1" x="3821"/>
        <item t="data" h="1" sd="1" m="1" x="3207"/>
        <item t="data" h="1" sd="1" m="1" x="4022"/>
        <item t="data" h="1" sd="1" m="1" x="4023"/>
        <item t="data" h="1" sd="1" m="1" x="4024"/>
        <item t="data" h="1" sd="1" m="1" x="4025"/>
        <item t="data" h="1" sd="1" m="1" x="4026"/>
        <item t="data" h="1" sd="1" m="1" x="3502"/>
        <item t="data" h="1" sd="1" m="1" x="3912"/>
        <item t="data" h="1" sd="1" m="1" x="3596"/>
        <item t="data" h="1" sd="1" m="1" x="3599"/>
        <item t="data" h="1" sd="1" m="1" x="3492"/>
        <item t="data" h="1" sd="1" m="1" x="3609"/>
        <item t="data" h="1" sd="1" m="1" x="3603"/>
        <item t="data" h="1" sd="1" m="1" x="4030"/>
        <item t="data" h="1" sd="1" m="1" x="4031"/>
        <item t="data" h="1" sd="1" m="1" x="3918"/>
        <item t="data" h="1" sd="1" m="1" x="4039"/>
        <item t="data" h="1" sd="1" m="1" x="4040"/>
        <item t="data" h="1" sd="1" m="1" x="4041"/>
        <item t="data" h="1" sd="1" m="1" x="4042"/>
        <item t="data" h="1" sd="1" m="1" x="3923"/>
        <item t="data" h="1" sd="1" m="1" x="3107"/>
        <item t="data" h="1" sd="1" m="1" x="3645"/>
        <item t="data" h="1" sd="1" m="1" x="3630"/>
        <item t="data" h="1" sd="1" m="1" x="2045"/>
        <item t="data" h="1" sd="1" m="1" x="3927"/>
        <item t="data" h="1" sd="1" m="1" x="3644"/>
        <item t="data" h="1" sd="1" m="1" x="3116"/>
        <item t="data" h="1" sd="1" m="1" x="3650"/>
        <item t="data" h="1" sd="1" m="1" x="4050"/>
        <item t="data" h="1" sd="1" m="1" x="3654"/>
        <item t="data" h="1" sd="1" m="1" x="3655"/>
        <item t="data" h="1" sd="1" m="1" x="3663"/>
        <item t="data" h="1" sd="1" m="1" x="3664"/>
        <item t="data" h="1" sd="1" m="1" x="4070"/>
        <item t="data" h="1" sd="1" m="1" x="4071"/>
        <item t="data" h="1" sd="1" m="1" x="4072"/>
        <item t="data" h="1" sd="1" m="1" x="3665"/>
        <item t="data" h="1" sd="1" m="1" x="3462"/>
        <item t="data" h="1" sd="1" m="1" x="3679"/>
        <item t="data" h="1" sd="1" m="1" x="3270"/>
        <item t="data" h="1" sd="1" m="1" x="3936"/>
        <item t="data" h="1" sd="1" m="1" x="2375"/>
        <item t="data" h="1" sd="1" m="1" x="4099"/>
        <item t="data" h="1" sd="1" m="1" x="4100"/>
        <item t="data" h="1" sd="1" m="1" x="4101"/>
        <item t="data" h="1" sd="1" m="1" x="4106"/>
        <item t="data" h="1" sd="1" m="1" x="4107"/>
        <item t="data" h="1" sd="1" m="1" x="4108"/>
        <item t="data" h="1" sd="1" m="1" x="4109"/>
        <item t="data" h="1" sd="1" m="1" x="4110"/>
        <item t="data" h="1" sd="1" m="1" x="3699"/>
        <item t="data" h="1" sd="1" m="1" x="3698"/>
        <item t="data" h="1" sd="1" m="1" x="3942"/>
        <item t="data" h="1" sd="1" m="1" x="3947"/>
        <item t="data" h="1" sd="1" m="1" x="3710"/>
        <item t="data" h="1" sd="1" m="1" x="3534"/>
        <item t="data" h="1" sd="1" m="1" x="3722"/>
        <item t="data" h="1" sd="1" m="1" x="3719"/>
        <item t="data" h="1" sd="1" m="1" x="3720"/>
        <item t="data" h="1" sd="1" m="1" x="3732"/>
        <item t="data" h="1" sd="1" m="1" x="4113"/>
        <item t="data" h="1" sd="1" m="1" x="1661"/>
        <item t="data" h="1" sd="1" m="1" x="3744"/>
        <item t="data" h="1" sd="1" m="1" x="3742"/>
        <item t="data" h="1" sd="1" m="1" x="3957"/>
        <item t="data" h="1" sd="1" m="1" x="3958"/>
        <item t="data" h="1" sd="1" m="1" x="3748"/>
        <item t="data" h="1" sd="1" m="1" x="2489"/>
        <item t="data" h="1" sd="1" m="1" x="3749"/>
        <item t="data" h="1" sd="1" m="1" x="3442"/>
        <item t="data" h="1" sd="1" m="1" x="3750"/>
        <item t="data" h="1" sd="1" m="1" x="3842"/>
        <item t="data" h="1" sd="1" m="1" x="3844"/>
        <item t="data" h="1" sd="1" m="1" x="3845"/>
        <item t="data" h="1" sd="1" m="1" x="3846"/>
        <item t="data" h="1" sd="1" m="1" x="3847"/>
        <item t="data" h="1" sd="1" m="1" x="3848"/>
        <item t="data" h="1" sd="1" m="1" x="883"/>
        <item t="data" h="1" sd="1" m="1" x="3546"/>
        <item t="data" h="1" sd="1" m="1" x="3849"/>
        <item t="data" h="1" sd="1" m="1" x="3850"/>
        <item t="data" h="1" sd="1" m="1" x="3851"/>
        <item t="data" h="1" sd="1" m="1" x="3852"/>
        <item t="data" h="1" sd="1" m="1" x="3853"/>
        <item t="data" h="1" sd="1" m="1" x="3854"/>
        <item t="data" h="1" sd="1" m="1" x="3855"/>
        <item t="data" h="1" sd="1" m="1" x="3857"/>
        <item t="data" h="1" sd="1" m="1" x="3859"/>
        <item t="data" h="1" sd="1" m="1" x="3765"/>
        <item t="data" h="1" sd="1" m="1" x="2128"/>
        <item t="data" h="1" sd="1" m="1" x="3860"/>
        <item t="data" h="1" sd="1" m="1" x="3861"/>
        <item t="data" h="1" sd="1" m="1" x="3862"/>
        <item t="data" h="1" sd="1" m="1" x="3863"/>
        <item t="data" h="1" sd="1" m="1" x="3883"/>
        <item t="data" h="1" sd="1" m="1" x="3807"/>
        <item t="data" h="1" sd="1" m="1" x="3805"/>
        <item t="data" h="1" sd="1" m="1" x="3806"/>
        <item t="data" h="1" sd="1" m="1" x="3789"/>
        <item t="data" h="1" sd="1" m="1" x="3884"/>
        <item t="data" h="1" sd="1" m="1" x="3790"/>
        <item t="data" h="1" sd="1" m="1" x="3791"/>
        <item t="data" h="1" sd="1" m="1" x="3793"/>
        <item t="data" h="1" sd="1" m="1" x="3794"/>
        <item t="data" h="1" sd="1" m="1" x="3885"/>
        <item t="data" h="1" sd="1" m="1" x="3795"/>
        <item t="data" h="1" sd="1" m="1" x="3796"/>
        <item t="data" h="1" sd="1" m="1" x="3797"/>
        <item t="data" h="1" sd="1" m="1" x="3798"/>
        <item t="data" h="1" sd="1" m="1" x="3886"/>
        <item t="data" h="1" sd="1" m="1" x="3887"/>
        <item t="data" h="1" sd="1" m="1" x="3801"/>
        <item t="data" h="1" sd="1" m="1" x="3888"/>
        <item t="data" h="1" sd="1" m="1" x="3802"/>
        <item t="data" h="1" sd="1" m="1" x="3889"/>
        <item t="data" h="1" sd="1" m="1" x="3803"/>
        <item t="data" h="1" sd="1" m="1" x="3890"/>
        <item t="data" h="1" sd="1" m="1" x="3787"/>
        <item t="data" h="1" sd="1" m="1" x="3891"/>
        <item t="data" h="1" sd="1" m="1" x="3788"/>
        <item t="data" h="1" sd="1" m="1" x="3892"/>
        <item t="data" h="1" sd="1" m="1" x="3894"/>
        <item t="data" h="1" sd="1" m="1" x="1855"/>
        <item t="data" h="1" sd="1" m="1" x="3589"/>
        <item t="data" h="1" sd="1" m="1" x="3591"/>
        <item t="data" h="1" sd="1" m="1" x="3592"/>
        <item t="data" h="1" sd="1" m="1" x="3896"/>
        <item t="data" h="1" sd="1" m="1" x="3897"/>
        <item t="data" h="1" sd="1" m="1" x="3909"/>
        <item t="data" h="1" sd="1" m="1" x="3911"/>
        <item t="data" h="1" sd="1" m="1" x="3594"/>
        <item t="data" h="1" sd="1" m="1" x="3212"/>
        <item t="data" h="1" sd="1" m="1" x="3916"/>
        <item t="data" h="1" sd="1" m="1" x="1690"/>
        <item t="data" h="1" sd="1" m="1" x="1691"/>
        <item t="data" h="1" sd="1" m="1" x="3610"/>
        <item t="data" h="1" sd="1" m="1" x="3608"/>
        <item t="data" h="1" sd="1" m="1" x="3827"/>
        <item t="data" h="1" sd="1" m="1" x="3920"/>
        <item t="data" h="1" sd="1" m="1" x="3924"/>
        <item t="data" h="1" sd="1" m="1" x="3925"/>
        <item t="data" h="1" sd="1" m="1" x="3631"/>
        <item t="data" h="1" sd="1" m="1" x="3643"/>
        <item t="data" h="1" sd="1" m="1" x="3642"/>
        <item t="data" h="1" sd="1" m="1" x="3109"/>
        <item t="data" h="1" sd="1" m="1" x="2986"/>
        <item t="data" h="1" sd="1" m="1" x="461"/>
        <item t="data" h="1" sd="1" m="1" x="3928"/>
        <item t="data" h="1" sd="1" m="1" x="3661"/>
        <item t="data" h="1" sd="1" m="1" x="3677"/>
        <item t="data" h="1" sd="1" m="1" x="3678"/>
        <item t="data" h="1" sd="1" m="1" x="3519"/>
        <item t="data" h="1" sd="1" m="1" x="3683"/>
        <item t="data" h="1" sd="1" m="1" x="1767"/>
        <item t="data" h="1" sd="1" m="1" x="3312"/>
        <item t="data" h="1" sd="1" m="1" x="3686"/>
        <item t="data" h="1" sd="1" m="1" x="3935"/>
        <item t="data" h="1" sd="1" m="1" x="3617"/>
        <item t="data" h="1" sd="1" m="1" x="3697"/>
        <item t="data" h="1" sd="1" m="1" x="3696"/>
        <item t="data" h="1" sd="1" m="1" x="3943"/>
        <item t="data" h="1" sd="1" m="1" x="3944"/>
        <item t="data" h="1" sd="1" m="1" x="3705"/>
        <item t="data" h="1" sd="1" m="1" x="3706"/>
        <item t="data" h="1" sd="1" m="1" x="3721"/>
        <item t="data" h="1" sd="1" m="1" x="3716"/>
        <item t="data" h="1" sd="1" m="1" x="3717"/>
        <item t="data" h="1" sd="1" m="1" x="3729"/>
        <item t="data" h="1" sd="1" m="1" x="3730"/>
        <item t="data" h="1" sd="1" m="1" x="3151"/>
        <item t="data" h="1" sd="1" m="1" x="1733"/>
        <item t="data" h="1" sd="1" m="1" x="3956"/>
        <item t="data" h="1" sd="1" m="1" x="3745"/>
        <item t="data" h="1" sd="1" m="1" x="3746"/>
        <item t="data" h="1" sd="1" m="1" x="2940"/>
        <item t="data" h="1" sd="1" m="1" x="3756"/>
        <item t="data" h="1" sd="1" m="1" x="3757"/>
        <item t="data" h="1" sd="1" m="1" x="3759"/>
        <item t="data" h="1" sd="1" m="1" x="3005"/>
        <item t="data" h="1" sd="1" m="1" x="3764"/>
        <item t="data" h="1" sd="1" m="1" x="3556"/>
        <item t="data" h="1" sd="1" m="1" x="3552"/>
        <item t="data" h="1" sd="1" m="1" x="3766"/>
        <item t="data" h="1" sd="1" m="1" x="3553"/>
        <item t="data" h="1" sd="1" m="1" x="3768"/>
        <item t="data" h="1" sd="1" m="1" x="3769"/>
        <item t="data" h="1" sd="1" m="1" x="3770"/>
        <item t="data" h="1" sd="1" m="1" x="3771"/>
        <item t="data" h="1" sd="1" m="1" x="3773"/>
        <item t="data" h="1" sd="1" m="1" x="3774"/>
        <item t="data" h="1" sd="1" m="1" x="3775"/>
        <item t="data" h="1" sd="1" m="1" x="3776"/>
        <item t="data" h="1" sd="1" m="1" x="3777"/>
        <item t="data" h="1" sd="1" m="1" x="3778"/>
        <item t="data" h="1" sd="1" m="1" x="3779"/>
        <item t="data" h="1" sd="1" m="1" x="3561"/>
        <item t="data" h="1" sd="1" m="1" x="3780"/>
        <item t="data" h="1" sd="1" m="1" x="3781"/>
        <item t="data" h="1" sd="1" m="1" x="3782"/>
        <item t="data" h="1" sd="1" m="1" x="3783"/>
        <item t="data" h="1" sd="1" m="1" x="3784"/>
        <item t="data" h="1" sd="1" m="1" x="3808"/>
        <item t="data" h="1" sd="1" m="1" x="3809"/>
        <item t="data" h="1" sd="1" m="1" x="3811"/>
        <item t="data" h="1" sd="1" m="1" x="3812"/>
        <item t="data" h="1" sd="1" m="1" x="3813"/>
        <item t="data" h="1" sd="1" m="1" x="3814"/>
        <item t="data" h="1" sd="1" m="1" x="3815"/>
        <item t="data" h="1" sd="1" m="1" x="3590"/>
        <item t="data" h="1" sd="1" m="1" x="3079"/>
        <item t="data" h="1" sd="1" m="1" x="3822"/>
        <item t="data" h="1" sd="1" m="1" x="3823"/>
        <item t="data" h="1" sd="1" m="1" x="3824"/>
        <item t="data" h="1" sd="1" m="1" x="3825"/>
        <item t="data" h="1" sd="1" m="1" x="3595"/>
        <item t="data" h="1" sd="1" m="1" x="3597"/>
        <item t="data" h="1" sd="1" m="1" x="3604"/>
        <item t="data" h="1" sd="1" m="1" x="3612"/>
        <item t="data" h="1" sd="1" m="1" x="3611"/>
        <item t="data" h="1" sd="1" m="1" x="3826"/>
        <item t="data" h="1" sd="1" m="1" x="3619"/>
        <item t="data" h="1" sd="1" m="1" x="3828"/>
        <item t="data" h="1" sd="1" m="1" x="3829"/>
        <item t="data" h="1" sd="1" m="1" x="3830"/>
        <item t="data" h="1" sd="1" m="1" x="3832"/>
        <item t="data" h="1" sd="1" m="1" x="3834"/>
        <item t="data" h="1" sd="1" m="1" x="3835"/>
        <item t="data" h="1" sd="1" m="1" x="3836"/>
        <item t="data" h="1" sd="1" m="1" x="3632"/>
        <item t="data" h="1" sd="1" m="1" x="3633"/>
        <item t="data" h="1" sd="1" m="1" x="3638"/>
        <item t="data" h="1" sd="1" m="1" x="3639"/>
        <item t="data" h="1" sd="1" m="1" x="3640"/>
        <item t="data" h="1" sd="1" m="1" x="3641"/>
        <item t="data" h="1" sd="1" m="1" x="3505"/>
        <item t="data" h="1" sd="1" m="1" x="3646"/>
        <item t="data" h="1" sd="1" m="1" x="3674"/>
        <item t="data" h="1" sd="1" m="1" x="1755"/>
        <item t="data" h="1" sd="1" m="1" x="3269"/>
        <item t="data" h="1" sd="1" m="1" x="3516"/>
        <item t="data" h="1" sd="1" m="1" x="1749"/>
        <item t="data" h="1" sd="1" m="1" x="1750"/>
        <item t="data" h="1" sd="1" m="1" x="3520"/>
        <item t="data" h="1" sd="1" x="269"/>
        <item t="data" h="1" sd="1" m="1" x="3691"/>
        <item t="data" h="1" sd="1" m="1" x="3427"/>
        <item t="data" h="1" sd="1" m="1" x="3685"/>
        <item t="data" h="1" sd="1" m="1" x="3687"/>
        <item t="data" h="1" sd="1" m="1" x="3839"/>
        <item t="data" h="1" sd="1" m="1" x="3695"/>
        <item t="data" h="1" sd="1" m="1" x="3840"/>
        <item t="data" h="1" sd="1" m="1" x="3702"/>
        <item t="data" h="1" sd="1" m="1" x="3708"/>
        <item t="data" h="1" sd="1" m="1" x="3709"/>
        <item t="data" h="1" sd="1" m="1" x="3718"/>
        <item t="data" h="1" sd="1" m="1" x="3727"/>
        <item t="data" h="1" sd="1" m="1" x="3728"/>
        <item t="data" h="1" sd="1" m="1" x="3332"/>
        <item t="data" h="1" sd="1" m="1" x="1731"/>
        <item t="data" h="1" sd="1" m="1" x="1732"/>
        <item t="data" h="1" sd="1" m="1" x="3735"/>
        <item t="data" h="1" sd="1" m="1" x="3741"/>
        <item t="data" h="1" sd="1" m="1" x="3743"/>
        <item t="data" h="1" sd="1" m="1" x="3747"/>
        <item t="data" h="1" sd="1" m="1" x="3751"/>
        <item t="data" h="1" sd="1" m="1" x="2085"/>
        <item t="data" h="1" sd="1" m="1" x="3545"/>
        <item t="data" h="1" sd="1" m="1" x="3547"/>
        <item t="data" h="1" sd="1" m="1" x="3548"/>
        <item t="data" h="1" sd="1" m="1" x="3549"/>
        <item t="data" h="1" sd="1" m="1" x="3557"/>
        <item t="data" h="1" sd="1" m="1" x="3558"/>
        <item t="data" h="1" sd="1" m="1" x="3559"/>
        <item t="data" h="1" sd="1" m="1" x="3560"/>
        <item t="data" h="1" sd="1" m="1" x="3562"/>
        <item t="data" h="1" sd="1" m="1" x="1051"/>
        <item t="data" h="1" sd="1" m="1" x="3563"/>
        <item t="data" h="1" sd="1" m="1" x="3564"/>
        <item t="data" h="1" sd="1" m="1" x="3565"/>
        <item t="data" h="1" sd="1" m="1" x="3566"/>
        <item t="data" h="1" sd="1" m="1" x="3567"/>
        <item t="data" h="1" sd="1" m="1" x="3568"/>
        <item t="data" h="1" sd="1" m="1" x="3569"/>
        <item t="data" h="1" sd="1" m="1" x="1406"/>
        <item t="data" h="1" sd="1" m="1" x="3570"/>
        <item t="data" h="1" sd="1" m="1" x="3571"/>
        <item t="data" h="1" sd="1" m="1" x="3572"/>
        <item t="data" h="1" sd="1" m="1" x="3573"/>
        <item t="data" h="1" sd="1" m="1" x="3574"/>
        <item t="data" h="1" sd="1" m="1" x="3575"/>
        <item t="data" h="1" sd="1" m="1" x="3576"/>
        <item t="data" h="1" sd="1" m="1" x="3577"/>
        <item t="data" h="1" sd="1" m="1" x="3578"/>
        <item t="data" h="1" sd="1" m="1" x="3579"/>
        <item t="data" h="1" sd="1" m="1" x="3580"/>
        <item t="data" h="1" sd="1" m="1" x="3581"/>
        <item t="data" h="1" sd="1" m="1" x="3582"/>
        <item t="data" h="1" sd="1" m="1" x="3583"/>
        <item t="data" h="1" sd="1" m="1" x="3588"/>
        <item t="data" h="1" sd="1" m="1" x="3206"/>
        <item t="data" h="1" sd="1" m="1" x="2380"/>
        <item t="data" h="1" sd="1" m="1" x="3593"/>
        <item t="data" h="1" sd="1" m="1" x="3598"/>
        <item t="data" h="1" sd="1" m="1" x="3601"/>
        <item t="data" h="1" sd="1" m="1" x="529"/>
        <item t="data" h="1" sd="1" m="1" x="3606"/>
        <item t="data" h="1" sd="1" m="1" x="3607"/>
        <item t="data" h="1" sd="1" m="1" x="3613"/>
        <item t="data" h="1" sd="1" m="1" x="3614"/>
        <item t="data" h="1" sd="1" m="1" x="3615"/>
        <item t="data" h="1" sd="1" m="1" x="1693"/>
        <item t="data" h="1" sd="1" m="1" x="3616"/>
        <item t="data" h="1" sd="1" m="1" x="2021"/>
        <item t="data" h="1" sd="1" m="1" x="3620"/>
        <item t="data" h="1" sd="1" m="1" x="3621"/>
        <item t="data" h="1" sd="1" m="1" x="3622"/>
        <item t="data" h="1" sd="1" m="1" x="3623"/>
        <item t="data" h="1" sd="1" m="1" x="3624"/>
        <item t="data" h="1" sd="1" m="1" x="3626"/>
        <item t="data" h="1" sd="1" m="1" x="3627"/>
        <item t="data" h="1" sd="1" x="230"/>
        <item t="data" h="1" sd="1" m="1" x="3629"/>
        <item t="data" h="1" sd="1" m="1" x="3108"/>
        <item t="data" h="1" sd="1" m="1" x="3635"/>
        <item t="data" h="1" sd="1" m="1" x="3636"/>
        <item t="data" h="1" sd="1" m="1" x="3637"/>
        <item t="data" h="1" sd="1" m="1" x="3676"/>
        <item t="data" h="1" sd="1" m="1" x="1748"/>
        <item t="data" h="1" sd="1" m="1" x="1751"/>
        <item t="data" h="1" sd="1" m="1" x="3682"/>
        <item t="data" h="1" sd="1" m="1" x="3684"/>
        <item t="data" h="1" sd="1" m="1" x="2336"/>
        <item t="data" h="1" sd="1" m="1" x="3311"/>
        <item t="data" h="1" sd="1" m="1" x="3690"/>
        <item t="data" h="1" sd="1" m="1" x="3701"/>
        <item t="data" h="1" sd="1" m="1" x="3707"/>
        <item t="data" h="1" sd="1" m="1" x="3533"/>
        <item t="data" h="1" sd="1" m="1" x="3711"/>
        <item t="data" h="1" sd="1" m="1" x="3712"/>
        <item t="data" h="1" sd="1" m="1" x="3713"/>
        <item t="data" h="1" sd="1" m="1" x="3714"/>
        <item t="data" h="1" sd="1" m="1" x="3723"/>
        <item t="data" h="1" sd="1" m="1" x="3724"/>
        <item t="data" h="1" sd="1" m="1" x="3725"/>
        <item t="data" h="1" sd="1" m="1" x="2919"/>
        <item t="data" h="1" sd="1" m="1" x="2920"/>
        <item t="data" h="1" sd="1" m="1" x="3734"/>
        <item t="data" h="1" sd="1" m="1" x="3150"/>
        <item t="data" h="1" sd="1" m="1" x="2573"/>
        <item t="data" h="1" sd="1" m="1" x="3736"/>
        <item t="data" h="1" sd="1" m="1" x="3761"/>
        <item t="data" h="1" sd="1" m="1" x="3762"/>
        <item t="data" h="1" sd="1" m="1" x="3763"/>
        <item t="data" h="1" sd="1" m="1" x="1747"/>
        <item t="data" h="1" sd="1" m="1" x="3466"/>
        <item t="data" h="1" sd="1" m="1" x="3467"/>
        <item t="data" h="1" sd="1" m="1" x="3169"/>
        <item t="data" h="1" sd="1" m="1" x="3468"/>
        <item t="data" h="1" sd="1" m="1" x="3469"/>
        <item t="data" h="1" sd="1" m="1" x="3470"/>
        <item t="data" h="1" sd="1" m="1" x="3471"/>
        <item t="data" h="1" sd="1" m="1" x="3472"/>
        <item t="data" h="1" sd="1" m="1" x="3346"/>
        <item t="data" h="1" sd="1" m="1" x="3473"/>
        <item t="data" h="1" sd="1" m="1" x="3474"/>
        <item t="data" h="1" sd="1" m="1" x="3475"/>
        <item t="data" h="1" sd="1" m="1" x="3476"/>
        <item t="data" h="1" sd="1" m="1" x="3477"/>
        <item t="data" h="1" sd="1" m="1" x="3478"/>
        <item t="data" h="1" sd="1" m="1" x="3479"/>
        <item t="data" h="1" sd="1" m="1" x="1041"/>
        <item t="data" h="1" sd="1" m="1" x="3187"/>
        <item t="data" h="1" sd="1" m="1" x="3480"/>
        <item t="data" h="1" sd="1" m="1" x="3481"/>
        <item t="data" h="1" sd="1" m="1" x="3482"/>
        <item t="data" h="1" sd="1" m="1" x="3483"/>
        <item t="data" h="1" sd="1" m="1" x="3484"/>
        <item t="data" h="1" sd="1" m="1" x="3375"/>
        <item t="data" h="1" sd="1" m="1" x="3376"/>
        <item t="data" h="1" sd="1" m="1" x="3377"/>
        <item t="data" h="1" sd="1" m="1" x="3074"/>
        <item t="data" h="1" sd="1" m="1" x="3078"/>
        <item t="data" h="1" sd="1" m="1" x="3081"/>
        <item t="data" h="1" sd="1" m="1" x="3379"/>
        <item t="data" h="1" sd="1" m="1" x="3084"/>
        <item t="data" h="1" sd="1" m="1" x="1705"/>
        <item t="data" h="1" sd="1" m="1" x="1456"/>
        <item t="data" h="1" sd="1" m="1" x="3393"/>
        <item t="data" h="1" sd="1" m="1" x="3489"/>
        <item t="data" h="1" sd="1" m="1" x="1694"/>
        <item t="data" h="1" sd="1" m="1" x="1695"/>
        <item t="data" h="1" sd="1" m="1" x="3397"/>
        <item t="data" h="1" sd="1" m="1" x="2597"/>
        <item t="data" h="1" sd="1" m="1" x="1703"/>
        <item t="data" h="1" sd="1" m="1" x="3499"/>
        <item t="data" h="1" sd="1" m="1" x="3500"/>
        <item t="data" h="1" sd="1" m="1" x="3504"/>
        <item t="data" h="1" sd="1" m="1" x="3506"/>
        <item t="data" h="1" sd="1" m="1" x="3414"/>
        <item t="data" h="1" sd="1" m="1" x="800"/>
        <item t="data" h="1" sd="1" m="1" x="3240"/>
        <item t="data" h="1" sd="1" m="1" x="3241"/>
        <item t="data" h="1" sd="1" m="1" x="3234"/>
        <item t="data" h="1" sd="1" m="1" x="3235"/>
        <item t="data" h="1" sd="1" m="1" x="3236"/>
        <item t="data" h="1" sd="1" m="1" x="3237"/>
        <item t="data" h="1" sd="1" m="1" x="3112"/>
        <item t="data" h="1" sd="1" m="1" x="3113"/>
        <item t="data" h="1" sd="1" m="1" x="3508"/>
        <item t="data" h="1" sd="1" m="1" x="3509"/>
        <item t="data" h="1" sd="1" m="1" x="3510"/>
        <item t="data" h="1" sd="1" m="1" x="1713"/>
        <item t="data" h="1" sd="1" m="1" x="3512"/>
        <item t="data" h="1" sd="1" m="1" x="3513"/>
        <item t="data" h="1" sd="1" m="1" x="2009"/>
        <item t="data" h="1" sd="1" m="1" x="2725"/>
        <item t="data" h="1" sd="1" m="1" x="1714"/>
        <item t="data" h="1" sd="1" m="1" x="3524"/>
        <item t="data" h="1" sd="1" m="1" x="3428"/>
        <item t="data" h="1" sd="1" m="1" x="3429"/>
        <item t="data" h="1" sd="1" m="1" x="3430"/>
        <item t="data" h="1" sd="1" m="1" x="3431"/>
        <item t="data" h="1" sd="1" m="1" x="3305"/>
        <item t="data" h="1" sd="1" m="1" x="3306"/>
        <item t="data" h="1" sd="1" m="1" x="3423"/>
        <item t="data" h="1" sd="1" m="1" x="3307"/>
        <item t="data" h="1" sd="1" m="1" x="3525"/>
        <item t="data" h="1" sd="1" m="1" x="3421"/>
        <item t="data" h="1" sd="1" m="1" x="3420"/>
        <item t="data" h="1" sd="1" m="1" x="2390"/>
        <item t="data" h="1" sd="1" m="1" x="3526"/>
        <item t="data" h="1" sd="1" m="1" x="3528"/>
        <item t="data" h="1" sd="1" m="1" x="3531"/>
        <item t="data" h="1" sd="1" m="1" x="3532"/>
        <item t="data" h="1" sd="1" m="1" x="1743"/>
        <item t="data" h="1" sd="1" m="1" x="3537"/>
        <item t="data" h="1" sd="1" m="1" x="3538"/>
        <item t="data" h="1" sd="1" m="1" x="3441"/>
        <item t="data" h="1" sd="1" m="1" x="3439"/>
        <item t="data" h="1" sd="1" m="1" x="3444"/>
        <item t="data" h="1" sd="1" m="1" x="3446"/>
        <item t="data" h="1" sd="1" m="1" x="2921"/>
        <item t="data" h="1" sd="1" m="1" x="2922"/>
        <item t="data" h="1" sd="1" m="1" x="2315"/>
        <item t="data" h="1" sd="1" m="1" x="2923"/>
        <item t="data" h="1" sd="1" m="1" x="2924"/>
        <item t="data" h="1" sd="1" m="1" x="3149"/>
        <item t="data" h="1" sd="1" m="1" x="3148"/>
        <item t="data" h="1" sd="1" m="1" x="3157"/>
        <item t="data" h="1" sd="1" m="1" x="1586"/>
        <item t="data" h="1" sd="1" m="1" x="3543"/>
        <item t="data" h="1" sd="1" m="1" x="2726"/>
        <item t="data" h="1" sd="1" m="1" x="3544"/>
        <item t="data" h="1" sd="1" m="1" x="3168"/>
        <item t="data" h="1" sd="1" m="1" x="3337"/>
        <item t="data" h="1" sd="1" m="1" x="3338"/>
        <item t="data" h="1" sd="1" m="1" x="3339"/>
        <item t="data" h="1" sd="1" m="1" x="3340"/>
        <item t="data" h="1" sd="1" m="1" x="3341"/>
        <item t="data" h="1" sd="1" m="1" x="3028"/>
        <item t="data" h="1" sd="1" m="1" x="3342"/>
        <item t="data" h="1" sd="1" m="1" x="3343"/>
        <item t="data" h="1" sd="1" m="1" x="3344"/>
        <item t="data" h="1" sd="1" m="1" x="3347"/>
        <item t="data" h="1" sd="1" m="1" x="3034"/>
        <item t="data" h="1" sd="1" m="1" x="3173"/>
        <item t="data" h="1" sd="1" m="1" x="3349"/>
        <item t="data" h="1" sd="1" m="1" x="3350"/>
        <item t="data" h="1" sd="1" m="1" x="3352"/>
        <item t="data" h="1" sd="1" m="1" x="2962"/>
        <item t="data" h="1" sd="1" m="1" x="3353"/>
        <item t="data" h="1" sd="1" m="1" x="3354"/>
        <item t="data" h="1" sd="1" m="1" x="1351"/>
        <item t="data" h="1" sd="1" m="1" x="3355"/>
        <item t="data" h="1" sd="1" m="1" x="3356"/>
        <item t="data" h="1" sd="1" m="1" x="3357"/>
        <item t="data" h="1" sd="1" m="1" x="3358"/>
        <item t="data" h="1" sd="1" m="1" x="3360"/>
        <item t="data" h="1" sd="1" m="1" x="3361"/>
        <item t="data" h="1" sd="1" m="1" x="3362"/>
        <item t="data" h="1" sd="1" m="1" x="3363"/>
        <item t="data" h="1" sd="1" m="1" x="3364"/>
        <item t="data" h="1" sd="1" m="1" x="3365"/>
        <item t="data" h="1" sd="1" m="1" x="3059"/>
        <item t="data" h="1" sd="1" m="1" x="3366"/>
        <item t="data" h="1" sd="1" m="1" x="3367"/>
        <item t="data" h="1" sd="1" m="1" x="3368"/>
        <item t="data" h="1" sd="1" m="1" x="3369"/>
        <item t="data" h="1" sd="1" m="1" x="3370"/>
        <item t="data" h="1" sd="1" m="1" x="3371"/>
        <item t="data" h="1" sd="1" m="1" x="3372"/>
        <item t="data" h="1" sd="1" m="1" x="3373"/>
        <item t="data" h="1" sd="1" m="1" x="3374"/>
        <item t="data" h="1" sd="1" m="1" x="3195"/>
        <item t="data" h="1" sd="1" m="1" x="3378"/>
        <item t="data" h="1" sd="1" m="1" x="3380"/>
        <item t="data" h="1" sd="1" m="1" x="3381"/>
        <item t="data" h="1" sd="1" m="1" x="3382"/>
        <item t="data" h="1" sd="1" m="1" x="3383"/>
        <item t="data" h="1" sd="1" m="1" x="3384"/>
        <item t="data" h="1" sd="1" m="1" x="1508"/>
        <item t="data" h="1" sd="1" m="1" x="3386"/>
        <item t="data" h="1" sd="1" m="1" x="3387"/>
        <item t="data" h="1" sd="1" m="1" x="3388"/>
        <item t="data" h="1" sd="1" m="1" x="3389"/>
        <item t="data" h="1" sd="1" m="1" x="3390"/>
        <item t="data" h="1" sd="1" m="1" x="3391"/>
        <item t="data" h="1" sd="1" m="1" x="3392"/>
        <item t="data" h="1" sd="1" m="1" x="3396"/>
        <item t="data" h="1" sd="1" m="1" x="1689"/>
        <item t="data" h="1" sd="1" m="1" x="3098"/>
        <item t="data" h="1" sd="1" m="1" x="3218"/>
        <item t="data" h="1" sd="1" m="1" x="3398"/>
        <item t="data" h="1" sd="1" m="1" x="3399"/>
        <item t="data" h="1" sd="1" m="1" x="3400"/>
        <item t="data" h="1" sd="1" m="1" x="3401"/>
        <item t="data" h="1" sd="1" m="1" x="3402"/>
        <item t="data" h="1" sd="1" m="1" x="3403"/>
        <item t="data" h="1" sd="1" m="1" x="3404"/>
        <item t="data" h="1" sd="1" m="1" x="3405"/>
        <item t="data" h="1" sd="1" m="1" x="3406"/>
        <item t="data" h="1" sd="1" m="1" x="3408"/>
        <item t="data" h="1" sd="1" m="1" x="3409"/>
        <item t="data" h="1" sd="1" m="1" x="3411"/>
        <item t="data" h="1" sd="1" m="1" x="3413"/>
        <item t="data" h="1" sd="1" m="1" x="3232"/>
        <item t="data" h="1" sd="1" m="1" x="3238"/>
        <item t="data" h="1" sd="1" m="1" x="3239"/>
        <item t="data" h="1" sd="1" m="1" x="1685"/>
        <item t="data" h="1" sd="1" m="1" x="3415"/>
        <item t="data" h="1" sd="1" m="1" x="3416"/>
        <item t="data" h="1" sd="1" m="1" x="3267"/>
        <item t="data" h="1" sd="1" m="1" x="3417"/>
        <item t="data" h="1" sd="1" m="1" x="3418"/>
        <item t="data" h="1" sd="1" m="1" x="3419"/>
        <item t="data" h="1" sd="1" m="1" x="3127"/>
        <item t="data" h="1" sd="1" m="1" x="2347"/>
        <item t="data" h="1" sd="1" m="1" x="3309"/>
        <item t="data" h="1" sd="1" m="1" x="3308"/>
        <item t="data" h="1" sd="1" m="1" x="3424"/>
        <item t="data" h="1" sd="1" m="1" x="3425"/>
        <item t="data" h="1" sd="1" m="1" x="3432"/>
        <item t="data" h="1" sd="1" m="1" x="3319"/>
        <item t="data" h="1" sd="1" m="1" x="3314"/>
        <item t="data" h="1" sd="1" m="1" x="3318"/>
        <item t="data" h="1" sd="1" m="1" x="3315"/>
        <item t="data" h="1" sd="1" m="1" x="3316"/>
        <item t="data" h="1" sd="1" m="1" x="3317"/>
        <item t="data" h="1" sd="1" m="1" x="3320"/>
        <item t="data" h="1" sd="1" m="1" x="2904"/>
        <item t="data" h="1" sd="1" m="1" x="3435"/>
        <item t="data" h="1" sd="1" m="1" x="3436"/>
        <item t="data" h="1" sd="1" m="1" x="3438"/>
        <item t="data" h="1" sd="1" m="1" x="3440"/>
        <item t="data" h="1" sd="1" m="1" x="3447"/>
        <item t="data" h="1" sd="1" m="1" x="3448"/>
        <item t="data" h="1" sd="1" m="1" x="3449"/>
        <item t="data" h="1" sd="1" m="1" x="3451"/>
        <item t="data" h="1" sd="1" m="1" x="3452"/>
        <item t="data" h="1" sd="1" x="438"/>
        <item t="data" h="1" sd="1" x="436"/>
        <item t="data" h="1" sd="1" m="1" x="3159"/>
        <item t="data" h="1" sd="1" m="1" x="3453"/>
        <item t="data" h="1" sd="1" m="1" x="3454"/>
        <item t="data" h="1" sd="1" m="1" x="1737"/>
        <item t="data" h="1" sd="1" m="1" x="1738"/>
        <item t="data" h="1" sd="1" m="1" x="1740"/>
        <item t="data" h="1" sd="1" m="1" x="1741"/>
        <item t="data" h="1" sd="1" m="1" x="1739"/>
        <item t="data" h="1" sd="1" m="1" x="1742"/>
        <item t="data" h="1" sd="1" m="1" x="3457"/>
        <item t="data" h="1" sd="1" m="1" x="3458"/>
        <item t="data" h="1" sd="1" m="1" x="3459"/>
        <item t="data" h="1" sd="1" m="1" x="3460"/>
        <item t="data" h="1" sd="1" m="1" x="3335"/>
        <item t="data" h="1" sd="1" m="1" x="3000"/>
        <item t="data" h="1" sd="1" m="1" x="3002"/>
        <item t="data" h="1" sd="1" m="1" x="3461"/>
        <item t="data" h="1" sd="1" m="1" x="3464"/>
        <item t="data" h="1" sd="1" m="1" x="3007"/>
        <item t="data" h="1" sd="1" m="1" x="3166"/>
        <item t="data" h="1" sd="1" m="1" x="3167"/>
        <item t="data" h="1" sd="1" m="1" x="3170"/>
        <item t="data" h="1" sd="1" m="1" x="3171"/>
        <item t="data" h="1" sd="1" m="1" x="3172"/>
        <item t="data" h="1" sd="1" m="1" x="3176"/>
        <item t="data" h="1" sd="1" m="1" x="3178"/>
        <item t="data" h="1" sd="1" m="1" x="3033"/>
        <item t="data" h="1" sd="1" m="1" x="3032"/>
        <item t="data" h="1" sd="1" m="1" x="2956"/>
        <item t="data" h="1" sd="1" m="1" x="3179"/>
        <item t="data" h="1" sd="1" m="1" x="3180"/>
        <item t="data" h="1" sd="1" m="1" x="3181"/>
        <item t="data" h="1" sd="1" m="1" x="3182"/>
        <item t="data" h="1" sd="1" m="1" x="3183"/>
        <item t="data" h="1" sd="1" m="1" x="2759"/>
        <item t="data" h="1" sd="1" m="1" x="3184"/>
        <item t="data" h="1" sd="1" m="1" x="3185"/>
        <item t="data" h="1" sd="1" m="1" x="3186"/>
        <item t="data" h="1" sd="1" m="1" x="3188"/>
        <item t="data" h="1" sd="1" m="1" x="3189"/>
        <item t="data" h="1" sd="1" m="1" x="3192"/>
        <item t="data" h="1" sd="1" m="1" x="3205"/>
        <item t="data" h="1" sd="1" m="1" x="3210"/>
        <item t="data" h="1" sd="1" m="1" x="3211"/>
        <item t="data" h="1" sd="1" m="1" x="2723"/>
        <item t="data" h="1" sd="1" m="1" x="1702"/>
        <item t="data" h="1" sd="1" m="1" x="3091"/>
        <item t="data" h="1" sd="1" m="1" x="3217"/>
        <item t="data" h="1" sd="1" m="1" x="3099"/>
        <item t="data" h="1" sd="1" m="1" x="2976"/>
        <item t="data" h="1" sd="1" m="1" x="3223"/>
        <item t="data" h="1" sd="1" m="1" x="3225"/>
        <item t="data" h="1" sd="1" m="1" x="3226"/>
        <item t="data" h="1" sd="1" m="1" x="3227"/>
        <item t="data" h="1" sd="1" m="1" x="3228"/>
        <item t="data" h="1" sd="1" m="1" x="3229"/>
        <item t="data" h="1" sd="1" m="1" x="3230"/>
        <item t="data" h="1" sd="1" m="1" x="3231"/>
        <item t="data" h="1" sd="1" m="1" x="3117"/>
        <item t="data" h="1" sd="1" m="1" x="3243"/>
        <item t="data" h="1" sd="1" m="1" x="3244"/>
        <item t="data" h="1" sd="1" m="1" x="3245"/>
        <item t="data" h="1" sd="1" m="1" x="1712"/>
        <item t="data" h="1" sd="1" m="1" x="3271"/>
        <item t="data" h="1" sd="1" m="1" x="3124"/>
        <item t="data" h="1" sd="1" m="1" x="2255"/>
        <item t="data" h="1" sd="1" m="1" x="3272"/>
        <item t="data" h="1" sd="1" m="1" x="3273"/>
        <item t="data" h="1" sd="1" m="1" x="3274"/>
        <item t="data" h="1" sd="1" m="1" x="3275"/>
        <item t="data" h="1" sd="1" m="1" x="3276"/>
        <item t="data" h="1" sd="1" m="1" x="3310"/>
        <item t="data" h="1" sd="1" m="1" x="3321"/>
        <item t="data" h="1" sd="1" m="1" x="3322"/>
        <item t="data" h="1" sd="1" m="1" x="3323"/>
        <item t="data" h="1" sd="1" m="1" x="3324"/>
        <item t="data" h="1" sd="1" m="1" x="3325"/>
        <item t="data" h="1" sd="1" m="1" x="3326"/>
        <item t="data" h="1" sd="1" m="1" x="3327"/>
        <item t="data" h="1" sd="1" m="1" x="3328"/>
        <item t="data" h="1" sd="1" m="1" x="3329"/>
        <item t="data" h="1" sd="1" m="1" x="3330"/>
        <item t="data" h="1" sd="1" m="1" x="2808"/>
        <item t="data" h="1" sd="1" m="1" x="3145"/>
        <item t="data" h="1" sd="1" m="1" x="3158"/>
        <item t="data" h="1" sd="1" m="1" x="3333"/>
        <item t="data" h="1" sd="1" m="1" x="3162"/>
        <item t="data" h="1" sd="1" m="1" x="1734"/>
        <item t="data" h="1" sd="1" m="1" x="1735"/>
        <item t="data" h="1" sd="1" m="1" x="3334"/>
        <item t="data" h="1" sd="1" m="1" x="3008"/>
        <item t="data" h="1" sd="1" m="1" x="3009"/>
        <item t="data" h="1" sd="1" m="1" x="3011"/>
        <item t="data" h="1" sd="1" m="1" x="3012"/>
        <item t="data" h="1" sd="1" m="1" x="3013"/>
        <item t="data" h="1" sd="1" m="1" x="3014"/>
        <item t="data" h="1" sd="1" m="1" x="3015"/>
        <item t="data" h="1" sd="1" m="1" x="1211"/>
        <item t="data" h="1" sd="1" m="1" x="3016"/>
        <item t="data" h="1" sd="1" m="1" x="3017"/>
        <item t="data" h="1" sd="1" m="1" x="3018"/>
        <item t="data" h="1" sd="1" m="1" x="3019"/>
        <item t="data" h="1" sd="1" m="1" x="3020"/>
        <item t="data" h="1" sd="1" m="1" x="3021"/>
        <item t="data" h="1" sd="1" m="1" x="3023"/>
        <item t="data" h="1" sd="1" m="1" x="3024"/>
        <item t="data" h="1" sd="1" m="1" x="3025"/>
        <item t="data" h="1" sd="1" m="1" x="3026"/>
        <item t="data" h="1" sd="1" m="1" x="3027"/>
        <item t="data" h="1" sd="1" m="1" x="3029"/>
        <item t="data" h="1" sd="1" m="1" x="3030"/>
        <item t="data" h="1" sd="1" m="1" x="2328"/>
        <item t="data" h="1" sd="1" m="1" x="3036"/>
        <item t="data" h="1" sd="1" m="1" x="3037"/>
        <item t="data" h="1" sd="1" m="1" x="3038"/>
        <item t="data" h="1" sd="1" m="1" x="3039"/>
        <item t="data" h="1" sd="1" m="1" x="3040"/>
        <item t="data" h="1" sd="1" m="1" x="3041"/>
        <item t="data" h="1" sd="1" m="1" x="3042"/>
        <item t="data" h="1" sd="1" m="1" x="3043"/>
        <item t="data" h="1" sd="1" m="1" x="3044"/>
        <item t="data" h="1" sd="1" m="1" x="3045"/>
        <item t="data" h="1" sd="1" m="1" x="3046"/>
        <item t="data" h="1" sd="1" m="1" x="3047"/>
        <item t="data" h="1" sd="1" m="1" x="3048"/>
        <item t="data" h="1" sd="1" m="1" x="3049"/>
        <item t="data" h="1" sd="1" m="1" x="3050"/>
        <item t="data" h="1" sd="1" m="1" x="3051"/>
        <item t="data" h="1" sd="1" m="1" x="3052"/>
        <item t="data" h="1" sd="1" m="1" x="3053"/>
        <item t="data" h="1" sd="1" m="1" x="3054"/>
        <item t="data" h="1" sd="1" m="1" x="3055"/>
        <item t="data" h="1" sd="1" m="1" x="3056"/>
        <item t="data" h="1" sd="1" m="1" x="3057"/>
        <item t="data" h="1" sd="1" m="1" x="3058"/>
        <item t="data" h="1" sd="1" m="1" x="3061"/>
        <item t="data" h="1" sd="1" m="1" x="3062"/>
        <item t="data" h="1" sd="1" m="1" x="3063"/>
        <item t="data" h="1" sd="1" m="1" x="3064"/>
        <item t="data" h="1" sd="1" m="1" x="3065"/>
        <item t="data" h="1" sd="1" m="1" x="3066"/>
        <item t="data" h="1" sd="1" m="1" x="3067"/>
        <item t="data" h="1" sd="1" m="1" x="3068"/>
        <item t="data" h="1" sd="1" m="1" x="3069"/>
        <item t="data" h="1" sd="1" m="1" x="3070"/>
        <item t="data" h="1" sd="1" m="1" x="3071"/>
        <item t="data" h="1" sd="1" m="1" x="3072"/>
        <item t="data" h="1" sd="1" m="1" x="3073"/>
        <item t="data" h="1" sd="1" m="1" x="2228"/>
        <item t="data" h="1" sd="1" m="1" x="3075"/>
        <item t="data" h="1" sd="1" m="1" x="2707"/>
        <item t="data" h="1" sd="1" m="1" x="3080"/>
        <item t="data" h="1" sd="1" x="276"/>
        <item t="data" h="1" sd="1" m="1" x="2383"/>
        <item t="data" h="1" sd="1" m="1" x="2381"/>
        <item t="data" h="1" sd="1" m="1" x="3082"/>
        <item t="data" h="1" sd="1" m="1" x="3083"/>
        <item t="data" h="1" sd="1" m="1" x="557"/>
        <item t="data" h="1" sd="1" m="1" x="3085"/>
        <item t="data" h="1" sd="1" m="1" x="3086"/>
        <item t="data" h="1" sd="1" m="1" x="3088"/>
        <item t="data" h="1" sd="1" m="1" x="1700"/>
        <item t="data" h="1" sd="1" m="1" x="1701"/>
        <item t="data" h="1" sd="1" m="1" x="1688"/>
        <item t="data" h="1" sd="1" m="1" x="3092"/>
        <item t="data" h="1" sd="1" m="1" x="3093"/>
        <item t="data" h="1" sd="1" m="1" x="3097"/>
        <item t="data" h="1" sd="1" m="1" x="2974"/>
        <item t="data" h="1" sd="1" m="1" x="2634"/>
        <item t="data" h="1" sd="1" m="1" x="2503"/>
        <item t="data" h="1" sd="1" m="1" x="2975"/>
        <item t="data" h="1" sd="1" m="1" x="3100"/>
        <item t="data" h="1" sd="1" m="1" x="3101"/>
        <item t="data" h="1" sd="1" m="1" x="2193"/>
        <item t="data" h="1" sd="1" m="1" x="2633"/>
        <item t="data" h="1" sd="1" m="1" x="3102"/>
        <item t="data" h="1" sd="1" m="1" x="3106"/>
        <item t="data" h="1" sd="1" m="1" x="3110"/>
        <item t="data" h="1" sd="1" m="1" x="3114"/>
        <item t="data" h="1" sd="1" m="1" x="2636"/>
        <item t="data" h="1" sd="1" m="1" x="3118"/>
        <item t="data" h="1" sd="1" m="1" x="3119"/>
        <item t="data" h="1" sd="1" m="1" x="3120"/>
        <item t="data" h="1" sd="1" m="1" x="3121"/>
        <item t="data" h="1" sd="1" m="1" x="3122"/>
        <item t="data" h="1" sd="1" m="1" x="2711"/>
        <item t="data" h="1" sd="1" m="1" x="2710"/>
        <item t="data" h="1" sd="1" m="1" x="1745"/>
        <item t="data" h="1" sd="1" m="1" x="2007"/>
        <item t="data" h="1" sd="1" m="1" x="2006"/>
        <item t="data" h="1" sd="1" m="1" x="3125"/>
        <item t="data" h="1" sd="1" m="1" x="643"/>
        <item t="data" h="1" sd="1" m="1" x="3126"/>
        <item t="data" h="1" sd="1" m="1" x="3128"/>
        <item t="data" h="1" sd="1" m="1" x="3129"/>
        <item t="data" h="1" sd="1" m="1" x="3131"/>
        <item t="data" h="1" sd="1" m="1" x="599"/>
        <item t="data" h="1" sd="1" m="1" x="1718"/>
        <item t="data" h="1" sd="1" m="1" x="3133"/>
        <item t="data" h="1" sd="1" m="1" x="1306"/>
        <item t="data" h="1" sd="1" m="1" x="2720"/>
        <item t="data" h="1" sd="1" m="1" x="2719"/>
        <item t="data" h="1" sd="1" m="1" x="1687"/>
        <item t="data" h="1" sd="1" m="1" x="2743"/>
        <item t="data" h="1" sd="1" m="1" x="3135"/>
        <item t="data" h="1" sd="1" m="1" x="3136"/>
        <item t="data" h="1" sd="1" m="1" x="3138"/>
        <item t="data" h="1" sd="1" m="1" x="3139"/>
        <item t="data" h="1" sd="1" m="1" x="3140"/>
        <item t="data" h="1" sd="1" m="1" x="3141"/>
        <item t="data" h="1" sd="1" m="1" x="3142"/>
        <item t="data" h="1" sd="1" m="1" x="2918"/>
        <item t="data" h="1" sd="1" m="1" x="2916"/>
        <item t="data" h="1" sd="1" m="1" x="2917"/>
        <item t="data" h="1" sd="1" m="1" x="3143"/>
        <item t="data" h="1" sd="1" m="1" x="3144"/>
        <item t="data" h="1" sd="1" m="1" x="3152"/>
        <item t="data" h="1" sd="1" m="1" x="3153"/>
        <item t="data" h="1" sd="1" m="1" x="2807"/>
        <item t="data" h="1" sd="1" m="1" x="3154"/>
        <item t="data" h="1" sd="1" m="1" x="1873"/>
        <item t="data" h="1" sd="1" m="1" x="3155"/>
        <item t="data" h="1" sd="1" m="1" x="3161"/>
        <item t="data" h="1" sd="1" m="1" x="1719"/>
        <item t="data" h="1" sd="1" m="1" x="1721"/>
        <item t="data" h="1" sd="1" m="1" x="3163"/>
        <item t="data" h="1" sd="1" m="1" x="3164"/>
        <item t="data" h="1" sd="1" m="1" x="3165"/>
        <item t="data" h="1" sd="1" m="1" x="2728"/>
        <item t="data" h="1" sd="1" m="1" x="2729"/>
        <item t="data" h="1" sd="1" m="1" x="2942"/>
        <item t="data" h="1" sd="1" m="1" x="2943"/>
        <item t="data" h="1" sd="1" m="1" x="2944"/>
        <item t="data" h="1" sd="1" m="1" x="2946"/>
        <item t="data" h="1" sd="1" m="1" x="2947"/>
        <item t="data" h="1" sd="1" m="1" x="2948"/>
        <item t="data" h="1" sd="1" m="1" x="2949"/>
        <item t="data" h="1" sd="1" m="1" x="2950"/>
        <item t="data" h="1" sd="1" m="1" x="2314"/>
        <item t="data" h="1" sd="1" m="1" x="2330"/>
        <item t="data" h="1" sd="1" m="1" x="2331"/>
        <item t="data" h="1" sd="1" m="1" x="2332"/>
        <item t="data" h="1" sd="1" m="1" x="2953"/>
        <item t="data" h="1" sd="1" m="1" x="2954"/>
        <item t="data" h="1" sd="1" m="1" x="2955"/>
        <item t="data" h="1" sd="1" m="1" x="2957"/>
        <item t="data" h="1" sd="1" m="1" x="2958"/>
        <item t="data" h="1" sd="1" m="1" x="1391"/>
        <item t="data" h="1" sd="1" m="1" x="829"/>
        <item t="data" h="1" sd="1" m="1" x="2959"/>
        <item t="data" h="1" sd="1" m="1" x="2960"/>
        <item t="data" h="1" sd="1" m="1" x="2961"/>
        <item t="data" h="1" sd="1" m="1" x="2963"/>
        <item t="data" h="1" sd="1" m="1" x="2964"/>
        <item t="data" h="1" sd="1" m="1" x="2966"/>
        <item t="data" h="1" sd="1" m="1" x="2457"/>
        <item t="data" h="1" sd="1" m="1" x="2458"/>
        <item t="data" h="1" sd="1" m="1" x="2763"/>
        <item t="data" h="1" sd="1" m="1" x="2762"/>
        <item t="data" h="1" sd="1" m="1" x="2967"/>
        <item t="data" h="1" sd="1" m="1" x="2382"/>
        <item t="data" h="1" sd="1" m="1" x="2581"/>
        <item t="data" h="1" sd="1" m="1" x="2017"/>
        <item t="data" h="1" sd="1" m="1" x="2018"/>
        <item t="data" h="1" sd="1" m="1" x="555"/>
        <item t="data" h="1" sd="1" m="1" x="2968"/>
        <item t="data" h="1" sd="1" m="1" x="2871"/>
        <item t="data" h="1" sd="1" m="1" x="2872"/>
        <item t="data" h="1" sd="1" m="1" x="647"/>
        <item t="data" h="1" sd="1" m="1" x="2687"/>
        <item t="data" h="1" sd="1" m="1" x="2689"/>
        <item t="data" h="1" sd="1" m="1" x="2688"/>
        <item t="data" h="1" sd="1" m="1" x="2012"/>
        <item t="data" h="1" sd="1" m="1" x="1692"/>
        <item t="data" h="1" sd="1" m="1" x="2969"/>
        <item t="data" h="1" sd="1" m="1" x="2682"/>
        <item t="data" h="1" sd="1" m="1" x="2876"/>
        <item t="data" h="1" sd="1" m="1" x="2877"/>
        <item t="data" h="1" sd="1" m="1" x="2970"/>
        <item t="data" h="1" sd="1" m="1" x="2971"/>
        <item t="data" h="1" sd="1" m="1" x="2484"/>
        <item t="data" h="1" sd="1" m="1" x="2258"/>
        <item t="data" h="1" sd="1" m="1" x="2972"/>
        <item t="data" h="1" sd="1" m="1" x="2973"/>
        <item t="data" h="1" sd="1" m="1" x="2879"/>
        <item t="data" h="1" sd="1" m="1" x="2983"/>
        <item t="data" h="1" sd="1" m="1" x="2984"/>
        <item t="data" h="1" sd="1" m="1" x="1682"/>
        <item t="data" h="1" sd="1" m="1" x="2880"/>
        <item t="data" h="1" sd="1" m="1" x="1684"/>
        <item t="data" h="1" sd="1" m="1" x="1683"/>
        <item t="data" h="1" sd="1" m="1" x="2632"/>
        <item t="data" h="1" sd="1" m="1" x="2631"/>
        <item t="data" h="1" sd="1" m="1" x="2335"/>
        <item t="data" h="1" sd="1" m="1" x="2989"/>
        <item t="data" h="1" sd="1" m="1" x="2784"/>
        <item t="data" h="1" sd="1" m="1" x="2883"/>
        <item t="data" h="1" sd="1" m="1" x="1798"/>
        <item t="data" h="1" sd="1" m="1" x="1746"/>
        <item t="data" h="1" sd="1" m="1" x="2791"/>
        <item t="data" h="1" sd="1" m="1" x="2792"/>
        <item t="data" h="1" sd="1" m="1" x="1715"/>
        <item t="data" h="1" sd="1" m="1" x="1716"/>
        <item t="data" h="1" sd="1" m="1" x="1800"/>
        <item t="data" h="1" sd="1" m="1" x="2990"/>
        <item t="data" h="1" sd="1" m="1" x="2046"/>
        <item t="data" h="1" sd="1" m="1" x="2991"/>
        <item t="data" h="1" sd="1" m="1" x="2992"/>
        <item t="data" h="1" sd="1" m="1" x="2374"/>
        <item t="data" h="1" sd="1" m="1" x="2371"/>
        <item t="data" h="1" sd="1" m="1" x="2570"/>
        <item t="data" h="1" sd="1" m="1" x="2567"/>
        <item t="data" h="1" sd="1" m="1" x="2557"/>
        <item t="data" h="1" sd="1" m="1" x="838"/>
        <item t="data" h="1" sd="1" m="1" x="2564"/>
        <item t="data" h="1" sd="1" m="1" x="2993"/>
        <item t="data" h="1" sd="1" m="1" x="2994"/>
        <item t="data" h="1" sd="1" m="1" x="2891"/>
        <item t="data" h="1" sd="1" m="1" x="2389"/>
        <item t="data" h="1" sd="1" m="1" x="2466"/>
        <item t="data" h="1" sd="1" m="1" x="2896"/>
        <item t="data" h="1" sd="1" m="1" x="2705"/>
        <item t="data" h="1" sd="1" m="1" x="2798"/>
        <item t="data" h="1" sd="1" m="1" x="2898"/>
        <item t="data" h="1" sd="1" m="1" x="2899"/>
        <item t="data" h="1" sd="1" m="1" x="2995"/>
        <item t="data" h="1" sd="1" m="1" x="2900"/>
        <item t="data" h="1" sd="1" m="1" x="2905"/>
        <item t="data" h="1" sd="1" m="1" x="2996"/>
        <item t="data" h="1" sd="1" m="1" x="2997"/>
        <item t="data" h="1" sd="1" m="1" x="2906"/>
        <item t="data" h="1" sd="1" m="1" x="2998"/>
        <item t="data" h="1" sd="1" m="1" x="2911"/>
        <item t="data" h="1" sd="1" m="1" x="2912"/>
        <item t="data" h="1" sd="1" m="1" x="2598"/>
        <item t="data" h="1" sd="1" m="1" x="1726"/>
        <item t="data" h="1" sd="1" m="1" x="1727"/>
        <item t="data" h="1" sd="1" m="1" x="1729"/>
        <item t="data" h="1" sd="1" m="1" x="653"/>
        <item t="data" h="1" sd="1" m="1" x="1723"/>
        <item t="data" h="1" sd="1" m="1" x="1724"/>
        <item t="data" h="1" sd="1" m="1" x="1814"/>
        <item t="data" h="1" sd="1" m="1" x="2932"/>
        <item t="data" h="1" sd="1" m="1" x="2933"/>
        <item t="data" h="1" sd="1" m="1" x="2935"/>
        <item t="data" h="1" sd="1" m="1" x="2931"/>
        <item t="data" h="1" sd="1" m="1" x="2925"/>
        <item t="data" h="1" sd="1" m="1" x="2927"/>
        <item t="data" h="1" sd="1" m="1" x="2928"/>
        <item t="data" h="1" sd="1" m="1" x="2929"/>
        <item t="data" h="1" sd="1" m="1" x="2930"/>
        <item t="data" h="1" sd="1" m="1" x="2941"/>
        <item t="data" h="1" sd="1" m="1" x="3004"/>
        <item t="data" h="1" sd="1" m="1" x="2014"/>
        <item t="data" h="1" sd="1" m="1" x="2744"/>
        <item t="data" h="1" sd="1" m="1" x="2746"/>
        <item t="data" h="1" sd="1" m="1" x="2813"/>
        <item t="data" h="1" sd="1" m="1" x="2814"/>
        <item t="data" h="1" sd="1" m="1" x="2815"/>
        <item t="data" h="1" sd="1" m="1" x="2816"/>
        <item t="data" h="1" sd="1" m="1" x="2817"/>
        <item t="data" h="1" sd="1" m="1" x="2818"/>
        <item t="data" h="1" sd="1" m="1" x="2819"/>
        <item t="data" h="1" sd="1" m="1" x="2820"/>
        <item t="data" h="1" sd="1" m="1" x="2821"/>
        <item t="data" h="1" sd="1" m="1" x="2822"/>
        <item t="data" h="1" sd="1" m="1" x="2823"/>
        <item t="data" h="1" sd="1" m="1" x="2548"/>
        <item t="data" h="1" sd="1" m="1" x="2824"/>
        <item t="data" h="1" sd="1" m="1" x="2753"/>
        <item t="data" h="1" sd="1" m="1" x="2825"/>
        <item t="data" h="1" sd="1" m="1" x="2317"/>
        <item t="data" h="1" sd="1" m="1" x="2752"/>
        <item t="data" h="1" sd="1" m="1" x="2316"/>
        <item t="data" h="1" sd="1" m="1" x="2192"/>
        <item t="data" h="1" sd="1" m="1" x="2191"/>
        <item t="data" h="1" sd="1" m="1" x="2826"/>
        <item t="data" h="1" sd="1" m="1" x="2827"/>
        <item t="data" h="1" sd="1" m="1" x="2828"/>
        <item t="data" h="1" sd="1" m="1" x="2829"/>
        <item t="data" h="1" sd="1" m="1" x="2830"/>
        <item t="data" h="1" sd="1" m="1" x="2831"/>
        <item t="data" h="1" sd="1" m="1" x="2832"/>
        <item t="data" h="1" sd="1" m="1" x="2833"/>
        <item t="data" h="1" sd="1" m="1" x="2834"/>
        <item t="data" h="1" sd="1" m="1" x="2835"/>
        <item t="data" h="1" sd="1" m="1" x="2836"/>
        <item t="data" h="1" sd="1" m="1" x="2837"/>
        <item t="data" h="1" sd="1" m="1" x="2838"/>
        <item t="data" h="1" sd="1" m="1" x="2839"/>
        <item t="data" h="1" sd="1" m="1" x="2664"/>
        <item t="data" h="1" sd="1" m="1" x="2841"/>
        <item t="data" h="1" sd="1" m="1" x="2843"/>
        <item t="data" h="1" sd="1" m="1" x="2844"/>
        <item t="data" h="1" sd="1" m="1" x="2845"/>
        <item t="data" h="1" sd="1" m="1" x="2846"/>
        <item t="data" h="1" sd="1" m="1" x="2847"/>
        <item t="data" h="1" sd="1" m="1" x="2848"/>
        <item t="data" h="1" sd="1" m="1" x="2849"/>
        <item t="data" h="1" sd="1" m="1" x="2850"/>
        <item t="data" h="1" sd="1" m="1" x="2851"/>
        <item t="data" h="1" sd="1" m="1" x="2852"/>
        <item t="data" h="1" sd="1" m="1" x="2853"/>
        <item t="data" h="1" sd="1" m="1" x="2855"/>
        <item t="data" h="1" sd="1" m="1" x="2856"/>
        <item t="data" h="1" sd="1" m="1" x="2857"/>
        <item t="data" h="1" sd="1" m="1" x="2858"/>
        <item t="data" h="1" sd="1" m="1" x="2859"/>
        <item t="data" h="1" sd="1" m="1" x="2860"/>
        <item t="data" h="1" sd="1" m="1" x="2862"/>
        <item t="data" h="1" sd="1" m="1" x="2864"/>
        <item t="data" h="1" sd="1" m="1" x="2865"/>
        <item t="data" h="1" sd="1" m="1" x="2866"/>
        <item t="data" h="1" sd="1" m="1" x="2043"/>
        <item t="data" h="1" sd="1" m="1" x="2341"/>
        <item t="data" h="1" sd="1" m="1" x="2227"/>
        <item t="data" h="1" sd="1" m="1" x="2694"/>
        <item t="data" h="1" sd="1" m="1" x="2867"/>
        <item t="data" h="1" sd="1" m="1" x="562"/>
        <item t="data" h="1" sd="1" m="1" x="2868"/>
        <item t="data" h="1" sd="1" m="1" x="2869"/>
        <item t="data" h="1" sd="1" m="1" x="2708"/>
        <item t="data" h="1" sd="1" m="1" x="579"/>
        <item t="data" h="1" sd="1" m="1" x="2028"/>
        <item t="data" h="1" sd="1" m="1" x="2019"/>
        <item t="data" h="1" sd="1" m="1" x="507"/>
        <item t="data" h="1" sd="1" m="1" x="2686"/>
        <item t="data" h="1" sd="1" m="1" x="1774"/>
        <item t="data" h="1" sd="1" m="1" x="2878"/>
        <item t="data" h="1" sd="1" m="1" x="2396"/>
        <item t="data" h="1" sd="1" m="1" x="2323"/>
        <item t="data" h="1" sd="1" m="1" x="2324"/>
        <item t="data" h="1" sd="1" m="1" x="1776"/>
        <item t="data" h="1" sd="1" m="1" x="2881"/>
        <item t="data" h="1" sd="1" m="1" x="2882"/>
        <item t="data" h="1" sd="1" m="1" x="1488"/>
        <item t="data" h="1" sd="1" m="1" x="1760"/>
        <item t="data" h="1" sd="1" m="1" x="2779"/>
        <item t="data" h="1" sd="1" m="1" x="2780"/>
        <item t="data" h="1" sd="1" m="1" x="2781"/>
        <item t="data" h="1" sd="1" m="1" x="2783"/>
        <item t="data" h="1" sd="1" m="1" x="2884"/>
        <item t="data" h="1" sd="1" m="1" x="2885"/>
        <item t="data" h="1" sd="1" m="1" x="2886"/>
        <item t="data" h="1" sd="1" m="1" x="2887"/>
        <item t="data" h="1" sd="1" m="1" x="2789"/>
        <item t="data" h="1" sd="1" m="1" x="2889"/>
        <item t="data" h="1" sd="1" m="1" x="2355"/>
        <item t="data" h="1" sd="1" m="1" x="2890"/>
        <item t="data" h="1" sd="1" m="1" x="2892"/>
        <item t="data" h="1" sd="1" m="1" x="2893"/>
        <item t="data" h="1" sd="1" m="1" x="2569"/>
        <item t="data" h="1" sd="1" m="1" x="2895"/>
        <item t="data" h="1" sd="1" m="1" x="1802"/>
        <item t="data" h="1" sd="1" m="1" x="604"/>
        <item t="data" h="1" sd="1" m="1" x="2026"/>
        <item t="data" h="1" sd="1" m="1" x="2901"/>
        <item t="data" h="1" sd="1" m="1" x="2902"/>
        <item t="data" h="1" sd="1" m="1" x="2803"/>
        <item t="data" h="1" sd="1" m="1" x="1827"/>
        <item t="data" h="1" sd="1" m="1" x="1843"/>
        <item t="data" h="1" sd="1" m="1" x="2903"/>
        <item t="data" h="1" sd="1" m="1" x="2907"/>
        <item t="data" h="1" sd="1" m="1" x="2411"/>
        <item t="data" h="1" sd="1" m="1" x="2908"/>
        <item t="data" h="1" sd="1" m="1" x="2412"/>
        <item t="data" h="1" sd="1" m="1" x="2413"/>
        <item t="data" h="1" sd="1" m="1" x="2910"/>
        <item t="data" h="1" sd="1" m="1" x="2414"/>
        <item t="data" h="1" sd="1" m="1" x="2914"/>
        <item t="data" h="1" sd="1" m="1" x="2415"/>
        <item t="data" h="1" sd="1" m="1" x="2416"/>
        <item t="data" h="1" sd="1" m="1" x="2915"/>
        <item t="data" h="1" sd="1" m="1" x="1829"/>
        <item t="data" h="1" sd="1" m="1" x="1830"/>
        <item t="data" h="1" sd="1" m="1" x="2937"/>
        <item t="data" h="1" sd="1" m="1" x="2938"/>
        <item t="data" h="1" sd="1" m="1" x="2939"/>
        <item t="data" h="1" sd="1" m="1" x="1834"/>
        <item t="data" h="1" sd="1" m="1" x="2745"/>
        <item t="data" h="1" sd="1" x="285"/>
        <item t="data" h="1" sd="1" m="1" x="2747"/>
        <item t="data" h="1" sd="1" m="1" x="2748"/>
        <item t="data" h="1" sd="1" m="1" x="825"/>
        <item t="data" h="1" sd="1" m="1" x="2749"/>
        <item t="data" h="1" sd="1" m="1" x="2750"/>
        <item t="data" h="1" sd="1" m="1" x="2751"/>
        <item t="data" h="1" sd="1" m="1" x="2354"/>
        <item t="data" h="1" sd="1" m="1" x="2754"/>
        <item t="data" h="1" sd="1" m="1" x="2755"/>
        <item t="data" h="1" sd="1" m="1" x="2677"/>
        <item t="data" h="1" sd="1" m="1" x="2672"/>
        <item t="data" h="1" sd="1" m="1" x="2756"/>
        <item t="data" h="1" sd="1" m="1" x="2674"/>
        <item t="data" h="1" sd="1" m="1" x="2675"/>
        <item t="data" h="1" sd="1" m="1" x="760"/>
        <item t="data" h="1" sd="1" m="1" x="2757"/>
        <item t="data" h="1" sd="1" m="1" x="2758"/>
        <item t="data" h="1" sd="1" m="1" x="2658"/>
        <item t="data" h="1" sd="1" m="1" x="2513"/>
        <item t="data" h="1" sd="1" m="1" x="2189"/>
        <item t="data" h="1" sd="1" m="1" x="2190"/>
        <item t="data" h="1" sd="1" m="1" x="2760"/>
        <item t="data" h="1" sd="1" m="1" x="2761"/>
        <item t="data" h="1" sd="1" m="1" x="2385"/>
        <item t="data" h="1" sd="1" m="1" x="2016"/>
        <item t="data" h="1" sd="1" m="1" x="1781"/>
        <item t="data" h="1" sd="1" m="1" x="2766"/>
        <item t="data" h="1" sd="1" m="1" x="2767"/>
        <item t="data" h="1" sd="1" m="1" x="2768"/>
        <item t="data" h="1" sd="1" m="1" x="2769"/>
        <item t="data" h="1" sd="1" m="1" x="1771"/>
        <item t="data" h="1" sd="1" m="1" x="1772"/>
        <item t="data" h="1" sd="1" m="1" x="2770"/>
        <item t="data" h="1" sd="1" m="1" x="1775"/>
        <item t="data" h="1" sd="1" m="1" x="2011"/>
        <item t="data" h="1" sd="1" m="1" x="1807"/>
        <item t="data" h="1" sd="1" m="1" x="2394"/>
        <item t="data" h="1" sd="1" m="1" x="2772"/>
        <item t="data" h="1" sd="1" m="1" x="2773"/>
        <item t="data" h="1" sd="1" m="1" x="2774"/>
        <item t="data" h="1" sd="1" m="1" x="2775"/>
        <item t="data" h="1" sd="1" m="1" x="2646"/>
        <item t="data" h="1" sd="1" m="1" x="2699"/>
        <item t="data" h="1" sd="1" m="1" x="1796"/>
        <item t="data" h="1" sd="1" m="1" x="2785"/>
        <item t="data" h="1" sd="1" m="1" x="2786"/>
        <item t="data" h="1" sd="1" m="1" x="1839"/>
        <item t="data" h="1" sd="1" m="1" x="2790"/>
        <item t="data" h="1" sd="1" m="1" x="2023"/>
        <item t="data" h="1" sd="1" m="1" x="2370"/>
        <item t="data" h="1" sd="1" m="1" x="2793"/>
        <item t="data" h="1" sd="1" m="1" x="2372"/>
        <item t="data" h="1" sd="1" m="1" x="2553"/>
        <item t="data" h="1" sd="1" m="1" x="2558"/>
        <item t="data" h="1" sd="1" m="1" x="2554"/>
        <item t="data" h="1" sd="1" m="1" x="2555"/>
        <item t="data" h="1" sd="1" m="1" x="2559"/>
        <item t="data" h="1" sd="1" m="1" x="2701"/>
        <item t="data" h="1" sd="1" m="1" x="2795"/>
        <item t="data" h="1" sd="1" m="1" x="2796"/>
        <item t="data" h="1" sd="1" m="1" x="2797"/>
        <item t="data" h="1" sd="1" m="1" x="2395"/>
        <item t="data" h="1" sd="1" m="1" x="2799"/>
        <item t="data" h="1" sd="1" m="1" x="2800"/>
        <item t="data" h="1" sd="1" m="1" x="2801"/>
        <item t="data" h="1" sd="1" m="1" x="2802"/>
        <item t="data" h="1" sd="1" m="1" x="2030"/>
        <item t="data" h="1" sd="1" m="1" x="2031"/>
        <item t="data" h="1" sd="1" m="1" x="2741"/>
        <item t="data" h="1" sd="1" m="1" x="2742"/>
        <item t="data" h="1" sd="1" m="1" x="2399"/>
        <item t="data" h="1" sd="1" m="1" x="2804"/>
        <item t="data" h="1" sd="1" m="1" x="2805"/>
        <item t="data" h="1" sd="1" m="1" x="2400"/>
        <item t="data" h="1" sd="1" m="1" x="2401"/>
        <item t="data" h="1" sd="1" m="1" x="2402"/>
        <item t="data" h="1" sd="1" m="1" x="2806"/>
        <item t="data" h="1" sd="1" x="190"/>
        <item t="data" h="1" sd="1" m="1" x="2810"/>
        <item t="data" h="1" sd="1" m="1" x="2811"/>
        <item t="data" h="1" sd="1" m="1" x="1812"/>
        <item t="data" h="1" sd="1" m="1" x="1998"/>
        <item t="data" h="1" sd="1" m="1" x="2600"/>
        <item t="data" h="1" sd="1" m="1" x="2613"/>
        <item t="data" h="1" sd="1" m="1" x="2494"/>
        <item t="data" h="1" sd="1" m="1" x="2614"/>
        <item t="data" h="1" sd="1" m="1" x="2615"/>
        <item t="data" h="1" sd="1" m="1" x="2616"/>
        <item t="data" h="1" sd="1" m="1" x="2617"/>
        <item t="data" h="1" sd="1" m="1" x="2618"/>
        <item t="data" h="1" sd="1" m="1" x="2619"/>
        <item t="data" h="1" sd="1" m="1" x="2620"/>
        <item t="data" h="1" sd="1" m="1" x="2621"/>
        <item t="data" h="1" sd="1" m="1" x="2622"/>
        <item t="data" h="1" sd="1" m="1" x="2623"/>
        <item t="data" h="1" sd="1" m="1" x="2624"/>
        <item t="data" h="1" sd="1" m="1" x="2625"/>
        <item t="data" h="1" sd="1" m="1" x="2626"/>
        <item t="data" h="1" sd="1" m="1" x="2627"/>
        <item t="data" h="1" sd="1" m="1" x="2628"/>
        <item t="data" h="1" sd="1" m="1" x="2629"/>
        <item t="data" h="1" sd="1" m="1" x="2630"/>
        <item t="data" h="1" sd="1" m="1" x="2504"/>
        <item t="data" h="1" sd="1" m="1" x="2505"/>
        <item t="data" h="1" sd="1" m="1" x="2502"/>
        <item t="data" h="1" sd="1" m="1" x="2635"/>
        <item t="data" h="1" sd="1" m="1" x="2638"/>
        <item t="data" h="1" sd="1" m="1" x="2639"/>
        <item t="data" h="1" sd="1" m="1" x="2640"/>
        <item t="data" h="1" sd="1" m="1" x="2509"/>
        <item t="data" h="1" sd="1" m="1" x="2642"/>
        <item t="data" h="1" sd="1" m="1" x="2508"/>
        <item t="data" h="1" sd="1" m="1" x="2645"/>
        <item t="data" h="1" sd="1" m="1" x="2044"/>
        <item t="data" h="1" sd="1" m="1" x="2425"/>
        <item t="data" h="1" sd="1" m="1" x="2647"/>
        <item t="data" h="1" sd="1" m="1" x="2648"/>
        <item t="data" h="1" sd="1" m="1" x="2649"/>
        <item t="data" h="1" sd="1" m="1" x="1765"/>
        <item t="data" h="1" sd="1" m="1" x="2650"/>
        <item t="data" h="1" sd="1" m="1" x="2525"/>
        <item t="data" h="1" sd="1" m="1" x="2651"/>
        <item t="data" h="1" sd="1" m="1" x="2652"/>
        <item t="data" h="1" sd="1" m="1" x="2522"/>
        <item t="data" h="1" sd="1" m="1" x="2523"/>
        <item t="data" h="1" sd="1" m="1" x="2653"/>
        <item t="data" h="1" sd="1" m="1" x="2654"/>
        <item t="data" h="1" sd="1" m="1" x="2655"/>
        <item t="data" h="1" sd="1" m="1" x="2656"/>
        <item t="data" h="1" sd="1" m="1" x="2657"/>
        <item t="data" h="1" sd="1" m="1" x="2659"/>
        <item t="data" h="1" sd="1" m="1" x="2660"/>
        <item t="data" h="1" sd="1" m="1" x="2661"/>
        <item t="data" h="1" sd="1" m="1" x="2662"/>
        <item t="data" h="1" sd="1" m="1" x="2428"/>
        <item t="data" h="1" sd="1" m="1" x="2521"/>
        <item t="data" h="1" sd="1" m="1" x="2663"/>
        <item t="data" h="1" sd="1" m="1" x="2665"/>
        <item t="data" h="1" sd="1" m="1" x="918"/>
        <item t="data" h="1" sd="1" m="1" x="2517"/>
        <item t="data" h="1" sd="1" m="1" x="2666"/>
        <item t="data" h="1" sd="1" m="1" x="2667"/>
        <item t="data" h="1" sd="1" m="1" x="2524"/>
        <item t="data" h="1" sd="1" m="1" x="2668"/>
        <item t="data" h="1" sd="1" m="1" x="2669"/>
        <item t="data" h="1" sd="1" m="1" x="2670"/>
        <item t="data" h="1" sd="1" m="1" x="2671"/>
        <item t="data" h="1" sd="1" m="1" x="2520"/>
        <item t="data" h="1" sd="1" m="1" x="2518"/>
        <item t="data" h="1" sd="1" m="1" x="2519"/>
        <item t="data" h="1" sd="1" m="1" x="2679"/>
        <item t="data" h="1" sd="1" m="1" x="2680"/>
        <item t="data" h="1" sd="1" m="1" x="2541"/>
        <item t="data" h="1" sd="1" m="1" x="2318"/>
        <item t="data" h="1" sd="1" m="1" x="2681"/>
        <item t="data" h="1" sd="1" x="160"/>
        <item t="data" h="1" sd="1" x="161"/>
        <item t="data" h="1" sd="1" m="1" x="2685"/>
        <item t="data" h="1" sd="1" m="1" x="2326"/>
        <item t="data" h="1" sd="1" m="1" x="2690"/>
        <item t="data" h="1" sd="1" m="1" x="2327"/>
        <item t="data" h="1" sd="1" m="1" x="2691"/>
        <item t="data" h="1" sd="1" m="1" x="2343"/>
        <item t="data" h="1" sd="1" m="1" x="2344"/>
        <item t="data" h="1" sd="1" m="1" x="2345"/>
        <item t="data" h="1" sd="1" m="1" x="2340"/>
        <item t="data" h="1" sd="1" m="1" x="2036"/>
        <item t="data" h="1" sd="1" m="1" x="2693"/>
        <item t="data" h="1" sd="1" m="1" x="2695"/>
        <item t="data" h="1" sd="1" m="1" x="2462"/>
        <item t="data" h="1" sd="1" m="1" x="2351"/>
        <item t="data" h="1" sd="1" m="1" x="2698"/>
        <item t="data" h="1" sd="1" m="1" x="1783"/>
        <item t="data" h="1" sd="1" m="1" x="2550"/>
        <item t="data" h="1" sd="1" m="1" x="2551"/>
        <item t="data" h="1" sd="1" m="1" x="2352"/>
        <item t="data" h="1" sd="1" m="1" x="1788"/>
        <item t="data" h="1" sd="1" m="1" x="2700"/>
        <item t="data" h="1" sd="1" m="1" x="2562"/>
        <item t="data" h="1" sd="1" m="1" x="2561"/>
        <item t="data" h="1" sd="1" m="1" x="2563"/>
        <item t="data" h="1" sd="1" m="1" x="2702"/>
        <item t="data" h="1" sd="1" m="1" x="2572"/>
        <item t="data" h="1" sd="1" m="1" x="2703"/>
        <item t="data" h="1" sd="1" m="1" x="2704"/>
        <item t="data" h="1" sd="1" m="1" x="2040"/>
        <item t="data" h="1" sd="1" m="1" x="2706"/>
        <item t="data" h="1" sd="1" m="1" x="1791"/>
        <item t="data" h="1" sd="1" m="1" x="2578"/>
        <item t="data" h="1" sd="1" m="1" x="2580"/>
        <item t="data" h="1" sd="1" m="1" x="2579"/>
        <item t="data" h="1" sd="1" m="1" x="2386"/>
        <item t="data" h="1" sd="1" m="1" x="2022"/>
        <item t="data" h="1" sd="1" m="1" x="2709"/>
        <item t="data" h="1" sd="1" m="1" x="2712"/>
        <item t="data" h="1" sd="1" m="1" x="1797"/>
        <item t="data" h="1" sd="1" m="1" x="586"/>
        <item t="data" h="1" sd="1" m="1" x="955"/>
        <item t="data" h="1" sd="1" m="1" x="2714"/>
        <item t="data" h="1" sd="1" m="1" x="2715"/>
        <item t="data" h="1" sd="1" m="1" x="2716"/>
        <item t="data" h="1" sd="1" m="1" x="2717"/>
        <item t="data" h="1" sd="1" m="1" x="2718"/>
        <item t="data" h="1" sd="1" m="1" x="2721"/>
        <item t="data" h="1" sd="1" m="1" x="2722"/>
        <item t="data" h="1" sd="1" m="1" x="1809"/>
        <item t="data" h="1" sd="1" m="1" x="1813"/>
        <item t="data" h="1" sd="1" m="1" x="2724"/>
        <item t="data" h="1" sd="1" m="1" x="2269"/>
        <item t="data" h="1" sd="1" m="1" x="1823"/>
        <item t="data" h="1" sd="1" m="1" x="2731"/>
        <item t="data" h="1" sd="1" m="1" x="2732"/>
        <item t="data" h="1" sd="1" m="1" x="2733"/>
        <item t="data" h="1" sd="1" m="1" x="2735"/>
        <item t="data" h="1" sd="1" m="1" x="2609"/>
        <item t="data" h="1" sd="1" m="1" x="2737"/>
        <item t="data" h="1" sd="1" m="1" x="2738"/>
        <item t="data" h="1" sd="1" m="1" x="1826"/>
        <item t="data" h="1" sd="1" m="1" x="2739"/>
        <item t="data" h="1" sd="1" m="1" x="2740"/>
        <item t="data" h="1" sd="1" m="1" x="2032"/>
        <item t="data" h="1" sd="1" m="1" x="2033"/>
        <item t="data" h="1" sd="1" m="1" x="2493"/>
        <item t="data" h="1" sd="1" m="1" x="2495"/>
        <item t="data" h="1" sd="1" m="1" x="2496"/>
        <item t="data" h="1" sd="1" m="1" x="2497"/>
        <item t="data" h="1" sd="1" m="1" x="2498"/>
        <item t="data" h="1" sd="1" m="1" x="2499"/>
        <item t="data" h="1" sd="1" m="1" x="2500"/>
        <item t="data" h="1" sd="1" m="1" x="2501"/>
        <item t="data" h="1" sd="1" m="1" x="1757"/>
        <item t="data" h="1" sd="1" m="1" x="1758"/>
        <item t="data" h="1" sd="1" m="1" x="1759"/>
        <item t="data" h="1" sd="1" m="1" x="2510"/>
        <item t="data" h="1" sd="1" m="1" x="2305"/>
        <item t="data" h="1" sd="1" m="1" x="2511"/>
        <item t="data" h="1" sd="1" m="1" x="2426"/>
        <item t="data" h="1" sd="1" m="1" x="1766"/>
        <item t="data" h="1" sd="1" m="1" x="2514"/>
        <item t="data" h="1" sd="1" m="1" x="2515"/>
        <item t="data" h="1" sd="1" m="1" x="2516"/>
        <item t="data" h="1" sd="1" m="1" x="2526"/>
        <item t="data" h="1" sd="1" m="1" x="2527"/>
        <item t="data" h="1" sd="1" m="1" x="2431"/>
        <item t="data" h="1" sd="1" m="1" x="2528"/>
        <item t="data" h="1" sd="1" m="1" x="2529"/>
        <item t="data" h="1" sd="1" m="1" x="2530"/>
        <item t="data" h="1" sd="1" m="1" x="2531"/>
        <item t="data" h="1" sd="1" m="1" x="2532"/>
        <item t="data" h="1" sd="1" m="1" x="2533"/>
        <item t="data" h="1" sd="1" m="1" x="2534"/>
        <item t="data" h="1" sd="1" m="1" x="2535"/>
        <item t="data" h="1" sd="1" m="1" x="2536"/>
        <item t="data" h="1" sd="1" m="1" x="2537"/>
        <item t="data" h="1" sd="1" m="1" x="2538"/>
        <item t="data" h="1" sd="1" m="1" x="2539"/>
        <item t="data" h="1" sd="1" m="1" x="2540"/>
        <item t="data" h="1" sd="1" m="1" x="1769"/>
        <item t="data" h="1" sd="1" m="1" x="2542"/>
        <item t="data" h="1" sd="1" m="1" x="2543"/>
        <item t="data" h="1" sd="1" m="1" x="2544"/>
        <item t="data" h="1" sd="1" m="1" x="2545"/>
        <item t="data" h="1" sd="1" m="1" x="2013"/>
        <item t="data" h="1" sd="1" m="1" x="2546"/>
        <item t="data" h="1" sd="1" m="1" x="2547"/>
        <item t="data" h="1" sd="1" m="1" x="506"/>
        <item t="data" h="1" sd="1" m="1" x="2334"/>
        <item t="data" h="1" sd="1" m="1" x="2015"/>
        <item t="data" h="1" sd="1" m="1" x="2456"/>
        <item t="data" h="1" sd="1" m="1" x="2338"/>
        <item t="data" h="1" sd="1" m="1" x="1780"/>
        <item t="data" h="1" sd="1" m="1" x="2342"/>
        <item t="data" h="1" sd="1" m="1" x="2037"/>
        <item t="data" h="1" sd="1" m="1" x="2549"/>
        <item t="data" h="1" sd="1" m="1" x="2552"/>
        <item t="data" h="1" sd="1" m="1" x="2373"/>
        <item t="data" h="1" sd="1" m="1" x="2565"/>
        <item t="data" h="1" sd="1" m="1" x="2566"/>
        <item t="data" h="1" sd="1" m="1" x="2574"/>
        <item t="data" h="1" sd="1" m="1" x="2575"/>
        <item t="data" h="1" sd="1" m="1" x="2577"/>
        <item t="data" h="1" sd="1" m="1" x="2469"/>
        <item t="data" h="1" sd="1" m="1" x="1841"/>
        <item t="data" h="1" sd="1" m="1" x="1838"/>
        <item t="data" h="1" sd="1" m="1" x="2392"/>
        <item t="data" h="1" sd="1" m="1" x="2583"/>
        <item t="data" h="1" sd="1" m="1" x="2584"/>
        <item t="data" h="1" sd="1" m="1" x="2024"/>
        <item t="data" h="1" sd="1" m="1" x="2585"/>
        <item t="data" h="1" sd="1" m="1" x="2586"/>
        <item t="data" h="1" sd="1" m="1" x="2587"/>
        <item t="data" h="1" sd="1" m="1" x="2588"/>
        <item t="data" h="1" sd="1" m="1" x="2589"/>
        <item t="data" h="1" sd="1" m="1" x="2590"/>
        <item t="data" h="1" sd="1" m="1" x="2591"/>
        <item t="data" h="1" sd="1" m="1" x="2592"/>
        <item t="data" h="1" sd="1" m="1" x="2409"/>
        <item t="data" h="1" sd="1" m="1" x="2593"/>
        <item t="data" h="1" sd="1" m="1" x="2410"/>
        <item t="data" h="1" sd="1" m="1" x="2595"/>
        <item t="data" h="1" sd="1" m="1" x="1269"/>
        <item t="data" h="1" sd="1" m="1" x="2419"/>
        <item t="data" h="1" sd="1" m="1" x="2596"/>
        <item t="data" h="1" sd="1" m="1" x="2487"/>
        <item t="data" h="1" sd="1" m="1" x="1819"/>
        <item t="data" h="1" sd="1" m="1" x="1818"/>
        <item t="data" h="1" sd="1" m="1" x="2599"/>
        <item t="data" h="1" sd="1" m="1" x="1817"/>
        <item t="data" h="1" sd="1" m="1" x="2601"/>
        <item t="data" h="1" sd="1" m="1" x="2602"/>
        <item t="data" h="1" sd="1" m="1" x="2603"/>
        <item t="data" h="1" sd="1" m="1" x="2604"/>
        <item t="data" h="1" sd="1" m="1" x="2606"/>
        <item t="data" h="1" sd="1" m="1" x="2607"/>
        <item t="data" h="1" sd="1" m="1" x="2608"/>
        <item t="data" h="1" sd="1" m="1" x="2610"/>
        <item t="data" h="1" sd="1" m="1" x="2611"/>
        <item t="data" h="1" sd="1" m="1" x="2612"/>
        <item t="data" h="1" sd="1" m="1" x="2420"/>
        <item t="data" h="1" sd="1" m="1" x="2291"/>
        <item t="data" h="1" sd="1" m="1" x="2290"/>
        <item t="data" h="1" sd="1" m="1" x="2289"/>
        <item t="data" h="1" sd="1" m="1" x="2421"/>
        <item t="data" h="1" sd="1" m="1" x="2292"/>
        <item t="data" h="1" sd="1" m="1" x="2047"/>
        <item t="data" h="1" sd="1" m="1" x="2051"/>
        <item t="data" h="1" sd="1" m="1" x="2422"/>
        <item t="data" h="1" sd="1" m="1" x="2423"/>
        <item t="data" h="1" sd="1" m="1" x="2427"/>
        <item t="data" h="1" sd="1" m="1" x="2429"/>
        <item t="data" h="1" sd="1" m="1" x="2430"/>
        <item t="data" h="1" sd="1" m="1" x="2432"/>
        <item t="data" h="1" sd="1" m="1" x="2172"/>
        <item t="data" h="1" sd="1" m="1" x="2433"/>
        <item t="data" h="1" sd="1" m="1" x="2434"/>
        <item t="data" h="1" sd="1" m="1" x="2435"/>
        <item t="data" h="1" sd="1" m="1" x="2436"/>
        <item t="data" h="1" sd="1" m="1" x="2437"/>
        <item t="data" h="1" sd="1" m="1" x="2438"/>
        <item t="data" h="1" sd="1" m="1" x="2439"/>
        <item t="data" h="1" sd="1" m="1" x="2440"/>
        <item t="data" h="1" sd="1" m="1" x="2441"/>
        <item t="data" h="1" sd="1" m="1" x="2442"/>
        <item t="data" h="1" sd="1" m="1" x="2443"/>
        <item t="data" h="1" sd="1" m="1" x="2444"/>
        <item t="data" h="1" sd="1" m="1" x="2445"/>
        <item t="data" h="1" sd="1" m="1" x="2446"/>
        <item t="data" h="1" sd="1" m="1" x="2447"/>
        <item t="data" h="1" sd="1" x="164"/>
        <item t="data" h="1" sd="1" m="1" x="2451"/>
        <item t="data" h="1" sd="1" m="1" x="2452"/>
        <item t="data" h="1" sd="1" m="1" x="2325"/>
        <item t="data" h="1" sd="1" m="1" x="2454"/>
        <item t="data" h="1" sd="1" m="1" x="1899"/>
        <item t="data" h="1" sd="1" m="1" x="2455"/>
        <item t="data" h="1" sd="1" m="1" x="1778"/>
        <item t="data" h="1" sd="1" m="1" x="2346"/>
        <item t="data" h="1" sd="1" m="1" x="1779"/>
        <item t="data" h="1" sd="1" m="1" x="2459"/>
        <item t="data" h="1" sd="1" m="1" x="547"/>
        <item t="data" h="1" sd="1" m="1" x="2074"/>
        <item t="data" h="1" sd="1" m="1" x="1785"/>
        <item t="data" h="1" sd="1" m="1" x="563"/>
        <item t="data" h="1" sd="1" m="1" x="2464"/>
        <item t="data" h="1" sd="1" m="1" x="2465"/>
        <item t="data" h="1" sd="1" m="1" x="2360"/>
        <item t="data" h="1" sd="1" m="1" x="2468"/>
        <item t="data" h="1" sd="1" m="1" x="2470"/>
        <item t="data" h="1" sd="1" m="1" x="2471"/>
        <item t="data" h="1" sd="1" m="1" x="2384"/>
        <item t="data" h="1" sd="1" m="1" x="2472"/>
        <item t="data" h="1" sd="1" m="1" x="2387"/>
        <item t="data" h="1" sd="1" m="1" x="1789"/>
        <item t="data" h="1" sd="1" m="1" x="1790"/>
        <item t="data" h="1" sd="1" m="1" x="2388"/>
        <item t="data" h="1" sd="1" m="1" x="1795"/>
        <item t="data" h="1" sd="1" m="1" x="2474"/>
        <item t="data" h="1" sd="1" m="1" x="2082"/>
        <item t="data" h="1" sd="1" m="1" x="2475"/>
        <item t="data" h="1" sd="1" m="1" x="2476"/>
        <item t="data" h="1" sd="1" m="1" x="2477"/>
        <item t="data" h="1" sd="1" m="1" x="2478"/>
        <item t="data" h="1" sd="1" m="1" x="1799"/>
        <item t="data" h="1" sd="1" m="1" x="1842"/>
        <item t="data" h="1" sd="1" m="1" x="2393"/>
        <item t="data" h="1" sd="1" m="1" x="2090"/>
        <item t="data" h="1" sd="1" m="1" x="1804"/>
        <item t="data" h="1" sd="1" m="1" x="2481"/>
        <item t="data" h="1" sd="1" m="1" x="2260"/>
        <item t="data" h="1" sd="1" m="1" x="2482"/>
        <item t="data" h="1" sd="1" m="1" x="2483"/>
        <item t="data" h="1" sd="1" m="1" x="2417"/>
        <item t="data" h="1" sd="1" m="1" x="2485"/>
        <item t="data" h="1" sd="1" m="1" x="1808"/>
        <item t="data" h="1" sd="1" m="1" x="2095"/>
        <item t="data" h="1" sd="1" m="1" x="2488"/>
        <item t="data" h="1" sd="1" m="1" x="2491"/>
        <item t="data" h="1" sd="1" m="1" x="2285"/>
        <item t="data" h="1" sd="1" m="1" x="2286"/>
        <item t="data" h="1" sd="1" m="1" x="2287"/>
        <item t="data" h="1" sd="1" m="1" x="2288"/>
        <item t="data" h="1" sd="1" m="1" x="2293"/>
        <item t="data" h="1" sd="1" m="1" x="2294"/>
        <item t="data" h="1" sd="1" m="1" x="2295"/>
        <item t="data" h="1" sd="1" m="1" x="2296"/>
        <item t="data" h="1" sd="1" m="1" x="2297"/>
        <item t="data" h="1" sd="1" m="1" x="2298"/>
        <item t="data" h="1" sd="1" m="1" x="2299"/>
        <item t="data" h="1" sd="1" m="1" x="2300"/>
        <item t="data" h="1" sd="1" m="1" x="2301"/>
        <item t="data" h="1" sd="1" m="1" x="2302"/>
        <item t="data" h="1" sd="1" m="1" x="2303"/>
        <item t="data" h="1" sd="1" m="1" x="2304"/>
        <item t="data" h="1" sd="1" m="1" x="2107"/>
        <item t="data" h="1" sd="1" m="1" x="2048"/>
        <item t="data" h="1" sd="1" m="1" x="1761"/>
        <item t="data" h="1" sd="1" m="1" x="2050"/>
        <item t="data" h="1" sd="1" m="1" x="1763"/>
        <item t="data" h="1" sd="1" m="1" x="2052"/>
        <item t="data" h="1" sd="1" m="1" x="2195"/>
        <item t="data" h="1" sd="1" m="1" x="2196"/>
        <item t="data" h="1" sd="1" m="1" x="2197"/>
        <item t="data" h="1" sd="1" m="1" x="2307"/>
        <item t="data" h="1" sd="1" m="1" x="2308"/>
        <item t="data" h="1" sd="1" m="1" x="2309"/>
        <item t="data" h="1" sd="1" m="1" x="2310"/>
        <item t="data" h="1" sd="1" m="1" x="2311"/>
        <item t="data" h="1" sd="1" m="1" x="2312"/>
        <item t="data" h="1" sd="1" m="1" x="2313"/>
        <item t="data" h="1" sd="1" m="1" x="2067"/>
        <item t="data" h="1" sd="1" m="1" x="2064"/>
        <item t="data" h="1" sd="1" m="1" x="2226"/>
        <item t="data" h="1" sd="1" m="1" x="1768"/>
        <item t="data" h="1" sd="1" m="1" x="449"/>
        <item t="data" h="1" sd="1" m="1" x="2066"/>
        <item t="data" h="1" sd="1" m="1" x="1773"/>
        <item t="data" h="1" sd="1" m="1" x="2329"/>
        <item t="data" h="1" sd="1" m="1" x="2339"/>
        <item t="data" h="1" sd="1" m="1" x="2035"/>
        <item t="data" h="1" sd="1" m="1" x="2229"/>
        <item t="data" h="1" sd="1" m="1" x="2350"/>
        <item t="data" h="1" sd="1" m="1" x="2076"/>
        <item t="data" h="1" sd="1" m="1" x="2231"/>
        <item t="data" h="1" sd="1" m="1" x="2075"/>
        <item t="data" h="1" sd="1" m="1" x="2353"/>
        <item t="data" h="1" sd="1" m="1" x="2357"/>
        <item t="data" h="1" sd="1" m="1" x="2358"/>
        <item t="data" h="1" sd="1" m="1" x="2361"/>
        <item t="data" h="1" sd="1" m="1" x="2362"/>
        <item t="data" h="1" sd="1" m="1" x="2363"/>
        <item t="data" h="1" sd="1" m="1" x="2364"/>
        <item t="data" h="1" sd="1" m="1" x="2365"/>
        <item t="data" h="1" sd="1" m="1" x="2366"/>
        <item t="data" h="1" sd="1" m="1" x="2367"/>
        <item t="data" h="1" sd="1" m="1" x="2368"/>
        <item t="data" h="1" sd="1" m="1" x="2369"/>
        <item t="data" h="1" sd="1" x="255"/>
        <item t="data" h="1" sd="1" m="1" x="2376"/>
        <item t="data" h="1" sd="1" m="1" x="2377"/>
        <item t="data" h="1" sd="1" m="1" x="2378"/>
        <item t="data" h="1" sd="1" m="1" x="2248"/>
        <item t="data" h="1" sd="1" m="1" x="2087"/>
        <item t="data" h="1" sd="1" m="1" x="603"/>
        <item t="data" h="1" sd="1" m="1" x="1806"/>
        <item t="data" h="1" sd="1" m="1" x="2261"/>
        <item t="data" h="1" sd="1" m="1" x="2397"/>
        <item t="data" h="1" sd="1" m="1" x="2398"/>
        <item t="data" h="1" sd="1" m="1" x="2093"/>
        <item t="data" h="1" sd="1" m="1" x="2404"/>
        <item t="data" h="1" sd="1" m="1" x="2405"/>
        <item t="data" h="1" sd="1" m="1" x="2406"/>
        <item t="data" h="1" sd="1" m="1" x="2407"/>
        <item t="data" h="1" sd="1" m="1" x="2408"/>
        <item t="data" h="1" sd="1" m="1" x="2262"/>
        <item t="data" h="1" sd="1" m="1" x="2263"/>
        <item t="data" h="1" sd="1" m="1" x="1831"/>
        <item t="data" h="1" sd="1" m="1" x="1815"/>
        <item t="data" h="1" sd="1" m="1" x="2278"/>
        <item t="data" h="1" sd="1" m="1" x="2279"/>
        <item t="data" h="1" sd="1" m="1" x="2280"/>
        <item t="data" h="1" sd="1" m="1" x="2281"/>
        <item t="data" h="1" sd="1" m="1" x="2170"/>
        <item t="data" h="1" sd="1" m="1" x="2038"/>
        <item t="data" h="1" sd="1" m="1" x="2173"/>
        <item t="data" h="1" sd="1" m="1" x="2174"/>
        <item t="data" h="1" sd="1" m="1" x="2175"/>
        <item t="data" h="1" sd="1" m="1" x="2176"/>
        <item t="data" h="1" sd="1" m="1" x="2177"/>
        <item t="data" h="1" sd="1" m="1" x="2178"/>
        <item t="data" h="1" sd="1" m="1" x="2179"/>
        <item t="data" h="1" sd="1" m="1" x="2180"/>
        <item t="data" h="1" sd="1" m="1" x="2181"/>
        <item t="data" h="1" sd="1" m="1" x="2182"/>
        <item t="data" h="1" sd="1" m="1" x="2183"/>
        <item t="data" h="1" sd="1" m="1" x="2184"/>
        <item t="data" h="1" sd="1" m="1" x="2185"/>
        <item t="data" h="1" sd="1" m="1" x="2186"/>
        <item t="data" h="1" sd="1" m="1" x="2187"/>
        <item t="data" h="1" sd="1" m="1" x="2188"/>
        <item t="data" h="1" sd="1" m="1" x="2111"/>
        <item t="data" h="1" sd="1" m="1" x="2108"/>
        <item t="data" h="1" sd="1" m="1" x="1361"/>
        <item t="data" h="1" sd="1" m="1" x="2194"/>
        <item t="data" h="1" sd="1" m="1" x="1764"/>
        <item t="data" h="1" sd="1" m="1" x="2198"/>
        <item t="data" h="1" sd="1" m="1" x="2199"/>
        <item t="data" h="1" sd="1" m="1" x="2200"/>
        <item t="data" h="1" sd="1" m="1" x="2201"/>
        <item t="data" h="1" sd="1" m="1" x="2202"/>
        <item t="data" h="1" sd="1" m="1" x="2203"/>
        <item t="data" h="1" sd="1" m="1" x="2204"/>
        <item t="data" h="1" sd="1" m="1" x="2205"/>
        <item t="data" h="1" sd="1" m="1" x="2206"/>
        <item t="data" h="1" sd="1" m="1" x="2207"/>
        <item t="data" h="1" sd="1" m="1" x="1949"/>
        <item t="data" h="1" sd="1" m="1" x="2208"/>
        <item t="data" h="1" sd="1" m="1" x="2209"/>
        <item t="data" h="1" sd="1" m="1" x="1929"/>
        <item t="data" h="1" sd="1" m="1" x="2210"/>
        <item t="data" h="1" sd="1" m="1" x="2211"/>
        <item t="data" h="1" sd="1" m="1" x="2212"/>
        <item t="data" h="1" sd="1" m="1" x="2213"/>
        <item t="data" h="1" sd="1" m="1" x="2214"/>
        <item t="data" h="1" sd="1" m="1" x="2215"/>
        <item t="data" h="1" sd="1" m="1" x="2216"/>
        <item t="data" h="1" sd="1" m="1" x="2217"/>
        <item t="data" h="1" sd="1" m="1" x="2218"/>
        <item t="data" h="1" sd="1" m="1" x="2219"/>
        <item t="data" h="1" sd="1" m="1" x="2220"/>
        <item t="data" h="1" sd="1" m="1" x="2221"/>
        <item t="data" h="1" sd="1" m="1" x="2222"/>
        <item t="data" h="1" sd="1" m="1" x="2223"/>
        <item t="data" h="1" sd="1" m="1" x="2224"/>
        <item t="data" h="1" sd="1" m="1" x="2225"/>
        <item t="data" h="1" sd="1" m="1" x="2071"/>
        <item t="data" h="1" sd="1" m="1" x="2114"/>
        <item t="data" h="1" sd="1" m="1" x="556"/>
        <item t="data" h="1" sd="1" m="1" x="2230"/>
        <item t="data" h="1" sd="1" m="1" x="1444"/>
        <item t="data" h="1" sd="1" m="1" x="2232"/>
        <item t="data" h="1" sd="1" m="1" x="2233"/>
        <item t="data" h="1" sd="1" m="1" x="2234"/>
        <item t="data" h="1" sd="1" m="1" x="2235"/>
        <item t="data" h="1" sd="1" m="1" x="2236"/>
        <item t="data" h="1" sd="1" m="1" x="2237"/>
        <item t="data" h="1" sd="1" m="1" x="2238"/>
        <item t="data" h="1" sd="1" m="1" x="2239"/>
        <item t="data" h="1" sd="1" m="1" x="2240"/>
        <item t="data" h="1" sd="1" m="1" x="2241"/>
        <item t="data" h="1" sd="1" m="1" x="2242"/>
        <item t="data" h="1" sd="1" m="1" x="2243"/>
        <item t="data" h="1" sd="1" m="1" x="2244"/>
        <item t="data" h="1" sd="1" m="1" x="2246"/>
        <item t="data" h="1" sd="1" m="1" x="1793"/>
        <item t="data" h="1" sd="1" m="1" x="1794"/>
        <item t="data" h="1" sd="1" m="1" x="1792"/>
        <item t="data" h="1" sd="1" m="1" x="2247"/>
        <item t="data" h="1" sd="1" m="1" x="2249"/>
        <item t="data" h="1" sd="1" m="1" x="2250"/>
        <item t="data" h="1" sd="1" m="1" x="1840"/>
        <item t="data" h="1" sd="1" m="1" x="1832"/>
        <item t="data" h="1" sd="1" m="1" x="2251"/>
        <item t="data" h="1" sd="1" m="1" x="2252"/>
        <item t="data" h="1" sd="1" m="1" x="1833"/>
        <item t="data" h="1" sd="1" m="1" x="2253"/>
        <item t="data" h="1" sd="1" m="1" x="2084"/>
        <item t="data" h="1" sd="1" m="1" x="2257"/>
        <item t="data" h="1" sd="1" m="1" x="2259"/>
        <item t="data" h="1" sd="1" m="1" x="2264"/>
        <item t="data" h="1" sd="1" m="1" x="2265"/>
        <item t="data" h="1" sd="1" m="1" x="2266"/>
        <item t="data" h="1" sd="1" m="1" x="2267"/>
        <item t="data" h="1" sd="1" m="1" x="2268"/>
        <item t="data" h="1" sd="1" m="1" x="2270"/>
        <item t="data" h="1" sd="1" m="1" x="1825"/>
        <item t="data" h="1" sd="1" m="1" x="2271"/>
        <item t="data" h="1" sd="1" m="1" x="2272"/>
        <item t="data" h="1" sd="1" m="1" x="2275"/>
        <item t="data" h="1" sd="1" m="1" x="2276"/>
        <item t="data" h="1" sd="1" m="1" x="2282"/>
        <item t="data" h="1" sd="1" m="1" x="2283"/>
        <item t="data" h="1" sd="1" m="1" x="2284"/>
        <item t="data" h="1" sd="1" m="1" x="2103"/>
        <item t="data" h="1" sd="1" m="1" x="2034"/>
        <item t="data" h="1" sd="1" m="1" x="1845"/>
        <item t="data" h="1" sd="1" m="1" x="1762"/>
        <item t="data" h="1" sd="1" m="1" x="2053"/>
        <item t="data" h="1" sd="1" m="1" x="2054"/>
        <item t="data" h="1" sd="1" m="1" x="2055"/>
        <item t="data" h="1" sd="1" m="1" x="2056"/>
        <item t="data" h="1" sd="1" m="1" x="2057"/>
        <item t="data" h="1" sd="1" m="1" x="2058"/>
        <item t="data" h="1" sd="1" m="1" x="2059"/>
        <item t="data" h="1" sd="1" m="1" x="2060"/>
        <item t="data" h="1" sd="1" m="1" x="2061"/>
        <item t="data" h="1" sd="1" m="1" x="2062"/>
        <item t="data" h="1" sd="1" m="1" x="2063"/>
        <item t="data" h="1" sd="1" m="1" x="2068"/>
        <item t="data" h="1" sd="1" m="1" x="2070"/>
        <item t="data" h="1" sd="1" m="1" x="522"/>
        <item t="data" h="1" sd="1" m="1" x="2073"/>
        <item t="data" h="1" sd="1" m="1" x="2078"/>
        <item t="data" h="1" sd="1" m="1" x="2079"/>
        <item t="data" h="1" sd="1" m="1" x="1862"/>
        <item t="data" h="1" sd="1" m="1" x="1861"/>
        <item t="data" h="1" sd="1" m="1" x="2080"/>
        <item t="data" h="1" sd="1" m="1" x="1863"/>
        <item t="data" h="1" sd="1" m="1" x="1864"/>
        <item t="data" h="1" sd="1" m="1" x="1865"/>
        <item t="data" h="1" sd="1" m="1" x="2081"/>
        <item t="data" h="1" sd="1" m="1" x="1886"/>
        <item t="data" h="1" sd="1" m="1" x="2086"/>
        <item t="data" h="1" sd="1" m="1" x="2089"/>
        <item t="data" h="1" sd="1" m="1" x="2091"/>
        <item t="data" h="1" sd="1" m="1" x="2092"/>
        <item t="data" h="1" sd="1" m="1" x="2094"/>
        <item t="data" h="1" sd="1" m="1" x="1820"/>
        <item t="data" h="1" sd="1" m="1" x="1904"/>
        <item t="data" h="1" sd="1" m="1" x="2097"/>
        <item t="data" h="1" sd="1" m="1" x="2099"/>
        <item t="data" h="1" sd="1" m="1" x="2100"/>
        <item t="data" h="1" sd="1" m="1" x="2101"/>
        <item t="data" h="1" sd="1" m="1" x="2102"/>
        <item t="data" h="1" sd="1" m="1" x="2104"/>
        <item t="data" h="1" sd="1" m="1" x="2105"/>
        <item t="data" h="1" sd="1" m="1" x="2106"/>
        <item t="data" h="1" sd="1" m="1" x="2109"/>
        <item t="data" h="1" sd="1" m="1" x="2110"/>
        <item t="data" h="1" sd="1" m="1" x="2112"/>
        <item t="data" h="1" sd="1" m="1" x="2113"/>
        <item t="data" h="1" sd="1" x="277"/>
        <item t="data" h="1" sd="1" m="1" x="2121"/>
        <item t="data" h="1" sd="1" m="1" x="1915"/>
        <item t="data" h="1" sd="1" m="1" x="1851"/>
        <item t="data" h="1" sd="1" m="1" x="2123"/>
        <item t="data" h="1" sd="1" m="1" x="2124"/>
        <item t="data" h="1" sd="1" m="1" x="2125"/>
        <item t="data" h="1" sd="1" m="1" x="2126"/>
        <item t="data" h="1" sd="1" x="200"/>
        <item t="data" h="1" sd="1" x="196"/>
        <item t="data" h="1" sd="1" m="1" x="1860"/>
        <item t="data" h="1" sd="1" m="1" x="1874"/>
        <item t="data" h="1" sd="1" m="1" x="1883"/>
        <item t="data" h="1" sd="1" m="1" x="2129"/>
        <item t="data" h="1" sd="1" m="1" x="2130"/>
        <item t="data" h="1" sd="1" m="1" x="2131"/>
        <item t="data" h="1" sd="1" m="1" x="2132"/>
        <item t="data" h="1" sd="1" m="1" x="2133"/>
        <item t="data" h="1" sd="1" m="1" x="2134"/>
        <item t="data" h="1" sd="1" m="1" x="2135"/>
        <item t="data" h="1" sd="1" m="1" x="2136"/>
        <item t="data" h="1" sd="1" m="1" x="2137"/>
        <item t="data" h="1" sd="1" m="1" x="2138"/>
        <item t="data" h="1" sd="1" m="1" x="2139"/>
        <item t="data" h="1" sd="1" m="1" x="2140"/>
        <item t="data" h="1" sd="1" m="1" x="2141"/>
        <item t="data" h="1" sd="1" m="1" x="2142"/>
        <item t="data" h="1" sd="1" m="1" x="2143"/>
        <item t="data" h="1" sd="1" m="1" x="2144"/>
        <item t="data" h="1" sd="1" m="1" x="2145"/>
        <item t="data" h="1" sd="1" m="1" x="2147"/>
        <item t="data" h="1" sd="1" m="1" x="2148"/>
        <item t="data" h="1" sd="1" m="1" x="2149"/>
        <item t="data" h="1" sd="1" m="1" x="2150"/>
        <item t="data" h="1" sd="1" m="1" x="2151"/>
        <item t="data" h="1" sd="1" m="1" x="2152"/>
        <item t="data" h="1" sd="1" m="1" x="2153"/>
        <item t="data" h="1" sd="1" m="1" x="2154"/>
        <item t="data" h="1" sd="1" m="1" x="2155"/>
        <item t="data" h="1" sd="1" m="1" x="2156"/>
        <item t="data" h="1" sd="1" m="1" x="2157"/>
        <item t="data" h="1" sd="1" m="1" x="2158"/>
        <item t="data" h="1" sd="1" m="1" x="2159"/>
        <item t="data" h="1" sd="1" m="1" x="2160"/>
        <item t="data" h="1" sd="1" m="1" x="2161"/>
        <item t="data" h="1" sd="1" m="1" x="2162"/>
        <item t="data" h="1" sd="1" m="1" x="2163"/>
        <item t="data" h="1" sd="1" m="1" x="2164"/>
        <item t="data" h="1" sd="1" m="1" x="2165"/>
        <item t="data" h="1" sd="1" m="1" x="2166"/>
        <item t="data" h="1" sd="1" m="1" x="2167"/>
        <item t="data" h="1" sd="1" m="1" x="2168"/>
        <item t="data" h="1" sd="1" m="1" x="2169"/>
        <item t="data" h="1" sd="1" m="1" x="2171"/>
        <item t="data" h="1" sd="1" m="1" x="1603"/>
        <item t="data" h="1" sd="1" m="1" x="1604"/>
        <item t="data" h="1" sd="1" m="1" x="1606"/>
        <item t="data" h="1" sd="1" m="1" x="1847"/>
        <item t="data" h="1" sd="1" m="1" x="1848"/>
        <item t="data" h="1" sd="1" m="1" x="1849"/>
        <item t="data" h="1" sd="1" m="1" x="1850"/>
        <item t="data" h="1" sd="1" m="1" x="1852"/>
        <item t="data" h="1" sd="1" m="1" x="508"/>
        <item t="data" h="1" sd="1" m="1" x="1436"/>
        <item t="data" h="1" sd="1" x="206"/>
        <item t="data" h="1" sd="1" m="1" x="1853"/>
        <item t="data" h="1" sd="1" m="1" x="1854"/>
        <item t="data" h="1" sd="1" x="118"/>
        <item t="data" h="1" sd="1" m="1" x="1856"/>
        <item t="data" h="1" sd="1" x="157"/>
        <item t="data" h="1" sd="1" m="1" x="1857"/>
        <item t="data" h="1" sd="1" m="1" x="1858"/>
        <item t="data" h="1" sd="1" m="1" x="1859"/>
        <item t="data" h="1" sd="1" m="1" x="1866"/>
        <item t="data" h="1" sd="1" m="1" x="1867"/>
        <item t="data" h="1" sd="1" m="1" x="1869"/>
        <item t="data" h="1" sd="1" m="1" x="1870"/>
        <item t="data" h="1" sd="1" m="1" x="1871"/>
        <item t="data" h="1" sd="1" m="1" x="1872"/>
        <item t="data" h="1" sd="1" m="1" x="1875"/>
        <item t="data" h="1" sd="1" m="1" x="1878"/>
        <item t="data" h="1" sd="1" m="1" x="1879"/>
        <item t="data" h="1" sd="1" m="1" x="1880"/>
        <item t="data" h="1" sd="1" m="1" x="573"/>
        <item t="data" h="1" sd="1" m="1" x="1881"/>
        <item t="data" h="1" sd="1" m="1" x="1882"/>
        <item t="data" h="1" sd="1" m="1" x="1884"/>
        <item t="data" h="1" sd="1" m="1" x="1885"/>
        <item t="data" h="1" sd="1" m="1" x="1887"/>
        <item t="data" h="1" sd="1" m="1" x="1888"/>
        <item t="data" h="1" sd="1" m="1" x="1889"/>
        <item t="data" h="1" sd="1" m="1" x="1890"/>
        <item t="data" h="1" sd="1" m="1" x="1891"/>
        <item t="data" h="1" sd="1" m="1" x="1893"/>
        <item t="data" h="1" sd="1" m="1" x="1894"/>
        <item t="data" h="1" sd="1" m="1" x="1895"/>
        <item t="data" h="1" sd="1" m="1" x="1896"/>
        <item t="data" h="1" sd="1" x="373"/>
        <item t="data" h="1" sd="1" x="374"/>
        <item t="data" h="1" sd="1" m="1" x="1897"/>
        <item t="data" h="1" sd="1" m="1" x="1898"/>
        <item t="data" h="1" sd="1" m="1" x="1900"/>
        <item t="data" h="1" sd="1" m="1" x="1901"/>
        <item t="data" h="1" sd="1" m="1" x="646"/>
        <item t="data" h="1" sd="1" m="1" x="1902"/>
        <item t="data" h="1" sd="1" m="1" x="1907"/>
        <item t="data" h="1" sd="1" m="1" x="1908"/>
        <item t="data" h="1" sd="1" m="1" x="1910"/>
        <item t="data" h="1" sd="1" m="1" x="1911"/>
        <item t="data" h="1" sd="1" m="1" x="1912"/>
        <item t="data" h="1" sd="1" m="1" x="1913"/>
        <item t="data" h="1" sd="1" m="1" x="1914"/>
        <item t="data" h="1" sd="1" m="1" x="1916"/>
        <item t="data" h="1" sd="1" m="1" x="1917"/>
        <item t="data" h="1" sd="1" m="1" x="1918"/>
        <item t="data" h="1" sd="1" m="1" x="1919"/>
        <item t="data" h="1" sd="1" m="1" x="1920"/>
        <item t="data" h="1" sd="1" m="1" x="1921"/>
        <item t="data" h="1" sd="1" m="1" x="1922"/>
        <item t="data" h="1" sd="1" m="1" x="1924"/>
        <item t="data" h="1" sd="1" m="1" x="1925"/>
        <item t="data" h="1" sd="1" m="1" x="1926"/>
        <item t="data" h="1" sd="1" m="1" x="1927"/>
        <item t="data" h="1" sd="1" m="1" x="1928"/>
        <item t="data" h="1" sd="1" m="1" x="1930"/>
        <item t="data" h="1" sd="1" m="1" x="1931"/>
        <item t="data" h="1" sd="1" m="1" x="1932"/>
        <item t="data" h="1" sd="1" m="1" x="1933"/>
        <item t="data" h="1" sd="1" m="1" x="1934"/>
        <item t="data" h="1" sd="1" m="1" x="1935"/>
        <item t="data" h="1" sd="1" m="1" x="1936"/>
        <item t="data" h="1" sd="1" m="1" x="1937"/>
        <item t="data" h="1" sd="1" m="1" x="1938"/>
        <item t="data" h="1" sd="1" m="1" x="1939"/>
        <item t="data" h="1" sd="1" m="1" x="1940"/>
        <item t="data" h="1" sd="1" m="1" x="1941"/>
        <item t="data" h="1" sd="1" m="1" x="1942"/>
        <item t="data" h="1" sd="1" m="1" x="1943"/>
        <item t="data" h="1" sd="1" m="1" x="1944"/>
        <item t="data" h="1" sd="1" m="1" x="1945"/>
        <item t="data" h="1" sd="1" m="1" x="1946"/>
        <item t="data" h="1" sd="1" m="1" x="1948"/>
        <item t="data" h="1" sd="1" m="1" x="1950"/>
        <item t="data" h="1" sd="1" m="1" x="1951"/>
        <item t="data" h="1" sd="1" m="1" x="1952"/>
        <item t="data" h="1" sd="1" m="1" x="1953"/>
        <item t="data" h="1" sd="1" m="1" x="1954"/>
        <item t="data" h="1" sd="1" m="1" x="1955"/>
        <item t="data" h="1" sd="1" m="1" x="1956"/>
        <item t="data" h="1" sd="1" m="1" x="1957"/>
        <item t="data" h="1" sd="1" m="1" x="1958"/>
        <item t="data" h="1" sd="1" m="1" x="1959"/>
        <item t="data" h="1" sd="1" m="1" x="1960"/>
        <item t="data" h="1" sd="1" m="1" x="666"/>
        <item t="data" h="1" sd="1" m="1" x="1961"/>
        <item t="data" h="1" sd="1" m="1" x="1962"/>
        <item t="data" h="1" sd="1" m="1" x="1963"/>
        <item t="data" h="1" sd="1" m="1" x="1964"/>
        <item t="data" h="1" sd="1" m="1" x="1965"/>
        <item t="data" h="1" sd="1" m="1" x="1966"/>
        <item t="data" h="1" sd="1" m="1" x="1967"/>
        <item t="data" h="1" sd="1" x="224"/>
        <item t="data" h="1" sd="1" m="1" x="1968"/>
        <item t="data" h="1" sd="1" m="1" x="1971"/>
        <item t="data" h="1" sd="1" m="1" x="1972"/>
        <item t="data" h="1" sd="1" m="1" x="1975"/>
        <item t="data" h="1" sd="1" m="1" x="578"/>
        <item t="data" h="1" sd="1" m="1" x="1976"/>
        <item t="data" h="1" sd="1" m="1" x="1979"/>
        <item t="data" h="1" sd="1" m="1" x="1980"/>
        <item t="data" h="1" sd="1" m="1" x="1981"/>
        <item t="data" h="1" sd="1" m="1" x="1982"/>
        <item t="data" h="1" sd="1" m="1" x="1983"/>
        <item t="data" h="1" sd="1" m="1" x="1984"/>
        <item t="data" h="1" sd="1" m="1" x="1985"/>
        <item t="data" h="1" sd="1" m="1" x="1986"/>
        <item t="data" h="1" sd="1" m="1" x="1987"/>
        <item t="data" h="1" sd="1" m="1" x="1988"/>
        <item t="data" h="1" sd="1" m="1" x="1989"/>
        <item t="data" h="1" sd="1" m="1" x="1990"/>
        <item t="data" h="1" sd="1" m="1" x="1991"/>
        <item t="data" h="1" sd="1" m="1" x="1992"/>
        <item t="data" h="1" sd="1" m="1" x="1993"/>
        <item t="data" h="1" sd="1" m="1" x="1994"/>
        <item t="data" h="1" sd="1" m="1" x="1996"/>
        <item t="data" h="1" sd="1" m="1" x="1997"/>
        <item t="data" h="1" sd="1" m="1" x="671"/>
        <item t="data" h="1" sd="1" m="1" x="672"/>
        <item t="data" h="1" sd="1" m="1" x="673"/>
        <item t="data" h="1" sd="1" m="1" x="674"/>
        <item t="data" h="1" sd="1" m="1" x="675"/>
        <item t="data" h="1" sd="1" m="1" x="676"/>
        <item t="data" h="1" sd="1" m="1" x="677"/>
        <item t="data" h="1" sd="1" m="1" x="678"/>
        <item t="data" h="1" sd="1" m="1" x="679"/>
        <item t="data" h="1" sd="1" m="1" x="680"/>
        <item t="data" h="1" sd="1" x="5"/>
        <item t="data" h="1" sd="1" m="1" x="681"/>
        <item t="data" h="1" sd="1" m="1" x="682"/>
        <item t="data" h="1" sd="1" m="1" x="683"/>
        <item t="data" h="1" sd="1" m="1" x="684"/>
        <item t="data" h="1" sd="1" m="1" x="685"/>
        <item t="data" h="1" sd="1" m="1" x="686"/>
        <item t="data" h="1" sd="1" m="1" x="687"/>
        <item t="data" h="1" sd="1" m="1" x="688"/>
        <item t="data" h="1" sd="1" m="1" x="689"/>
        <item t="data" h="1" sd="1" m="1" x="690"/>
        <item t="data" h="1" sd="1" m="1" x="691"/>
        <item t="data" h="1" sd="1" m="1" x="692"/>
        <item t="data" h="1" sd="1" m="1" x="693"/>
        <item t="data" h="1" sd="1" m="1" x="694"/>
        <item t="data" h="1" sd="1" m="1" x="695"/>
        <item t="data" h="1" sd="1" m="1" x="696"/>
        <item t="data" h="1" sd="1" m="1" x="698"/>
        <item t="data" h="1" sd="1" m="1" x="699"/>
        <item t="data" h="1" sd="1" m="1" x="700"/>
        <item t="data" h="1" sd="1" m="1" x="701"/>
        <item t="data" h="1" sd="1" m="1" x="702"/>
        <item t="data" h="1" sd="1" m="1" x="703"/>
        <item t="data" h="1" sd="1" m="1" x="704"/>
        <item t="data" h="1" sd="1" m="1" x="705"/>
        <item t="data" h="1" sd="1" m="1" x="706"/>
        <item t="data" h="1" sd="1" m="1" x="707"/>
        <item t="data" h="1" sd="1" m="1" x="708"/>
        <item t="data" h="1" sd="1" m="1" x="709"/>
        <item t="data" h="1" sd="1" m="1" x="710"/>
        <item t="data" h="1" sd="1" m="1" x="711"/>
        <item t="data" h="1" sd="1" x="28"/>
        <item t="data" h="1" sd="1" m="1" x="713"/>
        <item t="data" h="1" sd="1" m="1" x="714"/>
        <item t="data" h="1" sd="1" m="1" x="716"/>
        <item t="data" h="1" sd="1" m="1" x="717"/>
        <item t="data" h="1" sd="1" m="1" x="720"/>
        <item t="data" h="1" sd="1" m="1" x="722"/>
        <item t="data" h="1" sd="1" m="1" x="723"/>
        <item t="data" h="1" sd="1" m="1" x="724"/>
        <item t="data" h="1" sd="1" m="1" x="725"/>
        <item t="data" h="1" sd="1" m="1" x="726"/>
        <item t="data" h="1" sd="1" m="1" x="727"/>
        <item t="data" h="1" sd="1" m="1" x="728"/>
        <item t="data" h="1" sd="1" m="1" x="730"/>
        <item t="data" h="1" sd="1" m="1" x="731"/>
        <item t="data" h="1" sd="1" m="1" x="732"/>
        <item t="data" h="1" sd="1" m="1" x="733"/>
        <item t="data" h="1" sd="1" m="1" x="734"/>
        <item t="data" h="1" sd="1" m="1" x="735"/>
        <item t="data" h="1" sd="1" m="1" x="736"/>
        <item t="data" h="1" sd="1" m="1" x="737"/>
        <item t="data" h="1" sd="1" m="1" x="738"/>
        <item t="data" h="1" sd="1" m="1" x="739"/>
        <item t="data" h="1" sd="1" m="1" x="740"/>
        <item t="data" h="1" sd="1" m="1" x="741"/>
        <item t="data" h="1" sd="1" m="1" x="742"/>
        <item t="data" h="1" sd="1" m="1" x="743"/>
        <item t="data" h="1" sd="1" m="1" x="744"/>
        <item t="data" h="1" sd="1" m="1" x="745"/>
        <item t="data" h="1" sd="1" m="1" x="746"/>
        <item t="data" h="1" sd="1" m="1" x="747"/>
        <item t="data" h="1" sd="1" m="1" x="748"/>
        <item t="data" h="1" sd="1" m="1" x="749"/>
        <item t="data" h="1" sd="1" m="1" x="751"/>
        <item t="data" h="1" sd="1" m="1" x="752"/>
        <item t="data" h="1" sd="1" m="1" x="753"/>
        <item t="data" h="1" sd="1" m="1" x="754"/>
        <item t="data" h="1" sd="1" m="1" x="755"/>
        <item t="data" h="1" sd="1" m="1" x="756"/>
        <item t="data" h="1" sd="1" m="1" x="757"/>
        <item t="data" h="1" sd="1" m="1" x="758"/>
        <item t="data" h="1" sd="1" m="1" x="759"/>
        <item t="data" h="1" sd="1" m="1" x="761"/>
        <item t="data" h="1" sd="1" m="1" x="762"/>
        <item t="data" h="1" sd="1" m="1" x="763"/>
        <item t="data" h="1" sd="1" m="1" x="764"/>
        <item t="data" h="1" sd="1" m="1" x="765"/>
        <item t="data" h="1" sd="1" m="1" x="766"/>
        <item t="data" h="1" sd="1" m="1" x="767"/>
        <item t="data" h="1" sd="1" x="25"/>
        <item t="data" h="1" sd="1" m="1" x="768"/>
        <item t="data" h="1" sd="1" m="1" x="769"/>
        <item t="data" h="1" sd="1" x="26"/>
        <item t="data" h="1" sd="1" m="1" x="770"/>
        <item t="data" h="1" sd="1" m="1" x="771"/>
        <item t="data" h="1" sd="1" m="1" x="773"/>
        <item t="data" h="1" sd="1" m="1" x="774"/>
        <item t="data" h="1" sd="1" m="1" x="775"/>
        <item t="data" h="1" sd="1" m="1" x="777"/>
        <item t="data" h="1" sd="1" m="1" x="778"/>
        <item t="data" h="1" sd="1" m="1" x="779"/>
        <item t="data" h="1" sd="1" m="1" x="780"/>
        <item t="data" h="1" sd="1" m="1" x="781"/>
        <item t="data" h="1" sd="1" x="27"/>
        <item t="data" h="1" sd="1" m="1" x="782"/>
        <item t="data" h="1" sd="1" m="1" x="783"/>
        <item t="data" h="1" sd="1" x="29"/>
        <item t="data" h="1" sd="1" m="1" x="785"/>
        <item t="data" h="1" sd="1" m="1" x="786"/>
        <item t="data" h="1" sd="1" m="1" x="787"/>
        <item t="data" h="1" sd="1" m="1" x="788"/>
        <item t="data" h="1" sd="1" m="1" x="789"/>
        <item t="data" h="1" sd="1" m="1" x="790"/>
        <item t="data" h="1" sd="1" m="1" x="791"/>
        <item t="data" h="1" sd="1" m="1" x="792"/>
        <item t="data" h="1" sd="1" m="1" x="793"/>
        <item t="data" h="1" sd="1" m="1" x="794"/>
        <item t="data" h="1" sd="1" m="1" x="795"/>
        <item t="data" h="1" sd="1" m="1" x="796"/>
        <item t="data" h="1" sd="1" m="1" x="797"/>
        <item t="data" h="1" sd="1" m="1" x="798"/>
        <item t="data" h="1" sd="1" m="1" x="801"/>
        <item t="data" h="1" sd="1" m="1" x="802"/>
        <item t="data" h="1" sd="1" m="1" x="803"/>
        <item t="data" h="1" sd="1" m="1" x="454"/>
        <item t="data" h="1" sd="1" m="1" x="804"/>
        <item t="data" h="1" sd="1" m="1" x="805"/>
        <item t="data" h="1" sd="1" m="1" x="806"/>
        <item t="data" h="1" sd="1" m="1" x="807"/>
        <item t="data" h="1" sd="1" m="1" x="808"/>
        <item t="data" h="1" sd="1" m="1" x="809"/>
        <item t="data" h="1" sd="1" m="1" x="810"/>
        <item t="data" h="1" sd="1" m="1" x="811"/>
        <item t="data" h="1" sd="1" m="1" x="812"/>
        <item t="data" h="1" sd="1" m="1" x="813"/>
        <item t="data" h="1" sd="1" m="1" x="814"/>
        <item t="data" h="1" sd="1" m="1" x="815"/>
        <item t="data" h="1" sd="1" m="1" x="816"/>
        <item t="data" h="1" sd="1" m="1" x="817"/>
        <item t="data" h="1" sd="1" m="1" x="818"/>
        <item t="data" h="1" sd="1" m="1" x="819"/>
        <item t="data" h="1" sd="1" m="1" x="820"/>
        <item t="data" h="1" sd="1" m="1" x="821"/>
        <item t="data" h="1" sd="1" m="1" x="823"/>
        <item t="data" h="1" sd="1" m="1" x="824"/>
        <item t="data" h="1" sd="1" m="1" x="826"/>
        <item t="data" h="1" sd="1" m="1" x="828"/>
        <item t="data" h="1" sd="1" m="1" x="830"/>
        <item t="data" h="1" sd="1" m="1" x="831"/>
        <item t="data" h="1" sd="1" m="1" x="832"/>
        <item t="data" h="1" sd="1" m="1" x="833"/>
        <item t="data" h="1" sd="1" m="1" x="835"/>
        <item t="data" h="1" sd="1" m="1" x="836"/>
        <item t="data" h="1" sd="1" m="1" x="837"/>
        <item t="data" h="1" sd="1" m="1" x="839"/>
        <item t="data" h="1" sd="1" m="1" x="840"/>
        <item t="data" h="1" sd="1" m="1" x="842"/>
        <item t="data" h="1" sd="1" m="1" x="843"/>
        <item t="data" h="1" sd="1" m="1" x="844"/>
        <item t="data" h="1" sd="1" x="36"/>
        <item t="data" h="1" sd="1" m="1" x="845"/>
        <item t="data" h="1" sd="1" m="1" x="846"/>
        <item t="data" h="1" sd="1" m="1" x="848"/>
        <item t="data" h="1" sd="1" m="1" x="849"/>
        <item t="data" h="1" sd="1" m="1" x="850"/>
        <item t="data" h="1" sd="1" m="1" x="851"/>
        <item t="data" h="1" sd="1" m="1" x="852"/>
        <item t="data" h="1" sd="1" m="1" x="853"/>
        <item t="data" h="1" sd="1" m="1" x="854"/>
        <item t="data" h="1" sd="1" m="1" x="855"/>
        <item t="data" h="1" sd="1" m="1" x="856"/>
        <item t="data" h="1" sd="1" m="1" x="857"/>
        <item t="data" h="1" sd="1" m="1" x="858"/>
        <item t="data" h="1" sd="1" m="1" x="859"/>
        <item t="data" h="1" sd="1" m="1" x="860"/>
        <item t="data" h="1" sd="1" m="1" x="861"/>
        <item t="data" h="1" sd="1" m="1" x="862"/>
        <item t="data" h="1" sd="1" m="1" x="863"/>
        <item t="data" h="1" sd="1" m="1" x="867"/>
        <item t="data" h="1" sd="1" m="1" x="868"/>
        <item t="data" h="1" sd="1" m="1" x="869"/>
        <item t="data" h="1" sd="1" m="1" x="870"/>
        <item t="data" h="1" sd="1" m="1" x="871"/>
        <item t="data" h="1" sd="1" m="1" x="872"/>
        <item t="data" h="1" sd="1" m="1" x="873"/>
        <item t="data" h="1" sd="1" m="1" x="874"/>
        <item t="data" h="1" sd="1" m="1" x="876"/>
        <item t="data" h="1" sd="1" m="1" x="877"/>
        <item t="data" h="1" sd="1" m="1" x="879"/>
        <item t="data" h="1" sd="1" m="1" x="880"/>
        <item t="data" h="1" sd="1" m="1" x="881"/>
        <item t="data" h="1" sd="1" m="1" x="882"/>
        <item t="data" h="1" sd="1" m="1" x="884"/>
        <item t="data" h="1" sd="1" m="1" x="885"/>
        <item t="data" h="1" sd="1" m="1" x="886"/>
        <item t="data" h="1" sd="1" m="1" x="888"/>
        <item t="data" h="1" sd="1" m="1" x="889"/>
        <item t="data" h="1" sd="1" m="1" x="890"/>
        <item t="data" h="1" sd="1" m="1" x="891"/>
        <item t="data" h="1" sd="1" m="1" x="892"/>
        <item t="data" h="1" sd="1" m="1" x="452"/>
        <item t="data" h="1" sd="1" m="1" x="894"/>
        <item t="data" h="1" sd="1" m="1" x="895"/>
        <item t="data" h="1" sd="1" m="1" x="896"/>
        <item t="data" h="1" sd="1" m="1" x="897"/>
        <item t="data" h="1" sd="1" m="1" x="898"/>
        <item t="data" h="1" sd="1" m="1" x="899"/>
        <item t="data" h="1" sd="1" m="1" x="900"/>
        <item t="data" h="1" sd="1" m="1" x="901"/>
        <item t="data" h="1" sd="1" m="1" x="902"/>
        <item t="data" h="1" sd="1" m="1" x="903"/>
        <item t="data" h="1" sd="1" m="1" x="904"/>
        <item t="data" h="1" sd="1" m="1" x="905"/>
        <item t="data" h="1" sd="1" m="1" x="906"/>
        <item t="data" h="1" sd="1" m="1" x="907"/>
        <item t="data" h="1" sd="1" m="1" x="908"/>
        <item t="data" h="1" sd="1" x="13"/>
        <item t="data" h="1" sd="1" m="1" x="910"/>
        <item t="data" h="1" sd="1" m="1" x="911"/>
        <item t="data" h="1" sd="1" m="1" x="912"/>
        <item t="data" h="1" sd="1" m="1" x="914"/>
        <item t="data" h="1" sd="1" m="1" x="915"/>
        <item t="data" h="1" sd="1" m="1" x="916"/>
        <item t="data" h="1" sd="1" m="1" x="917"/>
        <item t="data" h="1" sd="1" m="1" x="919"/>
        <item t="data" h="1" sd="1" m="1" x="920"/>
        <item t="data" h="1" sd="1" m="1" x="921"/>
        <item t="data" h="1" sd="1" m="1" x="922"/>
        <item t="data" h="1" sd="1" m="1" x="923"/>
        <item t="data" h="1" sd="1" m="1" x="924"/>
        <item t="data" h="1" sd="1" m="1" x="925"/>
        <item t="data" h="1" sd="1" m="1" x="926"/>
        <item t="data" h="1" sd="1" m="1" x="927"/>
        <item t="data" h="1" sd="1" m="1" x="928"/>
        <item t="data" h="1" sd="1" m="1" x="929"/>
        <item t="data" h="1" sd="1" m="1" x="930"/>
        <item t="data" h="1" sd="1" m="1" x="931"/>
        <item t="data" h="1" sd="1" m="1" x="932"/>
        <item t="data" h="1" sd="1" m="1" x="933"/>
        <item t="data" h="1" sd="1" m="1" x="934"/>
        <item t="data" h="1" sd="1" m="1" x="935"/>
        <item t="data" h="1" sd="1" m="1" x="936"/>
        <item t="data" h="1" sd="1" m="1" x="937"/>
        <item t="data" h="1" sd="1" m="1" x="938"/>
        <item t="data" h="1" sd="1" m="1" x="939"/>
        <item t="data" h="1" sd="1" m="1" x="940"/>
        <item t="data" h="1" sd="1" m="1" x="941"/>
        <item t="data" h="1" sd="1" m="1" x="942"/>
        <item t="data" h="1" sd="1" m="1" x="943"/>
        <item t="data" h="1" sd="1" m="1" x="944"/>
        <item t="data" h="1" sd="1" m="1" x="945"/>
        <item t="data" h="1" sd="1" m="1" x="946"/>
        <item t="data" h="1" sd="1" m="1" x="947"/>
        <item t="data" h="1" sd="1" m="1" x="948"/>
        <item t="data" h="1" sd="1" m="1" x="949"/>
        <item t="data" h="1" sd="1" m="1" x="951"/>
        <item t="data" h="1" sd="1" m="1" x="952"/>
        <item t="data" h="1" sd="1" m="1" x="953"/>
        <item t="data" h="1" sd="1" m="1" x="954"/>
        <item t="data" h="1" sd="1" m="1" x="956"/>
        <item t="data" h="1" sd="1" m="1" x="957"/>
        <item t="data" h="1" sd="1" m="1" x="959"/>
        <item t="data" h="1" sd="1" m="1" x="960"/>
        <item t="data" h="1" sd="1" m="1" x="961"/>
        <item t="data" h="1" sd="1" m="1" x="962"/>
        <item t="data" h="1" sd="1" m="1" x="963"/>
        <item t="data" h="1" sd="1" m="1" x="964"/>
        <item t="data" h="1" sd="1" m="1" x="965"/>
        <item t="data" h="1" sd="1" m="1" x="966"/>
        <item t="data" h="1" sd="1" m="1" x="967"/>
        <item t="data" h="1" sd="1" m="1" x="968"/>
        <item t="data" h="1" sd="1" m="1" x="969"/>
        <item t="data" h="1" sd="1" m="1" x="970"/>
        <item t="data" h="1" sd="1" m="1" x="971"/>
        <item t="data" h="1" sd="1" m="1" x="972"/>
        <item t="data" h="1" sd="1" m="1" x="973"/>
        <item t="data" h="1" sd="1" m="1" x="974"/>
        <item t="data" h="1" sd="1" m="1" x="975"/>
        <item t="data" h="1" sd="1" m="1" x="976"/>
        <item t="data" h="1" sd="1" m="1" x="977"/>
        <item t="data" h="1" sd="1" m="1" x="978"/>
        <item t="data" h="1" sd="1" m="1" x="979"/>
        <item t="data" h="1" sd="1" m="1" x="980"/>
        <item t="data" h="1" sd="1" m="1" x="981"/>
        <item t="data" h="1" sd="1" m="1" x="982"/>
        <item t="data" h="1" sd="1" m="1" x="983"/>
        <item t="data" h="1" sd="1" m="1" x="984"/>
        <item t="data" h="1" sd="1" m="1" x="985"/>
        <item t="data" h="1" sd="1" m="1" x="986"/>
        <item t="data" h="1" sd="1" m="1" x="987"/>
        <item t="data" h="1" sd="1" m="1" x="988"/>
        <item t="data" h="1" sd="1" m="1" x="989"/>
        <item t="data" h="1" sd="1" m="1" x="990"/>
        <item t="data" h="1" sd="1" m="1" x="991"/>
        <item t="data" h="1" sd="1" m="1" x="992"/>
        <item t="data" h="1" sd="1" m="1" x="993"/>
        <item t="data" h="1" sd="1" m="1" x="994"/>
        <item t="data" h="1" sd="1" m="1" x="995"/>
        <item t="data" h="1" sd="1" m="1" x="996"/>
        <item t="data" h="1" sd="1" m="1" x="997"/>
        <item t="data" h="1" sd="1" m="1" x="998"/>
        <item t="data" h="1" sd="1" m="1" x="999"/>
        <item t="data" h="1" sd="1" m="1" x="1000"/>
        <item t="data" h="1" sd="1" m="1" x="1001"/>
        <item t="data" h="1" sd="1" m="1" x="1002"/>
        <item t="data" h="1" sd="1" m="1" x="1003"/>
        <item t="data" h="1" sd="1" m="1" x="1004"/>
        <item t="data" h="1" sd="1" m="1" x="1005"/>
        <item t="data" h="1" sd="1" m="1" x="1006"/>
        <item t="data" h="1" sd="1" m="1" x="1007"/>
        <item t="data" h="1" sd="1" m="1" x="1008"/>
        <item t="data" h="1" sd="1" m="1" x="1009"/>
        <item t="data" h="1" sd="1" m="1" x="1010"/>
        <item t="data" h="1" sd="1" m="1" x="1012"/>
        <item t="data" h="1" sd="1" m="1" x="1013"/>
        <item t="data" h="1" sd="1" m="1" x="1014"/>
        <item t="data" h="1" sd="1" m="1" x="1015"/>
        <item t="data" h="1" sd="1" m="1" x="1016"/>
        <item t="data" h="1" sd="1" m="1" x="1017"/>
        <item t="data" h="1" sd="1" m="1" x="1018"/>
        <item t="data" h="1" sd="1" m="1" x="1019"/>
        <item t="data" h="1" sd="1" m="1" x="1020"/>
        <item t="data" h="1" sd="1" m="1" x="1021"/>
        <item t="data" h="1" sd="1" m="1" x="1022"/>
        <item t="data" h="1" sd="1" m="1" x="1023"/>
        <item t="data" h="1" sd="1" m="1" x="1024"/>
        <item t="data" h="1" sd="1" m="1" x="1025"/>
        <item t="data" h="1" sd="1" m="1" x="1026"/>
        <item t="data" h="1" sd="1" m="1" x="1027"/>
        <item t="data" h="1" sd="1" m="1" x="1029"/>
        <item t="data" h="1" sd="1" m="1" x="1030"/>
        <item t="data" h="1" sd="1" m="1" x="1031"/>
        <item t="data" h="1" sd="1" m="1" x="1032"/>
        <item t="data" h="1" sd="1" m="1" x="1033"/>
        <item t="data" h="1" sd="1" m="1" x="1034"/>
        <item t="data" h="1" sd="1" m="1" x="1035"/>
        <item t="data" h="1" sd="1" m="1" x="1036"/>
        <item t="data" h="1" sd="1" m="1" x="1037"/>
        <item t="data" h="1" sd="1" m="1" x="1038"/>
        <item t="data" h="1" sd="1" m="1" x="1039"/>
        <item t="data" h="1" sd="1" m="1" x="1040"/>
        <item t="data" h="1" sd="1" m="1" x="1042"/>
        <item t="data" h="1" sd="1" m="1" x="1043"/>
        <item t="data" h="1" sd="1" m="1" x="1044"/>
        <item t="data" h="1" sd="1" m="1" x="1045"/>
        <item t="data" h="1" sd="1" m="1" x="1046"/>
        <item t="data" h="1" sd="1" m="1" x="1047"/>
        <item t="data" h="1" sd="1" m="1" x="1048"/>
        <item t="data" h="1" sd="1" m="1" x="1049"/>
        <item t="data" h="1" sd="1" m="1" x="1052"/>
        <item t="data" h="1" sd="1" m="1" x="1053"/>
        <item t="data" h="1" sd="1" m="1" x="1054"/>
        <item t="data" h="1" sd="1" m="1" x="1055"/>
        <item t="data" h="1" sd="1" m="1" x="450"/>
        <item t="data" h="1" sd="1" m="1" x="451"/>
        <item t="data" h="1" sd="1" m="1" x="1056"/>
        <item t="data" h="1" sd="1" m="1" x="1057"/>
        <item t="data" h="1" sd="1" m="1" x="1058"/>
        <item t="data" h="1" sd="1" m="1" x="1059"/>
        <item t="data" h="1" sd="1" m="1" x="1060"/>
        <item t="data" h="1" sd="1" m="1" x="1061"/>
        <item t="data" h="1" sd="1" m="1" x="1062"/>
        <item t="data" h="1" sd="1" m="1" x="1063"/>
        <item t="data" h="1" sd="1" m="1" x="1064"/>
        <item t="data" h="1" sd="1" m="1" x="1065"/>
        <item t="data" h="1" sd="1" m="1" x="1066"/>
        <item t="data" h="1" sd="1" m="1" x="1067"/>
        <item t="data" h="1" sd="1" m="1" x="1068"/>
        <item t="data" h="1" sd="1" m="1" x="1069"/>
        <item t="data" h="1" sd="1" m="1" x="1071"/>
        <item t="data" h="1" sd="1" m="1" x="1072"/>
        <item t="data" h="1" sd="1" m="1" x="1073"/>
        <item t="data" h="1" sd="1" m="1" x="1074"/>
        <item t="data" h="1" sd="1" m="1" x="1075"/>
        <item t="data" h="1" sd="1" m="1" x="1076"/>
        <item t="data" h="1" sd="1" m="1" x="1077"/>
        <item t="data" h="1" sd="1" m="1" x="1078"/>
        <item t="data" h="1" sd="1" m="1" x="1079"/>
        <item t="data" h="1" sd="1" m="1" x="1080"/>
        <item t="data" h="1" sd="1" m="1" x="1083"/>
        <item t="data" h="1" sd="1" m="1" x="1084"/>
        <item t="data" h="1" sd="1" m="1" x="1085"/>
        <item t="data" h="1" sd="1" m="1" x="1086"/>
        <item t="data" h="1" sd="1" m="1" x="1087"/>
        <item t="data" h="1" sd="1" m="1" x="1088"/>
        <item t="data" h="1" sd="1" m="1" x="1089"/>
        <item t="data" h="1" sd="1" m="1" x="1090"/>
        <item t="data" h="1" sd="1" m="1" x="1091"/>
        <item t="data" h="1" sd="1" m="1" x="1092"/>
        <item t="data" h="1" sd="1" m="1" x="1093"/>
        <item t="data" h="1" sd="1" m="1" x="1094"/>
        <item t="data" h="1" sd="1" m="1" x="1095"/>
        <item t="data" h="1" sd="1" m="1" x="1096"/>
        <item t="data" h="1" sd="1" m="1" x="1097"/>
        <item t="data" h="1" sd="1" m="1" x="1098"/>
        <item t="data" h="1" sd="1" m="1" x="1099"/>
        <item t="data" h="1" sd="1" m="1" x="1100"/>
        <item t="data" h="1" sd="1" m="1" x="1101"/>
        <item t="data" h="1" sd="1" m="1" x="1102"/>
        <item t="data" h="1" sd="1" m="1" x="1103"/>
        <item t="data" h="1" sd="1" m="1" x="1104"/>
        <item t="data" h="1" sd="1" m="1" x="1105"/>
        <item t="data" h="1" sd="1" m="1" x="1106"/>
        <item t="data" h="1" sd="1" m="1" x="1107"/>
        <item t="data" h="1" sd="1" m="1" x="1108"/>
        <item t="data" h="1" sd="1" m="1" x="1109"/>
        <item t="data" h="1" sd="1" m="1" x="1111"/>
        <item t="data" h="1" sd="1" m="1" x="1112"/>
        <item t="data" h="1" sd="1" m="1" x="1113"/>
        <item t="data" h="1" sd="1" m="1" x="1114"/>
        <item t="data" h="1" sd="1" m="1" x="1115"/>
        <item t="data" h="1" sd="1" m="1" x="1116"/>
        <item t="data" h="1" sd="1" x="134"/>
        <item t="data" h="1" sd="1" m="1" x="1117"/>
        <item t="data" h="1" sd="1" m="1" x="1118"/>
        <item t="data" h="1" sd="1" m="1" x="1119"/>
        <item t="data" h="1" sd="1" m="1" x="1120"/>
        <item t="data" h="1" sd="1" m="1" x="1121"/>
        <item t="data" h="1" sd="1" m="1" x="1123"/>
        <item t="data" h="1" sd="1" m="1" x="1124"/>
        <item t="data" h="1" sd="1" m="1" x="1125"/>
        <item t="data" h="1" sd="1" m="1" x="1126"/>
        <item t="data" h="1" sd="1" m="1" x="1127"/>
        <item t="data" h="1" sd="1" m="1" x="1128"/>
        <item t="data" h="1" sd="1" m="1" x="1129"/>
        <item t="data" h="1" sd="1" m="1" x="1130"/>
        <item t="data" h="1" sd="1" m="1" x="1131"/>
        <item t="data" h="1" sd="1" m="1" x="1132"/>
        <item t="data" h="1" sd="1" m="1" x="1133"/>
        <item t="data" h="1" sd="1" m="1" x="1134"/>
        <item t="data" h="1" sd="1" m="1" x="1135"/>
        <item t="data" h="1" sd="1" m="1" x="1136"/>
        <item t="data" h="1" sd="1" m="1" x="1137"/>
        <item t="data" h="1" sd="1" m="1" x="1138"/>
        <item t="data" h="1" sd="1" m="1" x="1139"/>
        <item t="data" h="1" sd="1" m="1" x="1141"/>
        <item t="data" h="1" sd="1" m="1" x="1142"/>
        <item t="data" h="1" sd="1" m="1" x="1143"/>
        <item t="data" h="1" sd="1" m="1" x="1144"/>
        <item t="data" h="1" sd="1" m="1" x="1145"/>
        <item t="data" h="1" sd="1" m="1" x="1146"/>
        <item t="data" h="1" sd="1" m="1" x="1147"/>
        <item t="data" h="1" sd="1" m="1" x="1148"/>
        <item t="data" h="1" sd="1" m="1" x="1149"/>
        <item t="data" h="1" sd="1" m="1" x="1150"/>
        <item t="data" h="1" sd="1" m="1" x="1152"/>
        <item t="data" h="1" sd="1" m="1" x="1153"/>
        <item t="data" h="1" sd="1" m="1" x="1154"/>
        <item t="data" h="1" sd="1" m="1" x="1155"/>
        <item t="data" h="1" sd="1" m="1" x="1156"/>
        <item t="data" h="1" sd="1" m="1" x="1157"/>
        <item t="data" h="1" sd="1" m="1" x="1158"/>
        <item t="data" h="1" sd="1" m="1" x="1159"/>
        <item t="data" h="1" sd="1" m="1" x="1160"/>
        <item t="data" h="1" sd="1" m="1" x="1162"/>
        <item t="data" h="1" sd="1" m="1" x="1163"/>
        <item t="data" h="1" sd="1" m="1" x="1164"/>
        <item t="data" h="1" sd="1" m="1" x="1165"/>
        <item t="data" h="1" sd="1" m="1" x="1166"/>
        <item t="data" h="1" sd="1" m="1" x="1167"/>
        <item t="data" h="1" sd="1" m="1" x="1168"/>
        <item t="data" h="1" sd="1" m="1" x="1169"/>
        <item t="data" h="1" sd="1" m="1" x="1170"/>
        <item t="data" h="1" sd="1" x="23"/>
        <item t="data" h="1" sd="1" m="1" x="1171"/>
        <item t="data" h="1" sd="1" m="1" x="1172"/>
        <item t="data" h="1" sd="1" m="1" x="1173"/>
        <item t="data" h="1" sd="1" m="1" x="1174"/>
        <item t="data" h="1" sd="1" m="1" x="1175"/>
        <item t="data" h="1" sd="1" m="1" x="1176"/>
        <item t="data" h="1" sd="1" m="1" x="1177"/>
        <item t="data" h="1" sd="1" m="1" x="1178"/>
        <item t="data" h="1" sd="1" m="1" x="1179"/>
        <item t="data" h="1" sd="1" m="1" x="1180"/>
        <item t="data" h="1" sd="1" m="1" x="1181"/>
        <item t="data" h="1" sd="1" x="45"/>
        <item t="data" h="1" sd="1" m="1" x="1183"/>
        <item t="data" h="1" sd="1" m="1" x="1184"/>
        <item t="data" h="1" sd="1" m="1" x="1185"/>
        <item t="data" h="1" sd="1" m="1" x="1186"/>
        <item t="data" h="1" sd="1" m="1" x="1187"/>
        <item t="data" h="1" sd="1" m="1" x="1188"/>
        <item t="data" h="1" sd="1" m="1" x="1189"/>
        <item t="data" h="1" sd="1" m="1" x="1190"/>
        <item t="data" h="1" sd="1" m="1" x="1191"/>
        <item t="data" h="1" sd="1" m="1" x="1192"/>
        <item t="data" h="1" sd="1" m="1" x="1193"/>
        <item t="data" h="1" sd="1" m="1" x="1194"/>
        <item t="data" h="1" sd="1" m="1" x="1195"/>
        <item t="data" h="1" sd="1" m="1" x="1196"/>
        <item t="data" h="1" sd="1" m="1" x="1197"/>
        <item t="data" h="1" sd="1" m="1" x="1198"/>
        <item t="data" h="1" sd="1" m="1" x="1199"/>
        <item t="data" h="1" sd="1" m="1" x="1200"/>
        <item t="data" h="1" sd="1" m="1" x="1201"/>
        <item t="data" h="1" sd="1" m="1" x="1202"/>
        <item t="data" h="1" sd="1" m="1" x="1203"/>
        <item t="data" h="1" sd="1" m="1" x="1204"/>
        <item t="data" h="1" sd="1" m="1" x="1205"/>
        <item t="data" h="1" sd="1" m="1" x="1206"/>
        <item t="data" h="1" sd="1" m="1" x="1207"/>
        <item t="data" h="1" sd="1" m="1" x="1208"/>
        <item t="data" h="1" sd="1" m="1" x="1209"/>
        <item t="data" h="1" sd="1" m="1" x="1210"/>
        <item t="data" h="1" sd="1" m="1" x="1212"/>
        <item t="data" h="1" sd="1" m="1" x="1213"/>
        <item t="data" h="1" sd="1" m="1" x="1214"/>
        <item t="data" h="1" sd="1" m="1" x="1215"/>
        <item t="data" h="1" sd="1" m="1" x="1216"/>
        <item t="data" h="1" sd="1" m="1" x="1217"/>
        <item t="data" h="1" sd="1" m="1" x="1218"/>
        <item t="data" h="1" sd="1" m="1" x="1219"/>
        <item t="data" h="1" sd="1" m="1" x="1220"/>
        <item t="data" h="1" sd="1" m="1" x="1221"/>
        <item t="data" h="1" sd="1" m="1" x="1222"/>
        <item t="data" h="1" sd="1" m="1" x="1223"/>
        <item t="data" h="1" sd="1" m="1" x="1224"/>
        <item t="data" h="1" sd="1" m="1" x="1225"/>
        <item t="data" h="1" sd="1" m="1" x="1226"/>
        <item t="data" h="1" sd="1" m="1" x="1227"/>
        <item t="data" h="1" sd="1" m="1" x="1228"/>
        <item t="data" h="1" sd="1" m="1" x="1229"/>
        <item t="data" h="1" sd="1" m="1" x="1230"/>
        <item t="data" h="1" sd="1" m="1" x="1232"/>
        <item t="data" h="1" sd="1" m="1" x="1233"/>
        <item t="data" h="1" sd="1" m="1" x="1234"/>
        <item t="data" h="1" sd="1" m="1" x="1235"/>
        <item t="data" h="1" sd="1" m="1" x="1236"/>
        <item t="data" h="1" sd="1" m="1" x="1237"/>
        <item t="data" h="1" sd="1" m="1" x="1238"/>
        <item t="data" h="1" sd="1" m="1" x="1239"/>
        <item t="data" h="1" sd="1" m="1" x="1240"/>
        <item t="data" h="1" sd="1" m="1" x="1241"/>
        <item t="data" h="1" sd="1" m="1" x="1242"/>
        <item t="data" h="1" sd="1" m="1" x="1243"/>
        <item t="data" h="1" sd="1" m="1" x="1244"/>
        <item t="data" h="1" sd="1" m="1" x="1245"/>
        <item t="data" h="1" sd="1" m="1" x="1246"/>
        <item t="data" h="1" sd="1" m="1" x="1247"/>
        <item t="data" h="1" sd="1" m="1" x="1248"/>
        <item t="data" h="1" sd="1" m="1" x="1249"/>
        <item t="data" h="1" sd="1" m="1" x="1250"/>
        <item t="data" h="1" sd="1" m="1" x="1251"/>
        <item t="data" h="1" sd="1" m="1" x="1252"/>
        <item t="data" h="1" sd="1" m="1" x="1253"/>
        <item t="data" h="1" sd="1" m="1" x="1254"/>
        <item t="data" h="1" sd="1" m="1" x="1255"/>
        <item t="data" h="1" sd="1" m="1" x="1256"/>
        <item t="data" h="1" sd="1" m="1" x="1257"/>
        <item t="data" h="1" sd="1" m="1" x="1258"/>
        <item t="data" h="1" sd="1" m="1" x="1259"/>
        <item t="data" h="1" sd="1" m="1" x="1260"/>
        <item t="data" h="1" sd="1" m="1" x="1261"/>
        <item t="data" h="1" sd="1" m="1" x="1262"/>
        <item t="data" h="1" sd="1" m="1" x="1263"/>
        <item t="data" h="1" sd="1" m="1" x="1264"/>
        <item t="data" h="1" sd="1" m="1" x="1265"/>
        <item t="data" h="1" sd="1" m="1" x="1266"/>
        <item t="data" h="1" sd="1" m="1" x="1267"/>
        <item t="data" h="1" sd="1" m="1" x="1268"/>
        <item t="data" h="1" sd="1" m="1" x="1270"/>
        <item t="data" h="1" sd="1" m="1" x="1271"/>
        <item t="data" h="1" sd="1" m="1" x="1273"/>
        <item t="data" h="1" sd="1" m="1" x="1274"/>
        <item t="data" h="1" sd="1" m="1" x="1275"/>
        <item t="data" h="1" sd="1" m="1" x="1276"/>
        <item t="data" h="1" sd="1" m="1" x="1277"/>
        <item t="data" h="1" sd="1" m="1" x="1278"/>
        <item t="data" h="1" sd="1" m="1" x="1279"/>
        <item t="data" h="1" sd="1" m="1" x="1280"/>
        <item t="data" h="1" sd="1" m="1" x="1281"/>
        <item t="data" h="1" sd="1" m="1" x="1282"/>
        <item t="data" h="1" sd="1" m="1" x="1283"/>
        <item t="data" h="1" sd="1" m="1" x="1284"/>
        <item t="data" h="1" sd="1" m="1" x="1285"/>
        <item t="data" h="1" sd="1" m="1" x="1286"/>
        <item t="data" h="1" sd="1" m="1" x="1287"/>
        <item t="data" h="1" sd="1" m="1" x="1288"/>
        <item t="data" h="1" sd="1" m="1" x="1289"/>
        <item t="data" h="1" sd="1" m="1" x="1290"/>
        <item t="data" h="1" sd="1" m="1" x="1291"/>
        <item t="data" h="1" sd="1" m="1" x="1292"/>
        <item t="data" h="1" sd="1" m="1" x="1293"/>
        <item t="data" h="1" sd="1" m="1" x="1294"/>
        <item t="data" h="1" sd="1" m="1" x="1295"/>
        <item t="data" h="1" sd="1" m="1" x="1296"/>
        <item t="data" h="1" sd="1" m="1" x="1297"/>
        <item t="data" h="1" sd="1" m="1" x="1299"/>
        <item t="data" h="1" sd="1" m="1" x="1300"/>
        <item t="data" h="1" sd="1" m="1" x="1301"/>
        <item t="data" h="1" sd="1" m="1" x="1302"/>
        <item t="data" h="1" sd="1" m="1" x="1303"/>
        <item t="data" h="1" sd="1" m="1" x="1307"/>
        <item t="data" h="1" sd="1" m="1" x="1308"/>
        <item t="data" h="1" sd="1" m="1" x="1309"/>
        <item t="data" h="1" sd="1" m="1" x="1310"/>
        <item t="data" h="1" sd="1" m="1" x="1311"/>
        <item t="data" h="1" sd="1" m="1" x="1312"/>
        <item t="data" h="1" sd="1" m="1" x="1313"/>
        <item t="data" h="1" sd="1" m="1" x="1315"/>
        <item t="data" h="1" sd="1" m="1" x="1316"/>
        <item t="data" h="1" sd="1" m="1" x="1317"/>
        <item t="data" h="1" sd="1" m="1" x="1318"/>
        <item t="data" h="1" sd="1" m="1" x="1319"/>
        <item t="data" h="1" sd="1" m="1" x="1320"/>
        <item t="data" h="1" sd="1" m="1" x="1321"/>
        <item t="data" h="1" sd="1" m="1" x="1322"/>
        <item t="data" h="1" sd="1" m="1" x="1323"/>
        <item t="data" h="1" sd="1" m="1" x="1324"/>
        <item t="data" h="1" sd="1" m="1" x="1325"/>
        <item t="data" h="1" sd="1" m="1" x="1326"/>
        <item t="data" h="1" sd="1" m="1" x="1327"/>
        <item t="data" h="1" sd="1" m="1" x="1328"/>
        <item t="data" h="1" sd="1" m="1" x="1329"/>
        <item t="data" h="1" sd="1" m="1" x="1330"/>
        <item t="data" h="1" sd="1" m="1" x="1331"/>
        <item t="data" h="1" sd="1" m="1" x="1332"/>
        <item t="data" h="1" sd="1" m="1" x="1333"/>
        <item t="data" h="1" sd="1" m="1" x="1335"/>
        <item t="data" h="1" sd="1" m="1" x="1336"/>
        <item t="data" h="1" sd="1" m="1" x="1337"/>
        <item t="data" h="1" sd="1" m="1" x="1338"/>
        <item t="data" h="1" sd="1" m="1" x="1339"/>
        <item t="data" h="1" sd="1" m="1" x="1340"/>
        <item t="data" h="1" sd="1" m="1" x="1341"/>
        <item t="data" h="1" sd="1" m="1" x="1342"/>
        <item t="data" h="1" sd="1" m="1" x="1343"/>
        <item t="data" h="1" sd="1" m="1" x="1344"/>
        <item t="data" h="1" sd="1" m="1" x="1345"/>
        <item t="data" h="1" sd="1" m="1" x="1346"/>
        <item t="data" h="1" sd="1" m="1" x="1347"/>
        <item t="data" h="1" sd="1" m="1" x="1348"/>
        <item t="data" h="1" sd="1" m="1" x="1349"/>
        <item t="data" h="1" sd="1" m="1" x="1350"/>
        <item t="data" h="1" sd="1" x="38"/>
        <item t="data" h="1" sd="1" x="40"/>
        <item t="data" h="1" sd="1" x="39"/>
        <item t="data" h="1" sd="1" x="43"/>
        <item t="data" h="1" sd="1" m="1" x="458"/>
        <item t="data" h="1" sd="1" x="41"/>
        <item t="data" h="1" sd="1" x="42"/>
        <item t="data" h="1" sd="1" x="44"/>
        <item t="data" h="1" sd="1" m="1" x="1352"/>
        <item t="data" h="1" sd="1" x="48"/>
        <item t="data" h="1" sd="1" x="49"/>
        <item t="data" h="1" sd="1" m="1" x="1353"/>
        <item t="data" h="1" sd="1" m="1" x="1354"/>
        <item t="data" h="1" sd="1" m="1" x="1355"/>
        <item t="data" h="1" sd="1" m="1" x="1356"/>
        <item t="data" h="1" sd="1" m="1" x="1357"/>
        <item t="data" h="1" sd="1" m="1" x="1358"/>
        <item t="data" h="1" sd="1" m="1" x="1360"/>
        <item t="data" h="1" sd="1" x="51"/>
        <item t="data" h="1" sd="1" m="1" x="460"/>
        <item t="data" h="1" sd="1" m="1" x="459"/>
        <item t="data" h="1" sd="1" x="52"/>
        <item t="data" h="1" sd="1" m="1" x="1362"/>
        <item t="data" h="1" sd="1" m="1" x="1363"/>
        <item t="data" h="1" sd="1" m="1" x="1364"/>
        <item t="data" h="1" sd="1" m="1" x="463"/>
        <item t="data" h="1" sd="1" m="1" x="1365"/>
        <item t="data" h="1" sd="1" m="1" x="1366"/>
        <item t="data" h="1" sd="1" x="60"/>
        <item t="data" h="1" sd="1" x="63"/>
        <item t="data" h="1" sd="1" m="1" x="1367"/>
        <item t="data" h="1" sd="1" x="65"/>
        <item t="data" h="1" sd="1" m="1" x="465"/>
        <item t="data" h="1" sd="1" m="1" x="1368"/>
        <item t="data" h="1" sd="1" m="1" x="1369"/>
        <item t="data" h="1" sd="1" m="1" x="1370"/>
        <item t="data" h="1" sd="1" m="1" x="1371"/>
        <item t="data" h="1" sd="1" m="1" x="1373"/>
        <item t="data" h="1" sd="1" m="1" x="1375"/>
        <item t="data" h="1" sd="1" m="1" x="1376"/>
        <item t="data" h="1" sd="1" m="1" x="1378"/>
        <item t="data" h="1" sd="1" m="1" x="1379"/>
        <item t="data" h="1" sd="1" x="68"/>
        <item t="data" h="1" sd="1" x="83"/>
        <item t="data" h="1" sd="1" x="82"/>
        <item t="data" h="1" sd="1" m="1" x="466"/>
        <item t="data" h="1" sd="1" m="1" x="467"/>
        <item t="data" h="1" sd="1" m="1" x="1380"/>
        <item t="data" h="1" sd="1" m="1" x="1381"/>
        <item t="data" h="1" sd="1" m="1" x="1382"/>
        <item t="data" h="1" sd="1" x="84"/>
        <item t="data" h="1" sd="1" m="1" x="1383"/>
        <item t="data" h="1" sd="1" m="1" x="470"/>
        <item t="data" h="1" sd="1" m="1" x="469"/>
        <item t="data" h="1" sd="1" m="1" x="468"/>
        <item t="data" h="1" sd="1" m="1" x="473"/>
        <item t="data" h="1" sd="1" m="1" x="1384"/>
        <item t="data" h="1" sd="1" m="1" x="1385"/>
        <item t="data" h="1" sd="1" m="1" x="1386"/>
        <item t="data" h="1" sd="1" x="97"/>
        <item t="data" h="1" sd="1" x="96"/>
        <item t="data" h="1" sd="1" x="95"/>
        <item t="data" h="1" sd="1" m="1" x="1388"/>
        <item t="data" h="1" sd="1" m="1" x="474"/>
        <item t="data" h="1" sd="1" m="1" x="1389"/>
        <item t="data" h="1" sd="1" m="1" x="475"/>
        <item t="data" h="1" sd="1" x="100"/>
        <item t="data" h="1" sd="1" x="103"/>
        <item t="data" h="1" sd="1" x="101"/>
        <item t="data" h="1" sd="1" x="105"/>
        <item t="data" h="1" sd="1" x="106"/>
        <item t="data" h="1" sd="1" x="107"/>
        <item t="data" h="1" sd="1" m="1" x="1390"/>
        <item t="data" h="1" sd="1" m="1" x="1392"/>
        <item t="data" h="1" sd="1" m="1" x="1393"/>
        <item t="data" h="1" sd="1" m="1" x="1394"/>
        <item t="data" h="1" sd="1" m="1" x="1395"/>
        <item t="data" h="1" sd="1" m="1" x="1396"/>
        <item t="data" h="1" sd="1" m="1" x="1397"/>
        <item t="data" h="1" sd="1" m="1" x="1398"/>
        <item t="data" h="1" sd="1" m="1" x="1399"/>
        <item t="data" h="1" sd="1" m="1" x="1400"/>
        <item t="data" h="1" sd="1" m="1" x="1401"/>
        <item t="data" h="1" sd="1" m="1" x="1402"/>
        <item t="data" h="1" sd="1" m="1" x="1403"/>
        <item t="data" h="1" sd="1" m="1" x="1404"/>
        <item t="data" h="1" sd="1" m="1" x="1405"/>
        <item t="data" h="1" sd="1" m="1" x="1407"/>
        <item t="data" h="1" sd="1" m="1" x="1408"/>
        <item t="data" h="1" sd="1" x="108"/>
        <item t="data" h="1" sd="1" x="117"/>
        <item t="data" h="1" sd="1" m="1" x="1409"/>
        <item t="data" h="1" sd="1" m="1" x="1410"/>
        <item t="data" h="1" sd="1" x="120"/>
        <item t="data" h="1" sd="1" x="119"/>
        <item t="data" h="1" sd="1" x="121"/>
        <item t="data" h="1" sd="1" x="122"/>
        <item t="data" h="1" sd="1" x="116"/>
        <item t="data" h="1" sd="1" x="115"/>
        <item t="data" h="1" sd="1" m="1" x="1412"/>
        <item t="data" h="1" sd="1" m="1" x="482"/>
        <item t="data" h="1" sd="1" x="123"/>
        <item t="data" h="1" sd="1" x="124"/>
        <item t="data" h="1" sd="1" m="1" x="481"/>
        <item t="data" h="1" sd="1" x="125"/>
        <item t="data" h="1" sd="1" x="126"/>
        <item t="data" h="1" sd="1" x="127"/>
        <item t="data" h="1" sd="1" x="128"/>
        <item t="data" h="1" sd="1" x="137"/>
        <item t="data" h="1" sd="1" x="136"/>
        <item t="data" h="1" sd="1" x="170"/>
        <item t="data" h="1" sd="1" m="1" x="495"/>
        <item t="data" h="1" sd="1" x="133"/>
        <item t="data" h="1" sd="1" x="171"/>
        <item t="data" h="1" sd="1" m="1" x="489"/>
        <item t="data" h="1" sd="1" x="172"/>
        <item t="data" h="1" sd="1" m="1" x="499"/>
        <item t="data" h="1" sd="1" m="1" x="496"/>
        <item t="data" h="1" sd="1" x="156"/>
        <item t="data" h="1" sd="1" m="1" x="502"/>
        <item t="data" h="1" sd="1" x="139"/>
        <item t="data" h="1" sd="1" m="1" x="1414"/>
        <item t="data" h="1" sd="1" m="1" x="1416"/>
        <item t="data" h="1" sd="1" m="1" x="1417"/>
        <item t="data" h="1" sd="1" m="1" x="1418"/>
        <item t="data" h="1" sd="1" m="1" x="1419"/>
        <item t="data" h="1" sd="1" m="1" x="1420"/>
        <item t="data" h="1" sd="1" m="1" x="512"/>
        <item t="data" h="1" sd="1" m="1" x="509"/>
        <item t="data" h="1" sd="1" m="1" x="510"/>
        <item t="data" h="1" sd="1" x="179"/>
        <item t="data" h="1" sd="1" m="1" x="511"/>
        <item t="data" h="1" sd="1" m="1" x="514"/>
        <item t="data" h="1" sd="1" m="1" x="513"/>
        <item t="data" h="1" sd="1" x="181"/>
        <item t="data" h="1" sd="1" x="182"/>
        <item t="data" h="1" sd="1" m="1" x="516"/>
        <item t="data" h="1" sd="1" m="1" x="517"/>
        <item t="data" h="1" sd="1" x="180"/>
        <item t="data" h="1" sd="1" x="178"/>
        <item t="data" h="1" sd="1" m="1" x="1422"/>
        <item t="data" h="1" sd="1" x="184"/>
        <item t="data" h="1" sd="1" m="1" x="1423"/>
        <item t="data" h="1" sd="1" x="185"/>
        <item t="data" h="1" sd="1" m="1" x="1424"/>
        <item t="data" h="1" sd="1" m="1" x="1425"/>
        <item t="data" h="1" sd="1" m="1" x="1426"/>
        <item t="data" h="1" sd="1" m="1" x="1427"/>
        <item t="data" h="1" sd="1" m="1" x="521"/>
        <item t="data" h="1" sd="1" x="192"/>
        <item t="data" h="1" sd="1" m="1" x="523"/>
        <item t="data" h="1" sd="1" m="1" x="526"/>
        <item t="data" h="1" sd="1" m="1" x="524"/>
        <item t="data" h="1" sd="1" m="1" x="1428"/>
        <item t="data" h="1" sd="1" m="1" x="531"/>
        <item t="data" h="1" sd="1" m="1" x="528"/>
        <item t="data" h="1" sd="1" m="1" x="1429"/>
        <item t="data" h="1" sd="1" m="1" x="1430"/>
        <item t="data" h="1" sd="1" m="1" x="1431"/>
        <item t="data" h="1" sd="1" x="197"/>
        <item t="data" h="1" sd="1" x="198"/>
        <item t="data" h="1" sd="1" m="1" x="1432"/>
        <item t="data" h="1" sd="1" x="199"/>
        <item t="data" h="1" sd="1" m="1" x="1433"/>
        <item t="data" h="1" sd="1" m="1" x="1434"/>
        <item t="data" h="1" sd="1" x="195"/>
        <item t="data" h="1" sd="1" m="1" x="1435"/>
        <item t="data" h="1" sd="1" x="194"/>
        <item t="data" h="1" sd="1" m="1" x="1437"/>
        <item t="data" h="1" sd="1" x="77"/>
        <item t="data" h="1" sd="1" m="1" x="536"/>
        <item t="data" h="1" sd="1" m="1" x="538"/>
        <item t="data" h="1" sd="1" m="1" x="540"/>
        <item t="data" h="1" sd="1" m="1" x="1438"/>
        <item t="data" h="1" sd="1" m="1" x="1439"/>
        <item t="data" h="1" sd="1" m="1" x="1440"/>
        <item t="data" h="1" sd="1" m="1" x="1441"/>
        <item t="data" h="1" sd="1" m="1" x="1442"/>
        <item t="data" h="1" sd="1" m="1" x="541"/>
        <item t="data" h="1" sd="1" m="1" x="543"/>
        <item t="data" h="1" sd="1" x="212"/>
        <item t="data" h="1" sd="1" m="1" x="1443"/>
        <item t="data" h="1" sd="1" m="1" x="551"/>
        <item t="data" h="1" sd="1" m="1" x="548"/>
        <item t="data" h="1" sd="1" m="1" x="549"/>
        <item t="data" h="1" sd="1" m="1" x="545"/>
        <item t="data" h="1" sd="1" m="1" x="558"/>
        <item t="data" h="1" sd="1" m="1" x="559"/>
        <item t="data" h="1" sd="1" m="1" x="554"/>
        <item t="data" h="1" sd="1" m="1" x="553"/>
        <item t="data" h="1" sd="1" x="229"/>
        <item t="data" h="1" sd="1" x="222"/>
        <item t="data" h="1" sd="1" x="223"/>
        <item t="data" h="1" sd="1" m="1" x="1445"/>
        <item t="data" h="1" sd="1" m="1" x="1446"/>
        <item t="data" h="1" sd="1" x="235"/>
        <item t="data" h="1" sd="1" x="237"/>
        <item t="data" h="1" sd="1" x="236"/>
        <item t="data" h="1" sd="1" x="238"/>
        <item t="data" h="1" sd="1" m="1" x="1447"/>
        <item t="data" h="1" sd="1" m="1" x="1448"/>
        <item t="data" h="1" sd="1" m="1" x="1451"/>
        <item t="data" h="1" sd="1" m="1" x="1452"/>
        <item t="data" h="1" sd="1" x="245"/>
        <item t="data" h="1" sd="1" x="247"/>
        <item t="data" h="1" sd="1" x="248"/>
        <item t="data" h="1" sd="1" m="1" x="1455"/>
        <item t="data" h="1" sd="1" m="1" x="1457"/>
        <item t="data" h="1" sd="1" x="239"/>
        <item t="data" h="1" sd="1" m="1" x="1458"/>
        <item t="data" h="1" sd="1" m="1" x="1459"/>
        <item t="data" h="1" sd="1" m="1" x="1460"/>
        <item t="data" h="1" sd="1" m="1" x="1461"/>
        <item t="data" h="1" sd="1" m="1" x="1462"/>
        <item t="data" h="1" sd="1" m="1" x="1463"/>
        <item t="data" h="1" sd="1" m="1" x="1464"/>
        <item t="data" h="1" sd="1" m="1" x="1465"/>
        <item t="data" h="1" sd="1" m="1" x="1466"/>
        <item t="data" h="1" sd="1" m="1" x="1467"/>
        <item t="data" h="1" sd="1" m="1" x="1468"/>
        <item t="data" h="1" sd="1" m="1" x="1469"/>
        <item t="data" h="1" sd="1" m="1" x="1470"/>
        <item t="data" h="1" sd="1" m="1" x="1471"/>
        <item t="data" h="1" sd="1" m="1" x="1472"/>
        <item t="data" h="1" sd="1" m="1" x="1473"/>
        <item t="data" h="1" sd="1" m="1" x="1475"/>
        <item t="data" h="1" sd="1" m="1" x="565"/>
        <item t="data" h="1" sd="1" x="258"/>
        <item t="data" h="1" sd="1" x="259"/>
        <item t="data" h="1" sd="1" x="260"/>
        <item t="data" h="1" sd="1" m="1" x="1477"/>
        <item t="data" h="1" sd="1" m="1" x="568"/>
        <item t="data" h="1" sd="1" x="265"/>
        <item t="data" h="1" sd="1" m="1" x="1478"/>
        <item t="data" h="1" sd="1" m="1" x="1479"/>
        <item t="data" h="1" sd="1" m="1" x="1480"/>
        <item t="data" h="1" sd="1" x="274"/>
        <item t="data" h="1" sd="1" m="1" x="1481"/>
        <item t="data" h="1" sd="1" m="1" x="1483"/>
        <item t="data" h="1" sd="1" m="1" x="1485"/>
        <item t="data" h="1" sd="1" m="1" x="570"/>
        <item t="data" h="1" sd="1" m="1" x="1486"/>
        <item t="data" h="1" sd="1" m="1" x="1487"/>
        <item t="data" h="1" sd="1" m="1" x="577"/>
        <item t="data" h="1" sd="1" m="1" x="575"/>
        <item t="data" h="1" sd="1" m="1" x="1489"/>
        <item t="data" h="1" sd="1" m="1" x="1490"/>
        <item t="data" h="1" sd="1" m="1" x="574"/>
        <item t="data" h="1" sd="1" m="1" x="1491"/>
        <item t="data" h="1" sd="1" m="1" x="581"/>
        <item t="data" h="1" sd="1" m="1" x="1492"/>
        <item t="data" h="1" sd="1" x="279"/>
        <item t="data" h="1" sd="1" x="278"/>
        <item t="data" h="1" sd="1" m="1" x="1493"/>
        <item t="data" h="1" sd="1" m="1" x="1494"/>
        <item t="data" h="1" sd="1" m="1" x="589"/>
        <item t="data" h="1" sd="1" m="1" x="1495"/>
        <item t="data" h="1" sd="1" m="1" x="1497"/>
        <item t="data" h="1" sd="1" m="1" x="1498"/>
        <item t="data" h="1" sd="1" m="1" x="1499"/>
        <item t="data" h="1" sd="1" m="1" x="590"/>
        <item t="data" h="1" sd="1" x="294"/>
        <item t="data" h="1" sd="1" m="1" x="1500"/>
        <item t="data" h="1" sd="1" m="1" x="1501"/>
        <item t="data" h="1" sd="1" m="1" x="1502"/>
        <item t="data" h="1" sd="1" m="1" x="1503"/>
        <item t="data" h="1" sd="1" m="1" x="1504"/>
        <item t="data" h="1" sd="1" m="1" x="1507"/>
        <item t="data" h="1" sd="1" m="1" x="1509"/>
        <item t="data" h="1" sd="1" m="1" x="1510"/>
        <item t="data" h="1" sd="1" m="1" x="1511"/>
        <item t="data" h="1" sd="1" m="1" x="1513"/>
        <item t="data" h="1" sd="1" m="1" x="1514"/>
        <item t="data" h="1" sd="1" x="314"/>
        <item t="data" h="1" sd="1" m="1" x="1515"/>
        <item t="data" h="1" sd="1" x="317"/>
        <item t="data" h="1" sd="1" m="1" x="1516"/>
        <item t="data" h="1" sd="1" m="1" x="1517"/>
        <item t="data" h="1" sd="1" x="318"/>
        <item t="data" h="1" sd="1" m="1" x="1519"/>
        <item t="data" h="1" sd="1" x="316"/>
        <item t="data" h="1" sd="1" m="1" x="1520"/>
        <item t="data" h="1" sd="1" m="1" x="1521"/>
        <item t="data" h="1" sd="1" m="1" x="1522"/>
        <item t="data" h="1" sd="1" m="1" x="1523"/>
        <item t="data" h="1" sd="1" m="1" x="1524"/>
        <item t="data" h="1" sd="1" x="341"/>
        <item t="data" h="1" sd="1" x="342"/>
        <item t="data" h="1" sd="1" x="339"/>
        <item t="data" h="1" sd="1" x="340"/>
        <item t="data" h="1" sd="1" x="338"/>
        <item t="data" h="1" sd="1" m="1" x="1525"/>
        <item t="data" h="1" sd="1" m="1" x="1526"/>
        <item t="data" h="1" sd="1" x="347"/>
        <item t="data" h="1" sd="1" m="1" x="1527"/>
        <item t="data" h="1" sd="1" m="1" x="1528"/>
        <item t="data" h="1" sd="1" m="1" x="1529"/>
        <item t="data" h="1" sd="1" m="1" x="1530"/>
        <item t="data" h="1" sd="1" m="1" x="602"/>
        <item t="data" h="1" sd="1" m="1" x="598"/>
        <item t="data" h="1" sd="1" m="1" x="1531"/>
        <item t="data" h="1" sd="1" m="1" x="1532"/>
        <item t="data" h="1" sd="1" m="1" x="1533"/>
        <item t="data" h="1" sd="1" m="1" x="1534"/>
        <item t="data" h="1" sd="1" m="1" x="1535"/>
        <item t="data" h="1" sd="1" m="1" x="1536"/>
        <item t="data" h="1" sd="1" m="1" x="1537"/>
        <item t="data" h="1" sd="1" m="1" x="1538"/>
        <item t="data" h="1" sd="1" m="1" x="609"/>
        <item t="data" h="1" sd="1" m="1" x="608"/>
        <item t="data" h="1" sd="1" x="352"/>
        <item t="data" h="1" sd="1" x="350"/>
        <item t="data" h="1" sd="1" m="1" x="1539"/>
        <item t="data" h="1" sd="1" m="1" x="1540"/>
        <item t="data" h="1" sd="1" m="1" x="1541"/>
        <item t="data" h="1" sd="1" m="1" x="1542"/>
        <item t="data" h="1" sd="1" m="1" x="1543"/>
        <item t="data" h="1" sd="1" m="1" x="611"/>
        <item t="data" h="1" sd="1" x="359"/>
        <item t="data" h="1" sd="1" x="361"/>
        <item t="data" h="1" sd="1" x="360"/>
        <item t="data" h="1" sd="1" m="1" x="537"/>
        <item t="data" h="1" sd="1" m="1" x="615"/>
        <item t="data" h="1" sd="1" x="366"/>
        <item t="data" h="1" sd="1" x="367"/>
        <item t="data" h="1" sd="1" x="370"/>
        <item t="data" h="1" sd="1" m="1" x="1545"/>
        <item t="data" h="1" sd="1" x="372"/>
        <item t="data" h="1" sd="1" m="1" x="617"/>
        <item t="data" h="1" sd="1" m="1" x="1547"/>
        <item t="data" h="1" sd="1" x="377"/>
        <item t="data" h="1" sd="1" m="1" x="619"/>
        <item t="data" h="1" sd="1" m="1" x="624"/>
        <item t="data" h="1" sd="1" m="1" x="622"/>
        <item t="data" h="1" sd="1" m="1" x="1549"/>
        <item t="data" h="1" sd="1" m="1" x="625"/>
        <item t="data" h="1" sd="1" m="1" x="629"/>
        <item t="data" h="1" sd="1" m="1" x="628"/>
        <item t="data" h="1" sd="1" m="1" x="631"/>
        <item t="data" h="1" sd="1" m="1" x="627"/>
        <item t="data" h="1" sd="1" m="1" x="621"/>
        <item t="data" h="1" sd="1" m="1" x="630"/>
        <item t="data" h="1" sd="1" m="1" x="623"/>
        <item t="data" h="1" sd="1" m="1" x="1550"/>
        <item t="data" h="1" sd="1" m="1" x="1551"/>
        <item t="data" h="1" sd="1" m="1" x="1552"/>
        <item t="data" h="1" sd="1" m="1" x="635"/>
        <item t="data" h="1" sd="1" m="1" x="1554"/>
        <item t="data" h="1" sd="1" m="1" x="1555"/>
        <item t="data" h="1" sd="1" m="1" x="637"/>
        <item t="data" h="1" sd="1" m="1" x="1557"/>
        <item t="data" h="1" sd="1" x="391"/>
        <item t="data" h="1" sd="1" m="1" x="1558"/>
        <item t="data" h="1" sd="1" x="395"/>
        <item t="data" h="1" sd="1" x="396"/>
        <item t="data" h="1" sd="1" m="1" x="1560"/>
        <item t="data" h="1" sd="1" x="404"/>
        <item t="data" h="1" sd="1" m="1" x="1561"/>
        <item t="data" h="1" sd="1" m="1" x="1563"/>
        <item t="data" h="1" sd="1" m="1" x="1564"/>
        <item t="data" h="1" sd="1" m="1" x="1565"/>
        <item t="data" h="1" sd="1" m="1" x="1566"/>
        <item t="data" h="1" sd="1" m="1" x="1568"/>
        <item t="data" h="1" sd="1" m="1" x="1569"/>
        <item t="data" h="1" sd="1" m="1" x="1570"/>
        <item t="data" h="1" sd="1" m="1" x="1571"/>
        <item t="data" h="1" sd="1" m="1" x="1572"/>
        <item t="data" h="1" sd="1" x="407"/>
        <item t="data" h="1" sd="1" m="1" x="1573"/>
        <item t="data" h="1" sd="1" m="1" x="1574"/>
        <item t="data" h="1" sd="1" m="1" x="1575"/>
        <item t="data" h="1" sd="1" m="1" x="1576"/>
        <item t="data" h="1" sd="1" m="1" x="1578"/>
        <item t="data" h="1" sd="1" m="1" x="1579"/>
        <item t="data" h="1" sd="1" m="1" x="1580"/>
        <item t="data" h="1" sd="1" m="1" x="1581"/>
        <item t="data" h="1" sd="1" m="1" x="1582"/>
        <item t="data" h="1" sd="1" m="1" x="1584"/>
        <item t="data" h="1" sd="1" x="406"/>
        <item t="data" h="1" sd="1" m="1" x="1587"/>
        <item t="data" h="1" sd="1" m="1" x="1588"/>
        <item t="data" h="1" sd="1" m="1" x="1589"/>
        <item t="data" h="1" sd="1" m="1" x="1590"/>
        <item t="data" h="1" sd="1" m="1" x="1591"/>
        <item t="data" h="1" sd="1" x="410"/>
        <item t="data" h="1" sd="1" x="409"/>
        <item t="data" h="1" sd="1" m="1" x="1592"/>
        <item t="data" h="1" sd="1" m="1" x="1593"/>
        <item t="data" h="1" sd="1" m="1" x="1594"/>
        <item t="data" h="1" sd="1" m="1" x="1598"/>
        <item t="data" h="1" sd="1" m="1" x="1599"/>
        <item t="data" h="1" sd="1" x="430"/>
        <item t="data" h="1" sd="1" m="1" x="662"/>
        <item t="data" h="1" sd="1" m="1" x="663"/>
        <item t="data" h="1" sd="1" x="433"/>
        <item t="data" h="1" sd="1" m="1" x="1600"/>
        <item t="data" h="1" sd="1" m="1" x="664"/>
        <item t="data" h="1" sd="1" x="442"/>
        <item t="data" h="1" sd="1" m="1" x="657"/>
        <item t="data" h="1" sd="1" m="1" x="668"/>
        <item t="data" h="1" sd="1" m="1" x="669"/>
        <item t="data" h="1" sd="1" m="1" x="1601"/>
        <item t="data" h="1" sd="1" m="1" x="1602"/>
        <item t="data" h="1" sd="1" x="443"/>
        <item t="data" h="1" sd="1" m="1" x="447"/>
        <item t="data" h="1" sd="1" m="1" x="448"/>
        <item t="data" h="1" sd="1" m="1" x="455"/>
        <item t="data" h="1" sd="1" m="1" x="456"/>
        <item t="data" h="1" sd="1" m="1" x="457"/>
        <item t="data" h="1" sd="1" x="34"/>
        <item t="data" h="1" sd="1" x="35"/>
        <item t="data" h="1" sd="1" x="32"/>
        <item t="data" h="1" sd="1" x="33"/>
        <item t="data" h="1" sd="1" x="53"/>
        <item t="data" h="1" sd="1" x="55"/>
        <item t="data" h="1" sd="1" x="78"/>
        <item t="data" h="1" sd="1" m="1" x="471"/>
        <item t="data" h="1" sd="1" m="1" x="478"/>
        <item t="data" h="1" sd="1" m="1" x="479"/>
        <item t="data" h="1" sd="1" m="1" x="480"/>
        <item t="data" h="1" sd="1" m="1" x="490"/>
        <item t="data" h="1" sd="1" m="1" x="491"/>
        <item t="data" h="1" sd="1" m="1" x="492"/>
        <item t="data" h="1" sd="1" x="153"/>
        <item t="data" h="1" sd="1" m="1" x="493"/>
        <item t="data" h="1" sd="1" m="1" x="494"/>
        <item t="data" h="1" sd="1" x="162"/>
        <item t="data" h="1" sd="1" m="1" x="530"/>
        <item t="data" h="1" sd="1" x="211"/>
        <item t="data" h="1" sd="1" m="1" x="550"/>
        <item t="data" h="1" sd="1" m="1" x="560"/>
        <item t="data" h="1" sd="1" m="1" x="564"/>
        <item t="data" h="1" sd="1" x="242"/>
        <item t="data" h="1" sd="1" m="1" x="566"/>
        <item t="data" h="1" sd="1" m="1" x="567"/>
        <item t="data" h="1" sd="1" x="244"/>
        <item t="data" h="1" sd="1" m="1" x="569"/>
        <item t="data" h="1" sd="1" x="275"/>
        <item t="data" h="1" sd="1" m="1" x="571"/>
        <item t="data" h="1" sd="1" x="272"/>
        <item t="data" h="1" sd="1" x="270"/>
        <item t="data" h="1" sd="1" m="1" x="584"/>
        <item t="data" h="1" sd="1" x="282"/>
        <item t="data" h="1" sd="1" m="1" x="585"/>
        <item t="data" h="1" sd="1" m="1" x="587"/>
        <item t="data" h="1" sd="1" m="1" x="591"/>
        <item t="data" h="1" sd="1" x="302"/>
        <item t="data" h="1" sd="1" x="304"/>
        <item t="data" h="1" sd="1" x="305"/>
        <item t="data" h="1" sd="1" x="303"/>
        <item t="data" h="1" sd="1" x="309"/>
        <item t="data" h="1" sd="1" x="310"/>
        <item t="data" h="1" sd="1" x="321"/>
        <item t="data" h="1" sd="1" x="320"/>
        <item t="data" h="1" sd="1" x="319"/>
        <item t="data" h="1" sd="1" m="1" x="610"/>
        <item t="data" h="1" sd="1" m="1" x="613"/>
        <item t="data" h="1" sd="1" m="1" x="616"/>
        <item t="data" h="1" sd="1" x="368"/>
        <item t="data" h="1" sd="1" m="1" x="632"/>
        <item t="data" h="1" sd="1" m="1" x="639"/>
        <item t="data" h="1" sd="1" m="1" x="640"/>
        <item t="data" h="1" sd="1" m="1" x="641"/>
        <item t="data" h="1" sd="1" m="1" x="642"/>
        <item t="data" h="1" sd="1" m="1" x="644"/>
        <item t="data" h="1" sd="1" x="413"/>
        <item t="data" h="1" sd="1" x="414"/>
        <item t="data" h="1" sd="1" m="1" x="655"/>
        <item t="data" h="1" sd="1" m="1" x="656"/>
        <item t="data" h="1" sd="1" x="428"/>
        <item t="data" h="1" sd="1" m="1" x="658"/>
        <item t="data" h="1" sd="1" m="1" x="659"/>
        <item t="data" h="1" sd="1" m="1" x="660"/>
        <item t="data" h="1" sd="1" m="1" x="661"/>
        <item t="data" h="1" sd="1" x="437"/>
        <item t="data" h="1" sd="1" m="1" x="665"/>
        <item t="data" h="1" sd="1" m="1" x="667"/>
        <item t="data" h="1" sd="1" x="3"/>
        <item t="data" h="1" sd="1" x="4"/>
        <item t="data" h="1" sd="1" x="6"/>
        <item t="data" h="1" sd="1" x="7"/>
        <item t="data" h="1" sd="1" x="8"/>
        <item t="data" h="1" sd="1" x="9"/>
        <item t="data" h="1" sd="1" x="10"/>
        <item t="data" h="1" sd="1" x="11"/>
        <item t="data" h="1" sd="1" x="12"/>
        <item t="data" h="1" sd="1" x="14"/>
        <item t="data" h="1" sd="1" x="15"/>
        <item t="data" h="1" sd="1" x="16"/>
        <item t="data" h="1" sd="1" x="17"/>
        <item t="data" h="1" sd="1" x="18"/>
        <item t="data" h="1" sd="1" x="19"/>
        <item t="data" h="1" sd="1" x="20"/>
        <item t="data" h="1" sd="1" x="21"/>
        <item t="data" h="1" sd="1" x="22"/>
        <item t="data" h="1" sd="1" x="24"/>
        <item t="data" h="1" sd="1" x="31"/>
        <item t="data" h="1" sd="1" x="46"/>
        <item t="data" h="1" sd="1" x="47"/>
        <item t="data" h="1" sd="1" x="56"/>
        <item t="data" h="1" sd="1" x="57"/>
        <item t="data" h="1" sd="1" x="66"/>
        <item t="data" h="1" sd="1" x="71"/>
        <item t="data" h="1" sd="1" x="72"/>
        <item t="data" h="1" sd="1" x="73"/>
        <item t="data" h="1" sd="1" x="74"/>
        <item t="data" h="1" sd="1" x="75"/>
        <item t="data" h="1" sd="1" x="76"/>
        <item t="data" h="1" sd="1" x="79"/>
        <item t="data" h="1" sd="1" x="80"/>
        <item t="data" h="1" sd="1" x="81"/>
        <item t="data" h="1" sd="1" x="85"/>
        <item t="data" h="1" sd="1" x="86"/>
        <item t="data" h="1" sd="1" x="87"/>
        <item t="data" h="1" sd="1" x="88"/>
        <item t="data" h="1" sd="1" x="89"/>
        <item t="data" h="1" sd="1" x="91"/>
        <item t="data" h="1" sd="1" x="94"/>
        <item t="data" h="1" sd="1" x="98"/>
        <item t="data" h="1" sd="1" x="99"/>
        <item t="data" h="1" sd="1" x="109"/>
        <item t="data" h="1" sd="1" x="110"/>
        <item t="data" h="1" sd="1" x="111"/>
        <item t="data" h="1" sd="1" x="112"/>
        <item t="data" h="1" sd="1" x="113"/>
        <item t="data" h="1" sd="1" x="129"/>
        <item t="data" h="1" sd="1" x="141"/>
        <item t="data" h="1" sd="1" x="143"/>
        <item t="data" h="1" sd="1" x="144"/>
        <item t="data" h="1" sd="1" x="145"/>
        <item t="data" h="1" sd="1" x="146"/>
        <item t="data" h="1" sd="1" x="147"/>
        <item t="data" h="1" sd="1" x="148"/>
        <item t="data" h="1" sd="1" x="149"/>
        <item t="data" h="1" sd="1" x="150"/>
        <item t="data" h="1" sd="1" x="151"/>
        <item t="data" h="1" sd="1" x="152"/>
        <item t="data" h="1" sd="1" x="154"/>
        <item t="data" h="1" sd="1" x="155"/>
        <item t="data" h="1" sd="1" x="163"/>
        <item t="data" h="1" sd="1" x="165"/>
        <item t="data" h="1" sd="1" x="166"/>
        <item t="data" h="1" sd="1" x="167"/>
        <item t="data" h="1" sd="1" x="169"/>
        <item t="data" h="1" sd="1" x="183"/>
        <item t="data" h="1" sd="1" x="186"/>
        <item t="data" h="1" sd="1" x="187"/>
        <item t="data" h="1" sd="1" x="191"/>
        <item t="data" h="1" sd="1" x="193"/>
        <item t="data" h="1" sd="1" x="204"/>
        <item t="data" h="1" sd="1" x="205"/>
        <item t="data" h="1" sd="1" x="207"/>
        <item t="data" h="1" sd="1" x="208"/>
        <item t="data" h="1" sd="1" x="209"/>
        <item t="data" h="1" sd="1" x="213"/>
        <item t="data" h="1" sd="1" x="214"/>
        <item t="data" h="1" sd="1" x="219"/>
        <item t="data" h="1" sd="1" x="232"/>
        <item t="data" h="1" sd="1" x="233"/>
        <item t="data" h="1" sd="1" x="234"/>
        <item t="data" h="1" sd="1" x="240"/>
        <item t="data" h="1" sd="1" x="241"/>
        <item t="data" h="1" sd="1" x="246"/>
        <item t="data" h="1" sd="1" x="250"/>
        <item t="data" h="1" sd="1" x="257"/>
        <item t="data" h="1" sd="1" x="266"/>
        <item t="data" h="1" sd="1" x="268"/>
        <item t="data" h="1" sd="1" x="273"/>
        <item t="data" h="1" sd="1" x="281"/>
        <item t="data" h="1" sd="1" x="283"/>
        <item t="data" h="1" sd="1" x="286"/>
        <item t="data" h="1" sd="1" x="290"/>
        <item t="data" h="1" sd="1" x="291"/>
        <item t="data" h="1" sd="1" x="292"/>
        <item t="data" h="1" sd="1" x="293"/>
        <item t="data" h="1" sd="1" x="295"/>
        <item t="data" h="1" sd="1" x="296"/>
        <item t="data" h="1" sd="1" x="306"/>
        <item t="data" h="1" sd="1" x="307"/>
        <item t="data" h="1" sd="1" x="308"/>
        <item t="data" h="1" sd="1" x="311"/>
        <item t="data" h="1" sd="1" x="313"/>
        <item t="data" h="1" sd="1" x="315"/>
        <item t="data" h="1" sd="1" x="322"/>
        <item t="data" h="1" sd="1" x="323"/>
        <item t="data" h="1" sd="1" x="324"/>
        <item t="data" h="1" sd="1" x="325"/>
        <item t="data" h="1" sd="1" x="326"/>
        <item t="data" h="1" sd="1" x="327"/>
        <item t="data" h="1" sd="1" x="328"/>
        <item t="data" h="1" sd="1" x="329"/>
        <item t="data" h="1" sd="1" x="330"/>
        <item t="data" h="1" sd="1" x="331"/>
        <item t="data" h="1" sd="1" x="333"/>
        <item t="data" h="1" sd="1" x="335"/>
        <item t="data" h="1" sd="1" x="336"/>
        <item t="data" h="1" sd="1" x="337"/>
        <item t="data" h="1" sd="1" x="343"/>
        <item t="data" h="1" sd="1" x="344"/>
        <item t="data" h="1" sd="1" x="345"/>
        <item t="data" h="1" sd="1" x="346"/>
        <item t="data" h="1" sd="1" x="348"/>
        <item t="data" h="1" sd="1" x="353"/>
        <item t="data" h="1" sd="1" x="354"/>
        <item t="data" h="1" sd="1" x="355"/>
        <item t="data" h="1" sd="1" x="356"/>
        <item t="data" h="1" sd="1" x="358"/>
        <item t="data" h="1" sd="1" x="362"/>
        <item t="data" h="1" sd="1" x="363"/>
        <item t="data" h="1" sd="1" x="364"/>
        <item t="data" h="1" sd="1" x="365"/>
        <item t="data" h="1" sd="1" x="379"/>
        <item t="data" h="1" sd="1" x="380"/>
        <item t="data" h="1" sd="1" x="384"/>
        <item t="data" h="1" sd="1" x="385"/>
        <item t="data" h="1" sd="1" x="386"/>
        <item t="data" h="1" sd="1" x="387"/>
        <item t="data" h="1" sd="1" x="389"/>
        <item t="data" h="1" sd="1" x="390"/>
        <item t="data" h="1" sd="1" x="400"/>
        <item t="data" h="1" sd="1" x="401"/>
        <item t="data" h="1" sd="1" x="403"/>
        <item t="data" h="1" sd="1" x="412"/>
        <item t="data" h="1" sd="1" x="415"/>
        <item t="data" h="1" sd="1" x="416"/>
        <item t="data" h="1" sd="1" x="417"/>
        <item t="data" h="1" sd="1" x="419"/>
        <item t="data" h="1" sd="1" x="420"/>
        <item t="data" h="1" sd="1" x="421"/>
        <item t="data" h="1" sd="1" x="422"/>
        <item t="data" h="1" sd="1" x="423"/>
        <item t="data" h="1" sd="1" x="424"/>
        <item t="data" h="1" sd="1" x="425"/>
        <item t="data" h="1" sd="1" x="426"/>
        <item t="data" h="1" sd="1" x="429"/>
        <item t="data" h="1" sd="1" x="434"/>
        <item t="data" h="1" sd="1" x="435"/>
        <item t="data" h="1" sd="1" x="439"/>
        <item t="data" h="1" sd="1" x="440"/>
        <item t="data" h="1" sd="1" x="441"/>
        <item t="data" h="1" sd="1" x="444"/>
        <item t="data" h="1" sd="1" x="44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6"/>
  </rowFields>
  <rowItems count="7"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pageFields count="1">
    <pageField fld="27" hier="-1"/>
  </pageFields>
  <dataFields count="1">
    <dataField name="Soma de Tarifa" fld="27" subtotal="sum" showDataAs="normal" baseField="0" baseItem="0" numFmtId="44"/>
  </dataFields>
  <formats count="48">
    <format action="formatting" dxfId="472">
      <pivotArea type="normal" dataOnly="1" outline="0" collapsedLevelsAreSubtotals="1" fieldPosition="0"/>
    </format>
    <format action="formatting" dxfId="471">
      <pivotArea type="all" dataOnly="0" outline="0" fieldPosition="0"/>
    </format>
    <format action="formatting" dxfId="470">
      <pivotArea type="normal" dataOnly="1" outline="0" collapsedLevelsAreSubtotals="1" fieldPosition="0"/>
    </format>
    <format action="formatting" dxfId="469">
      <pivotArea type="normal" dataOnly="0" labelOnly="1" grandRow="1" outline="0" fieldPosition="0"/>
    </format>
    <format action="formatting" dxfId="468">
      <pivotArea type="normal" dataOnly="0" labelOnly="1" outline="0" axis="axisValues" fieldPosition="0"/>
    </format>
    <format action="formatting" dxfId="467">
      <pivotArea type="all" dataOnly="0" outline="0" fieldPosition="0"/>
    </format>
    <format action="formatting" dxfId="466">
      <pivotArea type="normal" dataOnly="1" outline="0" collapsedLevelsAreSubtotals="1" fieldPosition="0"/>
    </format>
    <format action="formatting" dxfId="465">
      <pivotArea type="normal" dataOnly="0" labelOnly="1" grandRow="1" outline="0" fieldPosition="0"/>
    </format>
    <format action="formatting" dxfId="464">
      <pivotArea type="normal" dataOnly="0" labelOnly="1" outline="0" axis="axisValues" fieldPosition="0"/>
    </format>
    <format action="formatting" dxfId="463">
      <pivotArea type="normal" dataOnly="1" outline="0" collapsedLevelsAreSubtotals="1" fieldPosition="0"/>
    </format>
    <format action="formatting" dxfId="462">
      <pivotArea type="normal" dataOnly="0" labelOnly="1" outline="0" axis="axisValues" fieldPosition="0"/>
    </format>
    <format action="formatting" dxfId="461">
      <pivotArea type="all" dataOnly="0" outline="0" fieldPosition="0"/>
    </format>
    <format action="formatting" dxfId="460">
      <pivotArea type="normal" dataOnly="1" outline="0" collapsedLevelsAreSubtotals="1" fieldPosition="0"/>
    </format>
    <format action="formatting" dxfId="459">
      <pivotArea type="normal" dataOnly="0" labelOnly="1" grandRow="1" outline="0" fieldPosition="0"/>
    </format>
    <format action="formatting" dxfId="458">
      <pivotArea type="normal" dataOnly="0" labelOnly="1" outline="0" axis="axisValues" fieldPosition="0"/>
    </format>
    <format action="formatting" dxfId="457">
      <pivotArea type="all" dataOnly="0" outline="0" fieldPosition="0"/>
    </format>
    <format action="formatting" dxfId="456">
      <pivotArea type="normal" dataOnly="1" outline="0" collapsedLevelsAreSubtotals="1" fieldPosition="0"/>
    </format>
    <format action="formatting" dxfId="455">
      <pivotArea type="normal" dataOnly="0" labelOnly="1" grandRow="1" outline="0" fieldPosition="0"/>
    </format>
    <format action="formatting" dxfId="454">
      <pivotArea type="normal" dataOnly="0" labelOnly="1" outline="0" axis="axisValues" fieldPosition="0"/>
    </format>
    <format action="formatting" dxfId="453">
      <pivotArea field="27" type="button" dataOnly="0" labelOnly="1" outline="0" axis="axisPage" fieldPosition="0"/>
    </format>
    <format action="formatting" dxfId="452">
      <pivotArea type="all" dataOnly="0" outline="0" fieldPosition="0"/>
    </format>
    <format action="formatting" dxfId="451">
      <pivotArea type="normal" dataOnly="1" outline="0" collapsedLevelsAreSubtotals="1" fieldPosition="0"/>
    </format>
    <format action="formatting" dxfId="450">
      <pivotArea type="normal" dataOnly="0" labelOnly="1" grandRow="1" outline="0" fieldPosition="0"/>
    </format>
    <format action="formatting" dxfId="449">
      <pivotArea type="normal" dataOnly="0" labelOnly="1" outline="0" axis="axisValues" fieldPosition="0"/>
    </format>
    <format action="formatting" dxfId="448">
      <pivotArea type="all" dataOnly="0" outline="0" fieldPosition="0"/>
    </format>
    <format action="formatting" dxfId="447">
      <pivotArea type="normal" dataOnly="0" labelOnly="1" outline="0" axis="axisValues" fieldPosition="0"/>
    </format>
    <format action="formatting" dxfId="446">
      <pivotArea type="normal" dataOnly="1" outline="0" collapsedLevelsAreSubtotals="1" fieldPosition="0"/>
    </format>
    <format action="formatting" dxfId="445">
      <pivotArea type="normal" dataOnly="0" labelOnly="1" grandRow="1" outline="0" fieldPosition="0"/>
    </format>
    <format action="formatting" dxfId="444">
      <pivotArea type="normal" dataOnly="0" labelOnly="1" grandRow="1" outline="0" fieldPosition="0"/>
    </format>
    <format action="formatting" dxfId="443">
      <pivotArea type="all" dataOnly="0" outline="0" fieldPosition="0"/>
    </format>
    <format action="formatting" dxfId="442">
      <pivotArea type="normal" dataOnly="1" outline="0" collapsedLevelsAreSubtotals="1" fieldPosition="0"/>
    </format>
    <format action="formatting" dxfId="441">
      <pivotArea type="normal" dataOnly="0" labelOnly="1" grandRow="1" outline="0" fieldPosition="0"/>
    </format>
    <format action="formatting" dxfId="440">
      <pivotArea type="normal" dataOnly="0" labelOnly="1" outline="0" axis="axisValues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type="normal" dataOnly="0" labelOnly="1" outline="0" axis="axisValues" fieldPosition="0"/>
    </format>
    <format action="formatting" dxfId="439">
      <pivotArea type="normal" dataOnly="0" labelOnly="1" outline="1" fieldPosition="0">
        <references count="1">
          <reference field="6"/>
        </references>
      </pivotArea>
    </format>
    <format action="formatting" dxfId="438">
      <pivotArea type="normal" dataOnly="0" labelOnly="1" outline="1" fieldPosition="0">
        <references count="1">
          <reference field="6"/>
        </references>
      </pivotArea>
    </format>
    <format action="formatting" dxfId="437">
      <pivotArea field="27" type="button" dataOnly="0" labelOnly="1" outline="0" axis="axisPage" fieldPosition="0"/>
    </format>
    <format action="formatting" dxfId="436">
      <pivotArea field="6" type="button" dataOnly="0" labelOnly="1" outline="0" axis="axisRow" fieldPosition="0"/>
    </format>
    <format action="formatting" dxfId="435">
      <pivotArea type="normal" dataOnly="0" labelOnly="1" outline="1" fieldPosition="0">
        <references count="1">
          <reference field="6">
            <x v="0"/>
            <x v="2"/>
            <x v="3"/>
            <x v="4"/>
            <x v="5"/>
            <x v="6"/>
          </reference>
        </references>
      </pivotArea>
    </format>
    <format action="formatting" dxfId="434">
      <pivotArea type="normal" dataOnly="0" labelOnly="1" grandRow="1" outline="0" fieldPosition="0"/>
    </format>
    <format action="formatting" dxfId="433">
      <pivotArea field="27" type="button" dataOnly="0" labelOnly="1" outline="0" axis="axisPage" fieldPosition="0"/>
    </format>
    <format action="formatting" dxfId="432">
      <pivotArea field="6" type="button" dataOnly="0" labelOnly="1" outline="0" axis="axisRow" fieldPosition="0"/>
    </format>
    <format action="formatting" dxfId="431">
      <pivotArea type="normal" dataOnly="0" labelOnly="1" outline="1" fieldPosition="0">
        <references count="1">
          <reference field="6">
            <x v="0"/>
            <x v="2"/>
            <x v="3"/>
            <x v="4"/>
            <x v="5"/>
            <x v="6"/>
          </reference>
        </references>
      </pivotArea>
    </format>
    <format action="formatting" dxfId="430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10.xml><?xml version="1.0" encoding="utf-8"?>
<pivotTableDefinition xmlns:r="http://schemas.openxmlformats.org/officeDocument/2006/relationships" xmlns="http://schemas.openxmlformats.org/spreadsheetml/2006/main" name="Tabela dinâmica10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60" fieldListSortAscending="0" mdxSubqueries="0" applyNumberFormats="0" applyBorderFormats="0" applyFontFormats="0" applyPatternFormats="0" applyAlignmentFormats="0" applyWidthHeightFormats="1" r:id="rId1">
  <location ref="A19:F28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2"/>
        <item t="data" sd="1" x="1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1">
        <item t="data" sd="1" x="5"/>
        <item t="data" sd="1" x="0"/>
        <item t="data" sd="1" x="3"/>
        <item t="data" sd="1" x="6"/>
        <item t="data" sd="1" x="1"/>
        <item t="data" sd="1" x="4"/>
        <item t="data" sd="1" x="2"/>
        <item t="data" h="1" sd="1" x="8"/>
        <item t="data" h="1" sd="1" m="1" x="9"/>
        <item t="data" h="1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36"/>
  </rowFields>
  <rowItems count="8">
    <i t="data" r="0" i="0">
      <x v="0"/>
    </i>
    <i t="data" r="0" i="0">
      <x v="5"/>
    </i>
    <i t="data" r="0" i="0">
      <x v="1"/>
    </i>
    <i t="data" r="0" i="0">
      <x v="2"/>
    </i>
    <i t="data" r="0" i="0">
      <x v="6"/>
    </i>
    <i t="data" r="0" i="0">
      <x v="3"/>
    </i>
    <i t="data" r="0" i="0">
      <x v="4"/>
    </i>
    <i t="grand" r="0" i="0">
      <x v="0"/>
    </i>
  </rowItems>
  <colFields count="1">
    <field x="18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Contagem de Serviço" fld="18" subtotal="count" showDataAs="normal" baseField="0" baseItem="0"/>
  </dataFields>
  <formats count="36">
    <format action="formatting" dxfId="856">
      <pivotArea type="normal" dataOnly="1" grandRow="1" grandCol="1" outline="0" collapsedLevelsAreSubtotals="1" fieldPosition="0"/>
    </format>
    <format action="formatting" dxfId="855">
      <pivotArea type="all" dataOnly="0" outline="0" fieldPosition="0"/>
    </format>
    <format action="formatting" dxfId="854">
      <pivotArea type="normal" dataOnly="1" outline="0" collapsedLevelsAreSubtotals="1" fieldPosition="0"/>
    </format>
    <format action="formatting" dxfId="853">
      <pivotArea field="18" type="button" dataOnly="0" labelOnly="1" outline="0" axis="axisCol" fieldPosition="0"/>
    </format>
    <format action="formatting" dxfId="852">
      <pivotArea type="topRight" dataOnly="0" labelOnly="1" outline="0" fieldPosition="0"/>
    </format>
    <format action="formatting" dxfId="851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50">
      <pivotArea type="normal" dataOnly="0" labelOnly="1" grandCol="1" outline="0" fieldPosition="0"/>
    </format>
    <format action="formatting" dxfId="849">
      <pivotArea type="origin" dataOnly="0" labelOnly="1" outline="0" fieldPosition="0"/>
    </format>
    <format action="formatting" dxfId="848">
      <pivotArea field="36" type="button" dataOnly="0" labelOnly="1" outline="0" axis="axisRow" fieldPosition="0"/>
    </format>
    <format action="formatting" dxfId="847">
      <pivotArea type="normal" dataOnly="0" labelOnly="1" outline="1" fieldPosition="0">
        <references count="1">
          <reference field="36"/>
        </references>
      </pivotArea>
    </format>
    <format action="formatting" dxfId="846">
      <pivotArea type="normal" dataOnly="0" labelOnly="1" grandRow="1" outline="0" fieldPosition="0"/>
    </format>
    <format action="formatting" dxfId="845">
      <pivotArea type="all" dataOnly="0" outline="0" fieldPosition="0"/>
    </format>
    <format action="formatting" dxfId="844">
      <pivotArea type="normal" dataOnly="1" outline="0" collapsedLevelsAreSubtotals="1" fieldPosition="0"/>
    </format>
    <format action="formatting" dxfId="843">
      <pivotArea type="origin" dataOnly="0" labelOnly="1" outline="0" fieldPosition="0"/>
    </format>
    <format action="formatting" dxfId="842">
      <pivotArea field="18" type="button" dataOnly="0" labelOnly="1" outline="0" axis="axisCol" fieldPosition="0"/>
    </format>
    <format action="formatting" dxfId="841">
      <pivotArea type="topRight" dataOnly="0" labelOnly="1" outline="0" fieldPosition="0"/>
    </format>
    <format action="formatting" dxfId="840">
      <pivotArea field="36" type="button" dataOnly="0" labelOnly="1" outline="0" axis="axisRow" fieldPosition="0"/>
    </format>
    <format action="formatting" dxfId="839">
      <pivotArea type="normal" dataOnly="0" labelOnly="1" outline="1" fieldPosition="0">
        <references count="1">
          <reference field="36"/>
        </references>
      </pivotArea>
    </format>
    <format action="formatting" dxfId="838">
      <pivotArea type="normal" dataOnly="0" labelOnly="1" grandRow="1" outline="0" fieldPosition="0"/>
    </format>
    <format action="formatting" dxfId="837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36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835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>
      <pivotArea type="normal" dataOnly="0" labelOnly="1" grandCol="1" outline="0" fieldPosition="0"/>
    </format>
    <format action="formatting" dxfId="834">
      <pivotArea type="origin" dataOnly="0" labelOnly="1" outline="0" fieldPosition="0"/>
    </format>
    <format action="formatting" dxfId="833">
      <pivotArea field="36" type="button" dataOnly="0" labelOnly="1" outline="0" axis="axisRow" fieldPosition="0"/>
    </format>
    <format action="formatting" dxfId="832">
      <pivotArea type="normal" dataOnly="0" labelOnly="1" outline="1" fieldPosition="0">
        <references count="1">
          <reference field="36"/>
        </references>
      </pivotArea>
    </format>
    <format action="formatting" dxfId="831">
      <pivotArea type="normal" dataOnly="0" labelOnly="1" grandRow="1" outline="0" fieldPosition="0"/>
    </format>
  </formats>
  <chartFormats count="11">
    <chartFormat chart="56" format="0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0"/>
          </reference>
        </references>
      </pivotArea>
    </chartFormat>
    <chartFormat chart="56" format="1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1"/>
          </reference>
        </references>
      </pivotArea>
    </chartFormat>
    <chartFormat chart="56" format="2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2"/>
          </reference>
        </references>
      </pivotArea>
    </chartFormat>
    <chartFormat chart="56" format="3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3"/>
          </reference>
        </references>
      </pivotArea>
    </chartFormat>
    <chartFormat chart="56" format="4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4"/>
          </reference>
        </references>
      </pivotArea>
    </chartFormat>
    <chartFormat chart="56" format="5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3"/>
          </reference>
        </references>
      </pivotArea>
    </chartFormat>
    <chartFormat chart="56" format="6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2"/>
          </reference>
        </references>
      </pivotArea>
    </chartFormat>
    <chartFormat chart="56" format="7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5"/>
          </reference>
        </references>
      </pivotArea>
    </chartFormat>
    <chartFormat chart="56" format="8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0"/>
          </reference>
        </references>
      </pivotArea>
    </chartFormat>
    <chartFormat chart="56" format="9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6"/>
          </reference>
        </references>
      </pivotArea>
    </chartFormat>
    <chartFormat chart="56" format="10" series="1">
      <pivotArea type="data" dataOnly="1" outline="0" fieldPosition="0">
        <references count="2">
          <reference field="4294967294" selected="0">
            <x v="0"/>
          </reference>
          <reference field="36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</pivotTableDefinition>
</file>

<file path=xl/pivotTables/pivotTable11.xml><?xml version="1.0" encoding="utf-8"?>
<pivotTableDefinition xmlns:r="http://schemas.openxmlformats.org/officeDocument/2006/relationships" xmlns="http://schemas.openxmlformats.org/spreadsheetml/2006/main" name="Tabela dinâmica2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0:I86" firstHeaderRow="1" firstDataRow="2" firstDataCol="1"/>
  <pivotFields count="4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6">
        <item t="data" sd="1" x="0"/>
        <item t="data" sd="1" x="2"/>
        <item t="data" sd="1" x="1"/>
        <item t="data" sd="1" x="3"/>
        <item t="data" h="1" sd="1" x="4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m="1" x="8"/>
        <item t="data" sd="1" m="1" x="9"/>
        <item t="data" sd="1" x="6"/>
        <item t="data" sd="1" x="5"/>
        <item t="data" sd="1" x="4"/>
        <item t="data" sd="1" m="1" x="10"/>
        <item t="data" sd="1" x="1"/>
        <item t="data" sd="1" x="2"/>
        <item t="data" sd="1" x="7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18"/>
  </rowFields>
  <rowItems count="5">
    <i t="data" r="0" i="0">
      <x v="2"/>
    </i>
    <i t="data" r="0" i="0">
      <x v="0"/>
    </i>
    <i t="data" r="0" i="0">
      <x v="1"/>
    </i>
    <i t="data" r="0" i="0">
      <x v="3"/>
    </i>
    <i t="grand" r="0" i="0">
      <x v="0"/>
    </i>
  </rowItems>
  <colFields count="1">
    <field x="42"/>
  </colFields>
  <colItems count="8">
    <i t="data" r="0" i="0">
      <x v="0"/>
    </i>
    <i t="data" r="0" i="0">
      <x v="3"/>
    </i>
    <i t="data" r="0" i="0">
      <x v="4"/>
    </i>
    <i t="data" r="0" i="0">
      <x v="5"/>
    </i>
    <i t="data" r="0" i="0">
      <x v="7"/>
    </i>
    <i t="data" r="0" i="0">
      <x v="8"/>
    </i>
    <i t="data" r="0" i="0">
      <x v="10"/>
    </i>
    <i t="grand" r="0" i="0">
      <x v="0"/>
    </i>
  </colItems>
  <dataFields count="1">
    <dataField name="Contagem de RESPONSÁVEL" fld="42" subtotal="count" showDataAs="normal" baseField="0" baseItem="0"/>
  </dataFields>
  <formats count="44">
    <format action="formatting" dxfId="429">
      <pivotArea type="normal" dataOnly="1" outline="0" collapsedLevelsAreSubtotals="1" fieldPosition="0"/>
    </format>
    <format action="formatting" dxfId="428">
      <pivotArea type="normal" dataOnly="0" labelOnly="1" grandCol="1" outline="0" fieldPosition="0"/>
    </format>
    <format action="formatting" dxfId="427">
      <pivotArea type="normal" dataOnly="1" outline="0" collapsedLevelsAreSubtotals="1" fieldPosition="0"/>
    </format>
    <format action="formatting" dxfId="426">
      <pivotArea type="normal" dataOnly="0" labelOnly="1" grandCol="1" outline="0" fieldPosition="0"/>
    </format>
    <format action="formatting" dxfId="425">
      <pivotArea type="all" dataOnly="0" outline="0" fieldPosition="0"/>
    </format>
    <format action="formatting" dxfId="424">
      <pivotArea type="normal" dataOnly="1" outline="0" collapsedLevelsAreSubtotals="1" fieldPosition="0"/>
    </format>
    <format action="formatting" dxfId="423">
      <pivotArea type="origin" dataOnly="0" labelOnly="1" outline="0" fieldPosition="0"/>
    </format>
    <format action="formatting" dxfId="422">
      <pivotArea type="topRight" dataOnly="0" labelOnly="1" outline="0" fieldPosition="0"/>
    </format>
    <format action="formatting" dxfId="421">
      <pivotArea field="18" type="button" dataOnly="0" labelOnly="1" outline="0" axis="axisRow" fieldPosition="0"/>
    </format>
    <format action="formatting" dxfId="420">
      <pivotArea type="normal" dataOnly="0" labelOnly="1" outline="1" fieldPosition="0">
        <references count="1">
          <reference field="18"/>
        </references>
      </pivotArea>
    </format>
    <format action="formatting" dxfId="419">
      <pivotArea type="normal" dataOnly="0" labelOnly="1" grandRow="1" outline="0" fieldPosition="0"/>
    </format>
    <format action="formatting" dxfId="418">
      <pivotArea type="normal" dataOnly="0" labelOnly="1" grandCol="1" outline="0" fieldPosition="0"/>
    </format>
    <format action="formatting" dxfId="417">
      <pivotArea type="all" dataOnly="0" outline="0" fieldPosition="0"/>
    </format>
    <format action="formatting" dxfId="416">
      <pivotArea type="normal" dataOnly="1" outline="0" collapsedLevelsAreSubtotals="1" fieldPosition="0"/>
    </format>
    <format action="formatting" dxfId="415">
      <pivotArea type="topRight" dataOnly="0" labelOnly="1" outline="0" fieldPosition="0"/>
    </format>
    <format action="formatting" dxfId="414">
      <pivotArea type="normal" dataOnly="0" labelOnly="1" grandCol="1" outline="0" fieldPosition="0"/>
    </format>
    <format action="formatting" dxfId="413">
      <pivotArea type="origin" dataOnly="0" labelOnly="1" outline="0" fieldPosition="0"/>
    </format>
    <format action="formatting" dxfId="412">
      <pivotArea field="18" type="button" dataOnly="0" labelOnly="1" outline="0" axis="axisRow" fieldPosition="0"/>
    </format>
    <format action="formatting" dxfId="411">
      <pivotArea type="normal" dataOnly="0" labelOnly="1" outline="1" fieldPosition="0">
        <references count="1">
          <reference field="18"/>
        </references>
      </pivotArea>
    </format>
    <format action="formatting" dxfId="410">
      <pivotArea type="normal" dataOnly="0" labelOnly="1" grandRow="1" outline="0" fieldPosition="0"/>
    </format>
    <format action="formatting" dxfId="409">
      <pivotArea type="all" dataOnly="0" outline="0" fieldPosition="0"/>
    </format>
    <format action="formatting" dxfId="408">
      <pivotArea type="normal" dataOnly="1" outline="0" collapsedLevelsAreSubtotals="1" fieldPosition="0"/>
    </format>
    <format action="formatting" dxfId="407">
      <pivotArea type="origin" dataOnly="0" labelOnly="1" outline="0" fieldPosition="0"/>
    </format>
    <format action="formatting" dxfId="406">
      <pivotArea field="42" type="button" dataOnly="0" labelOnly="1" outline="0" axis="axisCol" fieldPosition="0"/>
    </format>
    <format action="formatting" dxfId="405">
      <pivotArea type="topRight" dataOnly="0" labelOnly="1" outline="0" fieldPosition="0"/>
    </format>
    <format action="formatting" dxfId="404">
      <pivotArea field="18" type="button" dataOnly="0" labelOnly="1" outline="0" axis="axisRow" fieldPosition="0"/>
    </format>
    <format action="formatting" dxfId="403">
      <pivotArea type="normal" dataOnly="0" labelOnly="1" outline="1" fieldPosition="0">
        <references count="1">
          <reference field="18"/>
        </references>
      </pivotArea>
    </format>
    <format action="formatting" dxfId="402">
      <pivotArea type="normal" dataOnly="0" labelOnly="1" grandRow="1" outline="0" fieldPosition="0"/>
    </format>
    <format action="formatting" dxfId="401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 dxfId="400">
      <pivotArea type="normal" dataOnly="0" labelOnly="1" grandCol="1" outline="0" fieldPosition="0"/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>
      <pivotArea type="all" dataOnly="0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3"/>
            <x v="4"/>
            <x v="5"/>
            <x v="6"/>
            <x v="7"/>
            <x v="8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42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1" fieldPosition="0">
        <references count="1">
          <reference field="42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 action="formatting">
      <pivotArea type="normal" dataOnly="0" labelOnly="1" grandCol="1" outline="0" fieldPosition="0"/>
    </format>
    <format action="formatting" dxfId="399">
      <pivotArea type="origin" dataOnly="0" labelOnly="1" outline="0" fieldPosition="0"/>
    </format>
    <format action="formatting" dxfId="398">
      <pivotArea field="18" type="button" dataOnly="0" labelOnly="1" outline="0" axis="axisRow" fieldPosition="0"/>
    </format>
    <format action="formatting" dxfId="397">
      <pivotArea type="normal" dataOnly="0" labelOnly="1" outline="1" fieldPosition="0">
        <references count="1">
          <reference field="18"/>
        </references>
      </pivotArea>
    </format>
    <format action="formatting" dxfId="396">
      <pivotArea type="normal" dataOnly="0" labelOnly="1" grandRow="1" outline="0" fieldPosition="0"/>
    </format>
  </formats>
  <pivotTableStyleInfo name="Estilo de Tabela Dinâmica 1" showRowHeaders="1" showColHeaders="1" showRowStripes="0" showColStripes="0" showLastColumn="1"/>
</pivotTableDefinition>
</file>

<file path=xl/pivotTables/pivotTable12.xml><?xml version="1.0" encoding="utf-8"?>
<pivotTableDefinition xmlns:r="http://schemas.openxmlformats.org/officeDocument/2006/relationships" xmlns="http://schemas.openxmlformats.org/spreadsheetml/2006/main" name="Tabela dinâmica3" cacheId="147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1" fieldListSortAscending="0" mdxSubqueries="0" applyNumberFormats="0" applyBorderFormats="0" applyFontFormats="0" applyPatternFormats="0" applyAlignmentFormats="0" applyWidthHeightFormats="1" r:id="rId1">
  <location ref="A4:F13" firstHeaderRow="1" firstDataRow="2" firstDataCol="1"/>
  <pivotFields count="45"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>
      <items count="8001">
        <item t="data" sd="1" x="521"/>
        <item t="data" sd="1" m="1" x="7848"/>
        <item t="data" sd="1" m="1" x="7831"/>
        <item t="data" sd="1" m="1" x="6857"/>
        <item t="data" sd="1" m="1" x="6918"/>
        <item t="data" sd="1" m="1" x="6850"/>
        <item t="data" sd="1" m="1" x="6851"/>
        <item t="data" sd="1" m="1" x="6852"/>
        <item t="data" sd="1" m="1" x="7344"/>
        <item t="data" sd="1" m="1" x="6953"/>
        <item t="data" sd="1" m="1" x="7377"/>
        <item t="data" sd="1" m="1" x="7376"/>
        <item t="data" sd="1" m="1" x="7375"/>
        <item t="data" sd="1" m="1" x="7180"/>
        <item t="data" sd="1" m="1" x="7715"/>
        <item t="data" sd="1" m="1" x="7928"/>
        <item t="data" sd="1" m="1" x="7374"/>
        <item t="data" sd="1" m="1" x="7368"/>
        <item t="data" sd="1" m="1" x="6980"/>
        <item t="data" sd="1" m="1" x="6997"/>
        <item t="data" sd="1" m="1" x="7369"/>
        <item t="data" sd="1" m="1" x="7887"/>
        <item t="data" sd="1" m="1" x="7373"/>
        <item t="data" sd="1" m="1" x="7956"/>
        <item t="data" sd="1" m="1" x="7957"/>
        <item t="data" sd="1" m="1" x="6891"/>
        <item t="data" sd="1" m="1" x="7973"/>
        <item t="data" sd="1" m="1" x="7348"/>
        <item t="data" sd="1" m="1" x="7787"/>
        <item t="data" sd="1" m="1" x="7782"/>
        <item t="data" sd="1" m="1" x="7379"/>
        <item t="data" sd="1" m="1" x="7367"/>
        <item t="data" sd="1" m="1" x="7961"/>
        <item t="data" sd="1" m="1" x="7998"/>
        <item t="data" sd="1" m="1" x="6991"/>
        <item t="data" sd="1" m="1" x="6992"/>
        <item t="data" sd="1" m="1" x="6993"/>
        <item t="data" sd="1" m="1" x="6994"/>
        <item t="data" sd="1" m="1" x="6968"/>
        <item t="data" sd="1" m="1" x="6967"/>
        <item t="data" sd="1" m="1" x="6950"/>
        <item t="data" sd="1" m="1" x="6936"/>
        <item t="data" sd="1" m="1" x="7590"/>
        <item t="data" sd="1" m="1" x="7589"/>
        <item t="data" sd="1" m="1" x="6900"/>
        <item t="data" sd="1" m="1" x="6898"/>
        <item t="data" sd="1" m="1" x="6902"/>
        <item t="data" sd="1" m="1" x="6901"/>
        <item t="data" sd="1" m="1" x="7972"/>
        <item t="data" sd="1" m="1" x="6982"/>
        <item t="data" sd="1" m="1" x="7067"/>
        <item t="data" sd="1" m="1" x="7955"/>
        <item t="data" sd="1" m="1" x="7093"/>
        <item t="data" sd="1" m="1" x="7094"/>
        <item t="data" sd="1" m="1" x="7095"/>
        <item t="data" sd="1" m="1" x="7068"/>
        <item t="data" sd="1" m="1" x="7065"/>
        <item t="data" sd="1" m="1" x="7345"/>
        <item t="data" sd="1" m="1" x="7874"/>
        <item t="data" sd="1" m="1" x="7933"/>
        <item t="data" sd="1" m="1" x="7932"/>
        <item t="data" sd="1" m="1" x="7939"/>
        <item t="data" sd="1" m="1" x="6899"/>
        <item t="data" sd="1" m="1" x="7994"/>
        <item t="data" sd="1" m="1" x="6935"/>
        <item t="data" sd="1" m="1" x="7168"/>
        <item t="data" sd="1" m="1" x="7166"/>
        <item t="data" sd="1" m="1" x="7347"/>
        <item t="data" sd="1" m="1" x="7385"/>
        <item t="data" sd="1" m="1" x="7384"/>
        <item t="data" sd="1" m="1" x="7414"/>
        <item t="data" sd="1" m="1" x="7060"/>
        <item t="data" sd="1" m="1" x="7089"/>
        <item t="data" sd="1" m="1" x="6927"/>
        <item t="data" sd="1" m="1" x="6995"/>
        <item t="data" sd="1" m="1" x="7371"/>
        <item t="data" sd="1" m="1" x="7127"/>
        <item t="data" sd="1" m="1" x="7363"/>
        <item t="data" sd="1" m="1" x="6969"/>
        <item t="data" sd="1" m="1" x="6970"/>
        <item t="data" sd="1" m="1" x="7727"/>
        <item t="data" sd="1" m="1" x="7021"/>
        <item t="data" sd="1" m="1" x="7784"/>
        <item t="data" sd="1" m="1" x="7609"/>
        <item t="data" sd="1" m="1" x="7930"/>
        <item t="data" sd="1" m="1" x="7929"/>
        <item t="data" sd="1" m="1" x="7999"/>
        <item t="data" sd="1" m="1" x="7167"/>
        <item t="data" sd="1" m="1" x="7587"/>
        <item t="data" sd="1" m="1" x="6928"/>
        <item t="data" sd="1" m="1" x="6981"/>
        <item t="data" sd="1" m="1" x="6979"/>
        <item t="data" sd="1" m="1" x="7823"/>
        <item t="data" sd="1" m="1" x="7022"/>
        <item t="data" sd="1" m="1" x="7806"/>
        <item t="data" sd="1" m="1" x="7142"/>
        <item t="data" sd="1" m="1" x="7179"/>
        <item t="data" sd="1" m="1" x="7992"/>
        <item t="data" sd="1" m="1" x="7365"/>
        <item t="data" sd="1" m="1" x="7576"/>
        <item t="data" sd="1" m="1" x="7370"/>
        <item t="data" sd="1" m="1" x="6937"/>
        <item t="data" sd="1" m="1" x="7795"/>
        <item t="data" sd="1" m="1" x="7092"/>
        <item t="data" sd="1" m="1" x="7945"/>
        <item t="data" sd="1" m="1" x="7965"/>
        <item t="data" sd="1" m="1" x="7966"/>
        <item t="data" sd="1" m="1" x="7967"/>
        <item t="data" sd="1" m="1" x="7968"/>
        <item t="data" sd="1" m="1" x="7969"/>
        <item t="data" sd="1" m="1" x="7970"/>
        <item t="data" sd="1" m="1" x="7971"/>
        <item t="data" sd="1" m="1" x="6929"/>
        <item t="data" sd="1" m="1" x="7937"/>
        <item t="data" sd="1" m="1" x="6972"/>
        <item t="data" sd="1" m="1" x="5720"/>
        <item t="data" sd="1" m="1" x="5715"/>
        <item t="data" sd="1" m="1" x="7421"/>
        <item t="data" sd="1" m="1" x="7872"/>
        <item t="data" sd="1" m="1" x="7739"/>
        <item t="data" sd="1" m="1" x="6822"/>
        <item t="data" sd="1" m="1" x="7830"/>
        <item t="data" sd="1" m="1" x="5718"/>
        <item t="data" sd="1" m="1" x="6871"/>
        <item t="data" sd="1" m="1" x="7735"/>
        <item t="data" sd="1" m="1" x="7584"/>
        <item t="data" sd="1" m="1" x="6677"/>
        <item t="data" sd="1" m="1" x="5722"/>
        <item t="data" sd="1" m="1" x="6399"/>
        <item t="data" sd="1" m="1" x="5723"/>
        <item t="data" sd="1" m="1" x="5724"/>
        <item t="data" sd="1" m="1" x="7014"/>
        <item t="data" sd="1" m="1" x="7805"/>
        <item t="data" sd="1" m="1" x="7950"/>
        <item t="data" sd="1" m="1" x="6398"/>
        <item t="data" sd="1" m="1" x="7877"/>
        <item t="data" sd="1" m="1" x="6786"/>
        <item t="data" sd="1" m="1" x="7888"/>
        <item t="data" sd="1" m="1" x="7829"/>
        <item t="data" sd="1" m="1" x="7936"/>
        <item t="data" sd="1" m="1" x="7749"/>
        <item t="data" sd="1" m="1" x="5725"/>
        <item t="data" sd="1" m="1" x="5719"/>
        <item t="data" sd="1" m="1" x="7388"/>
        <item t="data" sd="1" m="1" x="5721"/>
        <item t="data" sd="1" m="1" x="6897"/>
        <item t="data" sd="1" m="1" x="7938"/>
        <item t="data" sd="1" m="1" x="7708"/>
        <item t="data" sd="1" m="1" x="7687"/>
        <item t="data" sd="1" m="1" x="6402"/>
        <item t="data" sd="1" m="1" x="6949"/>
        <item t="data" sd="1" m="1" x="7958"/>
        <item t="data" sd="1" m="1" x="7721"/>
        <item t="data" sd="1" m="1" x="7718"/>
        <item t="data" sd="1" m="1" x="7719"/>
        <item t="data" sd="1" m="1" x="6400"/>
        <item t="data" sd="1" m="1" x="5735"/>
        <item t="data" sd="1" m="1" x="6401"/>
        <item t="data" sd="1" m="1" x="7413"/>
        <item t="data" sd="1" m="1" x="6697"/>
        <item t="data" sd="1" m="1" x="5739"/>
        <item t="data" sd="1" m="1" x="7113"/>
        <item t="data" sd="1" m="1" x="6722"/>
        <item t="data" sd="1" m="1" x="7880"/>
        <item t="data" sd="1" m="1" x="7993"/>
        <item t="data" sd="1" m="1" x="7747"/>
        <item t="data" sd="1" m="1" x="7746"/>
        <item t="data" sd="1" m="1" x="6894"/>
        <item t="data" sd="1" m="1" x="5728"/>
        <item t="data" sd="1" m="1" x="5729"/>
        <item t="data" sd="1" m="1" x="7033"/>
        <item t="data" sd="1" m="1" x="7954"/>
        <item t="data" sd="1" m="1" x="7953"/>
        <item t="data" sd="1" m="1" x="7850"/>
        <item t="data" sd="1" m="1" x="6771"/>
        <item t="data" sd="1" m="1" x="6774"/>
        <item t="data" sd="1" m="1" x="7453"/>
        <item t="data" sd="1" m="1" x="5737"/>
        <item t="data" sd="1" m="1" x="5738"/>
        <item t="data" sd="1" m="1" x="6408"/>
        <item t="data" sd="1" m="1" x="7390"/>
        <item t="data" sd="1" m="1" x="5726"/>
        <item t="data" sd="1" m="1" x="7729"/>
        <item t="data" sd="1" m="1" x="5727"/>
        <item t="data" sd="1" m="1" x="5730"/>
        <item t="data" sd="1" m="1" x="5761"/>
        <item t="data" sd="1" m="1" x="6404"/>
        <item t="data" sd="1" m="1" x="6403"/>
        <item t="data" sd="1" m="1" x="5732"/>
        <item t="data" sd="1" m="1" x="5731"/>
        <item t="data" sd="1" m="1" x="7401"/>
        <item t="data" sd="1" m="1" x="7400"/>
        <item t="data" sd="1" m="1" x="6964"/>
        <item t="data" sd="1" m="1" x="7720"/>
        <item t="data" sd="1" m="1" x="7758"/>
        <item t="data" sd="1" m="1" x="6405"/>
        <item t="data" sd="1" m="1" x="6406"/>
        <item t="data" sd="1" m="1" x="5733"/>
        <item t="data" sd="1" m="1" x="6407"/>
        <item t="data" sd="1" m="1" x="6227"/>
        <item t="data" sd="1" m="1" x="5734"/>
        <item t="data" sd="1" m="1" x="6229"/>
        <item t="data" sd="1" m="1" x="6228"/>
        <item t="data" sd="1" m="1" x="5736"/>
        <item t="data" sd="1" m="1" x="7000"/>
        <item t="data" sd="1" m="1" x="7792"/>
        <item t="data" sd="1" m="1" x="7793"/>
        <item t="data" sd="1" m="1" x="7807"/>
        <item t="data" sd="1" m="1" x="7411"/>
        <item t="data" sd="1" m="1" x="7412"/>
        <item t="data" sd="1" m="1" x="7415"/>
        <item t="data" sd="1" m="1" x="7416"/>
        <item t="data" sd="1" m="1" x="7417"/>
        <item t="data" sd="1" m="1" x="7418"/>
        <item t="data" sd="1" m="1" x="7419"/>
        <item t="data" sd="1" m="1" x="7420"/>
        <item t="data" sd="1" m="1" x="7608"/>
        <item t="data" sd="1" m="1" x="7800"/>
        <item t="data" sd="1" m="1" x="7801"/>
        <item t="data" sd="1" m="1" x="7796"/>
        <item t="data" sd="1" m="1" x="7802"/>
        <item t="data" sd="1" m="1" x="7114"/>
        <item t="data" sd="1" m="1" x="5740"/>
        <item t="data" sd="1" m="1" x="7889"/>
        <item t="data" sd="1" m="1" x="7444"/>
        <item t="data" sd="1" m="1" x="6724"/>
        <item t="data" sd="1" m="1" x="7934"/>
        <item t="data" sd="1" m="1" x="7935"/>
        <item t="data" sd="1" m="1" x="5741"/>
        <item t="data" sd="1" m="1" x="6837"/>
        <item t="data" sd="1" m="1" x="7591"/>
        <item t="data" sd="1" m="1" x="5752"/>
        <item t="data" sd="1" m="1" x="7688"/>
        <item t="data" sd="1" m="1" x="7827"/>
        <item t="data" sd="1" m="1" x="7128"/>
        <item t="data" sd="1" m="1" x="7586"/>
        <item t="data" sd="1" m="1" x="7391"/>
        <item t="data" sd="1" m="1" x="7881"/>
        <item t="data" sd="1" m="1" x="6840"/>
        <item t="data" sd="1" m="1" x="6846"/>
        <item t="data" sd="1" m="1" x="6410"/>
        <item t="data" sd="1" m="1" x="6409"/>
        <item t="data" sd="1" m="1" x="7404"/>
        <item t="data" sd="1" m="1" x="5762"/>
        <item t="data" sd="1" m="1" x="7963"/>
        <item t="data" sd="1" m="1" x="7585"/>
        <item t="data" sd="1" m="1" x="7736"/>
        <item t="data" sd="1" m="1" x="7559"/>
        <item t="data" sd="1" m="1" x="7743"/>
        <item t="data" sd="1" m="1" x="7744"/>
        <item t="data" sd="1" m="1" x="6844"/>
        <item t="data" sd="1" m="1" x="6836"/>
        <item t="data" sd="1" m="1" x="6843"/>
        <item t="data" sd="1" m="1" x="7757"/>
        <item t="data" sd="1" m="1" x="7756"/>
        <item t="data" sd="1" m="1" x="6973"/>
        <item t="data" sd="1" m="1" x="5750"/>
        <item t="data" sd="1" m="1" x="6411"/>
        <item t="data" sd="1" m="1" x="5745"/>
        <item t="data" sd="1" m="1" x="5746"/>
        <item t="data" sd="1" m="1" x="7776"/>
        <item t="data" sd="1" m="1" x="6412"/>
        <item t="data" sd="1" m="1" x="7677"/>
        <item t="data" sd="1" m="1" x="7678"/>
        <item t="data" sd="1" m="1" x="6700"/>
        <item t="data" sd="1" m="1" x="5753"/>
        <item t="data" sd="1" m="1" x="7229"/>
        <item t="data" sd="1" m="1" x="7592"/>
        <item t="data" sd="1" m="1" x="7824"/>
        <item t="data" sd="1" m="1" x="7843"/>
        <item t="data" sd="1" m="1" x="7828"/>
        <item t="data" sd="1" m="1" x="7840"/>
        <item t="data" sd="1" m="1" x="7842"/>
        <item t="data" sd="1" m="1" x="7841"/>
        <item t="data" sd="1" m="1" x="5223"/>
        <item t="data" sd="1" m="1" x="7839"/>
        <item t="data" sd="1" m="1" x="5221"/>
        <item t="data" sd="1" m="1" x="5222"/>
        <item t="data" sd="1" m="1" x="7833"/>
        <item t="data" sd="1" m="1" x="5224"/>
        <item t="data" sd="1" m="1" x="5225"/>
        <item t="data" sd="1" m="1" x="7838"/>
        <item t="data" sd="1" m="1" x="7832"/>
        <item t="data" sd="1" m="1" x="7835"/>
        <item t="data" sd="1" m="1" x="7834"/>
        <item t="data" sd="1" m="1" x="7837"/>
        <item t="data" sd="1" m="1" x="7836"/>
        <item t="data" sd="1" m="1" x="7852"/>
        <item t="data" sd="1" m="1" x="7858"/>
        <item t="data" sd="1" m="1" x="7847"/>
        <item t="data" sd="1" m="1" x="7854"/>
        <item t="data" sd="1" m="1" x="7851"/>
        <item t="data" sd="1" m="1" x="7856"/>
        <item t="data" sd="1" m="1" x="7860"/>
        <item t="data" sd="1" m="1" x="7853"/>
        <item t="data" sd="1" m="1" x="7855"/>
        <item t="data" sd="1" m="1" x="7867"/>
        <item t="data" sd="1" m="1" x="7862"/>
        <item t="data" sd="1" m="1" x="7863"/>
        <item t="data" sd="1" m="1" x="7844"/>
        <item t="data" sd="1" m="1" x="7861"/>
        <item t="data" sd="1" m="1" x="7865"/>
        <item t="data" sd="1" m="1" x="7866"/>
        <item t="data" sd="1" m="1" x="7859"/>
        <item t="data" sd="1" m="1" x="7845"/>
        <item t="data" sd="1" m="1" x="7846"/>
        <item t="data" sd="1" m="1" x="7864"/>
        <item t="data" sd="1" m="1" x="7857"/>
        <item t="data" sd="1" m="1" x="7849"/>
        <item t="data" sd="1" m="1" x="7871"/>
        <item t="data" sd="1" m="1" x="7392"/>
        <item t="data" sd="1" m="1" x="7873"/>
        <item t="data" sd="1" m="1" x="7876"/>
        <item t="data" sd="1" m="1" x="7885"/>
        <item t="data" sd="1" m="1" x="7886"/>
        <item t="data" sd="1" m="1" x="6681"/>
        <item t="data" sd="1" m="1" x="7927"/>
        <item t="data" sd="1" m="1" x="5760"/>
        <item t="data" sd="1" m="1" x="5759"/>
        <item t="data" sd="1" m="1" x="7931"/>
        <item t="data" sd="1" m="1" x="7178"/>
        <item t="data" sd="1" m="1" x="7225"/>
        <item t="data" sd="1" m="1" x="7942"/>
        <item t="data" sd="1" m="1" x="6076"/>
        <item t="data" sd="1" m="1" x="5747"/>
        <item t="data" sd="1" m="1" x="6427"/>
        <item t="data" sd="1" m="1" x="6428"/>
        <item t="data" sd="1" m="1" x="7964"/>
        <item t="data" sd="1" m="1" x="7733"/>
        <item t="data" sd="1" m="1" x="7734"/>
        <item t="data" sd="1" m="1" x="7990"/>
        <item t="data" sd="1" m="1" x="7991"/>
        <item t="data" sd="1" m="1" x="7560"/>
        <item t="data" sd="1" m="1" x="7561"/>
        <item t="data" sd="1" m="1" x="7562"/>
        <item t="data" sd="1" m="1" x="7563"/>
        <item t="data" sd="1" m="1" x="5755"/>
        <item t="data" sd="1" m="1" x="5756"/>
        <item t="data" sd="1" m="1" x="5757"/>
        <item t="data" sd="1" m="1" x="5758"/>
        <item t="data" sd="1" m="1" x="7748"/>
        <item t="data" sd="1" m="1" x="1870"/>
        <item t="data" sd="1" m="1" x="7574"/>
        <item t="data" sd="1" m="1" x="5768"/>
        <item t="data" sd="1" m="1" x="6423"/>
        <item t="data" sd="1" m="1" x="6424"/>
        <item t="data" sd="1" m="1" x="5754"/>
        <item t="data" sd="1" m="1" x="7218"/>
        <item t="data" sd="1" m="1" x="5751"/>
        <item t="data" sd="1" m="1" x="5748"/>
        <item t="data" sd="1" m="1" x="5749"/>
        <item t="data" sd="1" m="1" x="7760"/>
        <item t="data" sd="1" m="1" x="7761"/>
        <item t="data" sd="1" m="1" x="5743"/>
        <item t="data" sd="1" m="1" x="5744"/>
        <item t="data" sd="1" m="1" x="5763"/>
        <item t="data" sd="1" m="1" x="5764"/>
        <item t="data" sd="1" m="1" x="6688"/>
        <item t="data" sd="1" m="1" x="5742"/>
        <item t="data" sd="1" m="1" x="7483"/>
        <item t="data" sd="1" m="1" x="7482"/>
        <item t="data" sd="1" m="1" x="7785"/>
        <item t="data" sd="1" m="1" x="7786"/>
        <item t="data" sd="1" m="1" x="7783"/>
        <item t="data" sd="1" m="1" x="7791"/>
        <item t="data" sd="1" m="1" x="6420"/>
        <item t="data" sd="1" m="1" x="7804"/>
        <item t="data" sd="1" m="1" x="7611"/>
        <item t="data" sd="1" m="1" x="7410"/>
        <item t="data" sd="1" m="1" x="6421"/>
        <item t="data" sd="1" m="1" x="7079"/>
        <item t="data" sd="1" m="1" x="6426"/>
        <item t="data" sd="1" m="1" x="7825"/>
        <item t="data" sd="1" m="1" x="7692"/>
        <item t="data" sd="1" m="1" x="7393"/>
        <item t="data" sd="1" m="1" x="6680"/>
        <item t="data" sd="1" m="1" x="6231"/>
        <item t="data" sd="1" m="1" x="6232"/>
        <item t="data" sd="1" m="1" x="6779"/>
        <item t="data" sd="1" m="1" x="7882"/>
        <item t="data" sd="1" m="1" x="7883"/>
        <item t="data" sd="1" m="1" x="7884"/>
        <item t="data" sd="1" m="1" x="7921"/>
        <item t="data" sd="1" m="1" x="7894"/>
        <item t="data" sd="1" m="1" x="7920"/>
        <item t="data" sd="1" m="1" x="7900"/>
        <item t="data" sd="1" m="1" x="7901"/>
        <item t="data" sd="1" m="1" x="7919"/>
        <item t="data" sd="1" m="1" x="7917"/>
        <item t="data" sd="1" m="1" x="7918"/>
        <item t="data" sd="1" m="1" x="7922"/>
        <item t="data" sd="1" m="1" x="7923"/>
        <item t="data" sd="1" m="1" x="7902"/>
        <item t="data" sd="1" m="1" x="7895"/>
        <item t="data" sd="1" m="1" x="7910"/>
        <item t="data" sd="1" m="1" x="7911"/>
        <item t="data" sd="1" m="1" x="7907"/>
        <item t="data" sd="1" m="1" x="7908"/>
        <item t="data" sd="1" m="1" x="7909"/>
        <item t="data" sd="1" m="1" x="7903"/>
        <item t="data" sd="1" m="1" x="7904"/>
        <item t="data" sd="1" m="1" x="7905"/>
        <item t="data" sd="1" m="1" x="7906"/>
        <item t="data" sd="1" m="1" x="7912"/>
        <item t="data" sd="1" m="1" x="5766"/>
        <item t="data" sd="1" m="1" x="6821"/>
        <item t="data" sd="1" m="1" x="7959"/>
        <item t="data" sd="1" m="1" x="7633"/>
        <item t="data" sd="1" m="1" x="7634"/>
        <item t="data" sd="1" m="1" x="7943"/>
        <item t="data" sd="1" m="1" x="7045"/>
        <item t="data" sd="1" m="1" x="7946"/>
        <item t="data" sd="1" m="1" x="7947"/>
        <item t="data" sd="1" m="1" x="7962"/>
        <item t="data" sd="1" m="1" x="7732"/>
        <item t="data" sd="1" m="1" x="3034"/>
        <item t="data" sd="1" m="1" x="3035"/>
        <item t="data" sd="1" m="1" x="3036"/>
        <item t="data" sd="1" m="1" x="3037"/>
        <item t="data" sd="1" m="1" x="7731"/>
        <item t="data" sd="1" m="1" x="7974"/>
        <item t="data" sd="1" m="1" x="7975"/>
        <item t="data" sd="1" m="1" x="7976"/>
        <item t="data" sd="1" m="1" x="7977"/>
        <item t="data" sd="1" m="1" x="7978"/>
        <item t="data" sd="1" m="1" x="7979"/>
        <item t="data" sd="1" m="1" x="7980"/>
        <item t="data" sd="1" m="1" x="7989"/>
        <item t="data" sd="1" m="1" x="7988"/>
        <item t="data" sd="1" m="1" x="7985"/>
        <item t="data" sd="1" m="1" x="7986"/>
        <item t="data" sd="1" m="1" x="7987"/>
        <item t="data" sd="1" m="1" x="7982"/>
        <item t="data" sd="1" m="1" x="7983"/>
        <item t="data" sd="1" m="1" x="7984"/>
        <item t="data" sd="1" m="1" x="3924"/>
        <item t="data" sd="1" m="1" x="7459"/>
        <item t="data" sd="1" m="1" x="7564"/>
        <item t="data" sd="1" m="1" x="7565"/>
        <item t="data" sd="1" m="1" x="6673"/>
        <item t="data" sd="1" m="1" x="6230"/>
        <item t="data" sd="1" m="1" x="6714"/>
        <item t="data" sd="1" m="1" x="6425"/>
        <item t="data" sd="1" m="1" x="1871"/>
        <item t="data" sd="1" m="1" x="1878"/>
        <item t="data" sd="1" m="1" x="1877"/>
        <item t="data" sd="1" m="1" x="4547"/>
        <item t="data" sd="1" m="1" x="7779"/>
        <item t="data" sd="1" m="1" x="7780"/>
        <item t="data" sd="1" m="1" x="7007"/>
        <item t="data" sd="1" m="1" x="7788"/>
        <item t="data" sd="1" m="1" x="6419"/>
        <item t="data" sd="1" m="1" x="7408"/>
        <item t="data" sd="1" m="1" x="7409"/>
        <item t="data" sd="1" m="1" x="7407"/>
        <item t="data" sd="1" m="1" x="7816"/>
        <item t="data" sd="1" m="1" x="7817"/>
        <item t="data" sd="1" m="1" x="7811"/>
        <item t="data" sd="1" m="1" x="7812"/>
        <item t="data" sd="1" m="1" x="7813"/>
        <item t="data" sd="1" m="1" x="7814"/>
        <item t="data" sd="1" m="1" x="6422"/>
        <item t="data" sd="1" m="1" x="5711"/>
        <item t="data" sd="1" m="1" x="7075"/>
        <item t="data" sd="1" m="1" x="7657"/>
        <item t="data" sd="1" m="1" x="7822"/>
        <item t="data" sd="1" m="1" x="7826"/>
        <item t="data" sd="1" m="1" x="7868"/>
        <item t="data" sd="1" m="1" x="7869"/>
        <item t="data" sd="1" m="1" x="7870"/>
        <item t="data" sd="1" m="1" x="7875"/>
        <item t="data" sd="1" m="1" x="7878"/>
        <item t="data" sd="1" m="1" x="7879"/>
        <item t="data" sd="1" m="1" x="7890"/>
        <item t="data" sd="1" m="1" x="7891"/>
        <item t="data" sd="1" m="1" x="7706"/>
        <item t="data" sd="1" m="1" x="7892"/>
        <item t="data" sd="1" m="1" x="7893"/>
        <item t="data" sd="1" m="1" x="6718"/>
        <item t="data" sd="1" m="1" x="7707"/>
        <item t="data" sd="1" m="1" x="6716"/>
        <item t="data" sd="1" m="1" x="6717"/>
        <item t="data" sd="1" m="1" x="7896"/>
        <item t="data" sd="1" m="1" x="7897"/>
        <item t="data" sd="1" m="1" x="7898"/>
        <item t="data" sd="1" m="1" x="7899"/>
        <item t="data" sd="1" m="1" x="7913"/>
        <item t="data" sd="1" m="1" x="7914"/>
        <item t="data" sd="1" m="1" x="7915"/>
        <item t="data" sd="1" m="1" x="7916"/>
        <item t="data" sd="1" m="1" x="7924"/>
        <item t="data" sd="1" m="1" x="7925"/>
        <item t="data" sd="1" m="1" x="7926"/>
        <item t="data" sd="1" m="1" x="6842"/>
        <item t="data" sd="1" m="1" x="7940"/>
        <item t="data" sd="1" m="1" x="7941"/>
        <item t="data" sd="1" m="1" x="6234"/>
        <item t="data" sd="1" m="1" x="7489"/>
        <item t="data" sd="1" m="1" x="6971"/>
        <item t="data" sd="1" m="1" x="7725"/>
        <item t="data" sd="1" m="1" x="7944"/>
        <item t="data" sd="1" m="1" x="7948"/>
        <item t="data" sd="1" m="1" x="7949"/>
        <item t="data" sd="1" m="1" x="7951"/>
        <item t="data" sd="1" m="1" x="7952"/>
        <item t="data" sd="1" m="1" x="6955"/>
        <item t="data" sd="1" m="1" x="6956"/>
        <item t="data" sd="1" m="1" x="7960"/>
        <item t="data" sd="1" m="1" x="7730"/>
        <item t="data" sd="1" m="1" x="7737"/>
        <item t="data" sd="1" m="1" x="7738"/>
        <item t="data" sd="1" m="1" x="7981"/>
        <item t="data" sd="1" m="1" x="7995"/>
        <item t="data" sd="1" m="1" x="7996"/>
        <item t="data" sd="1" m="1" x="7997"/>
        <item t="data" sd="1" m="1" x="1875"/>
        <item t="data" sd="1" m="1" x="1874"/>
        <item t="data" sd="1" m="1" x="7741"/>
        <item t="data" sd="1" m="1" x="6830"/>
        <item t="data" sd="1" m="1" x="7742"/>
        <item t="data" sd="1" m="1" x="7389"/>
        <item t="data" sd="1" m="1" x="7580"/>
        <item t="data" sd="1" m="1" x="5613"/>
        <item t="data" sd="1" m="1" x="7176"/>
        <item t="data" sd="1" m="1" x="6417"/>
        <item t="data" sd="1" m="1" x="7502"/>
        <item t="data" sd="1" m="1" x="7485"/>
        <item t="data" sd="1" m="1" x="7484"/>
        <item t="data" sd="1" m="1" x="7190"/>
        <item t="data" sd="1" m="1" x="6235"/>
        <item t="data" sd="1" m="1" x="6959"/>
        <item t="data" sd="1" m="1" x="7188"/>
        <item t="data" sd="1" m="1" x="7616"/>
        <item t="data" sd="1" m="1" x="7676"/>
        <item t="data" sd="1" m="1" x="7781"/>
        <item t="data" sd="1" m="1" x="7794"/>
        <item t="data" sd="1" m="1" x="7602"/>
        <item t="data" sd="1" m="1" x="7789"/>
        <item t="data" sd="1" m="1" x="1873"/>
        <item t="data" sd="1" m="1" x="7037"/>
        <item t="data" sd="1" m="1" x="7102"/>
        <item t="data" sd="1" m="1" x="4589"/>
        <item t="data" sd="1" m="1" x="7452"/>
        <item t="data" sd="1" m="1" x="7432"/>
        <item t="data" sd="1" m="1" x="7689"/>
        <item t="data" sd="1" m="1" x="7690"/>
        <item t="data" sd="1" m="1" x="7691"/>
        <item t="data" sd="1" m="1" x="7395"/>
        <item t="data" sd="1" m="1" x="7693"/>
        <item t="data" sd="1" m="1" x="7694"/>
        <item t="data" sd="1" m="1" x="7593"/>
        <item t="data" sd="1" m="1" x="7695"/>
        <item t="data" sd="1" m="1" x="7696"/>
        <item t="data" sd="1" m="1" x="7697"/>
        <item t="data" sd="1" m="1" x="7698"/>
        <item t="data" sd="1" m="1" x="7640"/>
        <item t="data" sd="1" m="1" x="7699"/>
        <item t="data" sd="1" m="1" x="7700"/>
        <item t="data" sd="1" m="1" x="7701"/>
        <item t="data" sd="1" m="1" x="7702"/>
        <item t="data" sd="1" m="1" x="7703"/>
        <item t="data" sd="1" m="1" x="7704"/>
        <item t="data" sd="1" m="1" x="7705"/>
        <item t="data" sd="1" m="1" x="5555"/>
        <item t="data" sd="1" m="1" x="5556"/>
        <item t="data" sd="1" m="1" x="6933"/>
        <item t="data" sd="1" m="1" x="4086"/>
        <item t="data" sd="1" m="1" x="7709"/>
        <item t="data" sd="1" m="1" x="7710"/>
        <item t="data" sd="1" m="1" x="7595"/>
        <item t="data" sd="1" m="1" x="7596"/>
        <item t="data" sd="1" m="1" x="7597"/>
        <item t="data" sd="1" m="1" x="4082"/>
        <item t="data" sd="1" m="1" x="7599"/>
        <item t="data" sd="1" m="1" x="7600"/>
        <item t="data" sd="1" m="1" x="7598"/>
        <item t="data" sd="1" m="1" x="7491"/>
        <item t="data" sd="1" m="1" x="7711"/>
        <item t="data" sd="1" m="1" x="7490"/>
        <item t="data" sd="1" m="1" x="7487"/>
        <item t="data" sd="1" m="1" x="7488"/>
        <item t="data" sd="1" m="1" x="7712"/>
        <item t="data" sd="1" m="1" x="7713"/>
        <item t="data" sd="1" m="1" x="7714"/>
        <item t="data" sd="1" m="1" x="5132"/>
        <item t="data" sd="1" m="1" x="5133"/>
        <item t="data" sd="1" m="1" x="5134"/>
        <item t="data" sd="1" m="1" x="5135"/>
        <item t="data" sd="1" m="1" x="7716"/>
        <item t="data" sd="1" m="1" x="6945"/>
        <item t="data" sd="1" m="1" x="7717"/>
        <item t="data" sd="1" m="1" x="7722"/>
        <item t="data" sd="1" m="1" x="7723"/>
        <item t="data" sd="1" m="1" x="7724"/>
        <item t="data" sd="1" m="1" x="7612"/>
        <item t="data" sd="1" m="1" x="7613"/>
        <item t="data" sd="1" m="1" x="7726"/>
        <item t="data" sd="1" m="1" x="7728"/>
        <item t="data" sd="1" m="1" x="7153"/>
        <item t="data" sd="1" m="1" x="7121"/>
        <item t="data" sd="1" m="1" x="7122"/>
        <item t="data" sd="1" m="1" x="7740"/>
        <item t="data" sd="1" m="1" x="6156"/>
        <item t="data" sd="1" m="1" x="6157"/>
        <item t="data" sd="1" m="1" x="6158"/>
        <item t="data" sd="1" m="1" x="6159"/>
        <item t="data" sd="1" m="1" x="7226"/>
        <item t="data" sd="1" m="1" x="7161"/>
        <item t="data" sd="1" m="1" x="6855"/>
        <item t="data" sd="1" m="1" x="6853"/>
        <item t="data" sd="1" m="1" x="7155"/>
        <item t="data" sd="1" m="1" x="5769"/>
        <item t="data" sd="1" m="1" x="7577"/>
        <item t="data" sd="1" m="1" x="7680"/>
        <item t="data" sd="1" m="1" x="7681"/>
        <item t="data" sd="1" m="1" x="7682"/>
        <item t="data" sd="1" m="1" x="7683"/>
        <item t="data" sd="1" m="1" x="7658"/>
        <item t="data" sd="1" m="1" x="1881"/>
        <item t="data" sd="1" m="1" x="7571"/>
        <item t="data" sd="1" m="1" x="7381"/>
        <item t="data" sd="1" m="1" x="6858"/>
        <item t="data" sd="1" m="1" x="7745"/>
        <item t="data" sd="1" m="1" x="7572"/>
        <item t="data" sd="1" m="1" x="7573"/>
        <item t="data" sd="1" m="1" x="7211"/>
        <item t="data" sd="1" m="1" x="1872"/>
        <item t="data" sd="1" m="1" x="1879"/>
        <item t="data" sd="1" m="1" x="6672"/>
        <item t="data" sd="1" m="1" x="7269"/>
        <item t="data" sd="1" m="1" x="7270"/>
        <item t="data" sd="1" m="1" x="7271"/>
        <item t="data" sd="1" m="1" x="7272"/>
        <item t="data" sd="1" m="1" x="7273"/>
        <item t="data" sd="1" m="1" x="7280"/>
        <item t="data" sd="1" m="1" x="7265"/>
        <item t="data" sd="1" m="1" x="7274"/>
        <item t="data" sd="1" m="1" x="7268"/>
        <item t="data" sd="1" m="1" x="7267"/>
        <item t="data" sd="1" m="1" x="7266"/>
        <item t="data" sd="1" m="1" x="7264"/>
        <item t="data" sd="1" m="1" x="7326"/>
        <item t="data" sd="1" m="1" x="7750"/>
        <item t="data" sd="1" m="1" x="7751"/>
        <item t="data" sd="1" m="1" x="7752"/>
        <item t="data" sd="1" m="1" x="7753"/>
        <item t="data" sd="1" m="1" x="7754"/>
        <item t="data" sd="1" m="1" x="7755"/>
        <item t="data" sd="1" m="1" x="7759"/>
        <item t="data" sd="1" m="1" x="6450"/>
        <item t="data" sd="1" m="1" x="6415"/>
        <item t="data" sd="1" m="1" x="4170"/>
        <item t="data" sd="1" m="1" x="6418"/>
        <item t="data" sd="1" m="1" x="6414"/>
        <item t="data" sd="1" m="1" x="6416"/>
        <item t="data" sd="1" m="1" x="6233"/>
        <item t="data" sd="1" m="1" x="6413"/>
        <item t="data" sd="1" m="1" x="1876"/>
        <item t="data" sd="1" m="1" x="1882"/>
        <item t="data" sd="1" m="1" x="5180"/>
        <item t="data" sd="1" m="1" x="6996"/>
        <item t="data" sd="1" m="1" x="4562"/>
        <item t="data" sd="1" m="1" x="4224"/>
        <item t="data" sd="1" m="1" x="6687"/>
        <item t="data" sd="1" m="1" x="7191"/>
        <item t="data" sd="1" m="1" x="7762"/>
        <item t="data" sd="1" m="1" x="7763"/>
        <item t="data" sd="1" m="1" x="7764"/>
        <item t="data" sd="1" m="1" x="7765"/>
        <item t="data" sd="1" m="1" x="7766"/>
        <item t="data" sd="1" m="1" x="7170"/>
        <item t="data" sd="1" m="1" x="4227"/>
        <item t="data" sd="1" m="1" x="4228"/>
        <item t="data" sd="1" m="1" x="4820"/>
        <item t="data" sd="1" m="1" x="5770"/>
        <item t="data" sd="1" m="1" x="7767"/>
        <item t="data" sd="1" m="1" x="7480"/>
        <item t="data" sd="1" m="1" x="7768"/>
        <item t="data" sd="1" m="1" x="7478"/>
        <item t="data" sd="1" m="1" x="7769"/>
        <item t="data" sd="1" m="1" x="7479"/>
        <item t="data" sd="1" m="1" x="7770"/>
        <item t="data" sd="1" m="1" x="7503"/>
        <item t="data" sd="1" m="1" x="7481"/>
        <item t="data" sd="1" m="1" x="7771"/>
        <item t="data" sd="1" m="1" x="7772"/>
        <item t="data" sd="1" m="1" x="7773"/>
        <item t="data" sd="1" m="1" x="7617"/>
        <item t="data" sd="1" m="1" x="7774"/>
        <item t="data" sd="1" m="1" x="7213"/>
        <item t="data" sd="1" m="1" x="7212"/>
        <item t="data" sd="1" m="1" x="7775"/>
        <item t="data" sd="1" m="1" x="7686"/>
        <item t="data" sd="1" m="1" x="7777"/>
        <item t="data" sd="1" m="1" x="7778"/>
        <item t="data" sd="1" m="1" x="7023"/>
        <item t="data" sd="1" m="1" x="7024"/>
        <item t="data" sd="1" m="1" x="7005"/>
        <item t="data" sd="1" m="1" x="7790"/>
        <item t="data" sd="1" m="1" x="7631"/>
        <item t="data" sd="1" m="1" x="7797"/>
        <item t="data" sd="1" m="1" x="7798"/>
        <item t="data" sd="1" m="1" x="7799"/>
        <item t="data" sd="1" m="1" x="7803"/>
        <item t="data" sd="1" m="1" x="6797"/>
        <item t="data" sd="1" m="1" x="6790"/>
        <item t="data" sd="1" m="1" x="7808"/>
        <item t="data" sd="1" m="1" x="7809"/>
        <item t="data" sd="1" m="1" x="7810"/>
        <item t="data" sd="1" m="1" x="7815"/>
        <item t="data" sd="1" m="1" x="2468"/>
        <item t="data" sd="1" m="1" x="2469"/>
        <item t="data" sd="1" m="1" x="2471"/>
        <item t="data" sd="1" m="1" x="7606"/>
        <item t="data" sd="1" m="1" x="7607"/>
        <item t="data" sd="1" m="1" x="7064"/>
        <item t="data" sd="1" m="1" x="7508"/>
        <item t="data" sd="1" m="1" x="7507"/>
        <item t="data" sd="1" m="1" x="7540"/>
        <item t="data" sd="1" m="1" x="7818"/>
        <item t="data" sd="1" m="1" x="7819"/>
        <item t="data" sd="1" m="1" x="7820"/>
        <item t="data" sd="1" m="1" x="7821"/>
        <item t="data" sd="1" m="1" x="6854"/>
        <item t="data" sd="1" m="1" x="7558"/>
        <item t="data" sd="1" m="1" x="1880"/>
        <item t="data" sd="1" m="1" x="6237"/>
        <item t="data" sd="1" m="1" x="7566"/>
        <item t="data" sd="1" m="1" x="7567"/>
        <item t="data" sd="1" m="1" x="7568"/>
        <item t="data" sd="1" m="1" x="7569"/>
        <item t="data" sd="1" m="1" x="7346"/>
        <item t="data" sd="1" m="1" x="7570"/>
        <item t="data" sd="1" m="1" x="4393"/>
        <item t="data" sd="1" m="1" x="3767"/>
        <item t="data" sd="1" m="1" x="3766"/>
        <item t="data" sd="1" m="1" x="6464"/>
        <item t="data" sd="1" m="1" x="6465"/>
        <item t="data" sd="1" m="1" x="6876"/>
        <item t="data" sd="1" m="1" x="6877"/>
        <item t="data" sd="1" m="1" x="6887"/>
        <item t="data" sd="1" m="1" x="7394"/>
        <item t="data" sd="1" m="1" x="7575"/>
        <item t="data" sd="1" m="1" x="6892"/>
        <item t="data" sd="1" m="1" x="7578"/>
        <item t="data" sd="1" m="1" x="7579"/>
        <item t="data" sd="1" m="1" x="7396"/>
        <item t="data" sd="1" m="1" x="7581"/>
        <item t="data" sd="1" m="1" x="7582"/>
        <item t="data" sd="1" m="1" x="7583"/>
        <item t="data" sd="1" m="1" x="7588"/>
        <item t="data" sd="1" m="1" x="6943"/>
        <item t="data" sd="1" m="1" x="6944"/>
        <item t="data" sd="1" m="1" x="4498"/>
        <item t="data" sd="1" m="1" x="6946"/>
        <item t="data" sd="1" m="1" x="6957"/>
        <item t="data" sd="1" m="1" x="5552"/>
        <item t="data" sd="1" m="1" x="5553"/>
        <item t="data" sd="1" m="1" x="5554"/>
        <item t="data" sd="1" m="1" x="7594"/>
        <item t="data" sd="1" m="1" x="7402"/>
        <item t="data" sd="1" m="1" x="5136"/>
        <item t="data" sd="1" m="1" x="7492"/>
        <item t="data" sd="1" m="1" x="7493"/>
        <item t="data" sd="1" m="1" x="7403"/>
        <item t="data" sd="1" m="1" x="6974"/>
        <item t="data" sd="1" m="1" x="6978"/>
        <item t="data" sd="1" m="1" x="7601"/>
        <item t="data" sd="1" m="1" x="6983"/>
        <item t="data" sd="1" m="1" x="6984"/>
        <item t="data" sd="1" m="1" x="6985"/>
        <item t="data" sd="1" m="1" x="6451"/>
        <item t="data" sd="1" m="1" x="6452"/>
        <item t="data" sd="1" m="1" x="6453"/>
        <item t="data" sd="1" m="1" x="4561"/>
        <item t="data" sd="1" m="1" x="7477"/>
        <item t="data" sd="1" m="1" x="7476"/>
        <item t="data" sd="1" m="1" x="7486"/>
        <item t="data" sd="1" m="1" x="6998"/>
        <item t="data" sd="1" m="1" x="6999"/>
        <item t="data" sd="1" m="1" x="7020"/>
        <item t="data" sd="1" m="1" x="7003"/>
        <item t="data" sd="1" m="1" x="6695"/>
        <item t="data" sd="1" m="1" x="7002"/>
        <item t="data" sd="1" m="1" x="7004"/>
        <item t="data" sd="1" m="1" x="7603"/>
        <item t="data" sd="1" m="1" x="3614"/>
        <item t="data" sd="1" m="1" x="6077"/>
        <item t="data" sd="1" m="1" x="7018"/>
        <item t="data" sd="1" m="1" x="7036"/>
        <item t="data" sd="1" m="1" x="7043"/>
        <item t="data" sd="1" m="1" x="7051"/>
        <item t="data" sd="1" m="1" x="7052"/>
        <item t="data" sd="1" m="1" x="7053"/>
        <item t="data" sd="1" m="1" x="7062"/>
        <item t="data" sd="1" m="1" x="7406"/>
        <item t="data" sd="1" m="1" x="7066"/>
        <item t="data" sd="1" m="1" x="4452"/>
        <item t="data" sd="1" m="1" x="4453"/>
        <item t="data" sd="1" m="1" x="4454"/>
        <item t="data" sd="1" m="1" x="4455"/>
        <item t="data" sd="1" m="1" x="4456"/>
        <item t="data" sd="1" m="1" x="1884"/>
        <item t="data" sd="1" m="1" x="1885"/>
        <item t="data" sd="1" m="1" x="1886"/>
        <item t="data" sd="1" m="1" x="4451"/>
        <item t="data" sd="1" m="1" x="2470"/>
        <item t="data" sd="1" m="1" x="4449"/>
        <item t="data" sd="1" m="1" x="4450"/>
        <item t="data" sd="1" m="1" x="7604"/>
        <item t="data" sd="1" m="1" x="7605"/>
        <item t="data" sd="1" m="1" x="7090"/>
        <item t="data" sd="1" m="1" x="7074"/>
        <item t="data" sd="1" m="1" x="7610"/>
        <item t="data" sd="1" m="1" x="7106"/>
        <item t="data" sd="1" m="1" x="6469"/>
        <item t="data" sd="1" m="1" x="6470"/>
        <item t="data" sd="1" m="1" x="6471"/>
        <item t="data" sd="1" m="1" x="6703"/>
        <item t="data" sd="1" m="1" x="7614"/>
        <item t="data" sd="1" m="1" x="7615"/>
        <item t="data" sd="1" m="1" x="7618"/>
        <item t="data" sd="1" m="1" x="7619"/>
        <item t="data" sd="1" m="1" x="7620"/>
        <item t="data" sd="1" m="1" x="7621"/>
        <item t="data" sd="1" m="1" x="6705"/>
        <item t="data" sd="1" m="1" x="7622"/>
        <item t="data" sd="1" m="1" x="7514"/>
        <item t="data" sd="1" m="1" x="7623"/>
        <item t="data" sd="1" m="1" x="7624"/>
        <item t="data" sd="1" m="1" x="7625"/>
        <item t="data" sd="1" m="1" x="7626"/>
        <item t="data" sd="1" m="1" x="7627"/>
        <item t="data" sd="1" m="1" x="7513"/>
        <item t="data" sd="1" m="1" x="7628"/>
        <item t="data" sd="1" m="1" x="7629"/>
        <item t="data" sd="1" m="1" x="6720"/>
        <item t="data" sd="1" m="1" x="6715"/>
        <item t="data" sd="1" m="1" x="7630"/>
        <item t="data" sd="1" m="1" x="7632"/>
        <item t="data" sd="1" m="1" x="7635"/>
        <item t="data" sd="1" m="1" x="7434"/>
        <item t="data" sd="1" m="1" x="7636"/>
        <item t="data" sd="1" m="1" x="7637"/>
        <item t="data" sd="1" m="1" x="7638"/>
        <item t="data" sd="1" m="1" x="6745"/>
        <item t="data" sd="1" m="1" x="7639"/>
        <item t="data" sd="1" m="1" x="7641"/>
        <item t="data" sd="1" m="1" x="7642"/>
        <item t="data" sd="1" m="1" x="7643"/>
        <item t="data" sd="1" m="1" x="7154"/>
        <item t="data" sd="1" m="1" x="7644"/>
        <item t="data" sd="1" m="1" x="7645"/>
        <item t="data" sd="1" m="1" x="7646"/>
        <item t="data" sd="1" m="1" x="7647"/>
        <item t="data" sd="1" m="1" x="7648"/>
        <item t="data" sd="1" m="1" x="7649"/>
        <item t="data" sd="1" m="1" x="7146"/>
        <item t="data" sd="1" m="1" x="7650"/>
        <item t="data" sd="1" m="1" x="7651"/>
        <item t="data" sd="1" m="1" x="7194"/>
        <item t="data" sd="1" m="1" x="7193"/>
        <item t="data" sd="1" m="1" x="7652"/>
        <item t="data" sd="1" m="1" x="7451"/>
        <item t="data" sd="1" m="1" x="7653"/>
        <item t="data" sd="1" m="1" x="7654"/>
        <item t="data" sd="1" m="1" x="7232"/>
        <item t="data" sd="1" m="1" x="7233"/>
        <item t="data" sd="1" m="1" x="7234"/>
        <item t="data" sd="1" m="1" x="7249"/>
        <item t="data" sd="1" m="1" x="7250"/>
        <item t="data" sd="1" m="1" x="7251"/>
        <item t="data" sd="1" m="1" x="7231"/>
        <item t="data" sd="1" m="1" x="7235"/>
        <item t="data" sd="1" m="1" x="7238"/>
        <item t="data" sd="1" m="1" x="7276"/>
        <item t="data" sd="1" m="1" x="7279"/>
        <item t="data" sd="1" m="1" x="7236"/>
        <item t="data" sd="1" m="1" x="7281"/>
        <item t="data" sd="1" m="1" x="7282"/>
        <item t="data" sd="1" m="1" x="7237"/>
        <item t="data" sd="1" m="1" x="7275"/>
        <item t="data" sd="1" m="1" x="7278"/>
        <item t="data" sd="1" m="1" x="7277"/>
        <item t="data" sd="1" m="1" x="7308"/>
        <item t="data" sd="1" m="1" x="7309"/>
        <item t="data" sd="1" m="1" x="7310"/>
        <item t="data" sd="1" m="1" x="7311"/>
        <item t="data" sd="1" m="1" x="7312"/>
        <item t="data" sd="1" m="1" x="7313"/>
        <item t="data" sd="1" m="1" x="7314"/>
        <item t="data" sd="1" m="1" x="7315"/>
        <item t="data" sd="1" m="1" x="7316"/>
        <item t="data" sd="1" m="1" x="7317"/>
        <item t="data" sd="1" m="1" x="7306"/>
        <item t="data" sd="1" m="1" x="7307"/>
        <item t="data" sd="1" m="1" x="7240"/>
        <item t="data" sd="1" m="1" x="7241"/>
        <item t="data" sd="1" m="1" x="7242"/>
        <item t="data" sd="1" m="1" x="7243"/>
        <item t="data" sd="1" m="1" x="7244"/>
        <item t="data" sd="1" m="1" x="7245"/>
        <item t="data" sd="1" m="1" x="7318"/>
        <item t="data" sd="1" m="1" x="7319"/>
        <item t="data" sd="1" m="1" x="7320"/>
        <item t="data" sd="1" m="1" x="7321"/>
        <item t="data" sd="1" m="1" x="7322"/>
        <item t="data" sd="1" m="1" x="7323"/>
        <item t="data" sd="1" m="1" x="7324"/>
        <item t="data" sd="1" m="1" x="7239"/>
        <item t="data" sd="1" m="1" x="7263"/>
        <item t="data" sd="1" m="1" x="7262"/>
        <item t="data" sd="1" m="1" x="7246"/>
        <item t="data" sd="1" m="1" x="7247"/>
        <item t="data" sd="1" m="1" x="7248"/>
        <item t="data" sd="1" m="1" x="7252"/>
        <item t="data" sd="1" m="1" x="7253"/>
        <item t="data" sd="1" m="1" x="7254"/>
        <item t="data" sd="1" m="1" x="7255"/>
        <item t="data" sd="1" m="1" x="7256"/>
        <item t="data" sd="1" m="1" x="7257"/>
        <item t="data" sd="1" m="1" x="7258"/>
        <item t="data" sd="1" m="1" x="7259"/>
        <item t="data" sd="1" m="1" x="7260"/>
        <item t="data" sd="1" m="1" x="7261"/>
        <item t="data" sd="1" m="1" x="7296"/>
        <item t="data" sd="1" m="1" x="7297"/>
        <item t="data" sd="1" m="1" x="7298"/>
        <item t="data" sd="1" m="1" x="7299"/>
        <item t="data" sd="1" m="1" x="7300"/>
        <item t="data" sd="1" m="1" x="7301"/>
        <item t="data" sd="1" m="1" x="7302"/>
        <item t="data" sd="1" m="1" x="7303"/>
        <item t="data" sd="1" m="1" x="7304"/>
        <item t="data" sd="1" m="1" x="7305"/>
        <item t="data" sd="1" m="1" x="6823"/>
        <item t="data" sd="1" m="1" x="7655"/>
        <item t="data" sd="1" m="1" x="7656"/>
        <item t="data" sd="1" m="1" x="7659"/>
        <item t="data" sd="1" m="1" x="7660"/>
        <item t="data" sd="1" m="1" x="7661"/>
        <item t="data" sd="1" m="1" x="7662"/>
        <item t="data" sd="1" m="1" x="7663"/>
        <item t="data" sd="1" m="1" x="7664"/>
        <item t="data" sd="1" m="1" x="7665"/>
        <item t="data" sd="1" m="1" x="7666"/>
        <item t="data" sd="1" m="1" x="7667"/>
        <item t="data" sd="1" m="1" x="7668"/>
        <item t="data" sd="1" m="1" x="7669"/>
        <item t="data" sd="1" m="1" x="7670"/>
        <item t="data" sd="1" m="1" x="7671"/>
        <item t="data" sd="1" m="1" x="7672"/>
        <item t="data" sd="1" m="1" x="7673"/>
        <item t="data" sd="1" m="1" x="7674"/>
        <item t="data" sd="1" m="1" x="7675"/>
        <item t="data" sd="1" m="1" x="7679"/>
        <item t="data" sd="1" m="1" x="3815"/>
        <item t="data" sd="1" m="1" x="7684"/>
        <item t="data" sd="1" m="1" x="7382"/>
        <item t="data" sd="1" m="1" x="7685"/>
        <item t="data" sd="1" m="1" x="7468"/>
        <item t="data" sd="1" m="1" x="3745"/>
        <item t="data" sd="1" m="1" x="7387"/>
        <item t="data" sd="1" m="1" x="6859"/>
        <item t="data" sd="1" m="1" x="6860"/>
        <item t="data" sd="1" m="1" x="6864"/>
        <item t="data" sd="1" m="1" x="6879"/>
        <item t="data" sd="1" m="1" x="6889"/>
        <item t="data" sd="1" m="1" x="4720"/>
        <item t="data" sd="1" m="1" x="6896"/>
        <item t="data" sd="1" m="1" x="6907"/>
        <item t="data" sd="1" m="1" x="7469"/>
        <item t="data" sd="1" m="1" x="7470"/>
        <item t="data" sd="1" m="1" x="7471"/>
        <item t="data" sd="1" m="1" x="7472"/>
        <item t="data" sd="1" m="1" x="7473"/>
        <item t="data" sd="1" m="1" x="7474"/>
        <item t="data" sd="1" m="1" x="7397"/>
        <item t="data" sd="1" m="1" x="6240"/>
        <item t="data" sd="1" m="1" x="6241"/>
        <item t="data" sd="1" m="1" x="7398"/>
        <item t="data" sd="1" m="1" x="7475"/>
        <item t="data" sd="1" m="1" x="6932"/>
        <item t="data" sd="1" m="1" x="6951"/>
        <item t="data" sd="1" m="1" x="6948"/>
        <item t="data" sd="1" m="1" x="6939"/>
        <item t="data" sd="1" m="1" x="6940"/>
        <item t="data" sd="1" m="1" x="6941"/>
        <item t="data" sd="1" m="1" x="6942"/>
        <item t="data" sd="1" m="1" x="5624"/>
        <item t="data" sd="1" m="1" x="6430"/>
        <item t="data" sd="1" m="1" x="6431"/>
        <item t="data" sd="1" m="1" x="7399"/>
        <item t="data" sd="1" m="1" x="6432"/>
        <item t="data" sd="1" m="1" x="6433"/>
        <item t="data" sd="1" m="1" x="6434"/>
        <item t="data" sd="1" m="1" x="6435"/>
        <item t="data" sd="1" m="1" x="7494"/>
        <item t="data" sd="1" m="1" x="6963"/>
        <item t="data" sd="1" m="1" x="6961"/>
        <item t="data" sd="1" m="1" x="7495"/>
        <item t="data" sd="1" m="1" x="7496"/>
        <item t="data" sd="1" m="1" x="6962"/>
        <item t="data" sd="1" m="1" x="5138"/>
        <item t="data" sd="1" m="1" x="6975"/>
        <item t="data" sd="1" m="1" x="6441"/>
        <item t="data" sd="1" m="1" x="6986"/>
        <item t="data" sd="1" m="1" x="6248"/>
        <item t="data" sd="1" m="1" x="6456"/>
        <item t="data" sd="1" m="1" x="1891"/>
        <item t="data" sd="1" m="1" x="1892"/>
        <item t="data" sd="1" m="1" x="6987"/>
        <item t="data" sd="1" m="1" x="6459"/>
        <item t="data" sd="1" m="1" x="6457"/>
        <item t="data" sd="1" m="1" x="6458"/>
        <item t="data" sd="1" m="1" x="6454"/>
        <item t="data" sd="1" m="1" x="4174"/>
        <item t="data" sd="1" m="1" x="6455"/>
        <item t="data" sd="1" m="1" x="6439"/>
        <item t="data" sd="1" m="1" x="6990"/>
        <item t="data" sd="1" m="1" x="6988"/>
        <item t="data" sd="1" m="1" x="7497"/>
        <item t="data" sd="1" m="1" x="7498"/>
        <item t="data" sd="1" m="1" x="7499"/>
        <item t="data" sd="1" m="1" x="7500"/>
        <item t="data" sd="1" m="1" x="7501"/>
        <item t="data" sd="1" m="1" x="7504"/>
        <item t="data" sd="1" m="1" x="7026"/>
        <item t="data" sd="1" m="1" x="7025"/>
        <item t="data" sd="1" m="1" x="6461"/>
        <item t="data" sd="1" m="1" x="1883"/>
        <item t="data" sd="1" m="1" x="6462"/>
        <item t="data" sd="1" m="1" x="7010"/>
        <item t="data" sd="1" m="1" x="7016"/>
        <item t="data" sd="1" m="1" x="7013"/>
        <item t="data" sd="1" m="1" x="7012"/>
        <item t="data" sd="1" m="1" x="7019"/>
        <item t="data" sd="1" m="1" x="7032"/>
        <item t="data" sd="1" m="1" x="7038"/>
        <item t="data" sd="1" m="1" x="7039"/>
        <item t="data" sd="1" m="1" x="7041"/>
        <item t="data" sd="1" m="1" x="7042"/>
        <item t="data" sd="1" m="1" x="7505"/>
        <item t="data" sd="1" m="1" x="2800"/>
        <item t="data" sd="1" m="1" x="7054"/>
        <item t="data" sd="1" m="1" x="7055"/>
        <item t="data" sd="1" m="1" x="7056"/>
        <item t="data" sd="1" m="1" x="7057"/>
        <item t="data" sd="1" m="1" x="7058"/>
        <item t="data" sd="1" m="1" x="7059"/>
        <item t="data" sd="1" m="1" x="7405"/>
        <item t="data" sd="1" m="1" x="6254"/>
        <item t="data" sd="1" m="1" x="7506"/>
        <item t="data" sd="1" m="1" x="7069"/>
        <item t="data" sd="1" m="1" x="7070"/>
        <item t="data" sd="1" m="1" x="7071"/>
        <item t="data" sd="1" m="1" x="7081"/>
        <item t="data" sd="1" m="1" x="6467"/>
        <item t="data" sd="1" m="1" x="7082"/>
        <item t="data" sd="1" m="1" x="7083"/>
        <item t="data" sd="1" m="1" x="7072"/>
        <item t="data" sd="1" m="1" x="7073"/>
        <item t="data" sd="1" m="1" x="7084"/>
        <item t="data" sd="1" m="1" x="7085"/>
        <item t="data" sd="1" m="1" x="7091"/>
        <item t="data" sd="1" m="1" x="6699"/>
        <item t="data" sd="1" m="1" x="7101"/>
        <item t="data" sd="1" m="1" x="7104"/>
        <item t="data" sd="1" m="1" x="7105"/>
        <item t="data" sd="1" m="1" x="7107"/>
        <item t="data" sd="1" m="1" x="7108"/>
        <item t="data" sd="1" m="1" x="7118"/>
        <item t="data" sd="1" m="1" x="5776"/>
        <item t="data" sd="1" m="1" x="5777"/>
        <item t="data" sd="1" m="1" x="5778"/>
        <item t="data" sd="1" m="1" x="7509"/>
        <item t="data" sd="1" m="1" x="7510"/>
        <item t="data" sd="1" m="1" x="7424"/>
        <item t="data" sd="1" m="1" x="7511"/>
        <item t="data" sd="1" m="1" x="7426"/>
        <item t="data" sd="1" m="1" x="7512"/>
        <item t="data" sd="1" m="1" x="7425"/>
        <item t="data" sd="1" m="1" x="6084"/>
        <item t="data" sd="1" m="1" x="7429"/>
        <item t="data" sd="1" m="1" x="7202"/>
        <item t="data" sd="1" m="1" x="7201"/>
        <item t="data" sd="1" m="1" x="7203"/>
        <item t="data" sd="1" m="1" x="6730"/>
        <item t="data" sd="1" m="1" x="7515"/>
        <item t="data" sd="1" m="1" x="7516"/>
        <item t="data" sd="1" m="1" x="7431"/>
        <item t="data" sd="1" m="1" x="7186"/>
        <item t="data" sd="1" m="1" x="7187"/>
        <item t="data" sd="1" m="1" x="7517"/>
        <item t="data" sd="1" m="1" x="7518"/>
        <item t="data" sd="1" m="1" x="7519"/>
        <item t="data" sd="1" m="1" x="7189"/>
        <item t="data" sd="1" m="1" x="7520"/>
        <item t="data" sd="1" m="1" x="7521"/>
        <item t="data" sd="1" m="1" x="7522"/>
        <item t="data" sd="1" m="1" x="7158"/>
        <item t="data" sd="1" m="1" x="7523"/>
        <item t="data" sd="1" m="1" x="7524"/>
        <item t="data" sd="1" m="1" x="7525"/>
        <item t="data" sd="1" m="1" x="7526"/>
        <item t="data" sd="1" m="1" x="7527"/>
        <item t="data" sd="1" m="1" x="7528"/>
        <item t="data" sd="1" m="1" x="7529"/>
        <item t="data" sd="1" m="1" x="7530"/>
        <item t="data" sd="1" m="1" x="7531"/>
        <item t="data" sd="1" m="1" x="7532"/>
        <item t="data" sd="1" m="1" x="7533"/>
        <item t="data" sd="1" m="1" x="7534"/>
        <item t="data" sd="1" m="1" x="7535"/>
        <item t="data" sd="1" m="1" x="7131"/>
        <item t="data" sd="1" m="1" x="7536"/>
        <item t="data" sd="1" m="1" x="6758"/>
        <item t="data" sd="1" m="1" x="7537"/>
        <item t="data" sd="1" m="1" x="7538"/>
        <item t="data" sd="1" m="1" x="7175"/>
        <item t="data" sd="1" m="1" x="7539"/>
        <item t="data" sd="1" m="1" x="7177"/>
        <item t="data" sd="1" m="1" x="6741"/>
        <item t="data" sd="1" m="1" x="6742"/>
        <item t="data" sd="1" m="1" x="7221"/>
        <item t="data" sd="1" m="1" x="7220"/>
        <item t="data" sd="1" m="1" x="7541"/>
        <item t="data" sd="1" m="1" x="7542"/>
        <item t="data" sd="1" m="1" x="6793"/>
        <item t="data" sd="1" m="1" x="6792"/>
        <item t="data" sd="1" m="1" x="6794"/>
        <item t="data" sd="1" m="1" x="7227"/>
        <item t="data" sd="1" m="1" x="7325"/>
        <item t="data" sd="1" m="1" x="7292"/>
        <item t="data" sd="1" m="1" x="7293"/>
        <item t="data" sd="1" m="1" x="7295"/>
        <item t="data" sd="1" m="1" x="7294"/>
        <item t="data" sd="1" m="1" x="7283"/>
        <item t="data" sd="1" m="1" x="7290"/>
        <item t="data" sd="1" m="1" x="7291"/>
        <item t="data" sd="1" m="1" x="7285"/>
        <item t="data" sd="1" m="1" x="7286"/>
        <item t="data" sd="1" m="1" x="7287"/>
        <item t="data" sd="1" m="1" x="7288"/>
        <item t="data" sd="1" m="1" x="7328"/>
        <item t="data" sd="1" m="1" x="7333"/>
        <item t="data" sd="1" m="1" x="7329"/>
        <item t="data" sd="1" m="1" x="7330"/>
        <item t="data" sd="1" m="1" x="7331"/>
        <item t="data" sd="1" m="1" x="7332"/>
        <item t="data" sd="1" m="1" x="7284"/>
        <item t="data" sd="1" m="1" x="7289"/>
        <item t="data" sd="1" m="1" x="7327"/>
        <item t="data" sd="1" m="1" x="7543"/>
        <item t="data" sd="1" m="1" x="3788"/>
        <item t="data" sd="1" m="1" x="6826"/>
        <item t="data" sd="1" m="1" x="7544"/>
        <item t="data" sd="1" m="1" x="6829"/>
        <item t="data" sd="1" m="1" x="7545"/>
        <item t="data" sd="1" m="1" x="7546"/>
        <item t="data" sd="1" m="1" x="7547"/>
        <item t="data" sd="1" m="1" x="7548"/>
        <item t="data" sd="1" m="1" x="7549"/>
        <item t="data" sd="1" m="1" x="7550"/>
        <item t="data" sd="1" m="1" x="7551"/>
        <item t="data" sd="1" m="1" x="7552"/>
        <item t="data" sd="1" m="1" x="7553"/>
        <item t="data" sd="1" m="1" x="7554"/>
        <item t="data" sd="1" m="1" x="7555"/>
        <item t="data" sd="1" m="1" x="7556"/>
        <item t="data" sd="1" m="1" x="7557"/>
        <item t="data" sd="1" m="1" x="6834"/>
        <item t="data" sd="1" m="1" x="5217"/>
        <item t="data" sd="1" m="1" x="7386"/>
        <item t="data" sd="1" m="1" x="3741"/>
        <item t="data" sd="1" m="1" x="6868"/>
        <item t="data" sd="1" m="1" x="6874"/>
        <item t="data" sd="1" m="1" x="6875"/>
        <item t="data" sd="1" m="1" x="6865"/>
        <item t="data" sd="1" m="1" x="6866"/>
        <item t="data" sd="1" m="1" x="6867"/>
        <item t="data" sd="1" m="1" x="6885"/>
        <item t="data" sd="1" m="1" x="6886"/>
        <item t="data" sd="1" m="1" x="6880"/>
        <item t="data" sd="1" m="1" x="6888"/>
        <item t="data" sd="1" m="1" x="6890"/>
        <item t="data" sd="1" m="1" x="6905"/>
        <item t="data" sd="1" m="1" x="6895"/>
        <item t="data" sd="1" m="1" x="3705"/>
        <item t="data" sd="1" m="1" x="6917"/>
        <item t="data" sd="1" m="1" x="5625"/>
        <item t="data" sd="1" m="1" x="6954"/>
        <item t="data" sd="1" m="1" x="4094"/>
        <item t="data" sd="1" m="1" x="6958"/>
        <item t="data" sd="1" m="1" x="5630"/>
        <item t="data" sd="1" m="1" x="6977"/>
        <item t="data" sd="1" m="1" x="1890"/>
        <item t="data" sd="1" m="1" x="1889"/>
        <item t="data" sd="1" m="1" x="6440"/>
        <item t="data" sd="1" m="1" x="6246"/>
        <item t="data" sd="1" m="1" x="6247"/>
        <item t="data" sd="1" m="1" x="6447"/>
        <item t="data" sd="1" m="1" x="4166"/>
        <item t="data" sd="1" m="1" x="6442"/>
        <item t="data" sd="1" m="1" x="6989"/>
        <item t="data" sd="1" m="1" x="4548"/>
        <item t="data" sd="1" m="1" x="6460"/>
        <item t="data" sd="1" m="1" x="6694"/>
        <item t="data" sd="1" m="1" x="2472"/>
        <item t="data" sd="1" m="1" x="6438"/>
        <item t="data" sd="1" m="1" x="6436"/>
        <item t="data" sd="1" m="1" x="5137"/>
        <item t="data" sd="1" m="1" x="6960"/>
        <item t="data" sd="1" m="1" x="7029"/>
        <item t="data" sd="1" m="1" x="7030"/>
        <item t="data" sd="1" m="1" x="7031"/>
        <item t="data" sd="1" m="1" x="6463"/>
        <item t="data" sd="1" m="1" x="7011"/>
        <item t="data" sd="1" m="1" x="7034"/>
        <item t="data" sd="1" m="1" x="7035"/>
        <item t="data" sd="1" m="1" x="7044"/>
        <item t="data" sd="1" m="1" x="7040"/>
        <item t="data" sd="1" m="1" x="7046"/>
        <item t="data" sd="1" m="1" x="7048"/>
        <item t="data" sd="1" m="1" x="6253"/>
        <item t="data" sd="1" m="1" x="7049"/>
        <item t="data" sd="1" m="1" x="5685"/>
        <item t="data" sd="1" m="1" x="7097"/>
        <item t="data" sd="1" m="1" x="6466"/>
        <item t="data" sd="1" m="1" x="7087"/>
        <item t="data" sd="1" m="1" x="7088"/>
        <item t="data" sd="1" m="1" x="7080"/>
        <item t="data" sd="1" m="1" x="7076"/>
        <item t="data" sd="1" m="1" x="6468"/>
        <item t="data" sd="1" m="1" x="7112"/>
        <item t="data" sd="1" m="1" x="7115"/>
        <item t="data" sd="1" m="1" x="7117"/>
        <item t="data" sd="1" m="1" x="7111"/>
        <item t="data" sd="1" m="1" x="7100"/>
        <item t="data" sd="1" m="1" x="7119"/>
        <item t="data" sd="1" m="1" x="7422"/>
        <item t="data" sd="1" m="1" x="7423"/>
        <item t="data" sd="1" m="1" x="7427"/>
        <item t="data" sd="1" m="1" x="7428"/>
        <item t="data" sd="1" m="1" x="6719"/>
        <item t="data" sd="1" m="1" x="7430"/>
        <item t="data" sd="1" m="1" x="7433"/>
        <item t="data" sd="1" m="1" x="7435"/>
        <item t="data" sd="1" m="1" x="7436"/>
        <item t="data" sd="1" m="1" x="7437"/>
        <item t="data" sd="1" m="1" x="7438"/>
        <item t="data" sd="1" m="1" x="7439"/>
        <item t="data" sd="1" m="1" x="7440"/>
        <item t="data" sd="1" m="1" x="7441"/>
        <item t="data" sd="1" m="1" x="7442"/>
        <item t="data" sd="1" m="1" x="7443"/>
        <item t="data" sd="1" m="1" x="7144"/>
        <item t="data" sd="1" m="1" x="7445"/>
        <item t="data" sd="1" m="1" x="7446"/>
        <item t="data" sd="1" m="1" x="7447"/>
        <item t="data" sd="1" m="1" x="7448"/>
        <item t="data" sd="1" m="1" x="7449"/>
        <item t="data" sd="1" m="1" x="6757"/>
        <item t="data" sd="1" m="1" x="7450"/>
        <item t="data" sd="1" m="1" x="6788"/>
        <item t="data" sd="1" m="1" x="6791"/>
        <item t="data" sd="1" m="1" x="7454"/>
        <item t="data" sd="1" m="1" x="7349"/>
        <item t="data" sd="1" m="1" x="7455"/>
        <item t="data" sd="1" m="1" x="7456"/>
        <item t="data" sd="1" m="1" x="7457"/>
        <item t="data" sd="1" m="1" x="7458"/>
        <item t="data" sd="1" m="1" x="7460"/>
        <item t="data" sd="1" m="1" x="7461"/>
        <item t="data" sd="1" m="1" x="7462"/>
        <item t="data" sd="1" m="1" x="7463"/>
        <item t="data" sd="1" m="1" x="7464"/>
        <item t="data" sd="1" m="1" x="7465"/>
        <item t="data" sd="1" m="1" x="7364"/>
        <item t="data" sd="1" m="1" x="7466"/>
        <item t="data" sd="1" m="1" x="7467"/>
        <item t="data" sd="1" m="1" x="3982"/>
        <item t="data" sd="1" m="1" x="6847"/>
        <item t="data" sd="1" m="1" x="6856"/>
        <item t="data" sd="1" m="1" x="6236"/>
        <item t="data" sd="1" m="1" x="6861"/>
        <item t="data" sd="1" m="1" x="6862"/>
        <item t="data" sd="1" m="1" x="6863"/>
        <item t="data" sd="1" m="1" x="6869"/>
        <item t="data" sd="1" m="1" x="6870"/>
        <item t="data" sd="1" m="1" x="6872"/>
        <item t="data" sd="1" m="1" x="6873"/>
        <item t="data" sd="1" m="1" x="4646"/>
        <item t="data" sd="1" m="1" x="4647"/>
        <item t="data" sd="1" m="1" x="6160"/>
        <item t="data" sd="1" m="1" x="6878"/>
        <item t="data" sd="1" m="1" x="6881"/>
        <item t="data" sd="1" m="1" x="6882"/>
        <item t="data" sd="1" m="1" x="6883"/>
        <item t="data" sd="1" m="1" x="6884"/>
        <item t="data" sd="1" m="1" x="6475"/>
        <item t="data" sd="1" m="1" x="6893"/>
        <item t="data" sd="1" m="1" x="6903"/>
        <item t="data" sd="1" m="1" x="6904"/>
        <item t="data" sd="1" m="1" x="6906"/>
        <item t="data" sd="1" m="1" x="6908"/>
        <item t="data" sd="1" m="1" x="6909"/>
        <item t="data" sd="1" m="1" x="6910"/>
        <item t="data" sd="1" m="1" x="6911"/>
        <item t="data" sd="1" m="1" x="6912"/>
        <item t="data" sd="1" m="1" x="6913"/>
        <item t="data" sd="1" m="1" x="6914"/>
        <item t="data" sd="1" m="1" x="5629"/>
        <item t="data" sd="1" m="1" x="6915"/>
        <item t="data" sd="1" m="1" x="6916"/>
        <item t="data" sd="1" m="1" x="6678"/>
        <item t="data" sd="1" m="1" x="6919"/>
        <item t="data" sd="1" m="1" x="6920"/>
        <item t="data" sd="1" m="1" x="6921"/>
        <item t="data" sd="1" m="1" x="6922"/>
        <item t="data" sd="1" m="1" x="6923"/>
        <item t="data" sd="1" m="1" x="6924"/>
        <item t="data" sd="1" m="1" x="6925"/>
        <item t="data" sd="1" m="1" x="6926"/>
        <item t="data" sd="1" m="1" x="6930"/>
        <item t="data" sd="1" m="1" x="6931"/>
        <item t="data" sd="1" m="1" x="6934"/>
        <item t="data" sd="1" m="1" x="5296"/>
        <item t="data" sd="1" m="1" x="6938"/>
        <item t="data" sd="1" m="1" x="6476"/>
        <item t="data" sd="1" m="1" x="6947"/>
        <item t="data" sd="1" m="1" x="6952"/>
        <item t="data" sd="1" m="1" x="6477"/>
        <item t="data" sd="1" m="1" x="6242"/>
        <item t="data" sd="1" m="1" x="6691"/>
        <item t="data" sd="1" m="1" x="6682"/>
        <item t="data" sd="1" m="1" x="6437"/>
        <item t="data" sd="1" m="1" x="6965"/>
        <item t="data" sd="1" m="1" x="6966"/>
        <item t="data" sd="1" m="1" x="6429"/>
        <item t="data" sd="1" m="1" x="4831"/>
        <item t="data" sd="1" m="1" x="6976"/>
        <item t="data" sd="1" m="1" x="6444"/>
        <item t="data" sd="1" m="1" x="6481"/>
        <item t="data" sd="1" m="1" x="6443"/>
        <item t="data" sd="1" m="1" x="6445"/>
        <item t="data" sd="1" m="1" x="6446"/>
        <item t="data" sd="1" m="1" x="4171"/>
        <item t="data" sd="1" m="1" x="4172"/>
        <item t="data" sd="1" m="1" x="4173"/>
        <item t="data" sd="1" m="1" x="6448"/>
        <item t="data" sd="1" m="1" x="6449"/>
        <item t="data" sd="1" m="1" x="6482"/>
        <item t="data" sd="1" m="1" x="6483"/>
        <item t="data" sd="1" m="1" x="6250"/>
        <item t="data" sd="1" m="1" x="1888"/>
        <item t="data" sd="1" m="1" x="6249"/>
        <item t="data" sd="1" m="1" x="6692"/>
        <item t="data" sd="1" m="1" x="6693"/>
        <item t="data" sd="1" m="1" x="4827"/>
        <item t="data" sd="1" m="1" x="7001"/>
        <item t="data" sd="1" m="1" x="7006"/>
        <item t="data" sd="1" m="1" x="7008"/>
        <item t="data" sd="1" m="1" x="7009"/>
        <item t="data" sd="1" m="1" x="7015"/>
        <item t="data" sd="1" m="1" x="7017"/>
        <item t="data" sd="1" m="1" x="7027"/>
        <item t="data" sd="1" m="1" x="7028"/>
        <item t="data" sd="1" m="1" x="7047"/>
        <item t="data" sd="1" m="1" x="7050"/>
        <item t="data" sd="1" m="1" x="5681"/>
        <item t="data" sd="1" m="1" x="5682"/>
        <item t="data" sd="1" m="1" x="5684"/>
        <item t="data" sd="1" m="1" x="5688"/>
        <item t="data" sd="1" m="1" x="7061"/>
        <item t="data" sd="1" m="1" x="5775"/>
        <item t="data" sd="1" m="1" x="7063"/>
        <item t="data" sd="1" m="1" x="5689"/>
        <item t="data" sd="1" m="1" x="1887"/>
        <item t="data" sd="1" m="1" x="7077"/>
        <item t="data" sd="1" m="1" x="7078"/>
        <item t="data" sd="1" m="1" x="7086"/>
        <item t="data" sd="1" m="1" x="1918"/>
        <item t="data" sd="1" m="1" x="7096"/>
        <item t="data" sd="1" m="1" x="1893"/>
        <item t="data" sd="1" m="1" x="1895"/>
        <item t="data" sd="1" m="1" x="1896"/>
        <item t="data" sd="1" m="1" x="1897"/>
        <item t="data" sd="1" m="1" x="1898"/>
        <item t="data" sd="1" m="1" x="1899"/>
        <item t="data" sd="1" m="1" x="1900"/>
        <item t="data" sd="1" m="1" x="1901"/>
        <item t="data" sd="1" m="1" x="1902"/>
        <item t="data" sd="1" m="1" x="1903"/>
        <item t="data" sd="1" m="1" x="1904"/>
        <item t="data" sd="1" m="1" x="1905"/>
        <item t="data" sd="1" m="1" x="1906"/>
        <item t="data" sd="1" m="1" x="7098"/>
        <item t="data" sd="1" m="1" x="7099"/>
        <item t="data" sd="1" m="1" x="6078"/>
        <item t="data" sd="1" m="1" x="6079"/>
        <item t="data" sd="1" m="1" x="6080"/>
        <item t="data" sd="1" m="1" x="6081"/>
        <item t="data" sd="1" m="1" x="6082"/>
        <item t="data" sd="1" m="1" x="6083"/>
        <item t="data" sd="1" m="1" x="1894"/>
        <item t="data" sd="1" m="1" x="4294"/>
        <item t="data" sd="1" m="1" x="7103"/>
        <item t="data" sd="1" m="1" x="7109"/>
        <item t="data" sd="1" m="1" x="7110"/>
        <item t="data" sd="1" m="1" x="7116"/>
        <item t="data" sd="1" m="1" x="7120"/>
        <item t="data" sd="1" m="1" x="7123"/>
        <item t="data" sd="1" m="1" x="7124"/>
        <item t="data" sd="1" m="1" x="6500"/>
        <item t="data" sd="1" m="1" x="6502"/>
        <item t="data" sd="1" m="1" x="6498"/>
        <item t="data" sd="1" m="1" x="6497"/>
        <item t="data" sd="1" m="1" x="6501"/>
        <item t="data" sd="1" m="1" x="6499"/>
        <item t="data" sd="1" m="1" x="7125"/>
        <item t="data" sd="1" m="1" x="7126"/>
        <item t="data" sd="1" m="1" x="7129"/>
        <item t="data" sd="1" m="1" x="7130"/>
        <item t="data" sd="1" m="1" x="7132"/>
        <item t="data" sd="1" m="1" x="7133"/>
        <item t="data" sd="1" m="1" x="7134"/>
        <item t="data" sd="1" m="1" x="6755"/>
        <item t="data" sd="1" m="1" x="7135"/>
        <item t="data" sd="1" m="1" x="7136"/>
        <item t="data" sd="1" m="1" x="7137"/>
        <item t="data" sd="1" m="1" x="7138"/>
        <item t="data" sd="1" m="1" x="7139"/>
        <item t="data" sd="1" m="1" x="7140"/>
        <item t="data" sd="1" m="1" x="7141"/>
        <item t="data" sd="1" m="1" x="7143"/>
        <item t="data" sd="1" m="1" x="7145"/>
        <item t="data" sd="1" m="1" x="7147"/>
        <item t="data" sd="1" m="1" x="7148"/>
        <item t="data" sd="1" m="1" x="7149"/>
        <item t="data" sd="1" m="1" x="7150"/>
        <item t="data" sd="1" m="1" x="7151"/>
        <item t="data" sd="1" m="1" x="7152"/>
        <item t="data" sd="1" m="1" x="6763"/>
        <item t="data" sd="1" m="1" x="6511"/>
        <item t="data" sd="1" m="1" x="7156"/>
        <item t="data" sd="1" m="1" x="7157"/>
        <item t="data" sd="1" m="1" x="7159"/>
        <item t="data" sd="1" m="1" x="7160"/>
        <item t="data" sd="1" m="1" x="7162"/>
        <item t="data" sd="1" m="1" x="7163"/>
        <item t="data" sd="1" m="1" x="6510"/>
        <item t="data" sd="1" m="1" x="7164"/>
        <item t="data" sd="1" m="1" x="6512"/>
        <item t="data" sd="1" m="1" x="7165"/>
        <item t="data" sd="1" m="1" x="7169"/>
        <item t="data" sd="1" m="1" x="7171"/>
        <item t="data" sd="1" m="1" x="7172"/>
        <item t="data" sd="1" m="1" x="7173"/>
        <item t="data" sd="1" m="1" x="7174"/>
        <item t="data" sd="1" m="1" x="6781"/>
        <item t="data" sd="1" m="1" x="5780"/>
        <item t="data" sd="1" m="1" x="7181"/>
        <item t="data" sd="1" m="1" x="7182"/>
        <item t="data" sd="1" m="1" x="7183"/>
        <item t="data" sd="1" m="1" x="7184"/>
        <item t="data" sd="1" m="1" x="7185"/>
        <item t="data" sd="1" m="1" x="7192"/>
        <item t="data" sd="1" m="1" x="7195"/>
        <item t="data" sd="1" m="1" x="7196"/>
        <item t="data" sd="1" m="1" x="6767"/>
        <item t="data" sd="1" m="1" x="7197"/>
        <item t="data" sd="1" m="1" x="7198"/>
        <item t="data" sd="1" m="1" x="7199"/>
        <item t="data" sd="1" m="1" x="7200"/>
        <item t="data" sd="1" m="1" x="7204"/>
        <item t="data" sd="1" m="1" x="7205"/>
        <item t="data" sd="1" m="1" x="7206"/>
        <item t="data" sd="1" m="1" x="7207"/>
        <item t="data" sd="1" m="1" x="7208"/>
        <item t="data" sd="1" m="1" x="7209"/>
        <item t="data" sd="1" m="1" x="7210"/>
        <item t="data" sd="1" m="1" x="6740"/>
        <item t="data" sd="1" m="1" x="6732"/>
        <item t="data" sd="1" m="1" x="7214"/>
        <item t="data" sd="1" m="1" x="7215"/>
        <item t="data" sd="1" m="1" x="7216"/>
        <item t="data" sd="1" m="1" x="6744"/>
        <item t="data" sd="1" m="1" x="7217"/>
        <item t="data" sd="1" m="1" x="7219"/>
        <item t="data" sd="1" m="1" x="6762"/>
        <item t="data" sd="1" m="1" x="6784"/>
        <item t="data" sd="1" m="1" x="6789"/>
        <item t="data" sd="1" m="1" x="7222"/>
        <item t="data" sd="1" m="1" x="7223"/>
        <item t="data" sd="1" m="1" x="6787"/>
        <item t="data" sd="1" m="1" x="7224"/>
        <item t="data" sd="1" m="1" x="6519"/>
        <item t="data" sd="1" m="1" x="6518"/>
        <item t="data" sd="1" m="1" x="6799"/>
        <item t="data" sd="1" m="1" x="7228"/>
        <item t="data" sd="1" m="1" x="6804"/>
        <item t="data" sd="1" m="1" x="7230"/>
        <item t="data" sd="1" m="1" x="7334"/>
        <item t="data" sd="1" m="1" x="7335"/>
        <item t="data" sd="1" m="1" x="7336"/>
        <item t="data" sd="1" m="1" x="7337"/>
        <item t="data" sd="1" m="1" x="7338"/>
        <item t="data" sd="1" m="1" x="7339"/>
        <item t="data" sd="1" m="1" x="7340"/>
        <item t="data" sd="1" m="1" x="7341"/>
        <item t="data" sd="1" m="1" x="7342"/>
        <item t="data" sd="1" m="1" x="7343"/>
        <item t="data" sd="1" m="1" x="6524"/>
        <item t="data" sd="1" m="1" x="6824"/>
        <item t="data" sd="1" m="1" x="6825"/>
        <item t="data" sd="1" m="1" x="7350"/>
        <item t="data" sd="1" m="1" x="6831"/>
        <item t="data" sd="1" m="1" x="5781"/>
        <item t="data" sd="1" m="1" x="7351"/>
        <item t="data" sd="1" m="1" x="7352"/>
        <item t="data" sd="1" m="1" x="7353"/>
        <item t="data" sd="1" m="1" x="7354"/>
        <item t="data" sd="1" m="1" x="7355"/>
        <item t="data" sd="1" m="1" x="7356"/>
        <item t="data" sd="1" m="1" x="7357"/>
        <item t="data" sd="1" m="1" x="7358"/>
        <item t="data" sd="1" m="1" x="7359"/>
        <item t="data" sd="1" m="1" x="7360"/>
        <item t="data" sd="1" m="1" x="7361"/>
        <item t="data" sd="1" m="1" x="7362"/>
        <item t="data" sd="1" m="1" x="7366"/>
        <item t="data" sd="1" m="1" x="6833"/>
        <item t="data" sd="1" m="1" x="6835"/>
        <item t="data" sd="1" m="1" x="7372"/>
        <item t="data" sd="1" m="1" x="6839"/>
        <item t="data" sd="1" m="1" x="7378"/>
        <item t="data" sd="1" m="1" x="7380"/>
        <item t="data" sd="1" m="1" x="7383"/>
        <item t="data" sd="1" m="1" x="6848"/>
        <item t="data" sd="1" m="1" x="6849"/>
        <item t="data" sd="1" m="1" x="4110"/>
        <item t="data" sd="1" m="1" x="4111"/>
        <item t="data" sd="1" m="1" x="4112"/>
        <item t="data" sd="1" m="1" x="4113"/>
        <item t="data" sd="1" m="1" x="1919"/>
        <item t="data" sd="1" m="1" x="6472"/>
        <item t="data" sd="1" m="1" x="5608"/>
        <item t="data" sd="1" m="1" x="6266"/>
        <item t="data" sd="1" m="1" x="6267"/>
        <item t="data" sd="1" m="1" x="6674"/>
        <item t="data" sd="1" m="1" x="6474"/>
        <item t="data" sd="1" m="1" x="6271"/>
        <item t="data" sd="1" m="1" x="6238"/>
        <item t="data" sd="1" m="1" x="6239"/>
        <item t="data" sd="1" m="1" x="6675"/>
        <item t="data" sd="1" m="1" x="6676"/>
        <item t="data" sd="1" m="1" x="6679"/>
        <item t="data" sd="1" m="1" x="6292"/>
        <item t="data" sd="1" m="1" x="4234"/>
        <item t="data" sd="1" m="1" x="4231"/>
        <item t="data" sd="1" m="1" x="4412"/>
        <item t="data" sd="1" m="1" x="4232"/>
        <item t="data" sd="1" m="1" x="6683"/>
        <item t="data" sd="1" m="1" x="6684"/>
        <item t="data" sd="1" m="1" x="6685"/>
        <item t="data" sd="1" m="1" x="6686"/>
        <item t="data" sd="1" m="1" x="6243"/>
        <item t="data" sd="1" m="1" x="4222"/>
        <item t="data" sd="1" m="1" x="6689"/>
        <item t="data" sd="1" m="1" x="6690"/>
        <item t="data" sd="1" m="1" x="5772"/>
        <item t="data" sd="1" m="1" x="4316"/>
        <item t="data" sd="1" m="1" x="6244"/>
        <item t="data" sd="1" m="1" x="6245"/>
        <item t="data" sd="1" m="1" x="6303"/>
        <item t="data" sd="1" m="1" x="6304"/>
        <item t="data" sd="1" m="1" x="6484"/>
        <item t="data" sd="1" m="1" x="6486"/>
        <item t="data" sd="1" m="1" x="6485"/>
        <item t="data" sd="1" m="1" x="6487"/>
        <item t="data" sd="1" m="1" x="6312"/>
        <item t="data" sd="1" m="1" x="6252"/>
        <item t="data" sd="1" m="1" x="6251"/>
        <item t="data" sd="1" m="1" x="1913"/>
        <item t="data" sd="1" m="1" x="1914"/>
        <item t="data" sd="1" m="1" x="1915"/>
        <item t="data" sd="1" m="1" x="6696"/>
        <item t="data" sd="1" m="1" x="1916"/>
        <item t="data" sd="1" m="1" x="1917"/>
        <item t="data" sd="1" m="1" x="6698"/>
        <item t="data" sd="1" m="1" x="6489"/>
        <item t="data" sd="1" m="1" x="5708"/>
        <item t="data" sd="1" m="1" x="5709"/>
        <item t="data" sd="1" m="1" x="5710"/>
        <item t="data" sd="1" m="1" x="6255"/>
        <item t="data" sd="1" m="1" x="4469"/>
        <item t="data" sd="1" m="1" x="6260"/>
        <item t="data" sd="1" m="1" x="6256"/>
        <item t="data" sd="1" m="1" x="6257"/>
        <item t="data" sd="1" m="1" x="6258"/>
        <item t="data" sd="1" m="1" x="6259"/>
        <item t="data" sd="1" m="1" x="6322"/>
        <item t="data" sd="1" m="1" x="6319"/>
        <item t="data" sd="1" m="1" x="6320"/>
        <item t="data" sd="1" m="1" x="1907"/>
        <item t="data" sd="1" m="1" x="6490"/>
        <item t="data" sd="1" m="1" x="6491"/>
        <item t="data" sd="1" m="1" x="6326"/>
        <item t="data" sd="1" m="1" x="6701"/>
        <item t="data" sd="1" m="1" x="6702"/>
        <item t="data" sd="1" m="1" x="6704"/>
        <item t="data" sd="1" m="1" x="6706"/>
        <item t="data" sd="1" m="1" x="6707"/>
        <item t="data" sd="1" m="1" x="6708"/>
        <item t="data" sd="1" m="1" x="6709"/>
        <item t="data" sd="1" m="1" x="6710"/>
        <item t="data" sd="1" m="1" x="6711"/>
        <item t="data" sd="1" m="1" x="6712"/>
        <item t="data" sd="1" m="1" x="6713"/>
        <item t="data" sd="1" m="1" x="3787"/>
        <item t="data" sd="1" m="1" x="6493"/>
        <item t="data" sd="1" m="1" x="5328"/>
        <item t="data" sd="1" m="1" x="5329"/>
        <item t="data" sd="1" m="1" x="5330"/>
        <item t="data" sd="1" m="1" x="6721"/>
        <item t="data" sd="1" m="1" x="6723"/>
        <item t="data" sd="1" m="1" x="6725"/>
        <item t="data" sd="1" m="1" x="6726"/>
        <item t="data" sd="1" m="1" x="6727"/>
        <item t="data" sd="1" m="1" x="6728"/>
        <item t="data" sd="1" m="1" x="6729"/>
        <item t="data" sd="1" m="1" x="6731"/>
        <item t="data" sd="1" m="1" x="6733"/>
        <item t="data" sd="1" m="1" x="6734"/>
        <item t="data" sd="1" m="1" x="6735"/>
        <item t="data" sd="1" m="1" x="6736"/>
        <item t="data" sd="1" m="1" x="6737"/>
        <item t="data" sd="1" m="1" x="6738"/>
        <item t="data" sd="1" m="1" x="6739"/>
        <item t="data" sd="1" m="1" x="6161"/>
        <item t="data" sd="1" m="1" x="6743"/>
        <item t="data" sd="1" m="1" x="6746"/>
        <item t="data" sd="1" m="1" x="6747"/>
        <item t="data" sd="1" m="1" x="6748"/>
        <item t="data" sd="1" m="1" x="6749"/>
        <item t="data" sd="1" m="1" x="6750"/>
        <item t="data" sd="1" m="1" x="6751"/>
        <item t="data" sd="1" m="1" x="6752"/>
        <item t="data" sd="1" m="1" x="6753"/>
        <item t="data" sd="1" m="1" x="6754"/>
        <item t="data" sd="1" m="1" x="6756"/>
        <item t="data" sd="1" m="1" x="6759"/>
        <item t="data" sd="1" m="1" x="6760"/>
        <item t="data" sd="1" m="1" x="6761"/>
        <item t="data" sd="1" m="1" x="6764"/>
        <item t="data" sd="1" m="1" x="6765"/>
        <item t="data" sd="1" m="1" x="6766"/>
        <item t="data" sd="1" m="1" x="6768"/>
        <item t="data" sd="1" m="1" x="6769"/>
        <item t="data" sd="1" m="1" x="6770"/>
        <item t="data" sd="1" m="1" x="6772"/>
        <item t="data" sd="1" m="1" x="6773"/>
        <item t="data" sd="1" m="1" x="6775"/>
        <item t="data" sd="1" m="1" x="6776"/>
        <item t="data" sd="1" m="1" x="6777"/>
        <item t="data" sd="1" m="1" x="6778"/>
        <item t="data" sd="1" m="1" x="6780"/>
        <item t="data" sd="1" m="1" x="6782"/>
        <item t="data" sd="1" m="1" x="6783"/>
        <item t="data" sd="1" m="1" x="6785"/>
        <item t="data" sd="1" m="1" x="6795"/>
        <item t="data" sd="1" m="1" x="6796"/>
        <item t="data" sd="1" m="1" x="6798"/>
        <item t="data" sd="1" m="1" x="6800"/>
        <item t="data" sd="1" m="1" x="6801"/>
        <item t="data" sd="1" m="1" x="6802"/>
        <item t="data" sd="1" m="1" x="6803"/>
        <item t="data" sd="1" m="1" x="6805"/>
        <item t="data" sd="1" m="1" x="6806"/>
        <item t="data" sd="1" m="1" x="6807"/>
        <item t="data" sd="1" m="1" x="6808"/>
        <item t="data" sd="1" m="1" x="6809"/>
        <item t="data" sd="1" m="1" x="6810"/>
        <item t="data" sd="1" m="1" x="6811"/>
        <item t="data" sd="1" m="1" x="6812"/>
        <item t="data" sd="1" m="1" x="6813"/>
        <item t="data" sd="1" m="1" x="6814"/>
        <item t="data" sd="1" m="1" x="6815"/>
        <item t="data" sd="1" m="1" x="6816"/>
        <item t="data" sd="1" m="1" x="6817"/>
        <item t="data" sd="1" m="1" x="6818"/>
        <item t="data" sd="1" m="1" x="6819"/>
        <item t="data" sd="1" m="1" x="6820"/>
        <item t="data" sd="1" m="1" x="6827"/>
        <item t="data" sd="1" m="1" x="6828"/>
        <item t="data" sd="1" m="1" x="6527"/>
        <item t="data" sd="1" m="1" x="6832"/>
        <item t="data" sd="1" m="1" x="5295"/>
        <item t="data" sd="1" m="1" x="6838"/>
        <item t="data" sd="1" m="1" x="6841"/>
        <item t="data" sd="1" m="1" x="4120"/>
        <item t="data" sd="1" m="1" x="6845"/>
        <item t="data" sd="1" m="1" x="1952"/>
        <item t="data" sd="1" m="1" x="6265"/>
        <item t="data" sd="1" m="1" x="6473"/>
        <item t="data" sd="1" m="1" x="6273"/>
        <item t="data" sd="1" m="1" x="6285"/>
        <item t="data" sd="1" m="1" x="6286"/>
        <item t="data" sd="1" m="1" x="5558"/>
        <item t="data" sd="1" m="1" x="2476"/>
        <item t="data" sd="1" m="1" x="6278"/>
        <item t="data" sd="1" m="1" x="6279"/>
        <item t="data" sd="1" m="1" x="5773"/>
        <item t="data" sd="1" m="1" x="5774"/>
        <item t="data" sd="1" m="1" x="4233"/>
        <item t="data" sd="1" m="1" x="4226"/>
        <item t="data" sd="1" m="1" x="4225"/>
        <item t="data" sd="1" m="1" x="4818"/>
        <item t="data" sd="1" m="1" x="4235"/>
        <item t="data" sd="1" m="1" x="4819"/>
        <item t="data" sd="1" m="1" x="4229"/>
        <item t="data" sd="1" m="1" x="4230"/>
        <item t="data" sd="1" m="1" x="6283"/>
        <item t="data" sd="1" m="1" x="5771"/>
        <item t="data" sd="1" m="1" x="4262"/>
        <item t="data" sd="1" m="1" x="6478"/>
        <item t="data" sd="1" m="1" x="6479"/>
        <item t="data" sd="1" m="1" x="6480"/>
        <item t="data" sd="1" m="1" x="4817"/>
        <item t="data" sd="1" m="1" x="4832"/>
        <item t="data" sd="1" m="1" x="6302"/>
        <item t="data" sd="1" m="1" x="2473"/>
        <item t="data" sd="1" m="1" x="4167"/>
        <item t="data" sd="1" m="1" x="1909"/>
        <item t="data" sd="1" m="1" x="1910"/>
        <item t="data" sd="1" m="1" x="1920"/>
        <item t="data" sd="1" m="1" x="6298"/>
        <item t="data" sd="1" m="1" x="6301"/>
        <item t="data" sd="1" m="1" x="1911"/>
        <item t="data" sd="1" m="1" x="6311"/>
        <item t="data" sd="1" m="1" x="6488"/>
        <item t="data" sd="1" m="1" x="6313"/>
        <item t="data" sd="1" m="1" x="6314"/>
        <item t="data" sd="1" m="1" x="2475"/>
        <item t="data" sd="1" m="1" x="1912"/>
        <item t="data" sd="1" m="1" x="1968"/>
        <item t="data" sd="1" m="1" x="1969"/>
        <item t="data" sd="1" m="1" x="1970"/>
        <item t="data" sd="1" m="1" x="1971"/>
        <item t="data" sd="1" m="1" x="6321"/>
        <item t="data" sd="1" m="1" x="1908"/>
        <item t="data" sd="1" m="1" x="6492"/>
        <item t="data" sd="1" m="1" x="6494"/>
        <item t="data" sd="1" m="1" x="6495"/>
        <item t="data" sd="1" m="1" x="6496"/>
        <item t="data" sd="1" m="1" x="4716"/>
        <item t="data" sd="1" m="1" x="6503"/>
        <item t="data" sd="1" m="1" x="6504"/>
        <item t="data" sd="1" m="1" x="6505"/>
        <item t="data" sd="1" m="1" x="6506"/>
        <item t="data" sd="1" m="1" x="6507"/>
        <item t="data" sd="1" m="1" x="6508"/>
        <item t="data" sd="1" m="1" x="6509"/>
        <item t="data" sd="1" m="1" x="6513"/>
        <item t="data" sd="1" m="1" x="6514"/>
        <item t="data" sd="1" m="1" x="6515"/>
        <item t="data" sd="1" m="1" x="6516"/>
        <item t="data" sd="1" m="1" x="6517"/>
        <item t="data" sd="1" m="1" x="6520"/>
        <item t="data" sd="1" m="1" x="6521"/>
        <item t="data" sd="1" m="1" x="6522"/>
        <item t="data" sd="1" m="1" x="6523"/>
        <item t="data" sd="1" m="1" x="5301"/>
        <item t="data" sd="1" m="1" x="6525"/>
        <item t="data" sd="1" m="1" x="6526"/>
        <item t="data" sd="1" m="1" x="6528"/>
        <item t="data" sd="1" m="1" x="6529"/>
        <item t="data" sd="1" m="1" x="6530"/>
        <item t="data" sd="1" m="1" x="6531"/>
        <item t="data" sd="1" m="1" x="6532"/>
        <item t="data" sd="1" m="1" x="6533"/>
        <item t="data" sd="1" m="1" x="6534"/>
        <item t="data" sd="1" m="1" x="6535"/>
        <item t="data" sd="1" m="1" x="6175"/>
        <item t="data" sd="1" m="1" x="6536"/>
        <item t="data" sd="1" m="1" x="5585"/>
        <item t="data" sd="1" m="1" x="5586"/>
        <item t="data" sd="1" m="1" x="6537"/>
        <item t="data" sd="1" m="1" x="6264"/>
        <item t="data" sd="1" m="1" x="6268"/>
        <item t="data" sd="1" m="1" x="6269"/>
        <item t="data" sd="1" m="1" x="6270"/>
        <item t="data" sd="1" m="1" x="1953"/>
        <item t="data" sd="1" m="1" x="6538"/>
        <item t="data" sd="1" m="1" x="4118"/>
        <item t="data" sd="1" m="1" x="6276"/>
        <item t="data" sd="1" m="1" x="6284"/>
        <item t="data" sd="1" m="1" x="6287"/>
        <item t="data" sd="1" m="1" x="6288"/>
        <item t="data" sd="1" m="1" x="4984"/>
        <item t="data" sd="1" m="1" x="6539"/>
        <item t="data" sd="1" m="1" x="5568"/>
        <item t="data" sd="1" m="1" x="6281"/>
        <item t="data" sd="1" m="1" x="5149"/>
        <item t="data" sd="1" m="1" x="6280"/>
        <item t="data" sd="1" m="1" x="6540"/>
        <item t="data" sd="1" m="1" x="4495"/>
        <item t="data" sd="1" m="1" x="6541"/>
        <item t="data" sd="1" m="1" x="5145"/>
        <item t="data" sd="1" m="1" x="6542"/>
        <item t="data" sd="1" m="1" x="5139"/>
        <item t="data" sd="1" m="1" x="6543"/>
        <item t="data" sd="1" m="1" x="6544"/>
        <item t="data" sd="1" m="1" x="6545"/>
        <item t="data" sd="1" m="1" x="4081"/>
        <item t="data" sd="1" m="1" x="6546"/>
        <item t="data" sd="1" m="1" x="6547"/>
        <item t="data" sd="1" m="1" x="6548"/>
        <item t="data" sd="1" m="1" x="6549"/>
        <item t="data" sd="1" m="1" x="6550"/>
        <item t="data" sd="1" m="1" x="6551"/>
        <item t="data" sd="1" m="1" x="6552"/>
        <item t="data" sd="1" m="1" x="6553"/>
        <item t="data" sd="1" m="1" x="6554"/>
        <item t="data" sd="1" m="1" x="6555"/>
        <item t="data" sd="1" m="1" x="6556"/>
        <item t="data" sd="1" m="1" x="5567"/>
        <item t="data" sd="1" m="1" x="1928"/>
        <item t="data" sd="1" m="1" x="1929"/>
        <item t="data" sd="1" m="1" x="1930"/>
        <item t="data" sd="1" m="1" x="5577"/>
        <item t="data" sd="1" m="1" x="5566"/>
        <item t="data" sd="1" m="1" x="4221"/>
        <item t="data" sd="1" m="1" x="6282"/>
        <item t="data" sd="1" m="1" x="6557"/>
        <item t="data" sd="1" m="1" x="6306"/>
        <item t="data" sd="1" m="1" x="6305"/>
        <item t="data" sd="1" m="1" x="6558"/>
        <item t="data" sd="1" m="1" x="6559"/>
        <item t="data" sd="1" m="1" x="4194"/>
        <item t="data" sd="1" m="1" x="4195"/>
        <item t="data" sd="1" m="1" x="4196"/>
        <item t="data" sd="1" m="1" x="4543"/>
        <item t="data" sd="1" m="1" x="6295"/>
        <item t="data" sd="1" m="1" x="4193"/>
        <item t="data" sd="1" m="1" x="6296"/>
        <item t="data" sd="1" m="1" x="6560"/>
        <item t="data" sd="1" m="1" x="6299"/>
        <item t="data" sd="1" m="1" x="1922"/>
        <item t="data" sd="1" m="1" x="6561"/>
        <item t="data" sd="1" m="1" x="6562"/>
        <item t="data" sd="1" m="1" x="6310"/>
        <item t="data" sd="1" m="1" x="6563"/>
        <item t="data" sd="1" m="1" x="4882"/>
        <item t="data" sd="1" m="1" x="4883"/>
        <item t="data" sd="1" m="1" x="4884"/>
        <item t="data" sd="1" m="1" x="4590"/>
        <item t="data" sd="1" m="1" x="6316"/>
        <item t="data" sd="1" m="1" x="6315"/>
        <item t="data" sd="1" m="1" x="1966"/>
        <item t="data" sd="1" m="1" x="6564"/>
        <item t="data" sd="1" m="1" x="6565"/>
        <item t="data" sd="1" m="1" x="6566"/>
        <item t="data" sd="1" m="1" x="6567"/>
        <item t="data" sd="1" m="1" x="1967"/>
        <item t="data" sd="1" m="1" x="6307"/>
        <item t="data" sd="1" m="1" x="5674"/>
        <item t="data" sd="1" m="1" x="6339"/>
        <item t="data" sd="1" m="1" x="6568"/>
        <item t="data" sd="1" m="1" x="6569"/>
        <item t="data" sd="1" m="1" x="6570"/>
        <item t="data" sd="1" m="1" x="4123"/>
        <item t="data" sd="1" m="1" x="6571"/>
        <item t="data" sd="1" m="1" x="6572"/>
        <item t="data" sd="1" m="1" x="6573"/>
        <item t="data" sd="1" m="1" x="6574"/>
        <item t="data" sd="1" m="1" x="6575"/>
        <item t="data" sd="1" m="1" x="6576"/>
        <item t="data" sd="1" m="1" x="6577"/>
        <item t="data" sd="1" m="1" x="6578"/>
        <item t="data" sd="1" m="1" x="6579"/>
        <item t="data" sd="1" m="1" x="6580"/>
        <item t="data" sd="1" m="1" x="6581"/>
        <item t="data" sd="1" m="1" x="6582"/>
        <item t="data" sd="1" m="1" x="6583"/>
        <item t="data" sd="1" m="1" x="6584"/>
        <item t="data" sd="1" m="1" x="6585"/>
        <item t="data" sd="1" m="1" x="6586"/>
        <item t="data" sd="1" m="1" x="5316"/>
        <item t="data" sd="1" m="1" x="5317"/>
        <item t="data" sd="1" m="1" x="5817"/>
        <item t="data" sd="1" m="1" x="6587"/>
        <item t="data" sd="1" m="1" x="6588"/>
        <item t="data" sd="1" m="1" x="6589"/>
        <item t="data" sd="1" m="1" x="6590"/>
        <item t="data" sd="1" m="1" x="6591"/>
        <item t="data" sd="1" m="1" x="6592"/>
        <item t="data" sd="1" m="1" x="6593"/>
        <item t="data" sd="1" m="1" x="6594"/>
        <item t="data" sd="1" m="1" x="6595"/>
        <item t="data" sd="1" m="1" x="6596"/>
        <item t="data" sd="1" m="1" x="6597"/>
        <item t="data" sd="1" m="1" x="6598"/>
        <item t="data" sd="1" m="1" x="6599"/>
        <item t="data" sd="1" m="1" x="6600"/>
        <item t="data" sd="1" m="1" x="6601"/>
        <item t="data" sd="1" m="1" x="6602"/>
        <item t="data" sd="1" m="1" x="6603"/>
        <item t="data" sd="1" m="1" x="6604"/>
        <item t="data" sd="1" m="1" x="6605"/>
        <item t="data" sd="1" m="1" x="6606"/>
        <item t="data" sd="1" m="1" x="6607"/>
        <item t="data" sd="1" m="1" x="6608"/>
        <item t="data" sd="1" m="1" x="6609"/>
        <item t="data" sd="1" m="1" x="6610"/>
        <item t="data" sd="1" m="1" x="6611"/>
        <item t="data" sd="1" m="1" x="6612"/>
        <item t="data" sd="1" m="1" x="6613"/>
        <item t="data" sd="1" m="1" x="6614"/>
        <item t="data" sd="1" m="1" x="6615"/>
        <item t="data" sd="1" m="1" x="6616"/>
        <item t="data" sd="1" m="1" x="6617"/>
        <item t="data" sd="1" m="1" x="6618"/>
        <item t="data" sd="1" m="1" x="6619"/>
        <item t="data" sd="1" m="1" x="6620"/>
        <item t="data" sd="1" m="1" x="6621"/>
        <item t="data" sd="1" m="1" x="6622"/>
        <item t="data" sd="1" m="1" x="6623"/>
        <item t="data" sd="1" m="1" x="6624"/>
        <item t="data" sd="1" m="1" x="6625"/>
        <item t="data" sd="1" m="1" x="6626"/>
        <item t="data" sd="1" m="1" x="6627"/>
        <item t="data" sd="1" m="1" x="6628"/>
        <item t="data" sd="1" m="1" x="6629"/>
        <item t="data" sd="1" m="1" x="6630"/>
        <item t="data" sd="1" m="1" x="6631"/>
        <item t="data" sd="1" m="1" x="6632"/>
        <item t="data" sd="1" m="1" x="6633"/>
        <item t="data" sd="1" m="1" x="6634"/>
        <item t="data" sd="1" m="1" x="6635"/>
        <item t="data" sd="1" m="1" x="6636"/>
        <item t="data" sd="1" m="1" x="6637"/>
        <item t="data" sd="1" m="1" x="6638"/>
        <item t="data" sd="1" m="1" x="6639"/>
        <item t="data" sd="1" m="1" x="6640"/>
        <item t="data" sd="1" m="1" x="6641"/>
        <item t="data" sd="1" m="1" x="6642"/>
        <item t="data" sd="1" m="1" x="6643"/>
        <item t="data" sd="1" m="1" x="6644"/>
        <item t="data" sd="1" m="1" x="6645"/>
        <item t="data" sd="1" m="1" x="6646"/>
        <item t="data" sd="1" m="1" x="6647"/>
        <item t="data" sd="1" m="1" x="6648"/>
        <item t="data" sd="1" m="1" x="6649"/>
        <item t="data" sd="1" m="1" x="6650"/>
        <item t="data" sd="1" m="1" x="6651"/>
        <item t="data" sd="1" m="1" x="6652"/>
        <item t="data" sd="1" m="1" x="6653"/>
        <item t="data" sd="1" m="1" x="6654"/>
        <item t="data" sd="1" m="1" x="6655"/>
        <item t="data" sd="1" m="1" x="6656"/>
        <item t="data" sd="1" m="1" x="6657"/>
        <item t="data" sd="1" m="1" x="6658"/>
        <item t="data" sd="1" m="1" x="6659"/>
        <item t="data" sd="1" m="1" x="6660"/>
        <item t="data" sd="1" m="1" x="6661"/>
        <item t="data" sd="1" m="1" x="6662"/>
        <item t="data" sd="1" m="1" x="6663"/>
        <item t="data" sd="1" m="1" x="6664"/>
        <item t="data" sd="1" m="1" x="6665"/>
        <item t="data" sd="1" m="1" x="6666"/>
        <item t="data" sd="1" m="1" x="6667"/>
        <item t="data" sd="1" m="1" x="6668"/>
        <item t="data" sd="1" m="1" x="6669"/>
        <item t="data" sd="1" m="1" x="6670"/>
        <item t="data" sd="1" m="1" x="6176"/>
        <item t="data" sd="1" m="1" x="5003"/>
        <item t="data" sd="1" m="1" x="5057"/>
        <item t="data" sd="1" m="1" x="6671"/>
        <item t="data" sd="1" m="1" x="6340"/>
        <item t="data" sd="1" m="1" x="5713"/>
        <item t="data" sd="1" m="1" x="6261"/>
        <item t="data" sd="1" m="1" x="6262"/>
        <item t="data" sd="1" m="1" x="6263"/>
        <item t="data" sd="1" m="1" x="5626"/>
        <item t="data" sd="1" m="1" x="6272"/>
        <item t="data" sd="1" m="1" x="6274"/>
        <item t="data" sd="1" m="1" x="1963"/>
        <item t="data" sd="1" m="1" x="6275"/>
        <item t="data" sd="1" m="1" x="6277"/>
        <item t="data" sd="1" m="1" x="5570"/>
        <item t="data" sd="1" m="1" x="5569"/>
        <item t="data" sd="1" m="1" x="5631"/>
        <item t="data" sd="1" m="1" x="4223"/>
        <item t="data" sd="1" m="1" x="4823"/>
        <item t="data" sd="1" m="1" x="4822"/>
        <item t="data" sd="1" m="1" x="5582"/>
        <item t="data" sd="1" m="1" x="5583"/>
        <item t="data" sd="1" m="1" x="5588"/>
        <item t="data" sd="1" m="1" x="1954"/>
        <item t="data" sd="1" m="1" x="1955"/>
        <item t="data" sd="1" m="1" x="1923"/>
        <item t="data" sd="1" m="1" x="6289"/>
        <item t="data" sd="1" m="1" x="6290"/>
        <item t="data" sd="1" m="1" x="6291"/>
        <item t="data" sd="1" m="1" x="6293"/>
        <item t="data" sd="1" m="1" x="6294"/>
        <item t="data" sd="1" m="1" x="4085"/>
        <item t="data" sd="1" m="1" x="2969"/>
        <item t="data" sd="1" m="1" x="4198"/>
        <item t="data" sd="1" m="1" x="1973"/>
        <item t="data" sd="1" m="1" x="4199"/>
        <item t="data" sd="1" m="1" x="4197"/>
        <item t="data" sd="1" m="1" x="6297"/>
        <item t="data" sd="1" m="1" x="4550"/>
        <item t="data" sd="1" m="1" x="6300"/>
        <item t="data" sd="1" m="1" x="1935"/>
        <item t="data" sd="1" m="1" x="1936"/>
        <item t="data" sd="1" m="1" x="5659"/>
        <item t="data" sd="1" m="1" x="6308"/>
        <item t="data" sd="1" m="1" x="6309"/>
        <item t="data" sd="1" m="1" x="6317"/>
        <item t="data" sd="1" m="1" x="5701"/>
        <item t="data" sd="1" m="1" x="6318"/>
        <item t="data" sd="1" m="1" x="6323"/>
        <item t="data" sd="1" m="1" x="6324"/>
        <item t="data" sd="1" m="1" x="6325"/>
        <item t="data" sd="1" m="1" x="5666"/>
        <item t="data" sd="1" m="1" x="4935"/>
        <item t="data" sd="1" m="1" x="5813"/>
        <item t="data" sd="1" m="1" x="5779"/>
        <item t="data" sd="1" m="1" x="6327"/>
        <item t="data" sd="1" m="1" x="6328"/>
        <item t="data" sd="1" m="1" x="6329"/>
        <item t="data" sd="1" m="1" x="6330"/>
        <item t="data" sd="1" m="1" x="6331"/>
        <item t="data" sd="1" m="1" x="6332"/>
        <item t="data" sd="1" m="1" x="5820"/>
        <item t="data" sd="1" m="1" x="5846"/>
        <item t="data" sd="1" m="1" x="5848"/>
        <item t="data" sd="1" m="1" x="5847"/>
        <item t="data" sd="1" m="1" x="6333"/>
        <item t="data" sd="1" m="1" x="6334"/>
        <item t="data" sd="1" m="1" x="5683"/>
        <item t="data" sd="1" m="1" x="6335"/>
        <item t="data" sd="1" m="1" x="6336"/>
        <item t="data" sd="1" m="1" x="6337"/>
        <item t="data" sd="1" m="1" x="5319"/>
        <item t="data" sd="1" m="1" x="3939"/>
        <item t="data" sd="1" m="1" x="5850"/>
        <item t="data" sd="1" m="1" x="4185"/>
        <item t="data" sd="1" m="1" x="6338"/>
        <item t="data" sd="1" m="1" x="6341"/>
        <item t="data" sd="1" m="1" x="4764"/>
        <item t="data" sd="1" m="1" x="4765"/>
        <item t="data" sd="1" m="1" x="5627"/>
        <item t="data" sd="1" m="1" x="6342"/>
        <item t="data" sd="1" m="1" x="6343"/>
        <item t="data" sd="1" m="1" x="6344"/>
        <item t="data" sd="1" m="1" x="3292"/>
        <item t="data" sd="1" m="1" x="3293"/>
        <item t="data" sd="1" m="1" x="6345"/>
        <item t="data" sd="1" m="1" x="6346"/>
        <item t="data" sd="1" m="1" x="4136"/>
        <item t="data" sd="1" m="1" x="6347"/>
        <item t="data" sd="1" m="1" x="6348"/>
        <item t="data" sd="1" m="1" x="6349"/>
        <item t="data" sd="1" m="1" x="6350"/>
        <item t="data" sd="1" m="1" x="1978"/>
        <item t="data" sd="1" m="1" x="1979"/>
        <item t="data" sd="1" m="1" x="1980"/>
        <item t="data" sd="1" m="1" x="6351"/>
        <item t="data" sd="1" m="1" x="6352"/>
        <item t="data" sd="1" m="1" x="6353"/>
        <item t="data" sd="1" m="1" x="6354"/>
        <item t="data" sd="1" m="1" x="6355"/>
        <item t="data" sd="1" m="1" x="6356"/>
        <item t="data" sd="1" m="1" x="4066"/>
        <item t="data" sd="1" m="1" x="6357"/>
        <item t="data" sd="1" m="1" x="6358"/>
        <item t="data" sd="1" m="1" x="4985"/>
        <item t="data" sd="1" m="1" x="6359"/>
        <item t="data" sd="1" m="1" x="6085"/>
        <item t="data" sd="1" m="1" x="6086"/>
        <item t="data" sd="1" m="1" x="4824"/>
        <item t="data" sd="1" m="1" x="4244"/>
        <item t="data" sd="1" m="1" x="6360"/>
        <item t="data" sd="1" m="1" x="6361"/>
        <item t="data" sd="1" m="1" x="6362"/>
        <item t="data" sd="1" m="1" x="6363"/>
        <item t="data" sd="1" m="1" x="6364"/>
        <item t="data" sd="1" m="1" x="6365"/>
        <item t="data" sd="1" m="1" x="4189"/>
        <item t="data" sd="1" m="1" x="4190"/>
        <item t="data" sd="1" m="1" x="4191"/>
        <item t="data" sd="1" m="1" x="4186"/>
        <item t="data" sd="1" m="1" x="4187"/>
        <item t="data" sd="1" m="1" x="4192"/>
        <item t="data" sd="1" m="1" x="4546"/>
        <item t="data" sd="1" m="1" x="5181"/>
        <item t="data" sd="1" m="1" x="4549"/>
        <item t="data" sd="1" m="1" x="6366"/>
        <item t="data" sd="1" m="1" x="6367"/>
        <item t="data" sd="1" m="1" x="6368"/>
        <item t="data" sd="1" m="1" x="6369"/>
        <item t="data" sd="1" m="1" x="6370"/>
        <item t="data" sd="1" m="1" x="6371"/>
        <item t="data" sd="1" m="1" x="6372"/>
        <item t="data" sd="1" m="1" x="6087"/>
        <item t="data" sd="1" m="1" x="6088"/>
        <item t="data" sd="1" m="1" x="5207"/>
        <item t="data" sd="1" m="1" x="6373"/>
        <item t="data" sd="1" m="1" x="6374"/>
        <item t="data" sd="1" m="1" x="5697"/>
        <item t="data" sd="1" m="1" x="4892"/>
        <item t="data" sd="1" m="1" x="6375"/>
        <item t="data" sd="1" m="1" x="6376"/>
        <item t="data" sd="1" m="1" x="6377"/>
        <item t="data" sd="1" m="1" x="4586"/>
        <item t="data" sd="1" m="1" x="6378"/>
        <item t="data" sd="1" m="1" x="4581"/>
        <item t="data" sd="1" m="1" x="6379"/>
        <item t="data" sd="1" m="1" x="5806"/>
        <item t="data" sd="1" m="1" x="5490"/>
        <item t="data" sd="1" m="1" x="5812"/>
        <item t="data" sd="1" m="1" x="5811"/>
        <item t="data" sd="1" m="1" x="6380"/>
        <item t="data" sd="1" m="1" x="5809"/>
        <item t="data" sd="1" m="1" x="6381"/>
        <item t="data" sd="1" m="1" x="6382"/>
        <item t="data" sd="1" m="1" x="6165"/>
        <item t="data" sd="1" m="1" x="6383"/>
        <item t="data" sd="1" m="1" x="6384"/>
        <item t="data" sd="1" m="1" x="6385"/>
        <item t="data" sd="1" m="1" x="6386"/>
        <item t="data" sd="1" m="1" x="6387"/>
        <item t="data" sd="1" m="1" x="6163"/>
        <item t="data" sd="1" m="1" x="5814"/>
        <item t="data" sd="1" m="1" x="6164"/>
        <item t="data" sd="1" m="1" x="5815"/>
        <item t="data" sd="1" m="1" x="5347"/>
        <item t="data" sd="1" m="1" x="5819"/>
        <item t="data" sd="1" m="1" x="6092"/>
        <item t="data" sd="1" m="1" x="6388"/>
        <item t="data" sd="1" m="1" x="5810"/>
        <item t="data" sd="1" m="1" x="5807"/>
        <item t="data" sd="1" m="1" x="5808"/>
        <item t="data" sd="1" m="1" x="6167"/>
        <item t="data" sd="1" m="1" x="6168"/>
        <item t="data" sd="1" m="1" x="6169"/>
        <item t="data" sd="1" m="1" x="6170"/>
        <item t="data" sd="1" m="1" x="6389"/>
        <item t="data" sd="1" m="1" x="6171"/>
        <item t="data" sd="1" m="1" x="5822"/>
        <item t="data" sd="1" m="1" x="6390"/>
        <item t="data" sd="1" m="1" x="5823"/>
        <item t="data" sd="1" m="1" x="5458"/>
        <item t="data" sd="1" m="1" x="5844"/>
        <item t="data" sd="1" m="1" x="5845"/>
        <item t="data" sd="1" m="1" x="5841"/>
        <item t="data" sd="1" m="1" x="5842"/>
        <item t="data" sd="1" m="1" x="5839"/>
        <item t="data" sd="1" m="1" x="5840"/>
        <item t="data" sd="1" m="1" x="5828"/>
        <item t="data" sd="1" m="1" x="5829"/>
        <item t="data" sd="1" m="1" x="5825"/>
        <item t="data" sd="1" m="1" x="5826"/>
        <item t="data" sd="1" m="1" x="5827"/>
        <item t="data" sd="1" m="1" x="5836"/>
        <item t="data" sd="1" m="1" x="5830"/>
        <item t="data" sd="1" m="1" x="5843"/>
        <item t="data" sd="1" m="1" x="5849"/>
        <item t="data" sd="1" m="1" x="6391"/>
        <item t="data" sd="1" m="1" x="6392"/>
        <item t="data" sd="1" m="1" x="6393"/>
        <item t="data" sd="1" m="1" x="6394"/>
        <item t="data" sd="1" m="1" x="6395"/>
        <item t="data" sd="1" m="1" x="6396"/>
        <item t="data" sd="1" m="1" x="6397"/>
        <item t="data" sd="1" m="1" x="5027"/>
        <item t="data" sd="1" m="1" x="5765"/>
        <item t="data" sd="1" m="1" x="5767"/>
        <item t="data" sd="1" m="1" x="3974"/>
        <item t="data" sd="1" m="1" x="5140"/>
        <item t="data" sd="1" m="1" x="5146"/>
        <item t="data" sd="1" m="1" x="5129"/>
        <item t="data" sd="1" m="1" x="6162"/>
        <item t="data" sd="1" m="1" x="1976"/>
        <item t="data" sd="1" m="1" x="4184"/>
        <item t="data" sd="1" m="1" x="3484"/>
        <item t="data" sd="1" m="1" x="4182"/>
        <item t="data" sd="1" m="1" x="4183"/>
        <item t="data" sd="1" m="1" x="5686"/>
        <item t="data" sd="1" m="1" x="5793"/>
        <item t="data" sd="1" m="1" x="5794"/>
        <item t="data" sd="1" m="1" x="5795"/>
        <item t="data" sd="1" m="1" x="5796"/>
        <item t="data" sd="1" m="1" x="5199"/>
        <item t="data" sd="1" m="1" x="6090"/>
        <item t="data" sd="1" m="1" x="6091"/>
        <item t="data" sd="1" m="1" x="5324"/>
        <item t="data" sd="1" m="1" x="5816"/>
        <item t="data" sd="1" m="1" x="6166"/>
        <item t="data" sd="1" m="1" x="5821"/>
        <item t="data" sd="1" m="1" x="5831"/>
        <item t="data" sd="1" m="1" x="5832"/>
        <item t="data" sd="1" m="1" x="5837"/>
        <item t="data" sd="1" m="1" x="5835"/>
        <item t="data" sd="1" m="1" x="5824"/>
        <item t="data" sd="1" m="1" x="6172"/>
        <item t="data" sd="1" m="1" x="6173"/>
        <item t="data" sd="1" m="1" x="6174"/>
        <item t="data" sd="1" m="1" x="5857"/>
        <item t="data" sd="1" m="1" x="5858"/>
        <item t="data" sd="1" m="1" x="5859"/>
        <item t="data" sd="1" m="1" x="4117"/>
        <item t="data" sd="1" m="1" x="3735"/>
        <item t="data" sd="1" m="1" x="5851"/>
        <item t="data" sd="1" m="1" x="3291"/>
        <item t="data" sd="1" m="1" x="3115"/>
        <item t="data" sd="1" m="1" x="5852"/>
        <item t="data" sd="1" m="1" x="5853"/>
        <item t="data" sd="1" m="1" x="5782"/>
        <item t="data" sd="1" m="1" x="5610"/>
        <item t="data" sd="1" m="1" x="3769"/>
        <item t="data" sd="1" m="1" x="4518"/>
        <item t="data" sd="1" m="1" x="5783"/>
        <item t="data" sd="1" m="1" x="1956"/>
        <item t="data" sd="1" m="1" x="5863"/>
        <item t="data" sd="1" m="1" x="1975"/>
        <item t="data" sd="1" m="1" x="1974"/>
        <item t="data" sd="1" m="1" x="1921"/>
        <item t="data" sd="1" m="1" x="6177"/>
        <item t="data" sd="1" m="1" x="6178"/>
        <item t="data" sd="1" m="1" x="6179"/>
        <item t="data" sd="1" m="1" x="6180"/>
        <item t="data" sd="1" m="1" x="6181"/>
        <item t="data" sd="1" m="1" x="6182"/>
        <item t="data" sd="1" m="1" x="6183"/>
        <item t="data" sd="1" m="1" x="4513"/>
        <item t="data" sd="1" m="1" x="4514"/>
        <item t="data" sd="1" m="1" x="4515"/>
        <item t="data" sd="1" m="1" x="4516"/>
        <item t="data" sd="1" m="1" x="4512"/>
        <item t="data" sd="1" m="1" x="6184"/>
        <item t="data" sd="1" m="1" x="3689"/>
        <item t="data" sd="1" m="1" x="5877"/>
        <item t="data" sd="1" m="1" x="5866"/>
        <item t="data" sd="1" m="1" x="5868"/>
        <item t="data" sd="1" m="1" x="1926"/>
        <item t="data" sd="1" m="1" x="5869"/>
        <item t="data" sd="1" m="1" x="4759"/>
        <item t="data" sd="1" m="1" x="4760"/>
        <item t="data" sd="1" m="1" x="5875"/>
        <item t="data" sd="1" m="1" x="5565"/>
        <item t="data" sd="1" m="1" x="5871"/>
        <item t="data" sd="1" m="1" x="5872"/>
        <item t="data" sd="1" m="1" x="5784"/>
        <item t="data" sd="1" m="1" x="4245"/>
        <item t="data" sd="1" m="1" x="4246"/>
        <item t="data" sd="1" m="1" x="4821"/>
        <item t="data" sd="1" m="1" x="6185"/>
        <item t="data" sd="1" m="1" x="5584"/>
        <item t="data" sd="1" m="1" x="5587"/>
        <item t="data" sd="1" m="1" x="6098"/>
        <item t="data" sd="1" m="1" x="6099"/>
        <item t="data" sd="1" m="1" x="6100"/>
        <item t="data" sd="1" m="1" x="5141"/>
        <item t="data" sd="1" m="1" x="5142"/>
        <item t="data" sd="1" m="1" x="5143"/>
        <item t="data" sd="1" m="1" x="5144"/>
        <item t="data" sd="1" m="1" x="6186"/>
        <item t="data" sd="1" m="1" x="6187"/>
        <item t="data" sd="1" m="1" x="5309"/>
        <item t="data" sd="1" m="1" x="4247"/>
        <item t="data" sd="1" m="1" x="4610"/>
        <item t="data" sd="1" m="1" x="5786"/>
        <item t="data" sd="1" m="1" x="4175"/>
        <item t="data" sd="1" m="1" x="4188"/>
        <item t="data" sd="1" m="1" x="4799"/>
        <item t="data" sd="1" m="1" x="6188"/>
        <item t="data" sd="1" m="1" x="5880"/>
        <item t="data" sd="1" m="1" x="5663"/>
        <item t="data" sd="1" m="1" x="5883"/>
        <item t="data" sd="1" m="1" x="5885"/>
        <item t="data" sd="1" m="1" x="5785"/>
        <item t="data" sd="1" m="1" x="5787"/>
        <item t="data" sd="1" m="1" x="5788"/>
        <item t="data" sd="1" m="1" x="1950"/>
        <item t="data" sd="1" m="1" x="4894"/>
        <item t="data" sd="1" m="1" x="5789"/>
        <item t="data" sd="1" m="1" x="5790"/>
        <item t="data" sd="1" m="1" x="5791"/>
        <item t="data" sd="1" m="1" x="5792"/>
        <item t="data" sd="1" m="1" x="5797"/>
        <item t="data" sd="1" m="1" x="5798"/>
        <item t="data" sd="1" m="1" x="5799"/>
        <item t="data" sd="1" m="1" x="5700"/>
        <item t="data" sd="1" m="1" x="5800"/>
        <item t="data" sd="1" m="1" x="5801"/>
        <item t="data" sd="1" m="1" x="5802"/>
        <item t="data" sd="1" m="1" x="5803"/>
        <item t="data" sd="1" m="1" x="5804"/>
        <item t="data" sd="1" m="1" x="5805"/>
        <item t="data" sd="1" m="1" x="5890"/>
        <item t="data" sd="1" m="1" x="5891"/>
        <item t="data" sd="1" m="1" x="5893"/>
        <item t="data" sd="1" m="1" x="5894"/>
        <item t="data" sd="1" m="1" x="4585"/>
        <item t="data" sd="1" m="1" x="1977"/>
        <item t="data" sd="1" m="1" x="1964"/>
        <item t="data" sd="1" m="1" x="1965"/>
        <item t="data" sd="1" m="1" x="5698"/>
        <item t="data" sd="1" m="1" x="1949"/>
        <item t="data" sd="1" m="1" x="5888"/>
        <item t="data" sd="1" m="1" x="6105"/>
        <item t="data" sd="1" m="1" x="6106"/>
        <item t="data" sd="1" m="1" x="4587"/>
        <item t="data" sd="1" m="1" x="4588"/>
        <item t="data" sd="1" m="1" x="6107"/>
        <item t="data" sd="1" m="1" x="6189"/>
        <item t="data" sd="1" m="1" x="6109"/>
        <item t="data" sd="1" m="1" x="6110"/>
        <item t="data" sd="1" m="1" x="6190"/>
        <item t="data" sd="1" m="1" x="5899"/>
        <item t="data" sd="1" m="1" x="6089"/>
        <item t="data" sd="1" m="1" x="6191"/>
        <item t="data" sd="1" m="1" x="6192"/>
        <item t="data" sd="1" m="1" x="6193"/>
        <item t="data" sd="1" m="1" x="6194"/>
        <item t="data" sd="1" m="1" x="6195"/>
        <item t="data" sd="1" m="1" x="5897"/>
        <item t="data" sd="1" m="1" x="6196"/>
        <item t="data" sd="1" m="1" x="6197"/>
        <item t="data" sd="1" m="1" x="6198"/>
        <item t="data" sd="1" m="1" x="6199"/>
        <item t="data" sd="1" m="1" x="6200"/>
        <item t="data" sd="1" m="1" x="6201"/>
        <item t="data" sd="1" m="1" x="6202"/>
        <item t="data" sd="1" m="1" x="6203"/>
        <item t="data" sd="1" m="1" x="6204"/>
        <item t="data" sd="1" m="1" x="5900"/>
        <item t="data" sd="1" m="1" x="5902"/>
        <item t="data" sd="1" m="1" x="5901"/>
        <item t="data" sd="1" m="1" x="6205"/>
        <item t="data" sd="1" m="1" x="6119"/>
        <item t="data" sd="1" m="1" x="6206"/>
        <item t="data" sd="1" m="1" x="5818"/>
        <item t="data" sd="1" m="1" x="5903"/>
        <item t="data" sd="1" m="1" x="5904"/>
        <item t="data" sd="1" m="1" x="6120"/>
        <item t="data" sd="1" m="1" x="5907"/>
        <item t="data" sd="1" m="1" x="5908"/>
        <item t="data" sd="1" m="1" x="5909"/>
        <item t="data" sd="1" m="1" x="5910"/>
        <item t="data" sd="1" m="1" x="6207"/>
        <item t="data" sd="1" m="1" x="5913"/>
        <item t="data" sd="1" m="1" x="5914"/>
        <item t="data" sd="1" m="1" x="5833"/>
        <item t="data" sd="1" m="1" x="5834"/>
        <item t="data" sd="1" m="1" x="5838"/>
        <item t="data" sd="1" m="1" x="5937"/>
        <item t="data" sd="1" m="1" x="5939"/>
        <item t="data" sd="1" m="1" x="5938"/>
        <item t="data" sd="1" m="1" x="5923"/>
        <item t="data" sd="1" m="1" x="5924"/>
        <item t="data" sd="1" m="1" x="5925"/>
        <item t="data" sd="1" m="1" x="5926"/>
        <item t="data" sd="1" m="1" x="5921"/>
        <item t="data" sd="1" m="1" x="5927"/>
        <item t="data" sd="1" m="1" x="5928"/>
        <item t="data" sd="1" m="1" x="5929"/>
        <item t="data" sd="1" m="1" x="5930"/>
        <item t="data" sd="1" m="1" x="5936"/>
        <item t="data" sd="1" m="1" x="5931"/>
        <item t="data" sd="1" m="1" x="5932"/>
        <item t="data" sd="1" m="1" x="5952"/>
        <item t="data" sd="1" m="1" x="6208"/>
        <item t="data" sd="1" m="1" x="6209"/>
        <item t="data" sd="1" m="1" x="6210"/>
        <item t="data" sd="1" m="1" x="6211"/>
        <item t="data" sd="1" m="1" x="6212"/>
        <item t="data" sd="1" m="1" x="6213"/>
        <item t="data" sd="1" m="1" x="6214"/>
        <item t="data" sd="1" m="1" x="6215"/>
        <item t="data" sd="1" m="1" x="6216"/>
        <item t="data" sd="1" m="1" x="6217"/>
        <item t="data" sd="1" m="1" x="6218"/>
        <item t="data" sd="1" m="1" x="6219"/>
        <item t="data" sd="1" m="1" x="6220"/>
        <item t="data" sd="1" m="1" x="6221"/>
        <item t="data" sd="1" m="1" x="6222"/>
        <item t="data" sd="1" m="1" x="6223"/>
        <item t="data" sd="1" m="1" x="5636"/>
        <item t="data" sd="1" m="1" x="5956"/>
        <item t="data" sd="1" m="1" x="5957"/>
        <item t="data" sd="1" m="1" x="6224"/>
        <item t="data" sd="1" m="1" x="6225"/>
        <item t="data" sd="1" m="1" x="5958"/>
        <item t="data" sd="1" m="1" x="6226"/>
        <item t="data" sd="1" m="1" x="5717"/>
        <item t="data" sd="1" m="1" x="5716"/>
        <item t="data" sd="1" m="1" x="4046"/>
        <item t="data" sd="1" m="1" x="3742"/>
        <item t="data" sd="1" m="1" x="5860"/>
        <item t="data" sd="1" m="1" x="3925"/>
        <item t="data" sd="1" m="1" x="3926"/>
        <item t="data" sd="1" m="1" x="3927"/>
        <item t="data" sd="1" m="1" x="2867"/>
        <item t="data" sd="1" m="1" x="5862"/>
        <item t="data" sd="1" m="1" x="3038"/>
        <item t="data" sd="1" m="1" x="6093"/>
        <item t="data" sd="1" m="1" x="6094"/>
        <item t="data" sd="1" m="1" x="6095"/>
        <item t="data" sd="1" m="1" x="6096"/>
        <item t="data" sd="1" m="1" x="6097"/>
        <item t="data" sd="1" m="1" x="4517"/>
        <item t="data" sd="1" m="1" x="4377"/>
        <item t="data" sd="1" m="1" x="3823"/>
        <item t="data" sd="1" m="1" x="5867"/>
        <item t="data" sd="1" m="1" x="5870"/>
        <item t="data" sd="1" m="1" x="5876"/>
        <item t="data" sd="1" m="1" x="6101"/>
        <item t="data" sd="1" m="1" x="6102"/>
        <item t="data" sd="1" m="1" x="6103"/>
        <item t="data" sd="1" m="1" x="6104"/>
        <item t="data" sd="1" m="1" x="5562"/>
        <item t="data" sd="1" m="1" x="4084"/>
        <item t="data" sd="1" m="1" x="4083"/>
        <item t="data" sd="1" m="1" x="3717"/>
        <item t="data" sd="1" m="1" x="5878"/>
        <item t="data" sd="1" m="1" x="5879"/>
        <item t="data" sd="1" m="1" x="5881"/>
        <item t="data" sd="1" m="1" x="5882"/>
        <item t="data" sd="1" m="1" x="2474"/>
        <item t="data" sd="1" m="1" x="5884"/>
        <item t="data" sd="1" m="1" x="1938"/>
        <item t="data" sd="1" m="1" x="1939"/>
        <item t="data" sd="1" m="1" x="1940"/>
        <item t="data" sd="1" m="1" x="1941"/>
        <item t="data" sd="1" m="1" x="5896"/>
        <item t="data" sd="1" m="1" x="6108"/>
        <item t="data" sd="1" m="1" x="5898"/>
        <item t="data" sd="1" m="1" x="6111"/>
        <item t="data" sd="1" m="1" x="6112"/>
        <item t="data" sd="1" m="1" x="6113"/>
        <item t="data" sd="1" m="1" x="6114"/>
        <item t="data" sd="1" m="1" x="6115"/>
        <item t="data" sd="1" m="1" x="6116"/>
        <item t="data" sd="1" m="1" x="6117"/>
        <item t="data" sd="1" m="1" x="6118"/>
        <item t="data" sd="1" m="1" x="5905"/>
        <item t="data" sd="1" m="1" x="5906"/>
        <item t="data" sd="1" m="1" x="5918"/>
        <item t="data" sd="1" m="1" x="5915"/>
        <item t="data" sd="1" m="1" x="5917"/>
        <item t="data" sd="1" m="1" x="5916"/>
        <item t="data" sd="1" m="1" x="5922"/>
        <item t="data" sd="1" m="1" x="5919"/>
        <item t="data" sd="1" m="1" x="5920"/>
        <item t="data" sd="1" m="1" x="5933"/>
        <item t="data" sd="1" m="1" x="5934"/>
        <item t="data" sd="1" m="1" x="5935"/>
        <item t="data" sd="1" m="1" x="3876"/>
        <item t="data" sd="1" m="1" x="5953"/>
        <item t="data" sd="1" m="1" x="6121"/>
        <item t="data" sd="1" m="1" x="6122"/>
        <item t="data" sd="1" m="1" x="6123"/>
        <item t="data" sd="1" m="1" x="6124"/>
        <item t="data" sd="1" m="1" x="6125"/>
        <item t="data" sd="1" m="1" x="5954"/>
        <item t="data" sd="1" m="1" x="6126"/>
        <item t="data" sd="1" m="1" x="5955"/>
        <item t="data" sd="1" m="1" x="4078"/>
        <item t="data" sd="1" m="1" x="4600"/>
        <item t="data" sd="1" m="1" x="3899"/>
        <item t="data" sd="1" m="1" x="5642"/>
        <item t="data" sd="1" m="1" x="5641"/>
        <item t="data" sd="1" m="1" x="1951"/>
        <item t="data" sd="1" m="1" x="4116"/>
        <item t="data" sd="1" m="1" x="5854"/>
        <item t="data" sd="1" m="1" x="5855"/>
        <item t="data" sd="1" m="1" x="5856"/>
        <item t="data" sd="1" m="1" x="5861"/>
        <item t="data" sd="1" m="1" x="3042"/>
        <item t="data" sd="1" m="1" x="5864"/>
        <item t="data" sd="1" m="1" x="5605"/>
        <item t="data" sd="1" m="1" x="5865"/>
        <item t="data" sd="1" m="1" x="5873"/>
        <item t="data" sd="1" m="1" x="5874"/>
        <item t="data" sd="1" m="1" x="1927"/>
        <item t="data" sd="1" m="1" x="5194"/>
        <item t="data" sd="1" m="1" x="6127"/>
        <item t="data" sd="1" m="1" x="6128"/>
        <item t="data" sd="1" m="1" x="6129"/>
        <item t="data" sd="1" m="1" x="6130"/>
        <item t="data" sd="1" m="1" x="6131"/>
        <item t="data" sd="1" m="1" x="6132"/>
        <item t="data" sd="1" m="1" x="6133"/>
        <item t="data" sd="1" m="1" x="6134"/>
        <item t="data" sd="1" m="1" x="4793"/>
        <item t="data" sd="1" m="1" x="5886"/>
        <item t="data" sd="1" m="1" x="5887"/>
        <item t="data" sd="1" m="1" x="4893"/>
        <item t="data" sd="1" m="1" x="5702"/>
        <item t="data" sd="1" m="1" x="4299"/>
        <item t="data" sd="1" m="1" x="5889"/>
        <item t="data" sd="1" m="1" x="5892"/>
        <item t="data" sd="1" m="1" x="5895"/>
        <item t="data" sd="1" m="1" x="4097"/>
        <item t="data" sd="1" m="1" x="5209"/>
        <item t="data" sd="1" m="1" x="6135"/>
        <item t="data" sd="1" m="1" x="6136"/>
        <item t="data" sd="1" m="1" x="6137"/>
        <item t="data" sd="1" m="1" x="6138"/>
        <item t="data" sd="1" m="1" x="5612"/>
        <item t="data" sd="1" m="1" x="6139"/>
        <item t="data" sd="1" m="1" x="6140"/>
        <item t="data" sd="1" m="1" x="6141"/>
        <item t="data" sd="1" m="1" x="6142"/>
        <item t="data" sd="1" m="1" x="4102"/>
        <item t="data" sd="1" m="1" x="4103"/>
        <item t="data" sd="1" m="1" x="6143"/>
        <item t="data" sd="1" m="1" x="6144"/>
        <item t="data" sd="1" m="1" x="5254"/>
        <item t="data" sd="1" m="1" x="5255"/>
        <item t="data" sd="1" m="1" x="6145"/>
        <item t="data" sd="1" m="1" x="5210"/>
        <item t="data" sd="1" m="1" x="4098"/>
        <item t="data" sd="1" m="1" x="6146"/>
        <item t="data" sd="1" m="1" x="6147"/>
        <item t="data" sd="1" m="1" x="6148"/>
        <item t="data" sd="1" m="1" x="5911"/>
        <item t="data" sd="1" m="1" x="6149"/>
        <item t="data" sd="1" m="1" x="5912"/>
        <item t="data" sd="1" m="1" x="5944"/>
        <item t="data" sd="1" m="1" x="5940"/>
        <item t="data" sd="1" m="1" x="5946"/>
        <item t="data" sd="1" m="1" x="5945"/>
        <item t="data" sd="1" m="1" x="5943"/>
        <item t="data" sd="1" m="1" x="5941"/>
        <item t="data" sd="1" m="1" x="5942"/>
        <item t="data" sd="1" m="1" x="5947"/>
        <item t="data" sd="1" m="1" x="5949"/>
        <item t="data" sd="1" m="1" x="5950"/>
        <item t="data" sd="1" m="1" x="5951"/>
        <item t="data" sd="1" m="1" x="6035"/>
        <item t="data" sd="1" m="1" x="6036"/>
        <item t="data" sd="1" m="1" x="5948"/>
        <item t="data" sd="1" m="1" x="6150"/>
        <item t="data" sd="1" m="1" x="6151"/>
        <item t="data" sd="1" m="1" x="5687"/>
        <item t="data" sd="1" m="1" x="3908"/>
        <item t="data" sd="1" m="1" x="6152"/>
        <item t="data" sd="1" m="1" x="6153"/>
        <item t="data" sd="1" m="1" x="4101"/>
        <item t="data" sd="1" m="1" x="6154"/>
        <item t="data" sd="1" m="1" x="6155"/>
        <item t="data" sd="1" m="1" x="5211"/>
        <item t="data" sd="1" m="1" x="3902"/>
        <item t="data" sd="1" m="1" x="5714"/>
        <item t="data" sd="1" m="1" x="5322"/>
        <item t="data" sd="1" m="1" x="5959"/>
        <item t="data" sd="1" m="1" x="5960"/>
        <item t="data" sd="1" m="1" x="4135"/>
        <item t="data" sd="1" m="1" x="5961"/>
        <item t="data" sd="1" m="1" x="4644"/>
        <item t="data" sd="1" m="1" x="4645"/>
        <item t="data" sd="1" m="1" x="5962"/>
        <item t="data" sd="1" m="1" x="5963"/>
        <item t="data" sd="1" m="1" x="5964"/>
        <item t="data" sd="1" m="1" x="2866"/>
        <item t="data" sd="1" m="1" x="4604"/>
        <item t="data" sd="1" m="1" x="5965"/>
        <item t="data" sd="1" m="1" x="5966"/>
        <item t="data" sd="1" m="1" x="5967"/>
        <item t="data" sd="1" m="1" x="5342"/>
        <item t="data" sd="1" m="1" x="5598"/>
        <item t="data" sd="1" m="1" x="5599"/>
        <item t="data" sd="1" m="1" x="5968"/>
        <item t="data" sd="1" m="1" x="3688"/>
        <item t="data" sd="1" m="1" x="4038"/>
        <item t="data" sd="1" m="1" x="4707"/>
        <item t="data" sd="1" m="1" x="1924"/>
        <item t="data" sd="1" m="1" x="4643"/>
        <item t="data" sd="1" m="1" x="4065"/>
        <item t="data" sd="1" m="1" x="5559"/>
        <item t="data" sd="1" m="1" x="5969"/>
        <item t="data" sd="1" m="1" x="4989"/>
        <item t="data" sd="1" m="1" x="5970"/>
        <item t="data" sd="1" m="1" x="5614"/>
        <item t="data" sd="1" m="1" x="5615"/>
        <item t="data" sd="1" m="1" x="5616"/>
        <item t="data" sd="1" m="1" x="5617"/>
        <item t="data" sd="1" m="1" x="5618"/>
        <item t="data" sd="1" m="1" x="5619"/>
        <item t="data" sd="1" m="1" x="5620"/>
        <item t="data" sd="1" m="1" x="5621"/>
        <item t="data" sd="1" m="1" x="5622"/>
        <item t="data" sd="1" m="1" x="5623"/>
        <item t="data" sd="1" m="1" x="5971"/>
        <item t="data" sd="1" m="1" x="5972"/>
        <item t="data" sd="1" m="1" x="5973"/>
        <item t="data" sd="1" m="1" x="5974"/>
        <item t="data" sd="1" m="1" x="5560"/>
        <item t="data" sd="1" m="1" x="4087"/>
        <item t="data" sd="1" m="1" x="5561"/>
        <item t="data" sd="1" m="1" x="5975"/>
        <item t="data" sd="1" m="1" x="5976"/>
        <item t="data" sd="1" m="1" x="5977"/>
        <item t="data" sd="1" m="1" x="5978"/>
        <item t="data" sd="1" m="1" x="5979"/>
        <item t="data" sd="1" m="1" x="5980"/>
        <item t="data" sd="1" m="1" x="1934"/>
        <item t="data" sd="1" m="1" x="5981"/>
        <item t="data" sd="1" m="1" x="4176"/>
        <item t="data" sd="1" m="1" x="4178"/>
        <item t="data" sd="1" m="1" x="4179"/>
        <item t="data" sd="1" m="1" x="4180"/>
        <item t="data" sd="1" m="1" x="4168"/>
        <item t="data" sd="1" m="1" x="5476"/>
        <item t="data" sd="1" m="1" x="4551"/>
        <item t="data" sd="1" m="1" x="5982"/>
        <item t="data" sd="1" m="1" x="5983"/>
        <item t="data" sd="1" m="1" x="5984"/>
        <item t="data" sd="1" m="1" x="5661"/>
        <item t="data" sd="1" m="1" x="5664"/>
        <item t="data" sd="1" m="1" x="5662"/>
        <item t="data" sd="1" m="1" x="5660"/>
        <item t="data" sd="1" m="1" x="5658"/>
        <item t="data" sd="1" m="1" x="4574"/>
        <item t="data" sd="1" m="1" x="5985"/>
        <item t="data" sd="1" m="1" x="5986"/>
        <item t="data" sd="1" m="1" x="5987"/>
        <item t="data" sd="1" m="1" x="5988"/>
        <item t="data" sd="1" m="1" x="5989"/>
        <item t="data" sd="1" m="1" x="5990"/>
        <item t="data" sd="1" m="1" x="5991"/>
        <item t="data" sd="1" m="1" x="5992"/>
        <item t="data" sd="1" m="1" x="5993"/>
        <item t="data" sd="1" m="1" x="5994"/>
        <item t="data" sd="1" m="1" x="5680"/>
        <item t="data" sd="1" m="1" x="5995"/>
        <item t="data" sd="1" m="1" x="5996"/>
        <item t="data" sd="1" m="1" x="5997"/>
        <item t="data" sd="1" m="1" x="5998"/>
        <item t="data" sd="1" m="1" x="5999"/>
        <item t="data" sd="1" m="1" x="1942"/>
        <item t="data" sd="1" m="1" x="1943"/>
        <item t="data" sd="1" m="1" x="1944"/>
        <item t="data" sd="1" m="1" x="5696"/>
        <item t="data" sd="1" m="1" x="1945"/>
        <item t="data" sd="1" m="1" x="1946"/>
        <item t="data" sd="1" m="1" x="6000"/>
        <item t="data" sd="1" m="1" x="4575"/>
        <item t="data" sd="1" m="1" x="6001"/>
        <item t="data" sd="1" m="1" x="2477"/>
        <item t="data" sd="1" m="1" x="6002"/>
        <item t="data" sd="1" m="1" x="5205"/>
        <item t="data" sd="1" m="1" x="6003"/>
        <item t="data" sd="1" m="1" x="6004"/>
        <item t="data" sd="1" m="1" x="6005"/>
        <item t="data" sd="1" m="1" x="6006"/>
        <item t="data" sd="1" m="1" x="6007"/>
        <item t="data" sd="1" m="1" x="6008"/>
        <item t="data" sd="1" m="1" x="6009"/>
        <item t="data" sd="1" m="1" x="6010"/>
        <item t="data" sd="1" m="1" x="6011"/>
        <item t="data" sd="1" m="1" x="6012"/>
        <item t="data" sd="1" m="1" x="6013"/>
        <item t="data" sd="1" m="1" x="6014"/>
        <item t="data" sd="1" m="1" x="6015"/>
        <item t="data" sd="1" m="1" x="5675"/>
        <item t="data" sd="1" m="1" x="5257"/>
        <item t="data" sd="1" m="1" x="6016"/>
        <item t="data" sd="1" m="1" x="6017"/>
        <item t="data" sd="1" m="1" x="4100"/>
        <item t="data" sd="1" m="1" x="6018"/>
        <item t="data" sd="1" m="1" x="6019"/>
        <item t="data" sd="1" m="1" x="5327"/>
        <item t="data" sd="1" m="1" x="6020"/>
        <item t="data" sd="1" m="1" x="6021"/>
        <item t="data" sd="1" m="1" x="6022"/>
        <item t="data" sd="1" m="1" x="6023"/>
        <item t="data" sd="1" m="1" x="5318"/>
        <item t="data" sd="1" m="1" x="6024"/>
        <item t="data" sd="1" m="1" x="6025"/>
        <item t="data" sd="1" m="1" x="6026"/>
        <item t="data" sd="1" m="1" x="4717"/>
        <item t="data" sd="1" m="1" x="6027"/>
        <item t="data" sd="1" m="1" x="5220"/>
        <item t="data" sd="1" m="1" x="6028"/>
        <item t="data" sd="1" m="1" x="6029"/>
        <item t="data" sd="1" m="1" x="6030"/>
        <item t="data" sd="1" m="1" x="6031"/>
        <item t="data" sd="1" m="1" x="6032"/>
        <item t="data" sd="1" m="1" x="6033"/>
        <item t="data" sd="1" m="1" x="6034"/>
        <item t="data" sd="1" m="1" x="6037"/>
        <item t="data" sd="1" m="1" x="6038"/>
        <item t="data" sd="1" m="1" x="6039"/>
        <item t="data" sd="1" m="1" x="6040"/>
        <item t="data" sd="1" m="1" x="6041"/>
        <item t="data" sd="1" m="1" x="6042"/>
        <item t="data" sd="1" m="1" x="6043"/>
        <item t="data" sd="1" m="1" x="6044"/>
        <item t="data" sd="1" m="1" x="6045"/>
        <item t="data" sd="1" m="1" x="6046"/>
        <item t="data" sd="1" m="1" x="6047"/>
        <item t="data" sd="1" m="1" x="6048"/>
        <item t="data" sd="1" m="1" x="6049"/>
        <item t="data" sd="1" m="1" x="6050"/>
        <item t="data" sd="1" m="1" x="6051"/>
        <item t="data" sd="1" m="1" x="6052"/>
        <item t="data" sd="1" m="1" x="6053"/>
        <item t="data" sd="1" m="1" x="3877"/>
        <item t="data" sd="1" m="1" x="3878"/>
        <item t="data" sd="1" m="1" x="6054"/>
        <item t="data" sd="1" m="1" x="6055"/>
        <item t="data" sd="1" m="1" x="6056"/>
        <item t="data" sd="1" m="1" x="6057"/>
        <item t="data" sd="1" m="1" x="6058"/>
        <item t="data" sd="1" m="1" x="6059"/>
        <item t="data" sd="1" m="1" x="6060"/>
        <item t="data" sd="1" m="1" x="6061"/>
        <item t="data" sd="1" m="1" x="6062"/>
        <item t="data" sd="1" m="1" x="6063"/>
        <item t="data" sd="1" m="1" x="6064"/>
        <item t="data" sd="1" m="1" x="6065"/>
        <item t="data" sd="1" m="1" x="6066"/>
        <item t="data" sd="1" m="1" x="6067"/>
        <item t="data" sd="1" m="1" x="6068"/>
        <item t="data" sd="1" m="1" x="6069"/>
        <item t="data" sd="1" m="1" x="6070"/>
        <item t="data" sd="1" m="1" x="6071"/>
        <item t="data" sd="1" m="1" x="6072"/>
        <item t="data" sd="1" m="1" x="5325"/>
        <item t="data" sd="1" m="1" x="5326"/>
        <item t="data" sd="1" m="1" x="6073"/>
        <item t="data" sd="1" m="1" x="5550"/>
        <item t="data" sd="1" m="1" x="6074"/>
        <item t="data" sd="1" m="1" x="4181"/>
        <item t="data" sd="1" m="1" x="6075"/>
        <item t="data" sd="1" m="1" x="5595"/>
        <item t="data" sd="1" m="1" x="5596"/>
        <item t="data" sd="1" m="1" x="5532"/>
        <item t="data" sd="1" m="1" x="5533"/>
        <item t="data" sd="1" m="1" x="5534"/>
        <item t="data" sd="1" m="1" x="5535"/>
        <item t="data" sd="1" m="1" x="5536"/>
        <item t="data" sd="1" m="1" x="5537"/>
        <item t="data" sd="1" m="1" x="5538"/>
        <item t="data" sd="1" m="1" x="5539"/>
        <item t="data" sd="1" m="1" x="5540"/>
        <item t="data" sd="1" m="1" x="5259"/>
        <item t="data" sd="1" m="1" x="5541"/>
        <item t="data" sd="1" m="1" x="5256"/>
        <item t="data" sd="1" m="1" x="5262"/>
        <item t="data" sd="1" m="1" x="5251"/>
        <item t="data" sd="1" m="1" x="5542"/>
        <item t="data" sd="1" m="1" x="5543"/>
        <item t="data" sd="1" m="1" x="5544"/>
        <item t="data" sd="1" m="1" x="5545"/>
        <item t="data" sd="1" m="1" x="5546"/>
        <item t="data" sd="1" m="1" x="5547"/>
        <item t="data" sd="1" m="1" x="5548"/>
        <item t="data" sd="1" m="1" x="5549"/>
        <item t="data" sd="1" m="1" x="5282"/>
        <item t="data" sd="1" m="1" x="5274"/>
        <item t="data" sd="1" m="1" x="5276"/>
        <item t="data" sd="1" m="1" x="5110"/>
        <item t="data" sd="1" m="1" x="5277"/>
        <item t="data" sd="1" m="1" x="5278"/>
        <item t="data" sd="1" m="1" x="5275"/>
        <item t="data" sd="1" m="1" x="5099"/>
        <item t="data" sd="1" m="1" x="5100"/>
        <item t="data" sd="1" m="1" x="5101"/>
        <item t="data" sd="1" m="1" x="5285"/>
        <item t="data" sd="1" m="1" x="5288"/>
        <item t="data" sd="1" m="1" x="5102"/>
        <item t="data" sd="1" m="1" x="5286"/>
        <item t="data" sd="1" m="1" x="5273"/>
        <item t="data" sd="1" m="1" x="5097"/>
        <item t="data" sd="1" m="1" x="5098"/>
        <item t="data" sd="1" m="1" x="5280"/>
        <item t="data" sd="1" m="1" x="5281"/>
        <item t="data" sd="1" m="1" x="5279"/>
        <item t="data" sd="1" m="1" x="5287"/>
        <item t="data" sd="1" m="1" x="5103"/>
        <item t="data" sd="1" m="1" x="5289"/>
        <item t="data" sd="1" m="1" x="4347"/>
        <item t="data" sd="1" m="1" x="5290"/>
        <item t="data" sd="1" m="1" x="5264"/>
        <item t="data" sd="1" m="1" x="5291"/>
        <item t="data" sd="1" m="1" x="5292"/>
        <item t="data" sd="1" m="1" x="5551"/>
        <item t="data" sd="1" m="1" x="5298"/>
        <item t="data" sd="1" m="1" x="4650"/>
        <item t="data" sd="1" m="1" x="4651"/>
        <item t="data" sd="1" m="1" x="5299"/>
        <item t="data" sd="1" m="1" x="4991"/>
        <item t="data" sd="1" m="1" x="4998"/>
        <item t="data" sd="1" m="1" x="5557"/>
        <item t="data" sd="1" m="1" x="5130"/>
        <item t="data" sd="1" m="1" x="5131"/>
        <item t="data" sd="1" m="1" x="5563"/>
        <item t="data" sd="1" m="1" x="5564"/>
        <item t="data" sd="1" m="1" x="5571"/>
        <item t="data" sd="1" m="1" x="5572"/>
        <item t="data" sd="1" m="1" x="5573"/>
        <item t="data" sd="1" m="1" x="5574"/>
        <item t="data" sd="1" m="1" x="5314"/>
        <item t="data" sd="1" m="1" x="5575"/>
        <item t="data" sd="1" m="1" x="5315"/>
        <item t="data" sd="1" m="1" x="5576"/>
        <item t="data" sd="1" m="1" x="5578"/>
        <item t="data" sd="1" m="1" x="4510"/>
        <item t="data" sd="1" m="1" x="4376"/>
        <item t="data" sd="1" m="1" x="5152"/>
        <item t="data" sd="1" m="1" x="5153"/>
        <item t="data" sd="1" m="1" x="5154"/>
        <item t="data" sd="1" m="1" x="5156"/>
        <item t="data" sd="1" m="1" x="5157"/>
        <item t="data" sd="1" m="1" x="1960"/>
        <item t="data" sd="1" m="1" x="5579"/>
        <item t="data" sd="1" m="1" x="5580"/>
        <item t="data" sd="1" m="1" x="5581"/>
        <item t="data" sd="1" m="1" x="1957"/>
        <item t="data" sd="1" m="1" x="1958"/>
        <item t="data" sd="1" m="1" x="1959"/>
        <item t="data" sd="1" m="1" x="1931"/>
        <item t="data" sd="1" m="1" x="1932"/>
        <item t="data" sd="1" m="1" x="5589"/>
        <item t="data" sd="1" m="1" x="5590"/>
        <item t="data" sd="1" m="1" x="4706"/>
        <item t="data" sd="1" m="1" x="5591"/>
        <item t="data" sd="1" m="1" x="3730"/>
        <item t="data" sd="1" m="1" x="3731"/>
        <item t="data" sd="1" m="1" x="3734"/>
        <item t="data" sd="1" m="1" x="5592"/>
        <item t="data" sd="1" m="1" x="3732"/>
        <item t="data" sd="1" m="1" x="3733"/>
        <item t="data" sd="1" m="1" x="5323"/>
        <item t="data" sd="1" m="1" x="5593"/>
        <item t="data" sd="1" m="1" x="5334"/>
        <item t="data" sd="1" m="1" x="5335"/>
        <item t="data" sd="1" m="1" x="5332"/>
        <item t="data" sd="1" m="1" x="5333"/>
        <item t="data" sd="1" m="1" x="5343"/>
        <item t="data" sd="1" m="1" x="5594"/>
        <item t="data" sd="1" m="1" x="5597"/>
        <item t="data" sd="1" m="1" x="5600"/>
        <item t="data" sd="1" m="1" x="5601"/>
        <item t="data" sd="1" m="1" x="5602"/>
        <item t="data" sd="1" m="1" x="5603"/>
        <item t="data" sd="1" m="1" x="5604"/>
        <item t="data" sd="1" m="1" x="4394"/>
        <item t="data" sd="1" m="1" x="5606"/>
        <item t="data" sd="1" m="1" x="5344"/>
        <item t="data" sd="1" m="1" x="5345"/>
        <item t="data" sd="1" m="1" x="3284"/>
        <item t="data" sd="1" m="1" x="5607"/>
        <item t="data" sd="1" m="1" x="5609"/>
        <item t="data" sd="1" m="1" x="5611"/>
        <item t="data" sd="1" m="1" x="5628"/>
        <item t="data" sd="1" m="1" x="3748"/>
        <item t="data" sd="1" m="1" x="5632"/>
        <item t="data" sd="1" m="1" x="5633"/>
        <item t="data" sd="1" m="1" x="5175"/>
        <item t="data" sd="1" m="1" x="4778"/>
        <item t="data" sd="1" m="1" x="5390"/>
        <item t="data" sd="1" m="1" x="5391"/>
        <item t="data" sd="1" m="1" x="5392"/>
        <item t="data" sd="1" m="1" x="5353"/>
        <item t="data" sd="1" m="1" x="5352"/>
        <item t="data" sd="1" m="1" x="5389"/>
        <item t="data" sd="1" m="1" x="5459"/>
        <item t="data" sd="1" m="1" x="5460"/>
        <item t="data" sd="1" m="1" x="5461"/>
        <item t="data" sd="1" m="1" x="5462"/>
        <item t="data" sd="1" m="1" x="5463"/>
        <item t="data" sd="1" m="1" x="5464"/>
        <item t="data" sd="1" m="1" x="5465"/>
        <item t="data" sd="1" m="1" x="5348"/>
        <item t="data" sd="1" m="1" x="5350"/>
        <item t="data" sd="1" m="1" x="5351"/>
        <item t="data" sd="1" m="1" x="5349"/>
        <item t="data" sd="1" m="1" x="5388"/>
        <item t="data" sd="1" m="1" x="5369"/>
        <item t="data" sd="1" m="1" x="5368"/>
        <item t="data" sd="1" m="1" x="5418"/>
        <item t="data" sd="1" m="1" x="5396"/>
        <item t="data" sd="1" m="1" x="5394"/>
        <item t="data" sd="1" m="1" x="5419"/>
        <item t="data" sd="1" m="1" x="5420"/>
        <item t="data" sd="1" m="1" x="5395"/>
        <item t="data" sd="1" m="1" x="5397"/>
        <item t="data" sd="1" m="1" x="5398"/>
        <item t="data" sd="1" m="1" x="5399"/>
        <item t="data" sd="1" m="1" x="5400"/>
        <item t="data" sd="1" m="1" x="5409"/>
        <item t="data" sd="1" m="1" x="5410"/>
        <item t="data" sd="1" m="1" x="5411"/>
        <item t="data" sd="1" m="1" x="5444"/>
        <item t="data" sd="1" m="1" x="5445"/>
        <item t="data" sd="1" m="1" x="5446"/>
        <item t="data" sd="1" m="1" x="5447"/>
        <item t="data" sd="1" m="1" x="5448"/>
        <item t="data" sd="1" m="1" x="5449"/>
        <item t="data" sd="1" m="1" x="5450"/>
        <item t="data" sd="1" m="1" x="5424"/>
        <item t="data" sd="1" m="1" x="5425"/>
        <item t="data" sd="1" m="1" x="5426"/>
        <item t="data" sd="1" m="1" x="5427"/>
        <item t="data" sd="1" m="1" x="5428"/>
        <item t="data" sd="1" m="1" x="5429"/>
        <item t="data" sd="1" m="1" x="5430"/>
        <item t="data" sd="1" m="1" x="5431"/>
        <item t="data" sd="1" m="1" x="5432"/>
        <item t="data" sd="1" m="1" x="5433"/>
        <item t="data" sd="1" m="1" x="5434"/>
        <item t="data" sd="1" m="1" x="5435"/>
        <item t="data" sd="1" m="1" x="5436"/>
        <item t="data" sd="1" m="1" x="5437"/>
        <item t="data" sd="1" m="1" x="5438"/>
        <item t="data" sd="1" m="1" x="5439"/>
        <item t="data" sd="1" m="1" x="5440"/>
        <item t="data" sd="1" m="1" x="5441"/>
        <item t="data" sd="1" m="1" x="5442"/>
        <item t="data" sd="1" m="1" x="5443"/>
        <item t="data" sd="1" m="1" x="5401"/>
        <item t="data" sd="1" m="1" x="5402"/>
        <item t="data" sd="1" m="1" x="5403"/>
        <item t="data" sd="1" m="1" x="5404"/>
        <item t="data" sd="1" m="1" x="5405"/>
        <item t="data" sd="1" m="1" x="5406"/>
        <item t="data" sd="1" m="1" x="5421"/>
        <item t="data" sd="1" m="1" x="5422"/>
        <item t="data" sd="1" m="1" x="5423"/>
        <item t="data" sd="1" m="1" x="4785"/>
        <item t="data" sd="1" m="1" x="4786"/>
        <item t="data" sd="1" m="1" x="4784"/>
        <item t="data" sd="1" m="1" x="4782"/>
        <item t="data" sd="1" m="1" x="4783"/>
        <item t="data" sd="1" m="1" x="4787"/>
        <item t="data" sd="1" m="1" x="4788"/>
        <item t="data" sd="1" m="1" x="4789"/>
        <item t="data" sd="1" m="1" x="4790"/>
        <item t="data" sd="1" m="1" x="5467"/>
        <item t="data" sd="1" m="1" x="5472"/>
        <item t="data" sd="1" m="1" x="5468"/>
        <item t="data" sd="1" m="1" x="5473"/>
        <item t="data" sd="1" m="1" x="5470"/>
        <item t="data" sd="1" m="1" x="5471"/>
        <item t="data" sd="1" m="1" x="5474"/>
        <item t="data" sd="1" m="1" x="5634"/>
        <item t="data" sd="1" m="1" x="5469"/>
        <item t="data" sd="1" m="1" x="5451"/>
        <item t="data" sd="1" m="1" x="5452"/>
        <item t="data" sd="1" m="1" x="4770"/>
        <item t="data" sd="1" m="1" x="4771"/>
        <item t="data" sd="1" m="1" x="4772"/>
        <item t="data" sd="1" m="1" x="4773"/>
        <item t="data" sd="1" m="1" x="4774"/>
        <item t="data" sd="1" m="1" x="5456"/>
        <item t="data" sd="1" m="1" x="5635"/>
        <item t="data" sd="1" m="1" x="5453"/>
        <item t="data" sd="1" m="1" x="5455"/>
        <item t="data" sd="1" m="1" x="5454"/>
        <item t="data" sd="1" m="1" x="5457"/>
        <item t="data" sd="1" m="1" x="2480"/>
        <item t="data" sd="1" m="1" x="2481"/>
        <item t="data" sd="1" m="1" x="4540"/>
        <item t="data" sd="1" m="1" x="5176"/>
        <item t="data" sd="1" m="1" x="5637"/>
        <item t="data" sd="1" m="1" x="5638"/>
        <item t="data" sd="1" m="1" x="5475"/>
        <item t="data" sd="1" m="1" x="5639"/>
        <item t="data" sd="1" m="1" x="4177"/>
        <item t="data" sd="1" m="1" x="2482"/>
        <item t="data" sd="1" m="1" x="2478"/>
        <item t="data" sd="1" m="1" x="5178"/>
        <item t="data" sd="1" m="1" x="5179"/>
        <item t="data" sd="1" m="1" x="5640"/>
        <item t="data" sd="1" m="1" x="5499"/>
        <item t="data" sd="1" m="1" x="5506"/>
        <item t="data" sd="1" m="1" x="5643"/>
        <item t="data" sd="1" m="1" x="5505"/>
        <item t="data" sd="1" m="1" x="5508"/>
        <item t="data" sd="1" m="1" x="5507"/>
        <item t="data" sd="1" m="1" x="4220"/>
        <item t="data" sd="1" m="1" x="5644"/>
        <item t="data" sd="1" m="1" x="5509"/>
        <item t="data" sd="1" m="1" x="4814"/>
        <item t="data" sd="1" m="1" x="2916"/>
        <item t="data" sd="1" m="1" x="5510"/>
        <item t="data" sd="1" m="1" x="5645"/>
        <item t="data" sd="1" m="1" x="5646"/>
        <item t="data" sd="1" m="1" x="5191"/>
        <item t="data" sd="1" m="1" x="5190"/>
        <item t="data" sd="1" m="1" x="5192"/>
        <item t="data" sd="1" m="1" x="5188"/>
        <item t="data" sd="1" m="1" x="5189"/>
        <item t="data" sd="1" m="1" x="5480"/>
        <item t="data" sd="1" m="1" x="5481"/>
        <item t="data" sd="1" m="1" x="5187"/>
        <item t="data" sd="1" m="1" x="5482"/>
        <item t="data" sd="1" m="1" x="5647"/>
        <item t="data" sd="1" m="1" x="5487"/>
        <item t="data" sd="1" m="1" x="5488"/>
        <item t="data" sd="1" m="1" x="5489"/>
        <item t="data" sd="1" m="1" x="4239"/>
        <item t="data" sd="1" m="1" x="4240"/>
        <item t="data" sd="1" m="1" x="5498"/>
        <item t="data" sd="1" m="1" x="4242"/>
        <item t="data" sd="1" m="1" x="4243"/>
        <item t="data" sd="1" m="1" x="4241"/>
        <item t="data" sd="1" m="1" x="5497"/>
        <item t="data" sd="1" m="1" x="4238"/>
        <item t="data" sd="1" m="1" x="5486"/>
        <item t="data" sd="1" m="1" x="5648"/>
        <item t="data" sd="1" m="1" x="5649"/>
        <item t="data" sd="1" m="1" x="5650"/>
        <item t="data" sd="1" m="1" x="5651"/>
        <item t="data" sd="1" m="1" x="5652"/>
        <item t="data" sd="1" m="1" x="5653"/>
        <item t="data" sd="1" m="1" x="5492"/>
        <item t="data" sd="1" m="1" x="5493"/>
        <item t="data" sd="1" m="1" x="5494"/>
        <item t="data" sd="1" m="1" x="5496"/>
        <item t="data" sd="1" m="1" x="5495"/>
        <item t="data" sd="1" m="1" x="4237"/>
        <item t="data" sd="1" m="1" x="5654"/>
        <item t="data" sd="1" m="1" x="5655"/>
        <item t="data" sd="1" m="1" x="1933"/>
        <item t="data" sd="1" m="1" x="5656"/>
        <item t="data" sd="1" m="1" x="5657"/>
        <item t="data" sd="1" m="1" x="5523"/>
        <item t="data" sd="1" m="1" x="4572"/>
        <item t="data" sd="1" m="1" x="5201"/>
        <item t="data" sd="1" m="1" x="5202"/>
        <item t="data" sd="1" m="1" x="5665"/>
        <item t="data" sd="1" m="1" x="5524"/>
        <item t="data" sd="1" m="1" x="5525"/>
        <item t="data" sd="1" m="1" x="5667"/>
        <item t="data" sd="1" m="1" x="1972"/>
        <item t="data" sd="1" m="1" x="5668"/>
        <item t="data" sd="1" m="1" x="5669"/>
        <item t="data" sd="1" m="1" x="5670"/>
        <item t="data" sd="1" m="1" x="5206"/>
        <item t="data" sd="1" m="1" x="5671"/>
        <item t="data" sd="1" m="1" x="5672"/>
        <item t="data" sd="1" m="1" x="5673"/>
        <item t="data" sd="1" m="1" x="5676"/>
        <item t="data" sd="1" m="1" x="5677"/>
        <item t="data" sd="1" m="1" x="5678"/>
        <item t="data" sd="1" m="1" x="5679"/>
        <item t="data" sd="1" m="1" x="5690"/>
        <item t="data" sd="1" m="1" x="5691"/>
        <item t="data" sd="1" m="1" x="5692"/>
        <item t="data" sd="1" m="1" x="5693"/>
        <item t="data" sd="1" m="1" x="5694"/>
        <item t="data" sd="1" m="1" x="5695"/>
        <item t="data" sd="1" m="1" x="5529"/>
        <item t="data" sd="1" m="1" x="5530"/>
        <item t="data" sd="1" m="1" x="5699"/>
        <item t="data" sd="1" m="1" x="5703"/>
        <item t="data" sd="1" m="1" x="5704"/>
        <item t="data" sd="1" m="1" x="5705"/>
        <item t="data" sd="1" m="1" x="5706"/>
        <item t="data" sd="1" m="1" x="5707"/>
        <item t="data" sd="1" m="1" x="5712"/>
        <item t="data" sd="1" m="1" x="5216"/>
        <item t="data" sd="1" m="1" x="5058"/>
        <item t="data" sd="1" m="1" x="5218"/>
        <item t="data" sd="1" m="1" x="5075"/>
        <item t="data" sd="1" m="1" x="5076"/>
        <item t="data" sd="1" m="1" x="3814"/>
        <item t="data" sd="1" m="1" x="5219"/>
        <item t="data" sd="1" m="1" x="5226"/>
        <item t="data" sd="1" m="1" x="5227"/>
        <item t="data" sd="1" m="1" x="5228"/>
        <item t="data" sd="1" m="1" x="5229"/>
        <item t="data" sd="1" m="1" x="5230"/>
        <item t="data" sd="1" m="1" x="5231"/>
        <item t="data" sd="1" m="1" x="5232"/>
        <item t="data" sd="1" m="1" x="5233"/>
        <item t="data" sd="1" m="1" x="5234"/>
        <item t="data" sd="1" m="1" x="5235"/>
        <item t="data" sd="1" m="1" x="5236"/>
        <item t="data" sd="1" m="1" x="5237"/>
        <item t="data" sd="1" m="1" x="5238"/>
        <item t="data" sd="1" m="1" x="5239"/>
        <item t="data" sd="1" m="1" x="5240"/>
        <item t="data" sd="1" m="1" x="5241"/>
        <item t="data" sd="1" m="1" x="5242"/>
        <item t="data" sd="1" m="1" x="5243"/>
        <item t="data" sd="1" m="1" x="4601"/>
        <item t="data" sd="1" m="1" x="5244"/>
        <item t="data" sd="1" m="1" x="5245"/>
        <item t="data" sd="1" m="1" x="5246"/>
        <item t="data" sd="1" m="1" x="5247"/>
        <item t="data" sd="1" m="1" x="5248"/>
        <item t="data" sd="1" m="1" x="5249"/>
        <item t="data" sd="1" m="1" x="5250"/>
        <item t="data" sd="1" m="1" x="4043"/>
        <item t="data" sd="1" m="1" x="5252"/>
        <item t="data" sd="1" m="1" x="5253"/>
        <item t="data" sd="1" m="1" x="5078"/>
        <item t="data" sd="1" m="1" x="4605"/>
        <item t="data" sd="1" m="1" x="2882"/>
        <item t="data" sd="1" m="1" x="5258"/>
        <item t="data" sd="1" m="1" x="5260"/>
        <item t="data" sd="1" m="1" x="5261"/>
        <item t="data" sd="1" m="1" x="5263"/>
        <item t="data" sd="1" m="1" x="5265"/>
        <item t="data" sd="1" m="1" x="5088"/>
        <item t="data" sd="1" m="1" x="5089"/>
        <item t="data" sd="1" m="1" x="5266"/>
        <item t="data" sd="1" m="1" x="5267"/>
        <item t="data" sd="1" m="1" x="5268"/>
        <item t="data" sd="1" m="1" x="4954"/>
        <item t="data" sd="1" m="1" x="4953"/>
        <item t="data" sd="1" m="1" x="5090"/>
        <item t="data" sd="1" m="1" x="5091"/>
        <item t="data" sd="1" m="1" x="5269"/>
        <item t="data" sd="1" m="1" x="5095"/>
        <item t="data" sd="1" m="1" x="5096"/>
        <item t="data" sd="1" m="1" x="5270"/>
        <item t="data" sd="1" m="1" x="5271"/>
        <item t="data" sd="1" m="1" x="5272"/>
        <item t="data" sd="1" m="1" x="5092"/>
        <item t="data" sd="1" m="1" x="5104"/>
        <item t="data" sd="1" m="1" x="5105"/>
        <item t="data" sd="1" m="1" x="5106"/>
        <item t="data" sd="1" m="1" x="5107"/>
        <item t="data" sd="1" m="1" x="5108"/>
        <item t="data" sd="1" m="1" x="5109"/>
        <item t="data" sd="1" m="1" x="5283"/>
        <item t="data" sd="1" m="1" x="5284"/>
        <item t="data" sd="1" m="1" x="5093"/>
        <item t="data" sd="1" m="1" x="5094"/>
        <item t="data" sd="1" m="1" x="4346"/>
        <item t="data" sd="1" m="1" x="1925"/>
        <item t="data" sd="1" m="1" x="4064"/>
        <item t="data" sd="1" m="1" x="4642"/>
        <item t="data" sd="1" m="1" x="5293"/>
        <item t="data" sd="1" m="1" x="5294"/>
        <item t="data" sd="1" m="1" x="5297"/>
        <item t="data" sd="1" m="1" x="5300"/>
        <item t="data" sd="1" m="1" x="2021"/>
        <item t="data" sd="1" m="1" x="5302"/>
        <item t="data" sd="1" m="1" x="4990"/>
        <item t="data" sd="1" m="1" x="4661"/>
        <item t="data" sd="1" m="1" x="4993"/>
        <item t="data" sd="1" m="1" x="4994"/>
        <item t="data" sd="1" m="1" x="4995"/>
        <item t="data" sd="1" m="1" x="4996"/>
        <item t="data" sd="1" m="1" x="4997"/>
        <item t="data" sd="1" m="1" x="4660"/>
        <item t="data" sd="1" m="1" x="4090"/>
        <item t="data" sd="1" m="1" x="5303"/>
        <item t="data" sd="1" m="1" x="5304"/>
        <item t="data" sd="1" m="1" x="5305"/>
        <item t="data" sd="1" m="1" x="5306"/>
        <item t="data" sd="1" m="1" x="4663"/>
        <item t="data" sd="1" m="1" x="5307"/>
        <item t="data" sd="1" m="1" x="5308"/>
        <item t="data" sd="1" m="1" x="3881"/>
        <item t="data" sd="1" m="1" x="5123"/>
        <item t="data" sd="1" m="1" x="5310"/>
        <item t="data" sd="1" m="1" x="5311"/>
        <item t="data" sd="1" m="1" x="5312"/>
        <item t="data" sd="1" m="1" x="5313"/>
        <item t="data" sd="1" m="1" x="4679"/>
        <item t="data" sd="1" m="1" x="5147"/>
        <item t="data" sd="1" m="1" x="5151"/>
        <item t="data" sd="1" m="1" x="4095"/>
        <item t="data" sd="1" m="1" x="4675"/>
        <item t="data" sd="1" m="1" x="4678"/>
        <item t="data" sd="1" m="1" x="4511"/>
        <item t="data" sd="1" m="1" x="4695"/>
        <item t="data" sd="1" m="1" x="4688"/>
        <item t="data" sd="1" m="1" x="1962"/>
        <item t="data" sd="1" m="1" x="1961"/>
        <item t="data" sd="1" m="1" x="5320"/>
        <item t="data" sd="1" m="1" x="5321"/>
        <item t="data" sd="1" m="1" x="5331"/>
        <item t="data" sd="1" m="1" x="5160"/>
        <item t="data" sd="1" m="1" x="5161"/>
        <item t="data" sd="1" m="1" x="5336"/>
        <item t="data" sd="1" m="1" x="5162"/>
        <item t="data" sd="1" m="1" x="5337"/>
        <item t="data" sd="1" m="1" x="5338"/>
        <item t="data" sd="1" m="1" x="5339"/>
        <item t="data" sd="1" m="1" x="5340"/>
        <item t="data" sd="1" m="1" x="5341"/>
        <item t="data" sd="1" m="1" x="5169"/>
        <item t="data" sd="1" m="1" x="5165"/>
        <item t="data" sd="1" m="1" x="4530"/>
        <item t="data" sd="1" m="1" x="3933"/>
        <item t="data" sd="1" m="1" x="4753"/>
        <item t="data" sd="1" m="1" x="4731"/>
        <item t="data" sd="1" m="1" x="5172"/>
        <item t="data" sd="1" m="1" x="4751"/>
        <item t="data" sd="1" m="1" x="5173"/>
        <item t="data" sd="1" m="1" x="4752"/>
        <item t="data" sd="1" m="1" x="4750"/>
        <item t="data" sd="1" m="1" x="5346"/>
        <item t="data" sd="1" m="1" x="3949"/>
        <item t="data" sd="1" m="1" x="3948"/>
        <item t="data" sd="1" m="1" x="4763"/>
        <item t="data" sd="1" m="1" x="4766"/>
        <item t="data" sd="1" m="1" x="5354"/>
        <item t="data" sd="1" m="1" x="5355"/>
        <item t="data" sd="1" m="1" x="5356"/>
        <item t="data" sd="1" m="1" x="5357"/>
        <item t="data" sd="1" m="1" x="5358"/>
        <item t="data" sd="1" m="1" x="5359"/>
        <item t="data" sd="1" m="1" x="5360"/>
        <item t="data" sd="1" m="1" x="5361"/>
        <item t="data" sd="1" m="1" x="5362"/>
        <item t="data" sd="1" m="1" x="5363"/>
        <item t="data" sd="1" m="1" x="5364"/>
        <item t="data" sd="1" m="1" x="5365"/>
        <item t="data" sd="1" m="1" x="5366"/>
        <item t="data" sd="1" m="1" x="5367"/>
        <item t="data" sd="1" m="1" x="5370"/>
        <item t="data" sd="1" m="1" x="5371"/>
        <item t="data" sd="1" m="1" x="5372"/>
        <item t="data" sd="1" m="1" x="5373"/>
        <item t="data" sd="1" m="1" x="5374"/>
        <item t="data" sd="1" m="1" x="5375"/>
        <item t="data" sd="1" m="1" x="5376"/>
        <item t="data" sd="1" m="1" x="5377"/>
        <item t="data" sd="1" m="1" x="5378"/>
        <item t="data" sd="1" m="1" x="5379"/>
        <item t="data" sd="1" m="1" x="5380"/>
        <item t="data" sd="1" m="1" x="5381"/>
        <item t="data" sd="1" m="1" x="5382"/>
        <item t="data" sd="1" m="1" x="5383"/>
        <item t="data" sd="1" m="1" x="5384"/>
        <item t="data" sd="1" m="1" x="5385"/>
        <item t="data" sd="1" m="1" x="5386"/>
        <item t="data" sd="1" m="1" x="5387"/>
        <item t="data" sd="1" m="1" x="5393"/>
        <item t="data" sd="1" m="1" x="5407"/>
        <item t="data" sd="1" m="1" x="5408"/>
        <item t="data" sd="1" m="1" x="5412"/>
        <item t="data" sd="1" m="1" x="5413"/>
        <item t="data" sd="1" m="1" x="5414"/>
        <item t="data" sd="1" m="1" x="5415"/>
        <item t="data" sd="1" m="1" x="5416"/>
        <item t="data" sd="1" m="1" x="5417"/>
        <item t="data" sd="1" m="1" x="4768"/>
        <item t="data" sd="1" m="1" x="4769"/>
        <item t="data" sd="1" m="1" x="4779"/>
        <item t="data" sd="1" m="1" x="4780"/>
        <item t="data" sd="1" m="1" x="5466"/>
        <item t="data" sd="1" m="1" x="4781"/>
        <item t="data" sd="1" m="1" x="4797"/>
        <item t="data" sd="1" m="1" x="4798"/>
        <item t="data" sd="1" m="1" x="4801"/>
        <item t="data" sd="1" m="1" x="4204"/>
        <item t="data" sd="1" m="1" x="4209"/>
        <item t="data" sd="1" m="1" x="4169"/>
        <item t="data" sd="1" m="1" x="5182"/>
        <item t="data" sd="1" m="1" x="5477"/>
        <item t="data" sd="1" m="1" x="5478"/>
        <item t="data" sd="1" m="1" x="5479"/>
        <item t="data" sd="1" m="1" x="5186"/>
        <item t="data" sd="1" m="1" x="5483"/>
        <item t="data" sd="1" m="1" x="5484"/>
        <item t="data" sd="1" m="1" x="5485"/>
        <item t="data" sd="1" m="1" x="2933"/>
        <item t="data" sd="1" m="1" x="5491"/>
        <item t="data" sd="1" m="1" x="4236"/>
        <item t="data" sd="1" m="1" x="5500"/>
        <item t="data" sd="1" m="1" x="5501"/>
        <item t="data" sd="1" m="1" x="5502"/>
        <item t="data" sd="1" m="1" x="5503"/>
        <item t="data" sd="1" m="1" x="5504"/>
        <item t="data" sd="1" m="1" x="5511"/>
        <item t="data" sd="1" m="1" x="5512"/>
        <item t="data" sd="1" m="1" x="5513"/>
        <item t="data" sd="1" m="1" x="5514"/>
        <item t="data" sd="1" m="1" x="5515"/>
        <item t="data" sd="1" m="1" x="5516"/>
        <item t="data" sd="1" m="1" x="5517"/>
        <item t="data" sd="1" m="1" x="5518"/>
        <item t="data" sd="1" m="1" x="5519"/>
        <item t="data" sd="1" m="1" x="4837"/>
        <item t="data" sd="1" m="1" x="4836"/>
        <item t="data" sd="1" m="1" x="5520"/>
        <item t="data" sd="1" m="1" x="5521"/>
        <item t="data" sd="1" m="1" x="5522"/>
        <item t="data" sd="1" m="1" x="5195"/>
        <item t="data" sd="1" m="1" x="3494"/>
        <item t="data" sd="1" m="1" x="5198"/>
        <item t="data" sd="1" m="1" x="1937"/>
        <item t="data" sd="1" m="1" x="4269"/>
        <item t="data" sd="1" m="1" x="4843"/>
        <item t="data" sd="1" m="1" x="5204"/>
        <item t="data" sd="1" m="1" x="4849"/>
        <item t="data" sd="1" m="1" x="4579"/>
        <item t="data" sd="1" m="1" x="4580"/>
        <item t="data" sd="1" m="1" x="4862"/>
        <item t="data" sd="1" m="1" x="4863"/>
        <item t="data" sd="1" m="1" x="4864"/>
        <item t="data" sd="1" m="1" x="4865"/>
        <item t="data" sd="1" m="1" x="4858"/>
        <item t="data" sd="1" m="1" x="4859"/>
        <item t="data" sd="1" m="1" x="4274"/>
        <item t="data" sd="1" m="1" x="4277"/>
        <item t="data" sd="1" m="1" x="4878"/>
        <item t="data" sd="1" m="1" x="4879"/>
        <item t="data" sd="1" m="1" x="4880"/>
        <item t="data" sd="1" m="1" x="4002"/>
        <item t="data" sd="1" m="1" x="5526"/>
        <item t="data" sd="1" m="1" x="1947"/>
        <item t="data" sd="1" m="1" x="1948"/>
        <item t="data" sd="1" m="1" x="5527"/>
        <item t="data" sd="1" m="1" x="5528"/>
        <item t="data" sd="1" m="1" x="4899"/>
        <item t="data" sd="1" m="1" x="5531"/>
        <item t="data" sd="1" m="1" x="4897"/>
        <item t="data" sd="1" m="1" x="5214"/>
        <item t="data" sd="1" m="1" x="5215"/>
        <item t="data" sd="1" m="1" x="4903"/>
        <item t="data" sd="1" m="1" x="4904"/>
        <item t="data" sd="1" m="1" x="4905"/>
        <item t="data" sd="1" m="1" x="4906"/>
        <item t="data" sd="1" m="1" x="4907"/>
        <item t="data" sd="1" m="1" x="4908"/>
        <item t="data" sd="1" m="1" x="4909"/>
        <item t="data" sd="1" m="1" x="5059"/>
        <item t="data" sd="1" m="1" x="5060"/>
        <item t="data" sd="1" m="1" x="5061"/>
        <item t="data" sd="1" m="1" x="5062"/>
        <item t="data" sd="1" m="1" x="5063"/>
        <item t="data" sd="1" m="1" x="5064"/>
        <item t="data" sd="1" m="1" x="5065"/>
        <item t="data" sd="1" m="1" x="5066"/>
        <item t="data" sd="1" m="1" x="4596"/>
        <item t="data" sd="1" m="1" x="5067"/>
        <item t="data" sd="1" m="1" x="5068"/>
        <item t="data" sd="1" m="1" x="5069"/>
        <item t="data" sd="1" m="1" x="5070"/>
        <item t="data" sd="1" m="1" x="5071"/>
        <item t="data" sd="1" m="1" x="5072"/>
        <item t="data" sd="1" m="1" x="5073"/>
        <item t="data" sd="1" m="1" x="5074"/>
        <item t="data" sd="1" m="1" x="5077"/>
        <item t="data" sd="1" m="1" x="5079"/>
        <item t="data" sd="1" m="1" x="5080"/>
        <item t="data" sd="1" m="1" x="4933"/>
        <item t="data" sd="1" m="1" x="5081"/>
        <item t="data" sd="1" m="1" x="5082"/>
        <item t="data" sd="1" m="1" x="5083"/>
        <item t="data" sd="1" m="1" x="5084"/>
        <item t="data" sd="1" m="1" x="5085"/>
        <item t="data" sd="1" m="1" x="5086"/>
        <item t="data" sd="1" m="1" x="5087"/>
        <item t="data" sd="1" m="1" x="5111"/>
        <item t="data" sd="1" m="1" x="4975"/>
        <item t="data" sd="1" m="1" x="4973"/>
        <item t="data" sd="1" m="1" x="4974"/>
        <item t="data" sd="1" m="1" x="4957"/>
        <item t="data" sd="1" m="1" x="5112"/>
        <item t="data" sd="1" m="1" x="4958"/>
        <item t="data" sd="1" m="1" x="4959"/>
        <item t="data" sd="1" m="1" x="4960"/>
        <item t="data" sd="1" m="1" x="4961"/>
        <item t="data" sd="1" m="1" x="4962"/>
        <item t="data" sd="1" m="1" x="5113"/>
        <item t="data" sd="1" m="1" x="4963"/>
        <item t="data" sd="1" m="1" x="4964"/>
        <item t="data" sd="1" m="1" x="4965"/>
        <item t="data" sd="1" m="1" x="4966"/>
        <item t="data" sd="1" m="1" x="5114"/>
        <item t="data" sd="1" m="1" x="4967"/>
        <item t="data" sd="1" m="1" x="5115"/>
        <item t="data" sd="1" m="1" x="4968"/>
        <item t="data" sd="1" m="1" x="5116"/>
        <item t="data" sd="1" m="1" x="4969"/>
        <item t="data" sd="1" m="1" x="5117"/>
        <item t="data" sd="1" m="1" x="4970"/>
        <item t="data" sd="1" m="1" x="5118"/>
        <item t="data" sd="1" m="1" x="4971"/>
        <item t="data" sd="1" m="1" x="4972"/>
        <item t="data" sd="1" m="1" x="4955"/>
        <item t="data" sd="1" m="1" x="5119"/>
        <item t="data" sd="1" m="1" x="4956"/>
        <item t="data" sd="1" m="1" x="5120"/>
        <item t="data" sd="1" m="1" x="5121"/>
        <item t="data" sd="1" m="1" x="4613"/>
        <item t="data" sd="1" m="1" x="4614"/>
        <item t="data" sd="1" m="1" x="5122"/>
        <item t="data" sd="1" m="1" x="4988"/>
        <item t="data" sd="1" m="1" x="4659"/>
        <item t="data" sd="1" m="1" x="4654"/>
        <item t="data" sd="1" m="1" x="4655"/>
        <item t="data" sd="1" m="1" x="4656"/>
        <item t="data" sd="1" m="1" x="4657"/>
        <item t="data" sd="1" m="1" x="4669"/>
        <item t="data" sd="1" m="1" x="4670"/>
        <item t="data" sd="1" m="1" x="4671"/>
        <item t="data" sd="1" m="1" x="4664"/>
        <item t="data" sd="1" m="1" x="4665"/>
        <item t="data" sd="1" m="1" x="4666"/>
        <item t="data" sd="1" m="1" x="4667"/>
        <item t="data" sd="1" m="1" x="4668"/>
        <item t="data" sd="1" m="1" x="5124"/>
        <item t="data" sd="1" m="1" x="5125"/>
        <item t="data" sd="1" m="1" x="5126"/>
        <item t="data" sd="1" m="1" x="5127"/>
        <item t="data" sd="1" m="1" x="5128"/>
        <item t="data" sd="1" m="1" x="4683"/>
        <item t="data" sd="1" m="1" x="4681"/>
        <item t="data" sd="1" m="1" x="4682"/>
        <item t="data" sd="1" m="1" x="5148"/>
        <item t="data" sd="1" m="1" x="5150"/>
        <item t="data" sd="1" m="1" x="4673"/>
        <item t="data" sd="1" m="1" x="4099"/>
        <item t="data" sd="1" m="1" x="5155"/>
        <item t="data" sd="1" m="1" x="1990"/>
        <item t="data" sd="1" m="1" x="1991"/>
        <item t="data" sd="1" m="1" x="4696"/>
        <item t="data" sd="1" m="1" x="4694"/>
        <item t="data" sd="1" m="1" x="5005"/>
        <item t="data" sd="1" m="1" x="5158"/>
        <item t="data" sd="1" m="1" x="5159"/>
        <item t="data" sd="1" m="1" x="5163"/>
        <item t="data" sd="1" m="1" x="5164"/>
        <item t="data" sd="1" m="1" x="5166"/>
        <item t="data" sd="1" m="1" x="5167"/>
        <item t="data" sd="1" m="1" x="5168"/>
        <item t="data" sd="1" m="1" x="5170"/>
        <item t="data" sd="1" m="1" x="5171"/>
        <item t="data" sd="1" m="1" x="4732"/>
        <item t="data" sd="1" m="1" x="4749"/>
        <item t="data" sd="1" m="1" x="4746"/>
        <item t="data" sd="1" m="1" x="4747"/>
        <item t="data" sd="1" m="1" x="4748"/>
        <item t="data" sd="1" m="1" x="3936"/>
        <item t="data" sd="1" m="1" x="4761"/>
        <item t="data" sd="1" m="1" x="3744"/>
        <item t="data" sd="1" m="1" x="4762"/>
        <item t="data" sd="1" m="1" x="5174"/>
        <item t="data" sd="1" m="1" x="4775"/>
        <item t="data" sd="1" m="1" x="4776"/>
        <item t="data" sd="1" m="1" x="4795"/>
        <item t="data" sd="1" m="1" x="4796"/>
        <item t="data" sd="1" m="1" x="4800"/>
        <item t="data" sd="1" m="1" x="4552"/>
        <item t="data" sd="1" m="1" x="5177"/>
        <item t="data" sd="1" m="1" x="5053"/>
        <item t="data" sd="1" m="1" x="4558"/>
        <item t="data" sd="1" m="1" x="4559"/>
        <item t="data" sd="1" m="1" x="4809"/>
        <item t="data" sd="1" m="1" x="5183"/>
        <item t="data" sd="1" m="1" x="4258"/>
        <item t="data" sd="1" m="1" x="4815"/>
        <item t="data" sd="1" m="1" x="5184"/>
        <item t="data" sd="1" m="1" x="5185"/>
        <item t="data" sd="1" m="1" x="5193"/>
        <item t="data" sd="1" m="1" x="4835"/>
        <item t="data" sd="1" m="1" x="4834"/>
        <item t="data" sd="1" m="1" x="5196"/>
        <item t="data" sd="1" m="1" x="5197"/>
        <item t="data" sd="1" m="1" x="5200"/>
        <item t="data" sd="1" m="1" x="4844"/>
        <item t="data" sd="1" m="1" x="4845"/>
        <item t="data" sd="1" m="1" x="5203"/>
        <item t="data" sd="1" m="1" x="4860"/>
        <item t="data" sd="1" m="1" x="4861"/>
        <item t="data" sd="1" m="1" x="4855"/>
        <item t="data" sd="1" m="1" x="4856"/>
        <item t="data" sd="1" m="1" x="4875"/>
        <item t="data" sd="1" m="1" x="4876"/>
        <item t="data" sd="1" m="1" x="4877"/>
        <item t="data" sd="1" m="1" x="4003"/>
        <item t="data" sd="1" m="1" x="2067"/>
        <item t="data" sd="1" m="1" x="5208"/>
        <item t="data" sd="1" m="1" x="5212"/>
        <item t="data" sd="1" m="1" x="5213"/>
        <item t="data" sd="1" m="1" x="4900"/>
        <item t="data" sd="1" m="1" x="4901"/>
        <item t="data" sd="1" m="1" x="4915"/>
        <item t="data" sd="1" m="1" x="4916"/>
        <item t="data" sd="1" m="1" x="4917"/>
        <item t="data" sd="1" m="1" x="4918"/>
        <item t="data" sd="1" m="1" x="4919"/>
        <item t="data" sd="1" m="1" x="4920"/>
        <item t="data" sd="1" m="1" x="4921"/>
        <item t="data" sd="1" m="1" x="4922"/>
        <item t="data" sd="1" m="1" x="4923"/>
        <item t="data" sd="1" m="1" x="3789"/>
        <item t="data" sd="1" m="1" x="3786"/>
        <item t="data" sd="1" m="1" x="4931"/>
        <item t="data" sd="1" m="1" x="4932"/>
        <item t="data" sd="1" m="1" x="4606"/>
        <item t="data" sd="1" m="1" x="4602"/>
        <item t="data" sd="1" m="1" x="4934"/>
        <item t="data" sd="1" m="1" x="4603"/>
        <item t="data" sd="1" m="1" x="4936"/>
        <item t="data" sd="1" m="1" x="4937"/>
        <item t="data" sd="1" m="1" x="4938"/>
        <item t="data" sd="1" m="1" x="4939"/>
        <item t="data" sd="1" m="1" x="4940"/>
        <item t="data" sd="1" m="1" x="4941"/>
        <item t="data" sd="1" m="1" x="4942"/>
        <item t="data" sd="1" m="1" x="4943"/>
        <item t="data" sd="1" m="1" x="4944"/>
        <item t="data" sd="1" m="1" x="4945"/>
        <item t="data" sd="1" m="1" x="4946"/>
        <item t="data" sd="1" m="1" x="4947"/>
        <item t="data" sd="1" m="1" x="4615"/>
        <item t="data" sd="1" m="1" x="4948"/>
        <item t="data" sd="1" m="1" x="4949"/>
        <item t="data" sd="1" m="1" x="4950"/>
        <item t="data" sd="1" m="1" x="4951"/>
        <item t="data" sd="1" m="1" x="4952"/>
        <item t="data" sd="1" m="1" x="4976"/>
        <item t="data" sd="1" m="1" x="4977"/>
        <item t="data" sd="1" m="1" x="4978"/>
        <item t="data" sd="1" m="1" x="4979"/>
        <item t="data" sd="1" m="1" x="4980"/>
        <item t="data" sd="1" m="1" x="4981"/>
        <item t="data" sd="1" m="1" x="4982"/>
        <item t="data" sd="1" m="1" x="4983"/>
        <item t="data" sd="1" m="1" x="4986"/>
        <item t="data" sd="1" m="1" x="4987"/>
        <item t="data" sd="1" m="1" x="4992"/>
        <item t="data" sd="1" m="1" x="4658"/>
        <item t="data" sd="1" m="1" x="3884"/>
        <item t="data" sd="1" m="1" x="3883"/>
        <item t="data" sd="1" m="1" x="4999"/>
        <item t="data" sd="1" m="1" x="2941"/>
        <item t="data" sd="1" m="1" x="5000"/>
        <item t="data" sd="1" m="1" x="5001"/>
        <item t="data" sd="1" m="1" x="5002"/>
        <item t="data" sd="1" m="1" x="4680"/>
        <item t="data" sd="1" m="1" x="4497"/>
        <item t="data" sd="1" m="1" x="4494"/>
        <item t="data" sd="1" m="1" x="4674"/>
        <item t="data" sd="1" m="1" x="4676"/>
        <item t="data" sd="1" m="1" x="4687"/>
        <item t="data" sd="1" m="1" x="4689"/>
        <item t="data" sd="1" m="1" x="3904"/>
        <item t="data" sd="1" m="1" x="4690"/>
        <item t="data" sd="1" m="1" x="4699"/>
        <item t="data" sd="1" m="1" x="4697"/>
        <item t="data" sd="1" m="1" x="4698"/>
        <item t="data" sd="1" m="1" x="5004"/>
        <item t="data" sd="1" m="1" x="4708"/>
        <item t="data" sd="1" m="1" x="5006"/>
        <item t="data" sd="1" m="1" x="5007"/>
        <item t="data" sd="1" m="1" x="5008"/>
        <item t="data" sd="1" m="1" x="5009"/>
        <item t="data" sd="1" m="1" x="5010"/>
        <item t="data" sd="1" m="1" x="5011"/>
        <item t="data" sd="1" m="1" x="5012"/>
        <item t="data" sd="1" m="1" x="5013"/>
        <item t="data" sd="1" m="1" x="5014"/>
        <item t="data" sd="1" m="1" x="5015"/>
        <item t="data" sd="1" m="1" x="5016"/>
        <item t="data" sd="1" m="1" x="5017"/>
        <item t="data" sd="1" m="1" x="5018"/>
        <item t="data" sd="1" m="1" x="5019"/>
        <item t="data" sd="1" m="1" x="5020"/>
        <item t="data" sd="1" m="1" x="5021"/>
        <item t="data" sd="1" m="1" x="5022"/>
        <item t="data" sd="1" m="1" x="5023"/>
        <item t="data" sd="1" m="1" x="5024"/>
        <item t="data" sd="1" m="1" x="5025"/>
        <item t="data" sd="1" m="1" x="5026"/>
        <item t="data" sd="1" m="1" x="4733"/>
        <item t="data" sd="1" m="1" x="4734"/>
        <item t="data" sd="1" m="1" x="4735"/>
        <item t="data" sd="1" m="1" x="4736"/>
        <item t="data" sd="1" m="1" x="4737"/>
        <item t="data" sd="1" m="1" x="4742"/>
        <item t="data" sd="1" m="1" x="4743"/>
        <item t="data" sd="1" m="1" x="4744"/>
        <item t="data" sd="1" m="1" x="4745"/>
        <item t="data" sd="1" m="1" x="4532"/>
        <item t="data" sd="1" m="1" x="4754"/>
        <item t="data" sd="1" m="1" x="4755"/>
        <item t="data" sd="1" m="1" x="4792"/>
        <item t="data" sd="1" m="1" x="4791"/>
        <item t="data" sd="1" m="1" x="5028"/>
        <item t="data" sd="1" m="1" x="5029"/>
        <item t="data" sd="1" m="1" x="5030"/>
        <item t="data" sd="1" m="1" x="5031"/>
        <item t="data" sd="1" m="1" x="5032"/>
        <item t="data" sd="1" m="1" x="5033"/>
        <item t="data" sd="1" m="1" x="5034"/>
        <item t="data" sd="1" m="1" x="5035"/>
        <item t="data" sd="1" m="1" x="5036"/>
        <item t="data" sd="1" m="1" x="5037"/>
        <item t="data" sd="1" m="1" x="5038"/>
        <item t="data" sd="1" m="1" x="5039"/>
        <item t="data" sd="1" m="1" x="5040"/>
        <item t="data" sd="1" m="1" x="5041"/>
        <item t="data" sd="1" m="1" x="5042"/>
        <item t="data" sd="1" m="1" x="5043"/>
        <item t="data" sd="1" m="1" x="5044"/>
        <item t="data" sd="1" m="1" x="5045"/>
        <item t="data" sd="1" m="1" x="5046"/>
        <item t="data" sd="1" m="1" x="5047"/>
        <item t="data" sd="1" m="1" x="5048"/>
        <item t="data" sd="1" m="1" x="5049"/>
        <item t="data" sd="1" m="1" x="5050"/>
        <item t="data" sd="1" m="1" x="4767"/>
        <item t="data" sd="1" m="1" x="2096"/>
        <item t="data" sd="1" m="1" x="2097"/>
        <item t="data" sd="1" m="1" x="2081"/>
        <item t="data" sd="1" m="1" x="4208"/>
        <item t="data" sd="1" m="1" x="4210"/>
        <item t="data" sd="1" m="1" x="4545"/>
        <item t="data" sd="1" m="1" x="2088"/>
        <item t="data" sd="1" m="1" x="2089"/>
        <item t="data" sd="1" m="1" x="2095"/>
        <item t="data" sd="1" m="1" x="5051"/>
        <item t="data" sd="1" m="1" x="4553"/>
        <item t="data" sd="1" m="1" x="4554"/>
        <item t="data" sd="1" m="1" x="4555"/>
        <item t="data" sd="1" m="1" x="5052"/>
        <item t="data" sd="1" m="1" x="4826"/>
        <item t="data" sd="1" m="1" x="4417"/>
        <item t="data" sd="1" m="1" x="4811"/>
        <item t="data" sd="1" m="1" x="5054"/>
        <item t="data" sd="1" m="1" x="4816"/>
        <item t="data" sd="1" m="1" x="5055"/>
        <item t="data" sd="1" m="1" x="4828"/>
        <item t="data" sd="1" m="1" x="4829"/>
        <item t="data" sd="1" m="1" x="4830"/>
        <item t="data" sd="1" m="1" x="4833"/>
        <item t="data" sd="1" m="1" x="5056"/>
        <item t="data" sd="1" m="1" x="4566"/>
        <item t="data" sd="1" m="1" x="4840"/>
        <item t="data" sd="1" m="1" x="4841"/>
        <item t="data" sd="1" m="1" x="4842"/>
        <item t="data" sd="1" m="1" x="4847"/>
        <item t="data" sd="1" m="1" x="4848"/>
        <item t="data" sd="1" m="1" x="4857"/>
        <item t="data" sd="1" m="1" x="4854"/>
        <item t="data" sd="1" m="1" x="4279"/>
        <item t="data" sd="1" m="1" x="4881"/>
        <item t="data" sd="1" m="1" x="4426"/>
        <item t="data" sd="1" m="1" x="4869"/>
        <item t="data" sd="1" m="1" x="4870"/>
        <item t="data" sd="1" m="1" x="4871"/>
        <item t="data" sd="1" m="1" x="4872"/>
        <item t="data" sd="1" m="1" x="4873"/>
        <item t="data" sd="1" m="1" x="4874"/>
        <item t="data" sd="1" m="1" x="3628"/>
        <item t="data" sd="1" m="1" x="4290"/>
        <item t="data" sd="1" m="1" x="3998"/>
        <item t="data" sd="1" m="1" x="4888"/>
        <item t="data" sd="1" m="1" x="4889"/>
        <item t="data" sd="1" m="1" x="2061"/>
        <item t="data" sd="1" m="1" x="2062"/>
        <item t="data" sd="1" m="1" x="2063"/>
        <item t="data" sd="1" m="1" x="2064"/>
        <item t="data" sd="1" m="1" x="2065"/>
        <item t="data" sd="1" m="1" x="4890"/>
        <item t="data" sd="1" m="1" x="4896"/>
        <item t="data" sd="1" m="1" x="4898"/>
        <item t="data" sd="1" m="1" x="4902"/>
        <item t="data" sd="1" m="1" x="4910"/>
        <item t="data" sd="1" m="1" x="4911"/>
        <item t="data" sd="1" m="1" x="4912"/>
        <item t="data" sd="1" m="1" x="4594"/>
        <item t="data" sd="1" m="1" x="4913"/>
        <item t="data" sd="1" m="1" x="4914"/>
        <item t="data" sd="1" m="1" x="4597"/>
        <item t="data" sd="1" m="1" x="4598"/>
        <item t="data" sd="1" m="1" x="4599"/>
        <item t="data" sd="1" m="1" x="4041"/>
        <item t="data" sd="1" m="1" x="4607"/>
        <item t="data" sd="1" m="1" x="4608"/>
        <item t="data" sd="1" m="1" x="4609"/>
        <item t="data" sd="1" m="1" x="4611"/>
        <item t="data" sd="1" m="1" x="4612"/>
        <item t="data" sd="1" m="1" x="4616"/>
        <item t="data" sd="1" m="1" x="4617"/>
        <item t="data" sd="1" m="1" x="4618"/>
        <item t="data" sd="1" m="1" x="4619"/>
        <item t="data" sd="1" m="1" x="4620"/>
        <item t="data" sd="1" m="1" x="4621"/>
        <item t="data" sd="1" m="1" x="4622"/>
        <item t="data" sd="1" m="1" x="4623"/>
        <item t="data" sd="1" m="1" x="4624"/>
        <item t="data" sd="1" m="1" x="4625"/>
        <item t="data" sd="1" m="1" x="4626"/>
        <item t="data" sd="1" m="1" x="4627"/>
        <item t="data" sd="1" m="1" x="4628"/>
        <item t="data" sd="1" m="1" x="4629"/>
        <item t="data" sd="1" m="1" x="4630"/>
        <item t="data" sd="1" m="1" x="4631"/>
        <item t="data" sd="1" m="1" x="4632"/>
        <item t="data" sd="1" m="1" x="4633"/>
        <item t="data" sd="1" m="1" x="4634"/>
        <item t="data" sd="1" m="1" x="4635"/>
        <item t="data" sd="1" m="1" x="4636"/>
        <item t="data" sd="1" m="1" x="4637"/>
        <item t="data" sd="1" m="1" x="4638"/>
        <item t="data" sd="1" m="1" x="4639"/>
        <item t="data" sd="1" m="1" x="4640"/>
        <item t="data" sd="1" m="1" x="4067"/>
        <item t="data" sd="1" m="1" x="4641"/>
        <item t="data" sd="1" m="1" x="4648"/>
        <item t="data" sd="1" m="1" x="4649"/>
        <item t="data" sd="1" m="1" x="4071"/>
        <item t="data" sd="1" m="1" x="4652"/>
        <item t="data" sd="1" m="1" x="4653"/>
        <item t="data" sd="1" m="1" x="4089"/>
        <item t="data" sd="1" m="1" x="4662"/>
        <item t="data" sd="1" m="1" x="2942"/>
        <item t="data" sd="1" m="1" x="2943"/>
        <item t="data" sd="1" m="1" x="2944"/>
        <item t="data" sd="1" m="1" x="4672"/>
        <item t="data" sd="1" m="1" x="4677"/>
        <item t="data" sd="1" m="1" x="4684"/>
        <item t="data" sd="1" m="1" x="4685"/>
        <item t="data" sd="1" m="1" x="4496"/>
        <item t="data" sd="1" m="1" x="4686"/>
        <item t="data" sd="1" m="1" x="2019"/>
        <item t="data" sd="1" m="1" x="2014"/>
        <item t="data" sd="1" m="1" x="1992"/>
        <item t="data" sd="1" m="1" x="1993"/>
        <item t="data" sd="1" m="1" x="4691"/>
        <item t="data" sd="1" m="1" x="4692"/>
        <item t="data" sd="1" m="1" x="4693"/>
        <item t="data" sd="1" m="1" x="4700"/>
        <item t="data" sd="1" m="1" x="4701"/>
        <item t="data" sd="1" m="1" x="4702"/>
        <item t="data" sd="1" m="1" x="1998"/>
        <item t="data" sd="1" m="1" x="4703"/>
        <item t="data" sd="1" m="1" x="4704"/>
        <item t="data" sd="1" m="1" x="3909"/>
        <item t="data" sd="1" m="1" x="3910"/>
        <item t="data" sd="1" m="1" x="4705"/>
        <item t="data" sd="1" m="1" x="4709"/>
        <item t="data" sd="1" m="1" x="4710"/>
        <item t="data" sd="1" m="1" x="4711"/>
        <item t="data" sd="1" m="1" x="4712"/>
        <item t="data" sd="1" m="1" x="4713"/>
        <item t="data" sd="1" m="1" x="4714"/>
        <item t="data" sd="1" m="1" x="4715"/>
        <item t="data" sd="1" m="1" x="4718"/>
        <item t="data" sd="1" m="1" x="4719"/>
        <item t="data" sd="1" m="1" x="2012"/>
        <item t="data" sd="1" m="1" x="4721"/>
        <item t="data" sd="1" m="1" x="4722"/>
        <item t="data" sd="1" m="1" x="4723"/>
        <item t="data" sd="1" m="1" x="4724"/>
        <item t="data" sd="1" m="1" x="4725"/>
        <item t="data" sd="1" m="1" x="4726"/>
        <item t="data" sd="1" m="1" x="4727"/>
        <item t="data" sd="1" m="1" x="4728"/>
        <item t="data" sd="1" m="1" x="4729"/>
        <item t="data" sd="1" m="1" x="4730"/>
        <item t="data" sd="1" m="1" x="1988"/>
        <item t="data" sd="1" m="1" x="3935"/>
        <item t="data" sd="1" m="1" x="4738"/>
        <item t="data" sd="1" m="1" x="4739"/>
        <item t="data" sd="1" m="1" x="4740"/>
        <item t="data" sd="1" m="1" x="4741"/>
        <item t="data" sd="1" m="1" x="4756"/>
        <item t="data" sd="1" m="1" x="4757"/>
        <item t="data" sd="1" m="1" x="4758"/>
        <item t="data" sd="1" m="1" x="4777"/>
        <item t="data" sd="1" m="1" x="2027"/>
        <item t="data" sd="1" m="1" x="4794"/>
        <item t="data" sd="1" m="1" x="2087"/>
        <item t="data" sd="1" m="1" x="2090"/>
        <item t="data" sd="1" m="1" x="4802"/>
        <item t="data" sd="1" m="1" x="2092"/>
        <item t="data" sd="1" m="1" x="4803"/>
        <item t="data" sd="1" m="1" x="4804"/>
        <item t="data" sd="1" m="1" x="4805"/>
        <item t="data" sd="1" m="1" x="4806"/>
        <item t="data" sd="1" m="1" x="4807"/>
        <item t="data" sd="1" m="1" x="4808"/>
        <item t="data" sd="1" m="1" x="4810"/>
        <item t="data" sd="1" m="1" x="4812"/>
        <item t="data" sd="1" m="1" x="4813"/>
        <item t="data" sd="1" m="1" x="4219"/>
        <item t="data" sd="1" m="1" x="4257"/>
        <item t="data" sd="1" m="1" x="4825"/>
        <item t="data" sd="1" m="1" x="2024"/>
        <item t="data" sd="1" m="1" x="3978"/>
        <item t="data" sd="1" m="1" x="4838"/>
        <item t="data" sd="1" m="1" x="4839"/>
        <item t="data" sd="1" m="1" x="4846"/>
        <item t="data" sd="1" m="1" x="4578"/>
        <item t="data" sd="1" m="1" x="4850"/>
        <item t="data" sd="1" m="1" x="4851"/>
        <item t="data" sd="1" m="1" x="4852"/>
        <item t="data" sd="1" m="1" x="4853"/>
        <item t="data" sd="1" m="1" x="4582"/>
        <item t="data" sd="1" m="1" x="4866"/>
        <item t="data" sd="1" m="1" x="4867"/>
        <item t="data" sd="1" m="1" x="4868"/>
        <item t="data" sd="1" m="1" x="3637"/>
        <item t="data" sd="1" m="1" x="3638"/>
        <item t="data" sd="1" m="1" x="3639"/>
        <item t="data" sd="1" m="1" x="3643"/>
        <item t="data" sd="1" m="1" x="3640"/>
        <item t="data" sd="1" m="1" x="3641"/>
        <item t="data" sd="1" m="1" x="3642"/>
        <item t="data" sd="1" m="1" x="4885"/>
        <item t="data" sd="1" m="1" x="4886"/>
        <item t="data" sd="1" m="1" x="4887"/>
        <item t="data" sd="1" m="1" x="4001"/>
        <item t="data" sd="1" m="1" x="2066"/>
        <item t="data" sd="1" m="1" x="2060"/>
        <item t="data" sd="1" m="1" x="4891"/>
        <item t="data" sd="1" m="1" x="4895"/>
        <item t="data" sd="1" m="1" x="4924"/>
        <item t="data" sd="1" m="1" x="4925"/>
        <item t="data" sd="1" m="1" x="4926"/>
        <item t="data" sd="1" m="1" x="4927"/>
        <item t="data" sd="1" m="1" x="4928"/>
        <item t="data" sd="1" m="1" x="4929"/>
        <item t="data" sd="1" m="1" x="4930"/>
        <item t="data" sd="1" m="1" x="2085"/>
        <item t="data" sd="1" m="1" x="4470"/>
        <item t="data" sd="1" m="1" x="4471"/>
        <item t="data" sd="1" m="1" x="4033"/>
        <item t="data" sd="1" m="1" x="4472"/>
        <item t="data" sd="1" m="1" x="4473"/>
        <item t="data" sd="1" m="1" x="4474"/>
        <item t="data" sd="1" m="1" x="4475"/>
        <item t="data" sd="1" m="1" x="4476"/>
        <item t="data" sd="1" m="1" x="4477"/>
        <item t="data" sd="1" m="1" x="3426"/>
        <item t="data" sd="1" m="1" x="3827"/>
        <item t="data" sd="1" m="1" x="4313"/>
        <item t="data" sd="1" m="1" x="4478"/>
        <item t="data" sd="1" m="1" x="4479"/>
        <item t="data" sd="1" m="1" x="4480"/>
        <item t="data" sd="1" m="1" x="4481"/>
        <item t="data" sd="1" m="1" x="4482"/>
        <item t="data" sd="1" m="1" x="4483"/>
        <item t="data" sd="1" m="1" x="4484"/>
        <item t="data" sd="1" m="1" x="4060"/>
        <item t="data" sd="1" m="1" x="4061"/>
        <item t="data" sd="1" m="1" x="4485"/>
        <item t="data" sd="1" m="1" x="4486"/>
        <item t="data" sd="1" m="1" x="4487"/>
        <item t="data" sd="1" m="1" x="4488"/>
        <item t="data" sd="1" m="1" x="4489"/>
        <item t="data" sd="1" m="1" x="4350"/>
        <item t="data" sd="1" m="1" x="4351"/>
        <item t="data" sd="1" m="1" x="4352"/>
        <item t="data" sd="1" m="1" x="4490"/>
        <item t="data" sd="1" m="1" x="4076"/>
        <item t="data" sd="1" m="1" x="4072"/>
        <item t="data" sd="1" m="1" x="4075"/>
        <item t="data" sd="1" m="1" x="4491"/>
        <item t="data" sd="1" m="1" x="4492"/>
        <item t="data" sd="1" m="1" x="4493"/>
        <item t="data" sd="1" m="1" x="3885"/>
        <item t="data" sd="1" m="1" x="3882"/>
        <item t="data" sd="1" m="1" x="3888"/>
        <item t="data" sd="1" m="1" x="4355"/>
        <item t="data" sd="1" m="1" x="4361"/>
        <item t="data" sd="1" m="1" x="3893"/>
        <item t="data" sd="1" m="1" x="4499"/>
        <item t="data" sd="1" m="1" x="4500"/>
        <item t="data" sd="1" m="1" x="2017"/>
        <item t="data" sd="1" m="1" x="4501"/>
        <item t="data" sd="1" m="1" x="4502"/>
        <item t="data" sd="1" m="1" x="4503"/>
        <item t="data" sd="1" m="1" x="2015"/>
        <item t="data" sd="1" m="1" x="4373"/>
        <item t="data" sd="1" m="1" x="4374"/>
        <item t="data" sd="1" m="1" x="4375"/>
        <item t="data" sd="1" m="1" x="4504"/>
        <item t="data" sd="1" m="1" x="4505"/>
        <item t="data" sd="1" m="1" x="4506"/>
        <item t="data" sd="1" m="1" x="4507"/>
        <item t="data" sd="1" m="1" x="4508"/>
        <item t="data" sd="1" m="1" x="4509"/>
        <item t="data" sd="1" m="1" x="2000"/>
        <item t="data" sd="1" m="1" x="2001"/>
        <item t="data" sd="1" m="1" x="3903"/>
        <item t="data" sd="1" m="1" x="1999"/>
        <item t="data" sd="1" m="1" x="4379"/>
        <item t="data" sd="1" m="1" x="3911"/>
        <item t="data" sd="1" m="1" x="4104"/>
        <item t="data" sd="1" m="1" x="3239"/>
        <item t="data" sd="1" m="1" x="3918"/>
        <item t="data" sd="1" m="1" x="2013"/>
        <item t="data" sd="1" m="1" x="4381"/>
        <item t="data" sd="1" m="1" x="4519"/>
        <item t="data" sd="1" m="1" x="4520"/>
        <item t="data" sd="1" m="1" x="4521"/>
        <item t="data" sd="1" m="1" x="4522"/>
        <item t="data" sd="1" m="1" x="4523"/>
        <item t="data" sd="1" m="1" x="4524"/>
        <item t="data" sd="1" m="1" x="4525"/>
        <item t="data" sd="1" m="1" x="4526"/>
        <item t="data" sd="1" m="1" x="4527"/>
        <item t="data" sd="1" m="1" x="4528"/>
        <item t="data" sd="1" m="1" x="4529"/>
        <item t="data" sd="1" m="1" x="3739"/>
        <item t="data" sd="1" m="1" x="3740"/>
        <item t="data" sd="1" m="1" x="4531"/>
        <item t="data" sd="1" m="1" x="3934"/>
        <item t="data" sd="1" m="1" x="4399"/>
        <item t="data" sd="1" m="1" x="4533"/>
        <item t="data" sd="1" m="1" x="4402"/>
        <item t="data" sd="1" m="1" x="4401"/>
        <item t="data" sd="1" m="1" x="4134"/>
        <item t="data" sd="1" m="1" x="4156"/>
        <item t="data" sd="1" m="1" x="4157"/>
        <item t="data" sd="1" m="1" x="4137"/>
        <item t="data" sd="1" m="1" x="4138"/>
        <item t="data" sd="1" m="1" x="4139"/>
        <item t="data" sd="1" m="1" x="4145"/>
        <item t="data" sd="1" m="1" x="4142"/>
        <item t="data" sd="1" m="1" x="4143"/>
        <item t="data" sd="1" m="1" x="4144"/>
        <item t="data" sd="1" m="1" x="4158"/>
        <item t="data" sd="1" m="1" x="4146"/>
        <item t="data" sd="1" m="1" x="4147"/>
        <item t="data" sd="1" m="1" x="4148"/>
        <item t="data" sd="1" m="1" x="4149"/>
        <item t="data" sd="1" m="1" x="4150"/>
        <item t="data" sd="1" m="1" x="4151"/>
        <item t="data" sd="1" m="1" x="4152"/>
        <item t="data" sd="1" m="1" x="4153"/>
        <item t="data" sd="1" m="1" x="4154"/>
        <item t="data" sd="1" m="1" x="4155"/>
        <item t="data" sd="1" m="1" x="3940"/>
        <item t="data" sd="1" m="1" x="3946"/>
        <item t="data" sd="1" m="1" x="3941"/>
        <item t="data" sd="1" m="1" x="3942"/>
        <item t="data" sd="1" m="1" x="3943"/>
        <item t="data" sd="1" m="1" x="3944"/>
        <item t="data" sd="1" m="1" x="3945"/>
        <item t="data" sd="1" m="1" x="4534"/>
        <item t="data" sd="1" m="1" x="4535"/>
        <item t="data" sd="1" m="1" x="4536"/>
        <item t="data" sd="1" m="1" x="4537"/>
        <item t="data" sd="1" m="1" x="4538"/>
        <item t="data" sd="1" m="1" x="4539"/>
        <item t="data" sd="1" m="1" x="2030"/>
        <item t="data" sd="1" m="1" x="4541"/>
        <item t="data" sd="1" m="1" x="4542"/>
        <item t="data" sd="1" m="1" x="2487"/>
        <item t="data" sd="1" m="1" x="2031"/>
        <item t="data" sd="1" m="1" x="4203"/>
        <item t="data" sd="1" m="1" x="4202"/>
        <item t="data" sd="1" m="1" x="2032"/>
        <item t="data" sd="1" m="1" x="4544"/>
        <item t="data" sd="1" m="1" x="4200"/>
        <item t="data" sd="1" m="1" x="2091"/>
        <item t="data" sd="1" m="1" x="4556"/>
        <item t="data" sd="1" m="1" x="4557"/>
        <item t="data" sd="1" m="1" x="4560"/>
        <item t="data" sd="1" m="1" x="4563"/>
        <item t="data" sd="1" m="1" x="4564"/>
        <item t="data" sd="1" m="1" x="4418"/>
        <item t="data" sd="1" m="1" x="4419"/>
        <item t="data" sd="1" m="1" x="4259"/>
        <item t="data" sd="1" m="1" x="4248"/>
        <item t="data" sd="1" m="1" x="4260"/>
        <item t="data" sd="1" m="1" x="4250"/>
        <item t="data" sd="1" m="1" x="4413"/>
        <item t="data" sd="1" m="1" x="4251"/>
        <item t="data" sd="1" m="1" x="4252"/>
        <item t="data" sd="1" m="1" x="4565"/>
        <item t="data" sd="1" m="1" x="4410"/>
        <item t="data" sd="1" m="1" x="4411"/>
        <item t="data" sd="1" m="1" x="4409"/>
        <item t="data" sd="1" m="1" x="2968"/>
        <item t="data" sd="1" m="1" x="4261"/>
        <item t="data" sd="1" m="1" x="2025"/>
        <item t="data" sd="1" m="1" x="4567"/>
        <item t="data" sd="1" m="1" x="4568"/>
        <item t="data" sd="1" m="1" x="4569"/>
        <item t="data" sd="1" m="1" x="4570"/>
        <item t="data" sd="1" m="1" x="4571"/>
        <item t="data" sd="1" m="1" x="4268"/>
        <item t="data" sd="1" m="1" x="4573"/>
        <item t="data" sd="1" m="1" x="3768"/>
        <item t="data" sd="1" m="1" x="4576"/>
        <item t="data" sd="1" m="1" x="4577"/>
        <item t="data" sd="1" m="1" x="2080"/>
        <item t="data" sd="1" m="1" x="4583"/>
        <item t="data" sd="1" m="1" x="4584"/>
        <item t="data" sd="1" m="1" x="4431"/>
        <item t="data" sd="1" m="1" x="4430"/>
        <item t="data" sd="1" m="1" x="4432"/>
        <item t="data" sd="1" m="1" x="4433"/>
        <item t="data" sd="1" m="1" x="4434"/>
        <item t="data" sd="1" m="1" x="4435"/>
        <item t="data" sd="1" m="1" x="4436"/>
        <item t="data" sd="1" m="1" x="4437"/>
        <item t="data" sd="1" m="1" x="3645"/>
        <item t="data" sd="1" m="1" x="3646"/>
        <item t="data" sd="1" m="1" x="3647"/>
        <item t="data" sd="1" m="1" x="3648"/>
        <item t="data" sd="1" m="1" x="3649"/>
        <item t="data" sd="1" m="1" x="3650"/>
        <item t="data" sd="1" m="1" x="3651"/>
        <item t="data" sd="1" m="1" x="3644"/>
        <item t="data" sd="1" m="1" x="3652"/>
        <item t="data" sd="1" m="1" x="3653"/>
        <item t="data" sd="1" m="1" x="3654"/>
        <item t="data" sd="1" m="1" x="3655"/>
        <item t="data" sd="1" m="1" x="4280"/>
        <item t="data" sd="1" m="1" x="4281"/>
        <item t="data" sd="1" m="1" x="4000"/>
        <item t="data" sd="1" m="1" x="3999"/>
        <item t="data" sd="1" m="1" x="4014"/>
        <item t="data" sd="1" m="1" x="3997"/>
        <item t="data" sd="1" m="1" x="2059"/>
        <item t="data" sd="1" m="1" x="4461"/>
        <item t="data" sd="1" m="1" x="4591"/>
        <item t="data" sd="1" m="1" x="3395"/>
        <item t="data" sd="1" m="1" x="3781"/>
        <item t="data" sd="1" m="1" x="3783"/>
        <item t="data" sd="1" m="1" x="4592"/>
        <item t="data" sd="1" m="1" x="4593"/>
        <item t="data" sd="1" m="1" x="4301"/>
        <item t="data" sd="1" m="1" x="4300"/>
        <item t="data" sd="1" m="1" x="4595"/>
        <item t="data" sd="1" m="1" x="4302"/>
        <item t="data" sd="1" m="1" x="4031"/>
        <item t="data" sd="1" m="1" x="4032"/>
        <item t="data" sd="1" m="1" x="4303"/>
        <item t="data" sd="1" m="1" x="4304"/>
        <item t="data" sd="1" m="1" x="4305"/>
        <item t="data" sd="1" m="1" x="4306"/>
        <item t="data" sd="1" m="1" x="4307"/>
        <item t="data" sd="1" m="1" x="4308"/>
        <item t="data" sd="1" m="1" x="3819"/>
        <item t="data" sd="1" m="1" x="4309"/>
        <item t="data" sd="1" m="1" x="4310"/>
        <item t="data" sd="1" m="1" x="4047"/>
        <item t="data" sd="1" m="1" x="4311"/>
        <item t="data" sd="1" m="1" x="4312"/>
        <item t="data" sd="1" m="1" x="4314"/>
        <item t="data" sd="1" m="1" x="4315"/>
        <item t="data" sd="1" m="1" x="3831"/>
        <item t="data" sd="1" m="1" x="4037"/>
        <item t="data" sd="1" m="1" x="4317"/>
        <item t="data" sd="1" m="1" x="4318"/>
        <item t="data" sd="1" m="1" x="4319"/>
        <item t="data" sd="1" m="1" x="4320"/>
        <item t="data" sd="1" m="1" x="4321"/>
        <item t="data" sd="1" m="1" x="4322"/>
        <item t="data" sd="1" m="1" x="4323"/>
        <item t="data" sd="1" m="1" x="4324"/>
        <item t="data" sd="1" m="1" x="4325"/>
        <item t="data" sd="1" m="1" x="4326"/>
        <item t="data" sd="1" m="1" x="4327"/>
        <item t="data" sd="1" m="1" x="4328"/>
        <item t="data" sd="1" m="1" x="4329"/>
        <item t="data" sd="1" m="1" x="4330"/>
        <item t="data" sd="1" m="1" x="4331"/>
        <item t="data" sd="1" m="1" x="4332"/>
        <item t="data" sd="1" m="1" x="4333"/>
        <item t="data" sd="1" m="1" x="4334"/>
        <item t="data" sd="1" m="1" x="4335"/>
        <item t="data" sd="1" m="1" x="4336"/>
        <item t="data" sd="1" m="1" x="4337"/>
        <item t="data" sd="1" m="1" x="4338"/>
        <item t="data" sd="1" m="1" x="4339"/>
        <item t="data" sd="1" m="1" x="4340"/>
        <item t="data" sd="1" m="1" x="4341"/>
        <item t="data" sd="1" m="1" x="4342"/>
        <item t="data" sd="1" m="1" x="4343"/>
        <item t="data" sd="1" m="1" x="4344"/>
        <item t="data" sd="1" m="1" x="4345"/>
        <item t="data" sd="1" m="1" x="4348"/>
        <item t="data" sd="1" m="1" x="4349"/>
        <item t="data" sd="1" m="1" x="3874"/>
        <item t="data" sd="1" m="1" x="4353"/>
        <item t="data" sd="1" m="1" x="4074"/>
        <item t="data" sd="1" m="1" x="4354"/>
        <item t="data" sd="1" m="1" x="4091"/>
        <item t="data" sd="1" m="1" x="4356"/>
        <item t="data" sd="1" m="1" x="4357"/>
        <item t="data" sd="1" m="1" x="4358"/>
        <item t="data" sd="1" m="1" x="4359"/>
        <item t="data" sd="1" m="1" x="4360"/>
        <item t="data" sd="1" m="1" x="4362"/>
        <item t="data" sd="1" m="1" x="4363"/>
        <item t="data" sd="1" m="1" x="4364"/>
        <item t="data" sd="1" m="1" x="4365"/>
        <item t="data" sd="1" m="1" x="4366"/>
        <item t="data" sd="1" m="1" x="4367"/>
        <item t="data" sd="1" m="1" x="4368"/>
        <item t="data" sd="1" m="1" x="4369"/>
        <item t="data" sd="1" m="1" x="2018"/>
        <item t="data" sd="1" m="1" x="2479"/>
        <item t="data" sd="1" m="1" x="4370"/>
        <item t="data" sd="1" m="1" x="4371"/>
        <item t="data" sd="1" m="1" x="4372"/>
        <item t="data" sd="1" m="1" x="4378"/>
        <item t="data" sd="1" m="1" x="1989"/>
        <item t="data" sd="1" m="1" x="2002"/>
        <item t="data" sd="1" m="1" x="3916"/>
        <item t="data" sd="1" m="1" x="4380"/>
        <item t="data" sd="1" m="1" x="4114"/>
        <item t="data" sd="1" m="1" x="4382"/>
        <item t="data" sd="1" m="1" x="4383"/>
        <item t="data" sd="1" m="1" x="4384"/>
        <item t="data" sd="1" m="1" x="4119"/>
        <item t="data" sd="1" m="1" x="4385"/>
        <item t="data" sd="1" m="1" x="4386"/>
        <item t="data" sd="1" m="1" x="4387"/>
        <item t="data" sd="1" m="1" x="4388"/>
        <item t="data" sd="1" m="1" x="4389"/>
        <item t="data" sd="1" m="1" x="4390"/>
        <item t="data" sd="1" m="1" x="4391"/>
        <item t="data" sd="1" m="1" x="4392"/>
        <item t="data" sd="1" m="1" x="4122"/>
        <item t="data" sd="1" m="1" x="4124"/>
        <item t="data" sd="1" m="1" x="4395"/>
        <item t="data" sd="1" m="1" x="4396"/>
        <item t="data" sd="1" m="1" x="4397"/>
        <item t="data" sd="1" m="1" x="4398"/>
        <item t="data" sd="1" m="1" x="4400"/>
        <item t="data" sd="1" m="1" x="4132"/>
        <item t="data" sd="1" m="1" x="4133"/>
        <item t="data" sd="1" m="1" x="4159"/>
        <item t="data" sd="1" m="1" x="4160"/>
        <item t="data" sd="1" m="1" x="4140"/>
        <item t="data" sd="1" m="1" x="4141"/>
        <item t="data" sd="1" m="1" x="1984"/>
        <item t="data" sd="1" m="1" x="2023"/>
        <item t="data" sd="1" m="1" x="4403"/>
        <item t="data" sd="1" m="1" x="4404"/>
        <item t="data" sd="1" m="1" x="4205"/>
        <item t="data" sd="1" m="1" x="4206"/>
        <item t="data" sd="1" m="1" x="4405"/>
        <item t="data" sd="1" m="1" x="4406"/>
        <item t="data" sd="1" m="1" x="4407"/>
        <item t="data" sd="1" m="1" x="4408"/>
        <item t="data" sd="1" m="1" x="3967"/>
        <item t="data" sd="1" m="1" x="4249"/>
        <item t="data" sd="1" m="1" x="4255"/>
        <item t="data" sd="1" m="1" x="4254"/>
        <item t="data" sd="1" m="1" x="4414"/>
        <item t="data" sd="1" m="1" x="4415"/>
        <item t="data" sd="1" m="1" x="4416"/>
        <item t="data" sd="1" m="1" x="4420"/>
        <item t="data" sd="1" m="1" x="3979"/>
        <item t="data" sd="1" m="1" x="3980"/>
        <item t="data" sd="1" m="1" x="4267"/>
        <item t="data" sd="1" m="1" x="4263"/>
        <item t="data" sd="1" m="1" x="4266"/>
        <item t="data" sd="1" m="1" x="4264"/>
        <item t="data" sd="1" m="1" x="4265"/>
        <item t="data" sd="1" m="1" x="4421"/>
        <item t="data" sd="1" m="1" x="4422"/>
        <item t="data" sd="1" m="1" x="4270"/>
        <item t="data" sd="1" m="1" x="4423"/>
        <item t="data" sd="1" m="1" x="4424"/>
        <item t="data" sd="1" m="1" x="4425"/>
        <item t="data" sd="1" m="1" x="4427"/>
        <item t="data" sd="1" m="1" x="4428"/>
        <item t="data" sd="1" m="1" x="4429"/>
        <item t="data" sd="1" m="1" x="4438"/>
        <item t="data" sd="1" m="1" x="4439"/>
        <item t="data" sd="1" m="1" x="4440"/>
        <item t="data" sd="1" m="1" x="4441"/>
        <item t="data" sd="1" m="1" x="4442"/>
        <item t="data" sd="1" m="1" x="4443"/>
        <item t="data" sd="1" m="1" x="4444"/>
        <item t="data" sd="1" m="1" x="4445"/>
        <item t="data" sd="1" m="1" x="4446"/>
        <item t="data" sd="1" m="1" x="4018"/>
        <item t="data" sd="1" m="1" x="4017"/>
        <item t="data" sd="1" m="1" x="4016"/>
        <item t="data" sd="1" m="1" x="4289"/>
        <item t="data" sd="1" m="1" x="4292"/>
        <item t="data" sd="1" m="1" x="4291"/>
        <item t="data" sd="1" m="1" x="4447"/>
        <item t="data" sd="1" m="1" x="4448"/>
        <item t="data" sd="1" m="1" x="2072"/>
        <item t="data" sd="1" m="1" x="2073"/>
        <item t="data" sd="1" m="1" x="2074"/>
        <item t="data" sd="1" m="1" x="2076"/>
        <item t="data" sd="1" m="1" x="2077"/>
        <item t="data" sd="1" m="1" x="2075"/>
        <item t="data" sd="1" m="1" x="2078"/>
        <item t="data" sd="1" m="1" x="4457"/>
        <item t="data" sd="1" m="1" x="4458"/>
        <item t="data" sd="1" m="1" x="4459"/>
        <item t="data" sd="1" m="1" x="4460"/>
        <item t="data" sd="1" m="1" x="4298"/>
        <item t="data" sd="1" m="1" x="3396"/>
        <item t="data" sd="1" m="1" x="3780"/>
        <item t="data" sd="1" m="1" x="3782"/>
        <item t="data" sd="1" m="1" x="3779"/>
        <item t="data" sd="1" m="1" x="4462"/>
        <item t="data" sd="1" m="1" x="4463"/>
        <item t="data" sd="1" m="1" x="4464"/>
        <item t="data" sd="1" m="1" x="4465"/>
        <item t="data" sd="1" m="1" x="4466"/>
        <item t="data" sd="1" m="1" x="4467"/>
        <item t="data" sd="1" m="1" x="4468"/>
        <item t="data" sd="1" m="1" x="3792"/>
        <item t="data" sd="1" m="1" x="4029"/>
        <item t="data" sd="1" m="1" x="4030"/>
        <item t="data" sd="1" m="1" x="4034"/>
        <item t="data" sd="1" m="1" x="4035"/>
        <item t="data" sd="1" m="1" x="4036"/>
        <item t="data" sd="1" m="1" x="4039"/>
        <item t="data" sd="1" m="1" x="4040"/>
        <item t="data" sd="1" m="1" x="4042"/>
        <item t="data" sd="1" m="1" x="4044"/>
        <item t="data" sd="1" m="1" x="4045"/>
        <item t="data" sd="1" m="1" x="4048"/>
        <item t="data" sd="1" m="1" x="4049"/>
        <item t="data" sd="1" m="1" x="3826"/>
        <item t="data" sd="1" m="1" x="3824"/>
        <item t="data" sd="1" m="1" x="3694"/>
        <item t="data" sd="1" m="1" x="4050"/>
        <item t="data" sd="1" m="1" x="4051"/>
        <item t="data" sd="1" m="1" x="4052"/>
        <item t="data" sd="1" m="1" x="4053"/>
        <item t="data" sd="1" m="1" x="4054"/>
        <item t="data" sd="1" m="1" x="4055"/>
        <item t="data" sd="1" m="1" x="4056"/>
        <item t="data" sd="1" m="1" x="4057"/>
        <item t="data" sd="1" m="1" x="4058"/>
        <item t="data" sd="1" m="1" x="4059"/>
        <item t="data" sd="1" m="1" x="4062"/>
        <item t="data" sd="1" m="1" x="4063"/>
        <item t="data" sd="1" m="1" x="4068"/>
        <item t="data" sd="1" m="1" x="4069"/>
        <item t="data" sd="1" m="1" x="4070"/>
        <item t="data" sd="1" m="1" x="4073"/>
        <item t="data" sd="1" m="1" x="4077"/>
        <item t="data" sd="1" m="1" x="4079"/>
        <item t="data" sd="1" m="1" x="4080"/>
        <item t="data" sd="1" m="1" x="4088"/>
        <item t="data" sd="1" m="1" x="3887"/>
        <item t="data" sd="1" m="1" x="4092"/>
        <item t="data" sd="1" m="1" x="4093"/>
        <item t="data" sd="1" m="1" x="4096"/>
        <item t="data" sd="1" m="1" x="3392"/>
        <item t="data" sd="1" m="1" x="2010"/>
        <item t="data" sd="1" m="1" x="2011"/>
        <item t="data" sd="1" m="1" x="2005"/>
        <item t="data" sd="1" m="1" x="2003"/>
        <item t="data" sd="1" m="1" x="2004"/>
        <item t="data" sd="1" m="1" x="3905"/>
        <item t="data" sd="1" m="1" x="4105"/>
        <item t="data" sd="1" m="1" x="4106"/>
        <item t="data" sd="1" m="1" x="4107"/>
        <item t="data" sd="1" m="1" x="3917"/>
        <item t="data" sd="1" m="1" x="4108"/>
        <item t="data" sd="1" m="1" x="4109"/>
        <item t="data" sd="1" m="1" x="3724"/>
        <item t="data" sd="1" m="1" x="3725"/>
        <item t="data" sd="1" m="1" x="3726"/>
        <item t="data" sd="1" m="1" x="3727"/>
        <item t="data" sd="1" m="1" x="3728"/>
        <item t="data" sd="1" m="1" x="3729"/>
        <item t="data" sd="1" m="1" x="4115"/>
        <item t="data" sd="1" m="1" x="4121"/>
        <item t="data" sd="1" m="1" x="4125"/>
        <item t="data" sd="1" m="1" x="4126"/>
        <item t="data" sd="1" m="1" x="4127"/>
        <item t="data" sd="1" m="1" x="4128"/>
        <item t="data" sd="1" m="1" x="4129"/>
        <item t="data" sd="1" m="1" x="4130"/>
        <item t="data" sd="1" m="1" x="4131"/>
        <item t="data" sd="1" m="1" x="3170"/>
        <item t="data" sd="1" m="1" x="4161"/>
        <item t="data" sd="1" m="1" x="3747"/>
        <item t="data" sd="1" m="1" x="3746"/>
        <item t="data" sd="1" m="1" x="3951"/>
        <item t="data" sd="1" m="1" x="2022"/>
        <item t="data" sd="1" m="1" x="4162"/>
        <item t="data" sd="1" m="1" x="4163"/>
        <item t="data" sd="1" m="1" x="4164"/>
        <item t="data" sd="1" m="1" x="4165"/>
        <item t="data" sd="1" m="1" x="2028"/>
        <item t="data" sd="1" m="1" x="2029"/>
        <item t="data" sd="1" m="1" x="4201"/>
        <item t="data" sd="1" m="1" x="4207"/>
        <item t="data" sd="1" m="1" x="4211"/>
        <item t="data" sd="1" m="1" x="2488"/>
        <item t="data" sd="1" m="1" x="3960"/>
        <item t="data" sd="1" m="1" x="2799"/>
        <item t="data" sd="1" m="1" x="2035"/>
        <item t="data" sd="1" m="1" x="4212"/>
        <item t="data" sd="1" m="1" x="4213"/>
        <item t="data" sd="1" m="1" x="4214"/>
        <item t="data" sd="1" m="1" x="4215"/>
        <item t="data" sd="1" m="1" x="4216"/>
        <item t="data" sd="1" m="1" x="4217"/>
        <item t="data" sd="1" m="1" x="4218"/>
        <item t="data" sd="1" m="1" x="4253"/>
        <item t="data" sd="1" m="1" x="4256"/>
        <item t="data" sd="1" m="1" x="728"/>
        <item t="data" sd="1" m="1" x="2036"/>
        <item t="data" sd="1" m="1" x="4271"/>
        <item t="data" sd="1" m="1" x="3987"/>
        <item t="data" sd="1" m="1" x="4272"/>
        <item t="data" sd="1" m="1" x="4273"/>
        <item t="data" sd="1" m="1" x="4275"/>
        <item t="data" sd="1" m="1" x="4276"/>
        <item t="data" sd="1" m="1" x="4278"/>
        <item t="data" sd="1" m="1" x="4282"/>
        <item t="data" sd="1" m="1" x="4283"/>
        <item t="data" sd="1" m="1" x="4284"/>
        <item t="data" sd="1" m="1" x="4285"/>
        <item t="data" sd="1" m="1" x="4286"/>
        <item t="data" sd="1" m="1" x="4287"/>
        <item t="data" sd="1" m="1" x="4288"/>
        <item t="data" sd="1" m="1" x="3507"/>
        <item t="data" sd="1" m="1" x="3996"/>
        <item t="data" sd="1" m="1" x="4015"/>
        <item t="data" sd="1" m="1" x="3995"/>
        <item t="data" sd="1" m="1" x="4293"/>
        <item t="data" sd="1" m="1" x="4021"/>
        <item t="data" sd="1" m="1" x="2068"/>
        <item t="data" sd="1" m="1" x="2069"/>
        <item t="data" sd="1" m="1" x="2070"/>
        <item t="data" sd="1" m="1" x="2071"/>
        <item t="data" sd="1" m="1" x="4295"/>
        <item t="data" sd="1" m="1" x="4296"/>
        <item t="data" sd="1" m="1" x="4297"/>
        <item t="data" sd="1" m="1" x="3790"/>
        <item t="data" sd="1" m="1" x="3791"/>
        <item t="data" sd="1" m="1" x="3793"/>
        <item t="data" sd="1" m="1" x="3794"/>
        <item t="data" sd="1" m="1" x="3795"/>
        <item t="data" sd="1" m="1" x="3796"/>
        <item t="data" sd="1" m="1" x="3797"/>
        <item t="data" sd="1" m="1" x="3798"/>
        <item t="data" sd="1" m="1" x="2020"/>
        <item t="data" sd="1" m="1" x="3799"/>
        <item t="data" sd="1" m="1" x="3800"/>
        <item t="data" sd="1" m="1" x="3801"/>
        <item t="data" sd="1" m="1" x="3802"/>
        <item t="data" sd="1" m="1" x="2008"/>
        <item t="data" sd="1" m="1" x="3803"/>
        <item t="data" sd="1" m="1" x="3804"/>
        <item t="data" sd="1" m="1" x="3805"/>
        <item t="data" sd="1" m="1" x="3806"/>
        <item t="data" sd="1" m="1" x="3807"/>
        <item t="data" sd="1" m="1" x="3808"/>
        <item t="data" sd="1" m="1" x="3809"/>
        <item t="data" sd="1" m="1" x="3810"/>
        <item t="data" sd="1" m="1" x="3811"/>
        <item t="data" sd="1" m="1" x="3812"/>
        <item t="data" sd="1" m="1" x="3813"/>
        <item t="data" sd="1" m="1" x="3816"/>
        <item t="data" sd="1" m="1" x="3817"/>
        <item t="data" sd="1" m="1" x="3818"/>
        <item t="data" sd="1" m="1" x="3820"/>
        <item t="data" sd="1" m="1" x="3821"/>
        <item t="data" sd="1" m="1" x="3822"/>
        <item t="data" sd="1" m="1" x="3825"/>
        <item t="data" sd="1" m="1" x="3828"/>
        <item t="data" sd="1" m="1" x="3829"/>
        <item t="data" sd="1" m="1" x="3830"/>
        <item t="data" sd="1" m="1" x="2881"/>
        <item t="data" sd="1" m="1" x="3832"/>
        <item t="data" sd="1" m="1" x="3833"/>
        <item t="data" sd="1" m="1" x="3834"/>
        <item t="data" sd="1" m="1" x="3835"/>
        <item t="data" sd="1" m="1" x="3836"/>
        <item t="data" sd="1" m="1" x="3837"/>
        <item t="data" sd="1" m="1" x="3838"/>
        <item t="data" sd="1" m="1" x="3839"/>
        <item t="data" sd="1" m="1" x="3840"/>
        <item t="data" sd="1" m="1" x="3841"/>
        <item t="data" sd="1" m="1" x="3842"/>
        <item t="data" sd="1" m="1" x="3843"/>
        <item t="data" sd="1" m="1" x="3844"/>
        <item t="data" sd="1" m="1" x="3845"/>
        <item t="data" sd="1" m="1" x="3846"/>
        <item t="data" sd="1" m="1" x="3847"/>
        <item t="data" sd="1" m="1" x="3848"/>
        <item t="data" sd="1" m="1" x="3849"/>
        <item t="data" sd="1" m="1" x="3850"/>
        <item t="data" sd="1" m="1" x="3851"/>
        <item t="data" sd="1" m="1" x="3852"/>
        <item t="data" sd="1" m="1" x="3853"/>
        <item t="data" sd="1" m="1" x="3854"/>
        <item t="data" sd="1" m="1" x="3855"/>
        <item t="data" sd="1" m="1" x="3856"/>
        <item t="data" sd="1" m="1" x="3857"/>
        <item t="data" sd="1" m="1" x="3858"/>
        <item t="data" sd="1" m="1" x="3859"/>
        <item t="data" sd="1" m="1" x="3860"/>
        <item t="data" sd="1" m="1" x="3861"/>
        <item t="data" sd="1" m="1" x="3862"/>
        <item t="data" sd="1" m="1" x="3863"/>
        <item t="data" sd="1" m="1" x="3864"/>
        <item t="data" sd="1" m="1" x="3865"/>
        <item t="data" sd="1" m="1" x="3866"/>
        <item t="data" sd="1" m="1" x="3867"/>
        <item t="data" sd="1" m="1" x="3868"/>
        <item t="data" sd="1" m="1" x="3869"/>
        <item t="data" sd="1" m="1" x="3870"/>
        <item t="data" sd="1" m="1" x="3871"/>
        <item t="data" sd="1" m="1" x="3872"/>
        <item t="data" sd="1" m="1" x="3873"/>
        <item t="data" sd="1" m="1" x="2769"/>
        <item t="data" sd="1" m="1" x="2896"/>
        <item t="data" sd="1" m="1" x="3875"/>
        <item t="data" sd="1" m="1" x="3879"/>
        <item t="data" sd="1" m="1" x="3880"/>
        <item t="data" sd="1" m="1" x="3373"/>
        <item t="data" sd="1" m="1" x="3886"/>
        <item t="data" sd="1" m="1" x="2952"/>
        <item t="data" sd="1" m="1" x="2953"/>
        <item t="data" sd="1" m="1" x="3444"/>
        <item t="data" sd="1" m="1" x="2955"/>
        <item t="data" sd="1" m="1" x="2954"/>
        <item t="data" sd="1" m="1" x="2945"/>
        <item t="data" sd="1" m="1" x="2946"/>
        <item t="data" sd="1" m="1" x="2947"/>
        <item t="data" sd="1" m="1" x="3889"/>
        <item t="data" sd="1" m="1" x="3890"/>
        <item t="data" sd="1" m="1" x="3891"/>
        <item t="data" sd="1" m="1" x="3892"/>
        <item t="data" sd="1" m="1" x="3894"/>
        <item t="data" sd="1" m="1" x="2016"/>
        <item t="data" sd="1" m="1" x="3709"/>
        <item t="data" sd="1" m="1" x="656"/>
        <item t="data" sd="1" m="1" x="3895"/>
        <item t="data" sd="1" m="1" x="3896"/>
        <item t="data" sd="1" m="1" x="3897"/>
        <item t="data" sd="1" m="1" x="2039"/>
        <item t="data" sd="1" m="1" x="3898"/>
        <item t="data" sd="1" m="1" x="3900"/>
        <item t="data" sd="1" m="1" x="2007"/>
        <item t="data" sd="1" m="1" x="2009"/>
        <item t="data" sd="1" m="1" x="3901"/>
        <item t="data" sd="1" m="1" x="1987"/>
        <item t="data" sd="1" m="1" x="3011"/>
        <item t="data" sd="1" m="1" x="3010"/>
        <item t="data" sd="1" m="1" x="1995"/>
        <item t="data" sd="1" m="1" x="3041"/>
        <item t="data" sd="1" m="1" x="3906"/>
        <item t="data" sd="1" m="1" x="3907"/>
        <item t="data" sd="1" m="1" x="3912"/>
        <item t="data" sd="1" m="1" x="3913"/>
        <item t="data" sd="1" m="1" x="3914"/>
        <item t="data" sd="1" m="1" x="3454"/>
        <item t="data" sd="1" m="1" x="3456"/>
        <item t="data" sd="1" m="1" x="3915"/>
        <item t="data" sd="1" m="1" x="3722"/>
        <item t="data" sd="1" m="1" x="3280"/>
        <item t="data" sd="1" m="1" x="3111"/>
        <item t="data" sd="1" m="1" x="3723"/>
        <item t="data" sd="1" m="1" x="3919"/>
        <item t="data" sd="1" m="1" x="3920"/>
        <item t="data" sd="1" m="1" x="3921"/>
        <item t="data" sd="1" m="1" x="3922"/>
        <item t="data" sd="1" m="1" x="2730"/>
        <item t="data" sd="1" m="1" x="3923"/>
        <item t="data" sd="1" m="1" x="3928"/>
        <item t="data" sd="1" m="1" x="3929"/>
        <item t="data" sd="1" m="1" x="3930"/>
        <item t="data" sd="1" m="1" x="3931"/>
        <item t="data" sd="1" m="1" x="3932"/>
        <item t="data" sd="1" m="1" x="3283"/>
        <item t="data" sd="1" m="1" x="3937"/>
        <item t="data" sd="1" m="1" x="3938"/>
        <item t="data" sd="1" m="1" x="3947"/>
        <item t="data" sd="1" m="1" x="3950"/>
        <item t="data" sd="1" m="1" x="3743"/>
        <item t="data" sd="1" m="1" x="3282"/>
        <item t="data" sd="1" m="1" x="3952"/>
        <item t="data" sd="1" m="1" x="3953"/>
        <item t="data" sd="1" m="1" x="3954"/>
        <item t="data" sd="1" m="1" x="3955"/>
        <item t="data" sd="1" m="1" x="3956"/>
        <item t="data" sd="1" m="1" x="3957"/>
        <item t="data" sd="1" m="1" x="3958"/>
        <item t="data" sd="1" m="1" x="3377"/>
        <item t="data" sd="1" m="1" x="3376"/>
        <item t="data" sd="1" m="1" x="3959"/>
        <item t="data" sd="1" m="1" x="2083"/>
        <item t="data" sd="1" m="1" x="2082"/>
        <item t="data" sd="1" m="1" x="2484"/>
        <item t="data" sd="1" m="1" x="2483"/>
        <item t="data" sd="1" m="1" x="3224"/>
        <item t="data" sd="1" m="1" x="2034"/>
        <item t="data" sd="1" m="1" x="3961"/>
        <item t="data" sd="1" m="1" x="3962"/>
        <item t="data" sd="1" m="1" x="3963"/>
        <item t="data" sd="1" m="1" x="3964"/>
        <item t="data" sd="1" m="1" x="3965"/>
        <item t="data" sd="1" m="1" x="3966"/>
        <item t="data" sd="1" m="1" x="3968"/>
        <item t="data" sd="1" m="1" x="3969"/>
        <item t="data" sd="1" m="1" x="3970"/>
        <item t="data" sd="1" m="1" x="3971"/>
        <item t="data" sd="1" m="1" x="3972"/>
        <item t="data" sd="1" m="1" x="3973"/>
        <item t="data" sd="1" m="1" x="2026"/>
        <item t="data" sd="1" m="1" x="3975"/>
        <item t="data" sd="1" m="1" x="3976"/>
        <item t="data" sd="1" m="1" x="3977"/>
        <item t="data" sd="1" m="1" x="719"/>
        <item t="data" sd="1" m="1" x="2485"/>
        <item t="data" sd="1" m="1" x="2037"/>
        <item t="data" sd="1" m="1" x="3981"/>
        <item t="data" sd="1" m="1" x="3765"/>
        <item t="data" sd="1" m="1" x="3388"/>
        <item t="data" sd="1" m="1" x="3387"/>
        <item t="data" sd="1" m="1" x="2038"/>
        <item t="data" sd="1" m="1" x="1986"/>
        <item t="data" sd="1" m="1" x="3983"/>
        <item t="data" sd="1" m="1" x="3414"/>
        <item t="data" sd="1" m="1" x="3984"/>
        <item t="data" sd="1" m="1" x="3985"/>
        <item t="data" sd="1" m="1" x="3986"/>
        <item t="data" sd="1" m="1" x="2079"/>
        <item t="data" sd="1" m="1" x="3988"/>
        <item t="data" sd="1" m="1" x="3989"/>
        <item t="data" sd="1" m="1" x="3990"/>
        <item t="data" sd="1" m="1" x="3991"/>
        <item t="data" sd="1" m="1" x="3992"/>
        <item t="data" sd="1" m="1" x="3636"/>
        <item t="data" sd="1" m="1" x="3634"/>
        <item t="data" sd="1" m="1" x="3635"/>
        <item t="data" sd="1" m="1" x="3993"/>
        <item t="data" sd="1" m="1" x="3994"/>
        <item t="data" sd="1" m="1" x="4004"/>
        <item t="data" sd="1" m="1" x="4005"/>
        <item t="data" sd="1" m="1" x="3506"/>
        <item t="data" sd="1" m="1" x="4006"/>
        <item t="data" sd="1" m="1" x="4007"/>
        <item t="data" sd="1" m="1" x="4008"/>
        <item t="data" sd="1" m="1" x="4009"/>
        <item t="data" sd="1" m="1" x="4010"/>
        <item t="data" sd="1" m="1" x="4011"/>
        <item t="data" sd="1" m="1" x="4012"/>
        <item t="data" sd="1" m="1" x="4013"/>
        <item t="data" sd="1" m="1" x="4019"/>
        <item t="data" sd="1" m="1" x="4020"/>
        <item t="data" sd="1" m="1" x="2047"/>
        <item t="data" sd="1" m="1" x="2044"/>
        <item t="data" sd="1" m="1" x="2048"/>
        <item t="data" sd="1" m="1" x="2043"/>
        <item t="data" sd="1" m="1" x="2041"/>
        <item t="data" sd="1" m="1" x="1859"/>
        <item t="data" sd="1" m="1" x="1858"/>
        <item t="data" sd="1" m="1" x="1857"/>
        <item t="data" sd="1" m="1" x="1856"/>
        <item t="data" sd="1" m="1" x="2040"/>
        <item t="data" sd="1" m="1" x="2042"/>
        <item t="data" sd="1" m="1" x="2045"/>
        <item t="data" sd="1" m="1" x="2046"/>
        <item t="data" sd="1" m="1" x="4022"/>
        <item t="data" sd="1" m="1" x="4023"/>
        <item t="data" sd="1" m="1" x="4024"/>
        <item t="data" sd="1" m="1" x="4025"/>
        <item t="data" sd="1" m="1" x="4026"/>
        <item t="data" sd="1" m="1" x="4027"/>
        <item t="data" sd="1" m="1" x="4028"/>
        <item t="data" sd="1" m="1" x="3397"/>
        <item t="data" sd="1" m="1" x="3398"/>
        <item t="data" sd="1" m="1" x="3677"/>
        <item t="data" sd="1" m="1" x="3678"/>
        <item t="data" sd="1" m="1" x="3679"/>
        <item t="data" sd="1" m="1" x="3680"/>
        <item t="data" sd="1" m="1" x="3681"/>
        <item t="data" sd="1" m="1" x="3682"/>
        <item t="data" sd="1" m="1" x="3683"/>
        <item t="data" sd="1" m="1" x="3684"/>
        <item t="data" sd="1" m="1" x="3685"/>
        <item t="data" sd="1" m="1" x="2860"/>
        <item t="data" sd="1" m="1" x="2861"/>
        <item t="data" sd="1" m="1" x="2868"/>
        <item t="data" sd="1" m="1" x="3686"/>
        <item t="data" sd="1" m="1" x="3687"/>
        <item t="data" sd="1" m="1" x="2884"/>
        <item t="data" sd="1" m="1" x="2885"/>
        <item t="data" sd="1" m="1" x="2886"/>
        <item t="data" sd="1" m="1" x="3690"/>
        <item t="data" sd="1" m="1" x="3691"/>
        <item t="data" sd="1" m="1" x="3692"/>
        <item t="data" sd="1" m="1" x="3693"/>
        <item t="data" sd="1" m="1" x="3695"/>
        <item t="data" sd="1" m="1" x="3696"/>
        <item t="data" sd="1" m="1" x="3697"/>
        <item t="data" sd="1" m="1" x="3698"/>
        <item t="data" sd="1" m="1" x="3699"/>
        <item t="data" sd="1" m="1" x="3569"/>
        <item t="data" sd="1" m="1" x="3700"/>
        <item t="data" sd="1" m="1" x="3701"/>
        <item t="data" sd="1" m="1" x="3702"/>
        <item t="data" sd="1" m="1" x="3703"/>
        <item t="data" sd="1" m="1" x="3704"/>
        <item t="data" sd="1" m="1" x="3706"/>
        <item t="data" sd="1" m="1" x="3051"/>
        <item t="data" sd="1" m="1" x="3052"/>
        <item t="data" sd="1" m="1" x="3707"/>
        <item t="data" sd="1" m="1" x="3580"/>
        <item t="data" sd="1" m="1" x="2153"/>
        <item t="data" sd="1" m="1" x="3441"/>
        <item t="data" sd="1" m="1" x="3443"/>
        <item t="data" sd="1" m="1" x="3442"/>
        <item t="data" sd="1" m="1" x="3221"/>
        <item t="data" sd="1" m="1" x="3708"/>
        <item t="data" sd="1" m="1" x="2948"/>
        <item t="data" sd="1" m="1" x="2949"/>
        <item t="data" sd="1" m="1" x="2950"/>
        <item t="data" sd="1" m="1" x="2951"/>
        <item t="data" sd="1" m="1" x="3219"/>
        <item t="data" sd="1" m="1" x="3220"/>
        <item t="data" sd="1" m="1" x="3585"/>
        <item t="data" sd="1" m="1" x="2499"/>
        <item t="data" sd="1" m="1" x="2500"/>
        <item t="data" sd="1" m="1" x="653"/>
        <item t="data" sd="1" m="1" x="3710"/>
        <item t="data" sd="1" m="1" x="3711"/>
        <item t="data" sd="1" m="1" x="3591"/>
        <item t="data" sd="1" m="1" x="3587"/>
        <item t="data" sd="1" m="1" x="3588"/>
        <item t="data" sd="1" m="1" x="790"/>
        <item t="data" sd="1" m="1" x="2531"/>
        <item t="data" sd="1" m="1" x="3346"/>
        <item t="data" sd="1" m="1" x="3348"/>
        <item t="data" sd="1" m="1" x="3347"/>
        <item t="data" sd="1" m="1" x="3712"/>
        <item t="data" sd="1" m="1" x="2494"/>
        <item t="data" sd="1" m="1" x="1996"/>
        <item t="data" sd="1" m="1" x="1997"/>
        <item t="data" sd="1" m="1" x="3713"/>
        <item t="data" sd="1" m="1" x="1994"/>
        <item t="data" sd="1" m="1" x="3337"/>
        <item t="data" sd="1" m="1" x="3338"/>
        <item t="data" sd="1" m="1" x="3343"/>
        <item t="data" sd="1" m="1" x="3342"/>
        <item t="data" sd="1" m="1" x="3341"/>
        <item t="data" sd="1" m="1" x="569"/>
        <item t="data" sd="1" m="1" x="3592"/>
        <item t="data" sd="1" m="1" x="3593"/>
        <item t="data" sd="1" m="1" x="3455"/>
        <item t="data" sd="1" m="1" x="2974"/>
        <item t="data" sd="1" m="1" x="3714"/>
        <item t="data" sd="1" m="1" x="3715"/>
        <item t="data" sd="1" m="1" x="3089"/>
        <item t="data" sd="1" m="1" x="3716"/>
        <item t="data" sd="1" m="1" x="3459"/>
        <item t="data" sd="1" m="1" x="2802"/>
        <item t="data" sd="1" m="1" x="3718"/>
        <item t="data" sd="1" m="1" x="3719"/>
        <item t="data" sd="1" m="1" x="3720"/>
        <item t="data" sd="1" m="1" x="3721"/>
        <item t="data" sd="1" m="1" x="3595"/>
        <item t="data" sd="1" m="1" x="3736"/>
        <item t="data" sd="1" m="1" x="3737"/>
        <item t="data" sd="1" m="1" x="3738"/>
        <item t="data" sd="1" m="1" x="1981"/>
        <item t="data" sd="1" m="1" x="2006"/>
        <item t="data" sd="1" m="1" x="2113"/>
        <item t="data" sd="1" m="1" x="3596"/>
        <item t="data" sd="1" m="1" x="1983"/>
        <item t="data" sd="1" m="1" x="3277"/>
        <item t="data" sd="1" m="1" x="1982"/>
        <item t="data" sd="1" m="1" x="3279"/>
        <item t="data" sd="1" m="1" x="3278"/>
        <item t="data" sd="1" m="1" x="3274"/>
        <item t="data" sd="1" m="1" x="1985"/>
        <item t="data" sd="1" m="1" x="3468"/>
        <item t="data" sd="1" m="1" x="3469"/>
        <item t="data" sd="1" m="1" x="3749"/>
        <item t="data" sd="1" m="1" x="3750"/>
        <item t="data" sd="1" m="1" x="3477"/>
        <item t="data" sd="1" m="1" x="3604"/>
        <item t="data" sd="1" m="1" x="3599"/>
        <item t="data" sd="1" m="1" x="3751"/>
        <item t="data" sd="1" m="1" x="2094"/>
        <item t="data" sd="1" m="1" x="3752"/>
        <item t="data" sd="1" m="1" x="3380"/>
        <item t="data" sd="1" m="1" x="2086"/>
        <item t="data" sd="1" m="1" x="2084"/>
        <item t="data" sd="1" m="1" x="2093"/>
        <item t="data" sd="1" m="1" x="3485"/>
        <item t="data" sd="1" m="1" x="3480"/>
        <item t="data" sd="1" m="1" x="3486"/>
        <item t="data" sd="1" m="1" x="2033"/>
        <item t="data" sd="1" m="1" x="2171"/>
        <item t="data" sd="1" m="1" x="3381"/>
        <item t="data" sd="1" m="1" x="3379"/>
        <item t="data" sd="1" m="1" x="3753"/>
        <item t="data" sd="1" m="1" x="2547"/>
        <item t="data" sd="1" m="1" x="2537"/>
        <item t="data" sd="1" m="1" x="2546"/>
        <item t="data" sd="1" m="1" x="2193"/>
        <item t="data" sd="1" m="1" x="3754"/>
        <item t="data" sd="1" m="1" x="3755"/>
        <item t="data" sd="1" m="1" x="2932"/>
        <item t="data" sd="1" m="1" x="2929"/>
        <item t="data" sd="1" m="1" x="2927"/>
        <item t="data" sd="1" m="1" x="3488"/>
        <item t="data" sd="1" m="1" x="3196"/>
        <item t="data" sd="1" m="1" x="3195"/>
        <item t="data" sd="1" m="1" x="3194"/>
        <item t="data" sd="1" m="1" x="3201"/>
        <item t="data" sd="1" m="1" x="3192"/>
        <item t="data" sd="1" m="1" x="3193"/>
        <item t="data" sd="1" m="1" x="3370"/>
        <item t="data" sd="1" m="1" x="2928"/>
        <item t="data" sd="1" m="1" x="3177"/>
        <item t="data" sd="1" m="1" x="3178"/>
        <item t="data" sd="1" m="1" x="3179"/>
        <item t="data" sd="1" m="1" x="3180"/>
        <item t="data" sd="1" m="1" x="3181"/>
        <item t="data" sd="1" m="1" x="3190"/>
        <item t="data" sd="1" m="1" x="3756"/>
        <item t="data" sd="1" m="1" x="3757"/>
        <item t="data" sd="1" m="1" x="3607"/>
        <item t="data" sd="1" m="1" x="3608"/>
        <item t="data" sd="1" m="1" x="2914"/>
        <item t="data" sd="1" m="1" x="3061"/>
        <item t="data" sd="1" m="1" x="3758"/>
        <item t="data" sd="1" m="1" x="3759"/>
        <item t="data" sd="1" m="1" x="3760"/>
        <item t="data" sd="1" m="1" x="3761"/>
        <item t="data" sd="1" m="1" x="3762"/>
        <item t="data" sd="1" m="1" x="3763"/>
        <item t="data" sd="1" m="1" x="2967"/>
        <item t="data" sd="1" m="1" x="3064"/>
        <item t="data" sd="1" m="1" x="3612"/>
        <item t="data" sd="1" m="1" x="3371"/>
        <item t="data" sd="1" m="1" x="3496"/>
        <item t="data" sd="1" m="1" x="3764"/>
        <item t="data" sd="1" m="1" x="3615"/>
        <item t="data" sd="1" m="1" x="3616"/>
        <item t="data" sd="1" m="1" x="3770"/>
        <item t="data" sd="1" m="1" x="3617"/>
        <item t="data" sd="1" m="1" x="3622"/>
        <item t="data" sd="1" m="1" x="3771"/>
        <item t="data" sd="1" m="1" x="3772"/>
        <item t="data" sd="1" m="1" x="3623"/>
        <item t="data" sd="1" m="1" x="3773"/>
        <item t="data" sd="1" m="1" x="3629"/>
        <item t="data" sd="1" m="1" x="3630"/>
        <item t="data" sd="1" m="1" x="3774"/>
        <item t="data" sd="1" m="1" x="3775"/>
        <item t="data" sd="1" m="1" x="3776"/>
        <item t="data" sd="1" m="1" x="2051"/>
        <item t="data" sd="1" m="1" x="3241"/>
        <item t="data" sd="1" m="1" x="2052"/>
        <item t="data" sd="1" m="1" x="2053"/>
        <item t="data" sd="1" m="1" x="2055"/>
        <item t="data" sd="1" m="1" x="2056"/>
        <item t="data" sd="1" m="1" x="3240"/>
        <item t="data" sd="1" m="1" x="2054"/>
        <item t="data" sd="1" m="1" x="2057"/>
        <item t="data" sd="1" m="1" x="2058"/>
        <item t="data" sd="1" m="1" x="797"/>
        <item t="data" sd="1" m="1" x="2049"/>
        <item t="data" sd="1" m="1" x="2050"/>
        <item t="data" sd="1" m="1" x="2204"/>
        <item t="data" sd="1" m="1" x="3777"/>
        <item t="data" sd="1" m="1" x="3778"/>
        <item t="data" sd="1" m="1" x="3784"/>
        <item t="data" sd="1" m="1" x="3665"/>
        <item t="data" sd="1" m="1" x="3666"/>
        <item t="data" sd="1" m="1" x="3667"/>
        <item t="data" sd="1" m="1" x="3668"/>
        <item t="data" sd="1" m="1" x="3669"/>
        <item t="data" sd="1" m="1" x="3670"/>
        <item t="data" sd="1" m="1" x="3671"/>
        <item t="data" sd="1" m="1" x="3663"/>
        <item t="data" sd="1" m="1" x="3664"/>
        <item t="data" sd="1" m="1" x="3656"/>
        <item t="data" sd="1" m="1" x="3657"/>
        <item t="data" sd="1" m="1" x="3658"/>
        <item t="data" sd="1" m="1" x="3659"/>
        <item t="data" sd="1" m="1" x="3660"/>
        <item t="data" sd="1" m="1" x="3661"/>
        <item t="data" sd="1" m="1" x="3662"/>
        <item t="data" sd="1" m="1" x="3676"/>
        <item t="data" sd="1" m="1" x="3399"/>
        <item t="data" sd="1" m="1" x="3785"/>
        <item t="data" sd="1" m="1" x="3415"/>
        <item t="data" sd="1" m="1" x="3416"/>
        <item t="data" sd="1" m="1" x="2151"/>
        <item t="data" sd="1" m="1" x="3518"/>
        <item t="data" sd="1" m="1" x="3519"/>
        <item t="data" sd="1" m="1" x="3520"/>
        <item t="data" sd="1" m="1" x="3521"/>
        <item t="data" sd="1" m="1" x="3522"/>
        <item t="data" sd="1" m="1" x="3523"/>
        <item t="data" sd="1" m="1" x="3524"/>
        <item t="data" sd="1" m="1" x="3525"/>
        <item t="data" sd="1" m="1" x="3526"/>
        <item t="data" sd="1" m="1" x="3527"/>
        <item t="data" sd="1" m="1" x="3528"/>
        <item t="data" sd="1" m="1" x="3529"/>
        <item t="data" sd="1" m="1" x="3530"/>
        <item t="data" sd="1" m="1" x="3164"/>
        <item t="data" sd="1" m="1" x="3531"/>
        <item t="data" sd="1" m="1" x="3532"/>
        <item t="data" sd="1" m="1" x="2852"/>
        <item t="data" sd="1" m="1" x="2880"/>
        <item t="data" sd="1" m="1" x="3431"/>
        <item t="data" sd="1" m="1" x="3533"/>
        <item t="data" sd="1" m="1" x="2863"/>
        <item t="data" sd="1" m="1" x="3430"/>
        <item t="data" sd="1" m="1" x="2862"/>
        <item t="data" sd="1" m="1" x="3534"/>
        <item t="data" sd="1" m="1" x="2729"/>
        <item t="data" sd="1" m="1" x="2728"/>
        <item t="data" sd="1" m="1" x="3535"/>
        <item t="data" sd="1" m="1" x="3536"/>
        <item t="data" sd="1" m="1" x="3537"/>
        <item t="data" sd="1" m="1" x="3538"/>
        <item t="data" sd="1" m="1" x="3539"/>
        <item t="data" sd="1" m="1" x="3540"/>
        <item t="data" sd="1" m="1" x="3541"/>
        <item t="data" sd="1" m="1" x="3542"/>
        <item t="data" sd="1" m="1" x="3543"/>
        <item t="data" sd="1" m="1" x="3544"/>
        <item t="data" sd="1" m="1" x="3545"/>
        <item t="data" sd="1" m="1" x="3546"/>
        <item t="data" sd="1" m="1" x="3547"/>
        <item t="data" sd="1" m="1" x="3548"/>
        <item t="data" sd="1" m="1" x="3549"/>
        <item t="data" sd="1" m="1" x="3550"/>
        <item t="data" sd="1" m="1" x="3551"/>
        <item t="data" sd="1" m="1" x="3552"/>
        <item t="data" sd="1" m="1" x="3553"/>
        <item t="data" sd="1" m="1" x="3554"/>
        <item t="data" sd="1" m="1" x="3555"/>
        <item t="data" sd="1" m="1" x="3556"/>
        <item t="data" sd="1" m="1" x="3557"/>
        <item t="data" sd="1" m="1" x="3558"/>
        <item t="data" sd="1" m="1" x="3559"/>
        <item t="data" sd="1" m="1" x="3560"/>
        <item t="data" sd="1" m="1" x="3561"/>
        <item t="data" sd="1" m="1" x="3562"/>
        <item t="data" sd="1" m="1" x="3563"/>
        <item t="data" sd="1" m="1" x="3564"/>
        <item t="data" sd="1" m="1" x="3565"/>
        <item t="data" sd="1" m="1" x="3566"/>
        <item t="data" sd="1" m="1" x="3567"/>
        <item t="data" sd="1" m="1" x="3568"/>
        <item t="data" sd="1" m="1" x="3570"/>
        <item t="data" sd="1" m="1" x="3571"/>
        <item t="data" sd="1" m="1" x="3572"/>
        <item t="data" sd="1" m="1" x="3573"/>
        <item t="data" sd="1" m="1" x="3574"/>
        <item t="data" sd="1" m="1" x="3575"/>
        <item t="data" sd="1" m="1" x="3576"/>
        <item t="data" sd="1" m="1" x="3577"/>
        <item t="data" sd="1" m="1" x="3578"/>
        <item t="data" sd="1" m="1" x="2544"/>
        <item t="data" sd="1" m="1" x="2901"/>
        <item t="data" sd="1" m="1" x="2768"/>
        <item t="data" sd="1" m="1" x="3353"/>
        <item t="data" sd="1" m="1" x="3122"/>
        <item t="data" sd="1" m="1" x="3123"/>
        <item t="data" sd="1" m="1" x="3579"/>
        <item t="data" sd="1" m="1" x="2536"/>
        <item t="data" sd="1" m="1" x="663"/>
        <item t="data" sd="1" m="1" x="3581"/>
        <item t="data" sd="1" m="1" x="3582"/>
        <item t="data" sd="1" m="1" x="3583"/>
        <item t="data" sd="1" m="1" x="3584"/>
        <item t="data" sd="1" m="1" x="3374"/>
        <item t="data" sd="1" m="1" x="2959"/>
        <item t="data" sd="1" m="1" x="3586"/>
        <item t="data" sd="1" m="1" x="682"/>
        <item t="data" sd="1" m="1" x="2519"/>
        <item t="data" sd="1" m="1" x="3589"/>
        <item t="data" sd="1" m="1" x="3590"/>
        <item t="data" sd="1" m="1" x="2501"/>
        <item t="data" sd="1" m="1" x="597"/>
        <item t="data" sd="1" m="1" x="3345"/>
        <item t="data" sd="1" m="1" x="3339"/>
        <item t="data" sd="1" m="1" x="3340"/>
        <item t="data" sd="1" m="1" x="2131"/>
        <item t="data" sd="1" m="1" x="2130"/>
        <item t="data" sd="1" m="1" x="2133"/>
        <item t="data" sd="1" m="1" x="2128"/>
        <item t="data" sd="1" m="1" x="3458"/>
        <item t="data" sd="1" m="1" x="3457"/>
        <item t="data" sd="1" m="1" x="3594"/>
        <item t="data" sd="1" m="1" x="2975"/>
        <item t="data" sd="1" m="1" x="2870"/>
        <item t="data" sd="1" m="1" x="2871"/>
        <item t="data" sd="1" m="1" x="2874"/>
        <item t="data" sd="1" m="1" x="2875"/>
        <item t="data" sd="1" m="1" x="2876"/>
        <item t="data" sd="1" m="1" x="2872"/>
        <item t="data" sd="1" m="1" x="2873"/>
        <item t="data" sd="1" m="1" x="2135"/>
        <item t="data" sd="1" m="1" x="2136"/>
        <item t="data" sd="1" m="1" x="3597"/>
        <item t="data" sd="1" m="1" x="3598"/>
        <item t="data" sd="1" m="1" x="2141"/>
        <item t="data" sd="1" m="1" x="2103"/>
        <item t="data" sd="1" m="1" x="3276"/>
        <item t="data" sd="1" m="1" x="3467"/>
        <item t="data" sd="1" m="1" x="3470"/>
        <item t="data" sd="1" m="1" x="3471"/>
        <item t="data" sd="1" m="1" x="3475"/>
        <item t="data" sd="1" m="1" x="3474"/>
        <item t="data" sd="1" m="1" x="3476"/>
        <item t="data" sd="1" m="1" x="3600"/>
        <item t="data" sd="1" m="1" x="3601"/>
        <item t="data" sd="1" m="1" x="3602"/>
        <item t="data" sd="1" m="1" x="3603"/>
        <item t="data" sd="1" m="1" x="3481"/>
        <item t="data" sd="1" m="1" x="3482"/>
        <item t="data" sd="1" x="316"/>
        <item t="data" sd="1" m="1" x="3605"/>
        <item t="data" sd="1" m="1" x="2915"/>
        <item t="data" sd="1" m="1" x="3606"/>
        <item t="data" sd="1" m="1" x="3609"/>
        <item t="data" sd="1" m="1" x="3610"/>
        <item t="data" sd="1" m="1" x="3197"/>
        <item t="data" sd="1" m="1" x="3198"/>
        <item t="data" sd="1" m="1" x="3367"/>
        <item t="data" sd="1" m="1" x="3199"/>
        <item t="data" sd="1" m="1" x="3200"/>
        <item t="data" sd="1" m="1" x="3611"/>
        <item t="data" sd="1" m="1" x="3613"/>
        <item t="data" sd="1" m="1" x="3498"/>
        <item t="data" sd="1" m="1" x="2182"/>
        <item t="data" sd="1" m="1" x="2513"/>
        <item t="data" sd="1" m="1" x="725"/>
        <item t="data" sd="1" m="1" x="2514"/>
        <item t="data" sd="1" m="1" x="3618"/>
        <item t="data" sd="1" m="1" x="3619"/>
        <item t="data" sd="1" m="1" x="3502"/>
        <item t="data" sd="1" m="1" x="2228"/>
        <item t="data" sd="1" m="1" x="2257"/>
        <item t="data" sd="1" m="1" x="3620"/>
        <item t="data" sd="1" m="1" x="3621"/>
        <item t="data" sd="1" m="1" x="3624"/>
        <item t="data" sd="1" m="1" x="2990"/>
        <item t="data" sd="1" m="1" x="3625"/>
        <item t="data" sd="1" m="1" x="2991"/>
        <item t="data" sd="1" m="1" x="3626"/>
        <item t="data" sd="1" m="1" x="2992"/>
        <item t="data" sd="1" m="1" x="3627"/>
        <item t="data" sd="1" m="1" x="3631"/>
        <item t="data" sd="1" m="1" x="2993"/>
        <item t="data" sd="1" m="1" x="3632"/>
        <item t="data" sd="1" m="1" x="2994"/>
        <item t="data" sd="1" m="1" x="2995"/>
        <item t="data" sd="1" m="1" x="3633"/>
        <item t="data" sd="1" m="1" x="3513"/>
        <item t="data" sd="1" m="1" x="3514"/>
        <item t="data" sd="1" m="1" x="3515"/>
        <item t="data" sd="1" m="1" x="3512"/>
        <item t="data" sd="1" m="1" x="3092"/>
        <item t="data" sd="1" m="1" x="2206"/>
        <item t="data" sd="1" m="1" x="2229"/>
        <item t="data" sd="1" m="1" x="2205"/>
        <item t="data" sd="1" m="1" x="2230"/>
        <item t="data" sd="1" m="1" x="2231"/>
        <item t="data" sd="1" m="1" x="2232"/>
        <item t="data" sd="1" m="1" x="2233"/>
        <item t="data" sd="1" m="1" x="2234"/>
        <item t="data" sd="1" m="1" x="1855"/>
        <item t="data" sd="1" m="1" x="1854"/>
        <item t="data" sd="1" m="1" x="2198"/>
        <item t="data" sd="1" m="1" x="2199"/>
        <item t="data" sd="1" m="1" x="2200"/>
        <item t="data" sd="1" m="1" x="2225"/>
        <item t="data" sd="1" m="1" x="2527"/>
        <item t="data" sd="1" m="1" x="2528"/>
        <item t="data" sd="1" m="1" x="3672"/>
        <item t="data" sd="1" m="1" x="3673"/>
        <item t="data" sd="1" m="1" x="3674"/>
        <item t="data" sd="1" m="1" x="3675"/>
        <item t="data" sd="1" m="1" x="2246"/>
        <item t="data" sd="1" m="1" x="3417"/>
        <item t="data" sd="1" m="1" x="3418"/>
        <item t="data" sd="1" m="1" x="3419"/>
        <item t="data" sd="1" m="1" x="3420"/>
        <item t="data" sd="1" m="1" x="3421"/>
        <item t="data" sd="1" m="1" x="3422"/>
        <item t="data" sd="1" m="1" x="3423"/>
        <item t="data" sd="1" m="1" x="3424"/>
        <item t="data" sd="1" m="1" x="3425"/>
        <item t="data" sd="1" m="1" x="2734"/>
        <item t="data" sd="1" m="1" x="3427"/>
        <item t="data" sd="1" m="1" x="3428"/>
        <item t="data" sd="1" m="1" x="3429"/>
        <item t="data" sd="1" m="1" x="3432"/>
        <item t="data" sd="1" m="1" x="3433"/>
        <item t="data" sd="1" m="1" x="3331"/>
        <item t="data" sd="1" m="1" x="3332"/>
        <item t="data" sd="1" m="1" x="3333"/>
        <item t="data" sd="1" m="1" x="3327"/>
        <item t="data" sd="1" m="1" x="3434"/>
        <item t="data" sd="1" m="1" x="3329"/>
        <item t="data" sd="1" m="1" x="3330"/>
        <item t="data" sd="1" m="1" x="3435"/>
        <item t="data" sd="1" m="1" x="3436"/>
        <item t="data" sd="1" m="1" x="3437"/>
        <item t="data" sd="1" m="1" x="3310"/>
        <item t="data" sd="1" m="1" x="3311"/>
        <item t="data" sd="1" m="1" x="3124"/>
        <item t="data" sd="1" m="1" x="3328"/>
        <item t="data" sd="1" m="1" x="3438"/>
        <item t="data" sd="1" m="1" x="2725"/>
        <item t="data" sd="1" m="1" x="2726"/>
        <item t="data" sd="1" m="1" x="2727"/>
        <item t="data" sd="1" m="1" x="3351"/>
        <item t="data" sd="1" m="1" x="2502"/>
        <item t="data" sd="1" m="1" x="2503"/>
        <item t="data" sd="1" m="1" x="3361"/>
        <item t="data" sd="1" m="1" x="3439"/>
        <item t="data" sd="1" m="1" x="3440"/>
        <item t="data" sd="1" m="1" x="3072"/>
        <item t="data" sd="1" m="1" x="2960"/>
        <item t="data" sd="1" m="1" x="3445"/>
        <item t="data" sd="1" m="1" x="3446"/>
        <item t="data" sd="1" m="1" x="3447"/>
        <item t="data" sd="1" m="1" x="3448"/>
        <item t="data" sd="1" m="1" x="2962"/>
        <item t="data" sd="1" m="1" x="2961"/>
        <item t="data" sd="1" m="1" x="2498"/>
        <item t="data" sd="1" m="1" x="2142"/>
        <item t="data" sd="1" m="1" x="2143"/>
        <item t="data" sd="1" m="1" x="3449"/>
        <item t="data" sd="1" m="1" x="3450"/>
        <item t="data" sd="1" m="1" x="3451"/>
        <item t="data" sd="1" m="1" x="3452"/>
        <item t="data" sd="1" m="1" x="2109"/>
        <item t="data" sd="1" m="1" x="2123"/>
        <item t="data" sd="1" m="1" x="2124"/>
        <item t="data" sd="1" m="1" x="2125"/>
        <item t="data" sd="1" m="1" x="2126"/>
        <item t="data" sd="1" m="1" x="2127"/>
        <item t="data" sd="1" m="1" x="2540"/>
        <item t="data" sd="1" m="1" x="2539"/>
        <item t="data" sd="1" m="1" x="2122"/>
        <item t="data" sd="1" m="1" x="3453"/>
        <item t="data" sd="1" m="1" x="2132"/>
        <item t="data" sd="1" m="1" x="566"/>
        <item t="data" sd="1" m="1" x="2492"/>
        <item t="data" sd="1" m="1" x="2493"/>
        <item t="data" sd="1" m="1" x="2194"/>
        <item t="data" sd="1" m="1" x="2972"/>
        <item t="data" sd="1" m="1" x="2997"/>
        <item t="data" sd="1" m="1" x="3460"/>
        <item t="data" sd="1" m="1" x="3461"/>
        <item t="data" sd="1" m="1" x="3462"/>
        <item t="data" sd="1" m="1" x="3285"/>
        <item t="data" sd="1" m="1" x="3463"/>
        <item t="data" sd="1" m="1" x="3116"/>
        <item t="data" sd="1" m="1" x="3464"/>
        <item t="data" sd="1" m="1" x="3465"/>
        <item t="data" sd="1" m="1" x="3466"/>
        <item t="data" sd="1" m="1" x="3296"/>
        <item t="data" sd="1" m="1" x="3275"/>
        <item t="data" sd="1" m="1" x="3362"/>
        <item t="data" sd="1" m="1" x="3472"/>
        <item t="data" sd="1" m="1" x="3473"/>
        <item t="data" sd="1" m="1" x="2167"/>
        <item t="data" sd="1" m="1" x="3478"/>
        <item t="data" sd="1" m="1" x="3479"/>
        <item t="data" sd="1" m="1" x="2253"/>
        <item t="data" sd="1" m="1" x="2512"/>
        <item t="data" sd="1" m="1" x="3483"/>
        <item t="data" sd="1" m="1" x="2507"/>
        <item t="data" sd="1" m="1" x="2508"/>
        <item t="data" sd="1" m="1" x="2509"/>
        <item t="data" sd="1" m="1" x="2177"/>
        <item t="data" sd="1" m="1" x="2175"/>
        <item t="data" sd="1" m="1" x="3202"/>
        <item t="data" sd="1" m="1" x="2926"/>
        <item t="data" sd="1" m="1" x="3487"/>
        <item t="data" sd="1" m="1" x="2930"/>
        <item t="data" sd="1" m="1" x="3489"/>
        <item t="data" sd="1" m="1" x="3174"/>
        <item t="data" sd="1" m="1" x="3182"/>
        <item t="data" sd="1" m="1" x="3175"/>
        <item t="data" sd="1" m="1" x="3185"/>
        <item t="data" sd="1" m="1" x="3186"/>
        <item t="data" sd="1" m="1" x="3176"/>
        <item t="data" sd="1" m="1" x="3183"/>
        <item t="data" sd="1" m="1" x="3184"/>
        <item t="data" sd="1" m="1" x="3490"/>
        <item t="data" sd="1" m="1" x="2913"/>
        <item t="data" sd="1" m="1" x="3364"/>
        <item t="data" sd="1" m="1" x="3491"/>
        <item t="data" sd="1" m="1" x="3492"/>
        <item t="data" sd="1" m="1" x="3493"/>
        <item t="data" sd="1" m="1" x="3495"/>
        <item t="data" sd="1" m="1" x="3497"/>
        <item t="data" sd="1" m="1" x="2181"/>
        <item t="data" sd="1" m="1" x="2192"/>
        <item t="data" sd="1" m="1" x="3499"/>
        <item t="data" sd="1" m="1" x="3500"/>
        <item t="data" sd="1" m="1" x="3501"/>
        <item t="data" sd="1" m="1" x="2521"/>
        <item t="data" sd="1" m="1" x="2522"/>
        <item t="data" sd="1" m="1" x="3412"/>
        <item t="data" sd="1" m="1" x="3413"/>
        <item t="data" sd="1" m="1" x="2525"/>
        <item t="data" sd="1" m="1" x="2526"/>
        <item t="data" sd="1" m="1" x="2978"/>
        <item t="data" sd="1" m="1" x="3503"/>
        <item t="data" sd="1" m="1" x="3504"/>
        <item t="data" sd="1" m="1" x="2979"/>
        <item t="data" sd="1" m="1" x="2980"/>
        <item t="data" sd="1" m="1" x="2981"/>
        <item t="data" sd="1" m="1" x="2982"/>
        <item t="data" sd="1" m="1" x="3505"/>
        <item t="data" sd="1" m="1" x="3508"/>
        <item t="data" sd="1" m="1" x="3509"/>
        <item t="data" sd="1" m="1" x="3510"/>
        <item t="data" sd="1" m="1" x="3511"/>
        <item t="data" sd="1" m="1" x="2242"/>
        <item t="data" sd="1" m="1" x="2236"/>
        <item t="data" sd="1" m="1" x="2237"/>
        <item t="data" sd="1" m="1" x="2238"/>
        <item t="data" sd="1" m="1" x="2239"/>
        <item t="data" sd="1" m="1" x="2235"/>
        <item t="data" sd="1" m="1" x="2202"/>
        <item t="data" sd="1" m="1" x="798"/>
        <item t="data" sd="1" m="1" x="2201"/>
        <item t="data" sd="1" m="1" x="2240"/>
        <item t="data" sd="1" m="1" x="2241"/>
        <item t="data" sd="1" m="1" x="3516"/>
        <item t="data" sd="1" m="1" x="3394"/>
        <item t="data" sd="1" m="1" x="2467"/>
        <item t="data" sd="1" m="1" x="3517"/>
        <item t="data" sd="1" m="1" x="3243"/>
        <item t="data" sd="1" m="1" x="3256"/>
        <item t="data" sd="1" m="1" x="3099"/>
        <item t="data" sd="1" m="1" x="3101"/>
        <item t="data" sd="1" m="1" x="3257"/>
        <item t="data" sd="1" m="1" x="3258"/>
        <item t="data" sd="1" m="1" x="3259"/>
        <item t="data" sd="1" m="1" x="3260"/>
        <item t="data" sd="1" m="1" x="3261"/>
        <item t="data" sd="1" m="1" x="3262"/>
        <item t="data" sd="1" m="1" x="3263"/>
        <item t="data" sd="1" m="1" x="3264"/>
        <item t="data" sd="1" m="1" x="3265"/>
        <item t="data" sd="1" m="1" x="3266"/>
        <item t="data" sd="1" m="1" x="3267"/>
        <item t="data" sd="1" m="1" x="3268"/>
        <item t="data" sd="1" m="1" x="3269"/>
        <item t="data" sd="1" m="1" x="3270"/>
        <item t="data" sd="1" m="1" x="3271"/>
        <item t="data" sd="1" m="1" x="3272"/>
        <item t="data" sd="1" m="1" x="3273"/>
        <item t="data" sd="1" m="1" x="2102"/>
        <item t="data" sd="1" m="1" x="3112"/>
        <item t="data" sd="1" m="1" x="3113"/>
        <item t="data" sd="1" m="1" x="3110"/>
        <item t="data" sd="1" m="1" x="3281"/>
        <item t="data" sd="1" m="1" x="3286"/>
        <item t="data" sd="1" m="1" x="3287"/>
        <item t="data" sd="1" m="1" x="3288"/>
        <item t="data" sd="1" m="1" x="3117"/>
        <item t="data" sd="1" m="1" x="3289"/>
        <item t="data" sd="1" m="1" x="3290"/>
        <item t="data" sd="1" m="1" x="3294"/>
        <item t="data" sd="1" m="1" x="3295"/>
        <item t="data" sd="1" m="1" x="2545"/>
        <item t="data" sd="1" m="1" x="3118"/>
        <item t="data" sd="1" m="1" x="3297"/>
        <item t="data" sd="1" m="1" x="3009"/>
        <item t="data" sd="1" m="1" x="3298"/>
        <item t="data" sd="1" m="1" x="3299"/>
        <item t="data" sd="1" m="1" x="3300"/>
        <item t="data" sd="1" m="1" x="2490"/>
        <item t="data" sd="1" m="1" x="2110"/>
        <item t="data" sd="1" m="1" x="3301"/>
        <item t="data" sd="1" m="1" x="3135"/>
        <item t="data" sd="1" m="1" x="3302"/>
        <item t="data" sd="1" m="1" x="3303"/>
        <item t="data" sd="1" m="1" x="3133"/>
        <item t="data" sd="1" m="1" x="3304"/>
        <item t="data" sd="1" m="1" x="3305"/>
        <item t="data" sd="1" m="1" x="3306"/>
        <item t="data" sd="1" m="1" x="3307"/>
        <item t="data" sd="1" m="1" x="3308"/>
        <item t="data" sd="1" m="1" x="3309"/>
        <item t="data" sd="1" m="1" x="3312"/>
        <item t="data" sd="1" m="1" x="3313"/>
        <item t="data" sd="1" m="1" x="3314"/>
        <item t="data" sd="1" m="1" x="3315"/>
        <item t="data" sd="1" m="1" x="3012"/>
        <item t="data" sd="1" m="1" x="3132"/>
        <item t="data" sd="1" m="1" x="3316"/>
        <item t="data" sd="1" m="1" x="3317"/>
        <item t="data" sd="1" m="1" x="3318"/>
        <item t="data" sd="1" m="1" x="3319"/>
        <item t="data" sd="1" m="1" x="3320"/>
        <item t="data" sd="1" m="1" x="3321"/>
        <item t="data" sd="1" m="1" x="3322"/>
        <item t="data" sd="1" m="1" x="3134"/>
        <item t="data" sd="1" m="1" x="3323"/>
        <item t="data" sd="1" m="1" x="3324"/>
        <item t="data" sd="1" m="1" x="3325"/>
        <item t="data" sd="1" m="1" x="3326"/>
        <item t="data" sd="1" m="1" x="3131"/>
        <item t="data" sd="1" m="1" x="3128"/>
        <item t="data" sd="1" m="1" x="3129"/>
        <item t="data" sd="1" m="1" x="3130"/>
        <item t="data" sd="1" m="1" x="3334"/>
        <item t="data" sd="1" m="1" x="3335"/>
        <item t="data" sd="1" m="1" x="3153"/>
        <item t="data" sd="1" m="1" x="3154"/>
        <item t="data" sd="1" m="1" x="2865"/>
        <item t="data" sd="1" m="1" x="2864"/>
        <item t="data" sd="1" m="1" x="2120"/>
        <item t="data" sd="1" m="1" x="3336"/>
        <item t="data" sd="1" x="179"/>
        <item t="data" sd="1" x="180"/>
        <item t="data" sd="1" x="181"/>
        <item t="data" sd="1" m="1" x="2491"/>
        <item t="data" sd="1" m="1" x="3344"/>
        <item t="data" sd="1" m="1" x="2878"/>
        <item t="data" sd="1" m="1" x="3349"/>
        <item t="data" sd="1" m="1" x="2879"/>
        <item t="data" sd="1" m="1" x="3165"/>
        <item t="data" sd="1" m="1" x="3350"/>
        <item t="data" sd="1" m="1" x="2903"/>
        <item t="data" sd="1" m="1" x="2904"/>
        <item t="data" sd="1" m="1" x="2905"/>
        <item t="data" sd="1" m="1" x="2900"/>
        <item t="data" sd="1" m="1" x="2532"/>
        <item t="data" sd="1" m="1" x="2538"/>
        <item t="data" sd="1" m="1" x="3352"/>
        <item t="data" sd="1" m="1" x="3354"/>
        <item t="data" sd="1" m="1" x="3355"/>
        <item t="data" sd="1" m="1" x="3356"/>
        <item t="data" sd="1" m="1" x="3357"/>
        <item t="data" sd="1" m="1" x="3358"/>
        <item t="data" sd="1" m="1" x="3057"/>
        <item t="data" sd="1" m="1" x="2910"/>
        <item t="data" sd="1" m="1" x="2144"/>
        <item t="data" sd="1" m="1" x="3359"/>
        <item t="data" sd="1" m="1" x="3360"/>
        <item t="data" sd="1" m="1" x="2145"/>
        <item t="data" sd="1" m="1" x="3171"/>
        <item t="data" sd="1" m="1" x="3172"/>
        <item t="data" sd="1" m="1" x="2911"/>
        <item t="data" sd="1" m="1" x="2154"/>
        <item t="data" sd="1" m="1" x="3363"/>
        <item t="data" sd="1" m="1" x="3188"/>
        <item t="data" sd="1" m="1" x="3187"/>
        <item t="data" sd="1" m="1" x="3189"/>
        <item t="data" sd="1" m="1" x="3365"/>
        <item t="data" sd="1" m="1" x="3366"/>
        <item t="data" sd="1" m="1" x="3204"/>
        <item t="data" sd="1" m="1" x="3205"/>
        <item t="data" sd="1" m="1" x="3203"/>
        <item t="data" sd="1" m="1" x="3368"/>
        <item t="data" sd="1" m="1" x="3369"/>
        <item t="data" sd="1" m="1" x="3210"/>
        <item t="data" sd="1" m="1" x="2541"/>
        <item t="data" sd="1" m="1" x="2543"/>
        <item t="data" sd="1" m="1" x="3372"/>
        <item t="data" sd="1" m="1" x="2159"/>
        <item t="data" sd="1" m="1" x="2160"/>
        <item t="data" sd="1" m="1" x="3214"/>
        <item t="data" sd="1" m="1" x="3217"/>
        <item t="data" sd="1" m="1" x="3218"/>
        <item t="data" sd="1" m="1" x="3216"/>
        <item t="data" sd="1" m="1" x="2963"/>
        <item t="data" sd="1" m="1" x="2506"/>
        <item t="data" sd="1" m="1" x="3375"/>
        <item t="data" sd="1" m="1" x="3378"/>
        <item t="data" sd="1" m="1" x="2168"/>
        <item t="data" sd="1" m="1" x="697"/>
        <item t="data" sd="1" m="1" x="3078"/>
        <item t="data" sd="1" m="1" x="3079"/>
        <item t="data" sd="1" m="1" x="2247"/>
        <item t="data" sd="1" m="1" x="2174"/>
        <item t="data" sd="1" m="1" x="2176"/>
        <item t="data" sd="1" m="1" x="3382"/>
        <item t="data" sd="1" m="1" x="3383"/>
        <item t="data" sd="1" m="1" x="3384"/>
        <item t="data" sd="1" m="1" x="3385"/>
        <item t="data" sd="1" m="1" x="3386"/>
        <item t="data" sd="1" m="1" x="3389"/>
        <item t="data" sd="1" m="1" x="3390"/>
        <item t="data" sd="1" m="1" x="3391"/>
        <item t="data" sd="1" m="1" x="2196"/>
        <item t="data" sd="1" m="1" x="2197"/>
        <item t="data" sd="1" m="1" x="2203"/>
        <item t="data" sd="1" m="1" x="3393"/>
        <item t="data" sd="1" m="1" x="2813"/>
        <item t="data" sd="1" m="1" x="2224"/>
        <item t="data" sd="1" m="1" x="3400"/>
        <item t="data" sd="1" m="1" x="3401"/>
        <item t="data" sd="1" m="1" x="3402"/>
        <item t="data" sd="1" m="1" x="3403"/>
        <item t="data" sd="1" m="1" x="3404"/>
        <item t="data" sd="1" m="1" x="3405"/>
        <item t="data" sd="1" m="1" x="3406"/>
        <item t="data" sd="1" m="1" x="3252"/>
        <item t="data" sd="1" m="1" x="3407"/>
        <item t="data" sd="1" m="1" x="3408"/>
        <item t="data" sd="1" m="1" x="3409"/>
        <item t="data" sd="1" m="1" x="2227"/>
        <item t="data" sd="1" m="1" x="3410"/>
        <item t="data" sd="1" m="1" x="3411"/>
        <item t="data" sd="1" m="1" x="2523"/>
        <item t="data" sd="1" m="1" x="2524"/>
        <item t="data" sd="1" m="1" x="2572"/>
        <item t="data" sd="1" m="1" x="2635"/>
        <item t="data" sd="1" m="1" x="2533"/>
        <item t="data" sd="1" m="1" x="3100"/>
        <item t="data" sd="1" m="1" x="3102"/>
        <item t="data" sd="1" m="1" x="3103"/>
        <item t="data" sd="1" m="1" x="3104"/>
        <item t="data" sd="1" m="1" x="3105"/>
        <item t="data" sd="1" m="1" x="3106"/>
        <item t="data" sd="1" m="1" x="3107"/>
        <item t="data" sd="1" m="1" x="3108"/>
        <item t="data" sd="1" m="1" x="3109"/>
        <item t="data" sd="1" m="1" x="2099"/>
        <item t="data" sd="1" m="1" x="2100"/>
        <item t="data" sd="1" m="1" x="2101"/>
        <item t="data" sd="1" m="1" x="3114"/>
        <item t="data" sd="1" m="1" x="3119"/>
        <item t="data" sd="1" m="1" x="2851"/>
        <item t="data" sd="1" m="1" x="3120"/>
        <item t="data" sd="1" m="1" x="3006"/>
        <item t="data" sd="1" m="1" x="3121"/>
        <item t="data" sd="1" m="1" x="2542"/>
        <item t="data" sd="1" m="1" x="2111"/>
        <item t="data" sd="1" m="1" x="3125"/>
        <item t="data" sd="1" m="1" x="3126"/>
        <item t="data" sd="1" m="1" x="3127"/>
        <item t="data" sd="1" m="1" x="3136"/>
        <item t="data" sd="1" m="1" x="3137"/>
        <item t="data" sd="1" m="1" x="3138"/>
        <item t="data" sd="1" m="1" x="3139"/>
        <item t="data" sd="1" m="1" x="3140"/>
        <item t="data" sd="1" m="1" x="3141"/>
        <item t="data" sd="1" m="1" x="3142"/>
        <item t="data" sd="1" m="1" x="3143"/>
        <item t="data" sd="1" m="1" x="3144"/>
        <item t="data" sd="1" m="1" x="3145"/>
        <item t="data" sd="1" m="1" x="3146"/>
        <item t="data" sd="1" m="1" x="3147"/>
        <item t="data" sd="1" m="1" x="3148"/>
        <item t="data" sd="1" m="1" x="3149"/>
        <item t="data" sd="1" m="1" x="3150"/>
        <item t="data" sd="1" m="1" x="3151"/>
        <item t="data" sd="1" m="1" x="3152"/>
        <item t="data" sd="1" m="1" x="2119"/>
        <item t="data" sd="1" m="1" x="2121"/>
        <item t="data" sd="1" m="1" x="3155"/>
        <item t="data" sd="1" m="1" x="3156"/>
        <item t="data" sd="1" m="1" x="3157"/>
        <item t="data" sd="1" m="1" x="3158"/>
        <item t="data" sd="1" m="1" x="3159"/>
        <item t="data" sd="1" m="1" x="2495"/>
        <item t="data" sd="1" m="1" x="2496"/>
        <item t="data" sd="1" m="1" x="568"/>
        <item t="data" sd="1" m="1" x="3160"/>
        <item t="data" sd="1" m="1" x="3161"/>
        <item t="data" sd="1" m="1" x="3162"/>
        <item t="data" sd="1" m="1" x="3163"/>
        <item t="data" sd="1" m="1" x="596"/>
        <item t="data" sd="1" m="1" x="2894"/>
        <item t="data" sd="1" m="1" x="2497"/>
        <item t="data" sd="1" m="1" x="3050"/>
        <item t="data" sd="1" m="1" x="2898"/>
        <item t="data" sd="1" m="1" x="2140"/>
        <item t="data" sd="1" m="1" x="2902"/>
        <item t="data" sd="1" m="1" x="2534"/>
        <item t="data" sd="1" m="1" x="3166"/>
        <item t="data" sd="1" m="1" x="3167"/>
        <item t="data" sd="1" m="1" x="3168"/>
        <item t="data" sd="1" m="1" x="3169"/>
        <item t="data" sd="1" m="1" x="3173"/>
        <item t="data" sd="1" m="1" x="2931"/>
        <item t="data" sd="1" m="1" x="3191"/>
        <item t="data" sd="1" m="1" x="3206"/>
        <item t="data" sd="1" m="1" x="3207"/>
        <item t="data" sd="1" m="1" x="3208"/>
        <item t="data" sd="1" m="1" x="3209"/>
        <item t="data" sd="1" m="1" x="3211"/>
        <item t="data" sd="1" m="1" x="3212"/>
        <item t="data" sd="1" m="1" x="2504"/>
        <item t="data" sd="1" m="1" x="2505"/>
        <item t="data" sd="1" m="1" x="3213"/>
        <item t="data" sd="1" m="1" x="3067"/>
        <item t="data" sd="1" m="1" x="3215"/>
        <item t="data" sd="1" m="1" x="2255"/>
        <item t="data" sd="1" m="1" x="2251"/>
        <item t="data" sd="1" m="1" x="2970"/>
        <item t="data" sd="1" m="1" x="3222"/>
        <item t="data" sd="1" m="1" x="3073"/>
        <item t="data" sd="1" m="1" x="3223"/>
        <item t="data" sd="1" m="1" x="2510"/>
        <item t="data" sd="1" m="1" x="3225"/>
        <item t="data" sd="1" m="1" x="2973"/>
        <item t="data" sd="1" m="1" x="720"/>
        <item t="data" sd="1" m="1" x="2185"/>
        <item t="data" sd="1" m="1" x="3226"/>
        <item t="data" sd="1" m="1" x="3227"/>
        <item t="data" sd="1" m="1" x="3228"/>
        <item t="data" sd="1" m="1" x="3229"/>
        <item t="data" sd="1" m="1" x="734"/>
        <item t="data" sd="1" m="1" x="3230"/>
        <item t="data" sd="1" m="1" x="3231"/>
        <item t="data" sd="1" m="1" x="3232"/>
        <item t="data" sd="1" m="1" x="3233"/>
        <item t="data" sd="1" m="1" x="2988"/>
        <item t="data" sd="1" m="1" x="3234"/>
        <item t="data" sd="1" m="1" x="3235"/>
        <item t="data" sd="1" m="1" x="2989"/>
        <item t="data" sd="1" m="1" x="3236"/>
        <item t="data" sd="1" m="1" x="3237"/>
        <item t="data" sd="1" m="1" x="2515"/>
        <item t="data" sd="1" m="1" x="2518"/>
        <item t="data" sd="1" m="1" x="2516"/>
        <item t="data" sd="1" m="1" x="2517"/>
        <item t="data" sd="1" m="1" x="2998"/>
        <item t="data" sd="1" m="1" x="3238"/>
        <item t="data" sd="1" m="1" x="3093"/>
        <item t="data" sd="1" m="1" x="2216"/>
        <item t="data" sd="1" m="1" x="2215"/>
        <item t="data" sd="1" m="1" x="3242"/>
        <item t="data" sd="1" m="1" x="2210"/>
        <item t="data" sd="1" m="1" x="2211"/>
        <item t="data" sd="1" m="1" x="2212"/>
        <item t="data" sd="1" m="1" x="2213"/>
        <item t="data" sd="1" m="1" x="2214"/>
        <item t="data" sd="1" m="1" x="3244"/>
        <item t="data" sd="1" m="1" x="3245"/>
        <item t="data" sd="1" m="1" x="3246"/>
        <item t="data" sd="1" m="1" x="2520"/>
        <item t="data" sd="1" m="1" x="3247"/>
        <item t="data" sd="1" m="1" x="3248"/>
        <item t="data" sd="1" m="1" x="3249"/>
        <item t="data" sd="1" m="1" x="3250"/>
        <item t="data" sd="1" m="1" x="3251"/>
        <item t="data" sd="1" m="1" x="3253"/>
        <item t="data" sd="1" m="1" x="3254"/>
        <item t="data" sd="1" m="1" x="3255"/>
        <item t="data" sd="1" m="1" x="2259"/>
        <item t="data" sd="1" m="1" x="3000"/>
        <item t="data" sd="1" m="1" x="3001"/>
        <item t="data" sd="1" m="1" x="2836"/>
        <item t="data" sd="1" m="1" x="2835"/>
        <item t="data" sd="1" m="1" x="2834"/>
        <item t="data" sd="1" m="1" x="3002"/>
        <item t="data" sd="1" m="1" x="2837"/>
        <item t="data" sd="1" m="1" x="2548"/>
        <item t="data" sd="1" m="1" x="2552"/>
        <item t="data" sd="1" m="1" x="3003"/>
        <item t="data" sd="1" m="1" x="3004"/>
        <item t="data" sd="1" m="1" x="3005"/>
        <item t="data" sd="1" m="1" x="3007"/>
        <item t="data" sd="1" m="1" x="3008"/>
        <item t="data" sd="1" m="1" x="3013"/>
        <item t="data" sd="1" m="1" x="3014"/>
        <item t="data" sd="1" m="1" x="3015"/>
        <item t="data" sd="1" m="1" x="3016"/>
        <item t="data" sd="1" m="1" x="3017"/>
        <item t="data" sd="1" m="1" x="3018"/>
        <item t="data" sd="1" m="1" x="3019"/>
        <item t="data" sd="1" m="1" x="3020"/>
        <item t="data" sd="1" m="1" x="3021"/>
        <item t="data" sd="1" m="1" x="3022"/>
        <item t="data" sd="1" m="1" x="3023"/>
        <item t="data" sd="1" m="1" x="3024"/>
        <item t="data" sd="1" m="1" x="3025"/>
        <item t="data" sd="1" m="1" x="3026"/>
        <item t="data" sd="1" m="1" x="3027"/>
        <item t="data" sd="1" m="1" x="3028"/>
        <item t="data" sd="1" m="1" x="3029"/>
        <item t="data" sd="1" m="1" x="3030"/>
        <item t="data" sd="1" m="1" x="3031"/>
        <item t="data" sd="1" m="1" x="3032"/>
        <item t="data" sd="1" m="1" x="3033"/>
        <item t="data" sd="1" m="1" x="2565"/>
        <item t="data" sd="1" m="1" x="3039"/>
        <item t="data" sd="1" m="1" x="3040"/>
        <item t="data" sd="1" m="1" x="572"/>
        <item t="data" sd="1" m="1" x="567"/>
        <item t="data" sd="1" m="1" x="2877"/>
        <item t="data" sd="1" m="1" x="3043"/>
        <item t="data" sd="1" m="1" x="2137"/>
        <item t="data" sd="1" m="1" x="3044"/>
        <item t="data" sd="1" m="1" x="3045"/>
        <item t="data" sd="1" m="1" x="3046"/>
        <item t="data" sd="1" m="1" x="3047"/>
        <item t="data" sd="1" m="1" x="3048"/>
        <item t="data" sd="1" m="1" x="3049"/>
        <item t="data" sd="1" m="1" x="2138"/>
        <item t="data" sd="1" m="1" x="2906"/>
        <item t="data" sd="1" m="1" x="2139"/>
        <item t="data" sd="1" m="1" x="3053"/>
        <item t="data" sd="1" m="1" x="3054"/>
        <item t="data" sd="1" m="1" x="3055"/>
        <item t="data" sd="1" m="1" x="3056"/>
        <item t="data" sd="1" m="1" x="3058"/>
        <item t="data" sd="1" m="1" x="3059"/>
        <item t="data" sd="1" m="1" x="644"/>
        <item t="data" sd="1" m="1" x="2578"/>
        <item t="data" sd="1" m="1" x="2579"/>
        <item t="data" sd="1" m="1" x="2580"/>
        <item t="data" sd="1" m="1" x="2149"/>
        <item t="data" sd="1" m="1" x="2148"/>
        <item t="data" sd="1" m="1" x="2146"/>
        <item t="data" sd="1" m="1" x="2147"/>
        <item t="data" sd="1" m="1" x="664"/>
        <item t="data" sd="1" m="1" x="3060"/>
        <item t="data" sd="1" m="1" x="3062"/>
        <item t="data" sd="1" m="1" x="2920"/>
        <item t="data" sd="1" m="1" x="3063"/>
        <item t="data" sd="1" m="1" x="2934"/>
        <item t="data" sd="1" m="1" x="3065"/>
        <item t="data" sd="1" m="1" x="3066"/>
        <item t="data" sd="1" m="1" x="2939"/>
        <item t="data" sd="1" m="1" x="3068"/>
        <item t="data" sd="1" m="1" x="3069"/>
        <item t="data" sd="1" m="1" x="2957"/>
        <item t="data" sd="1" m="1" x="3070"/>
        <item t="data" sd="1" m="1" x="2958"/>
        <item t="data" sd="1" m="1" x="3071"/>
        <item t="data" sd="1" m="1" x="2965"/>
        <item t="data" sd="1" m="1" x="2964"/>
        <item t="data" sd="1" m="1" x="2157"/>
        <item t="data" sd="1" m="1" x="2158"/>
        <item t="data" sd="1" m="1" x="2966"/>
        <item t="data" sd="1" m="1" x="2166"/>
        <item t="data" sd="1" m="1" x="2594"/>
        <item t="data" sd="1" m="1" x="3074"/>
        <item t="data" sd="1" m="1" x="3075"/>
        <item t="data" sd="1" m="1" x="3076"/>
        <item t="data" sd="1" m="1" x="3077"/>
        <item t="data" sd="1" m="1" x="2250"/>
        <item t="data" sd="1" m="1" x="2170"/>
        <item t="data" sd="1" m="1" x="2511"/>
        <item t="data" sd="1" m="1" x="2169"/>
        <item t="data" sd="1" m="1" x="3080"/>
        <item t="data" sd="1" m="1" x="3081"/>
        <item t="data" sd="1" m="1" x="3082"/>
        <item t="data" sd="1" m="1" x="2256"/>
        <item t="data" sd="1" m="1" x="2249"/>
        <item t="data" sd="1" m="1" x="2173"/>
        <item t="data" sd="1" m="1" x="2172"/>
        <item t="data" sd="1" m="1" x="2971"/>
        <item t="data" sd="1" m="1" x="3083"/>
        <item t="data" sd="1" m="1" x="2608"/>
        <item t="data" sd="1" m="1" x="2183"/>
        <item t="data" sd="1" m="1" x="2184"/>
        <item t="data" sd="1" m="1" x="2609"/>
        <item t="data" sd="1" m="1" x="2186"/>
        <item t="data" sd="1" m="1" x="3084"/>
        <item t="data" sd="1" m="1" x="3085"/>
        <item t="data" sd="1" m="1" x="3086"/>
        <item t="data" sd="1" m="1" x="2804"/>
        <item t="data" sd="1" m="1" x="3087"/>
        <item t="data" sd="1" m="1" x="3088"/>
        <item t="data" sd="1" m="1" x="2996"/>
        <item t="data" sd="1" m="1" x="3090"/>
        <item t="data" sd="1" m="1" x="2195"/>
        <item t="data" sd="1" m="1" x="2614"/>
        <item t="data" sd="1" m="1" x="2252"/>
        <item t="data" sd="1" m="1" x="3091"/>
        <item t="data" sd="1" m="1" x="2999"/>
        <item t="data" sd="1" m="1" x="2209"/>
        <item t="data" sd="1" m="1" x="3094"/>
        <item t="data" sd="1" m="1" x="3095"/>
        <item t="data" sd="1" m="1" x="3096"/>
        <item t="data" sd="1" m="1" x="3097"/>
        <item t="data" sd="1" m="1" x="2223"/>
        <item t="data" sd="1" m="1" x="3098"/>
        <item t="data" sd="1" m="1" x="2830"/>
        <item t="data" sd="1" m="1" x="2831"/>
        <item t="data" sd="1" m="1" x="2832"/>
        <item t="data" sd="1" m="1" x="2833"/>
        <item t="data" sd="1" m="1" x="2838"/>
        <item t="data" sd="1" m="1" x="2839"/>
        <item t="data" sd="1" m="1" x="2840"/>
        <item t="data" sd="1" m="1" x="2841"/>
        <item t="data" sd="1" m="1" x="2842"/>
        <item t="data" sd="1" m="1" x="2843"/>
        <item t="data" sd="1" m="1" x="2844"/>
        <item t="data" sd="1" m="1" x="2845"/>
        <item t="data" sd="1" m="1" x="2846"/>
        <item t="data" sd="1" m="1" x="2847"/>
        <item t="data" sd="1" m="1" x="2848"/>
        <item t="data" sd="1" m="1" x="2849"/>
        <item t="data" sd="1" m="1" x="2850"/>
        <item t="data" sd="1" m="1" x="2629"/>
        <item t="data" sd="1" m="1" x="2098"/>
        <item t="data" sd="1" m="1" x="2549"/>
        <item t="data" sd="1" m="1" x="2104"/>
        <item t="data" sd="1" m="1" x="2551"/>
        <item t="data" sd="1" m="1" x="2106"/>
        <item t="data" sd="1" m="1" x="2107"/>
        <item t="data" sd="1" m="1" x="2553"/>
        <item t="data" sd="1" m="1" x="2732"/>
        <item t="data" sd="1" m="1" x="2733"/>
        <item t="data" sd="1" m="1" x="2735"/>
        <item t="data" sd="1" m="1" x="2853"/>
        <item t="data" sd="1" m="1" x="2854"/>
        <item t="data" sd="1" m="1" x="2855"/>
        <item t="data" sd="1" m="1" x="2856"/>
        <item t="data" sd="1" m="1" x="2857"/>
        <item t="data" sd="1" m="1" x="2858"/>
        <item t="data" sd="1" m="1" x="2859"/>
        <item t="data" sd="1" m="1" x="2640"/>
        <item t="data" sd="1" m="1" x="2569"/>
        <item t="data" sd="1" m="1" x="2566"/>
        <item t="data" sd="1" m="1" x="2767"/>
        <item t="data" sd="1" m="1" x="2115"/>
        <item t="data" sd="1" m="1" x="2116"/>
        <item t="data" sd="1" m="1" x="2117"/>
        <item t="data" sd="1" m="1" x="2118"/>
        <item t="data" sd="1" m="1" x="2567"/>
        <item t="data" sd="1" m="1" x="2568"/>
        <item t="data" sd="1" m="1" x="2129"/>
        <item t="data" sd="1" m="1" x="2869"/>
        <item t="data" sd="1" m="1" x="2134"/>
        <item t="data" sd="1" m="1" x="1608"/>
        <item t="data" sd="1" m="1" x="1604"/>
        <item t="data" sd="1" m="1" x="2883"/>
        <item t="data" sd="1" m="1" x="2887"/>
        <item t="data" sd="1" m="1" x="2888"/>
        <item t="data" sd="1" m="1" x="2889"/>
        <item t="data" sd="1" m="1" x="2648"/>
        <item t="data" sd="1" m="1" x="2890"/>
        <item t="data" sd="1" m="1" x="2891"/>
        <item t="data" sd="1" m="1" x="2892"/>
        <item t="data" sd="1" m="1" x="2893"/>
        <item t="data" sd="1" m="1" x="2895"/>
        <item t="data" sd="1" m="1" x="2897"/>
        <item t="data" sd="1" m="1" x="2899"/>
        <item t="data" sd="1" m="1" x="2530"/>
        <item t="data" sd="1" m="1" x="2770"/>
        <item t="data" sd="1" m="1" x="2907"/>
        <item t="data" sd="1" m="1" x="2908"/>
        <item t="data" sd="1" m="1" x="2909"/>
        <item t="data" sd="1" m="1" x="2583"/>
        <item t="data" sd="1" m="1" x="2582"/>
        <item t="data" sd="1" m="1" x="2773"/>
        <item t="data" sd="1" m="1" x="2581"/>
        <item t="data" sd="1" m="1" x="2912"/>
        <item t="data" sd="1" m="1" x="2917"/>
        <item t="data" sd="1" m="1" x="2918"/>
        <item t="data" sd="1" m="1" x="2919"/>
        <item t="data" sd="1" m="1" x="2921"/>
        <item t="data" sd="1" m="1" x="2922"/>
        <item t="data" sd="1" m="1" x="2923"/>
        <item t="data" sd="1" m="1" x="2924"/>
        <item t="data" sd="1" m="1" x="2925"/>
        <item t="data" sd="1" m="1" x="2155"/>
        <item t="data" sd="1" m="1" x="2935"/>
        <item t="data" sd="1" m="1" x="2936"/>
        <item t="data" sd="1" m="1" x="2937"/>
        <item t="data" sd="1" m="1" x="2938"/>
        <item t="data" sd="1" m="1" x="2940"/>
        <item t="data" sd="1" m="1" x="2956"/>
        <item t="data" sd="1" m="1" x="2791"/>
        <item t="data" sd="1" m="1" x="2605"/>
        <item t="data" sd="1" m="1" x="724"/>
        <item t="data" sd="1" m="1" x="713"/>
        <item t="data" sd="1" m="1" x="2187"/>
        <item t="data" sd="1" m="1" x="2188"/>
        <item t="data" sd="1" m="1" x="2189"/>
        <item t="data" sd="1" m="1" x="2190"/>
        <item t="data" sd="1" m="1" x="2191"/>
        <item t="data" sd="1" m="1" x="2805"/>
        <item t="data" sd="1" m="1" x="2976"/>
        <item t="data" sd="1" m="1" x="2977"/>
        <item t="data" sd="1" m="1" x="2612"/>
        <item t="data" sd="1" m="1" x="2983"/>
        <item t="data" sd="1" m="1" x="2984"/>
        <item t="data" sd="1" m="1" x="2985"/>
        <item t="data" sd="1" m="1" x="2986"/>
        <item t="data" sd="1" m="1" x="2987"/>
        <item t="data" sd="1" m="1" x="2806"/>
        <item t="data" sd="1" m="1" x="2807"/>
        <item t="data" sd="1" m="1" x="787"/>
        <item t="data" sd="1" m="1" x="2641"/>
        <item t="data" sd="1" m="1" x="2646"/>
        <item t="data" sd="1" m="1" x="788"/>
        <item t="data" sd="1" m="1" x="2243"/>
        <item t="data" sd="1" m="1" x="2208"/>
        <item t="data" sd="1" m="1" x="2207"/>
        <item t="data" sd="1" m="1" x="2822"/>
        <item t="data" sd="1" m="1" x="2823"/>
        <item t="data" sd="1" m="1" x="2824"/>
        <item t="data" sd="1" m="1" x="2825"/>
        <item t="data" sd="1" m="1" x="2258"/>
        <item t="data" sd="1" m="1" x="2707"/>
        <item t="data" sd="1" m="1" x="2535"/>
        <item t="data" sd="1" m="1" x="2709"/>
        <item t="data" sd="1" m="1" x="2710"/>
        <item t="data" sd="1" m="1" x="2711"/>
        <item t="data" sd="1" m="1" x="2712"/>
        <item t="data" sd="1" m="1" x="2713"/>
        <item t="data" sd="1" m="1" x="2714"/>
        <item t="data" sd="1" m="1" x="2715"/>
        <item t="data" sd="1" m="1" x="2628"/>
        <item t="data" sd="1" m="1" x="2716"/>
        <item t="data" sd="1" m="1" x="2717"/>
        <item t="data" sd="1" m="1" x="2718"/>
        <item t="data" sd="1" m="1" x="2719"/>
        <item t="data" sd="1" m="1" x="2720"/>
        <item t="data" sd="1" m="1" x="2721"/>
        <item t="data" sd="1" m="1" x="2722"/>
        <item t="data" sd="1" m="1" x="2723"/>
        <item t="data" sd="1" m="1" x="2724"/>
        <item t="data" sd="1" m="1" x="2634"/>
        <item t="data" sd="1" m="1" x="2630"/>
        <item t="data" sd="1" m="1" x="2550"/>
        <item t="data" sd="1" m="1" x="1530"/>
        <item t="data" sd="1" m="1" x="1531"/>
        <item t="data" sd="1" m="1" x="2731"/>
        <item t="data" sd="1" m="1" x="2108"/>
        <item t="data" sd="1" m="1" x="2736"/>
        <item t="data" sd="1" m="1" x="2737"/>
        <item t="data" sd="1" m="1" x="1563"/>
        <item t="data" sd="1" m="1" x="2112"/>
        <item t="data" sd="1" m="1" x="2738"/>
        <item t="data" sd="1" m="1" x="2739"/>
        <item t="data" sd="1" m="1" x="2740"/>
        <item t="data" sd="1" m="1" x="2741"/>
        <item t="data" sd="1" m="1" x="2742"/>
        <item t="data" sd="1" m="1" x="2743"/>
        <item t="data" sd="1" m="1" x="2744"/>
        <item t="data" sd="1" m="1" x="2745"/>
        <item t="data" sd="1" m="1" x="2746"/>
        <item t="data" sd="1" m="1" x="2747"/>
        <item t="data" sd="1" m="1" x="2748"/>
        <item t="data" sd="1" m="1" x="2749"/>
        <item t="data" sd="1" m="1" x="2750"/>
        <item t="data" sd="1" m="1" x="2751"/>
        <item t="data" sd="1" m="1" x="2752"/>
        <item t="data" sd="1" m="1" x="2753"/>
        <item t="data" sd="1" m="1" x="2754"/>
        <item t="data" sd="1" m="1" x="2755"/>
        <item t="data" sd="1" m="1" x="2756"/>
        <item t="data" sd="1" m="1" x="2757"/>
        <item t="data" sd="1" m="1" x="2758"/>
        <item t="data" sd="1" m="1" x="2759"/>
        <item t="data" sd="1" m="1" x="2760"/>
        <item t="data" sd="1" m="1" x="2761"/>
        <item t="data" sd="1" m="1" x="2762"/>
        <item t="data" sd="1" m="1" x="2763"/>
        <item t="data" sd="1" m="1" x="2764"/>
        <item t="data" sd="1" m="1" x="2765"/>
        <item t="data" sd="1" m="1" x="570"/>
        <item t="data" sd="1" m="1" x="571"/>
        <item t="data" sd="1" m="1" x="2114"/>
        <item t="data" sd="1" m="1" x="2766"/>
        <item t="data" sd="1" m="1" x="2574"/>
        <item t="data" sd="1" m="1" x="2638"/>
        <item t="data" sd="1" m="1" x="2639"/>
        <item t="data" sd="1" m="1" x="2771"/>
        <item t="data" sd="1" m="1" x="654"/>
        <item t="data" sd="1" m="1" x="2772"/>
        <item t="data" sd="1" m="1" x="1646"/>
        <item t="data" sd="1" m="1" x="2584"/>
        <item t="data" sd="1" m="1" x="2774"/>
        <item t="data" sd="1" m="1" x="643"/>
        <item t="data" sd="1" m="1" x="2150"/>
        <item t="data" sd="1" m="1" x="2589"/>
        <item t="data" sd="1" m="1" x="2775"/>
        <item t="data" sd="1" m="1" x="2776"/>
        <item t="data" sd="1" m="1" x="2777"/>
        <item t="data" sd="1" m="1" x="2778"/>
        <item t="data" sd="1" m="1" x="2779"/>
        <item t="data" sd="1" m="1" x="2780"/>
        <item t="data" sd="1" m="1" x="2781"/>
        <item t="data" sd="1" m="1" x="2782"/>
        <item t="data" sd="1" m="1" x="2783"/>
        <item t="data" sd="1" m="1" x="2784"/>
        <item t="data" sd="1" m="1" x="2591"/>
        <item t="data" sd="1" m="1" x="2785"/>
        <item t="data" sd="1" m="1" x="2786"/>
        <item t="data" sd="1" m="1" x="2787"/>
        <item t="data" sd="1" m="1" x="2632"/>
        <item t="data" sd="1" m="1" x="2788"/>
        <item t="data" sd="1" m="1" x="2789"/>
        <item t="data" sd="1" m="1" x="2163"/>
        <item t="data" sd="1" m="1" x="2164"/>
        <item t="data" sd="1" m="1" x="2162"/>
        <item t="data" sd="1" m="1" x="2165"/>
        <item t="data" sd="1" m="1" x="2156"/>
        <item t="data" sd="1" m="1" x="2161"/>
        <item t="data" sd="1" m="1" x="2647"/>
        <item t="data" sd="1" m="1" x="2790"/>
        <item t="data" sd="1" m="1" x="691"/>
        <item t="data" sd="1" m="1" x="2792"/>
        <item t="data" sd="1" m="1" x="2793"/>
        <item t="data" sd="1" m="1" x="2596"/>
        <item t="data" sd="1" m="1" x="2599"/>
        <item t="data" sd="1" m="1" x="2254"/>
        <item t="data" sd="1" m="1" x="2244"/>
        <item t="data" sd="1" m="1" x="2794"/>
        <item t="data" sd="1" m="1" x="2795"/>
        <item t="data" sd="1" m="1" x="2597"/>
        <item t="data" sd="1" m="1" x="2598"/>
        <item t="data" sd="1" m="1" x="2796"/>
        <item t="data" sd="1" m="1" x="2245"/>
        <item t="data" sd="1" m="1" x="2797"/>
        <item t="data" sd="1" m="1" x="2798"/>
        <item t="data" sd="1" m="1" x="2602"/>
        <item t="data" sd="1" m="1" x="2801"/>
        <item t="data" sd="1" m="1" x="2803"/>
        <item t="data" sd="1" m="1" x="2179"/>
        <item t="data" sd="1" m="1" x="2180"/>
        <item t="data" sd="1" m="1" x="2486"/>
        <item t="data" sd="1" m="1" x="2808"/>
        <item t="data" sd="1" m="1" x="2809"/>
        <item t="data" sd="1" m="1" x="2810"/>
        <item t="data" sd="1" m="1" x="2489"/>
        <item t="data" sd="1" m="1" x="2644"/>
        <item t="data" sd="1" x="454"/>
        <item t="data" sd="1" m="1" x="2219"/>
        <item t="data" sd="1" m="1" x="2218"/>
        <item t="data" sd="1" m="1" x="2811"/>
        <item t="data" sd="1" m="1" x="2812"/>
        <item t="data" sd="1" m="1" x="2814"/>
        <item t="data" sd="1" m="1" x="2617"/>
        <item t="data" sd="1" m="1" x="2618"/>
        <item t="data" sd="1" m="1" x="2226"/>
        <item t="data" sd="1" m="1" x="2815"/>
        <item t="data" sd="1" m="1" x="2816"/>
        <item t="data" sd="1" m="1" x="2817"/>
        <item t="data" sd="1" m="1" x="2818"/>
        <item t="data" sd="1" m="1" x="2819"/>
        <item t="data" sd="1" m="1" x="2820"/>
        <item t="data" sd="1" m="1" x="2821"/>
        <item t="data" sd="1" m="1" x="2826"/>
        <item t="data" sd="1" m="1" x="2827"/>
        <item t="data" sd="1" m="1" x="2828"/>
        <item t="data" sd="1" m="1" x="2829"/>
        <item t="data" sd="1" m="1" x="2676"/>
        <item t="data" sd="1" m="1" x="2623"/>
        <item t="data" sd="1" m="1" x="2529"/>
        <item t="data" sd="1" m="1" x="2260"/>
        <item t="data" sd="1" m="1" x="2105"/>
        <item t="data" sd="1" m="1" x="2554"/>
        <item t="data" sd="1" m="1" x="2555"/>
        <item t="data" sd="1" m="1" x="2556"/>
        <item t="data" sd="1" m="1" x="2557"/>
        <item t="data" sd="1" m="1" x="2558"/>
        <item t="data" sd="1" m="1" x="2559"/>
        <item t="data" sd="1" m="1" x="2560"/>
        <item t="data" sd="1" m="1" x="2561"/>
        <item t="data" sd="1" m="1" x="2562"/>
        <item t="data" sd="1" m="1" x="2267"/>
        <item t="data" sd="1" m="1" x="2563"/>
        <item t="data" sd="1" m="1" x="2564"/>
        <item t="data" sd="1" m="1" x="2570"/>
        <item t="data" sd="1" m="1" x="2571"/>
        <item t="data" sd="1" m="1" x="2573"/>
        <item t="data" sd="1" m="1" x="613"/>
        <item t="data" sd="1" m="1" x="2575"/>
        <item t="data" sd="1" m="1" x="2576"/>
        <item t="data" sd="1" m="1" x="2283"/>
        <item t="data" sd="1" m="1" x="2577"/>
        <item t="data" sd="1" m="1" x="2585"/>
        <item t="data" sd="1" m="1" x="2586"/>
        <item t="data" sd="1" m="1" x="2587"/>
        <item t="data" sd="1" m="1" x="2588"/>
        <item t="data" sd="1" m="1" x="2291"/>
        <item t="data" sd="1" m="1" x="2290"/>
        <item t="data" sd="1" m="1" x="2590"/>
        <item t="data" sd="1" m="1" x="2289"/>
        <item t="data" sd="1" m="1" x="2292"/>
        <item t="data" sd="1" m="1" x="2302"/>
        <item t="data" sd="1" m="1" x="2313"/>
        <item t="data" sd="1" m="1" x="2592"/>
        <item t="data" sd="1" m="1" x="2593"/>
        <item t="data" sd="1" m="1" x="2595"/>
        <item t="data" sd="1" m="1" x="2432"/>
        <item t="data" sd="1" m="1" x="2600"/>
        <item t="data" sd="1" m="1" x="2319"/>
        <item t="data" sd="1" m="1" x="2601"/>
        <item t="data" sd="1" m="1" x="2603"/>
        <item t="data" sd="1" m="1" x="2604"/>
        <item t="data" sd="1" m="1" x="2178"/>
        <item t="data" sd="1" m="1" x="2606"/>
        <item t="data" sd="1" m="1" x="2607"/>
        <item t="data" sd="1" m="1" x="2339"/>
        <item t="data" sd="1" m="1" x="2610"/>
        <item t="data" sd="1" m="1" x="2611"/>
        <item t="data" sd="1" m="1" x="2613"/>
        <item t="data" sd="1" m="1" x="2217"/>
        <item t="data" sd="1" m="1" x="2220"/>
        <item t="data" sd="1" m="1" x="2221"/>
        <item t="data" sd="1" m="1" x="2222"/>
        <item t="data" sd="1" m="1" x="2350"/>
        <item t="data" sd="1" m="1" x="2345"/>
        <item t="data" sd="1" m="1" x="2346"/>
        <item t="data" sd="1" m="1" x="2347"/>
        <item t="data" sd="1" m="1" x="2348"/>
        <item t="data" sd="1" m="1" x="2349"/>
        <item t="data" sd="1" m="1" x="2356"/>
        <item t="data" sd="1" m="1" x="2615"/>
        <item t="data" sd="1" m="1" x="2616"/>
        <item t="data" sd="1" m="1" x="2619"/>
        <item t="data" sd="1" m="1" x="2620"/>
        <item t="data" sd="1" m="1" x="2621"/>
        <item t="data" sd="1" m="1" x="2622"/>
        <item t="data" sd="1" m="1" x="2624"/>
        <item t="data" sd="1" x="455"/>
        <item t="data" sd="1" m="1" x="2625"/>
        <item t="data" sd="1" m="1" x="2626"/>
        <item t="data" sd="1" m="1" x="2627"/>
        <item t="data" sd="1" m="1" x="2631"/>
        <item t="data" sd="1" m="1" x="2633"/>
        <item t="data" sd="1" m="1" x="2636"/>
        <item t="data" sd="1" m="1" x="2637"/>
        <item t="data" sd="1" m="1" x="2642"/>
        <item t="data" sd="1" m="1" x="2643"/>
        <item t="data" sd="1" m="1" x="2645"/>
        <item t="data" sd="1" m="1" x="2649"/>
        <item t="data" sd="1" m="1" x="2363"/>
        <item t="data" sd="1" m="1" x="2271"/>
        <item t="data" sd="1" m="1" x="2650"/>
        <item t="data" sd="1" m="1" x="555"/>
        <item t="data" sd="1" m="1" x="2651"/>
        <item t="data" sd="1" m="1" x="2280"/>
        <item t="data" sd="1" m="1" x="2652"/>
        <item t="data" sd="1" m="1" x="2653"/>
        <item t="data" sd="1" m="1" x="2654"/>
        <item t="data" sd="1" m="1" x="2655"/>
        <item t="data" sd="1" m="1" x="2273"/>
        <item t="data" sd="1" x="223"/>
        <item t="data" sd="1" m="1" x="2656"/>
        <item t="data" sd="1" m="1" x="2287"/>
        <item t="data" sd="1" m="1" x="2288"/>
        <item t="data" sd="1" m="1" x="2303"/>
        <item t="data" sd="1" m="1" x="2304"/>
        <item t="data" sd="1" m="1" x="2657"/>
        <item t="data" sd="1" m="1" x="2658"/>
        <item t="data" sd="1" m="1" x="2316"/>
        <item t="data" sd="1" m="1" x="2659"/>
        <item t="data" sd="1" m="1" x="2325"/>
        <item t="data" sd="1" m="1" x="2326"/>
        <item t="data" sd="1" m="1" x="2660"/>
        <item t="data" sd="1" m="1" x="2661"/>
        <item t="data" sd="1" m="1" x="2662"/>
        <item t="data" sd="1" m="1" x="2663"/>
        <item t="data" sd="1" m="1" x="2664"/>
        <item t="data" sd="1" m="1" x="2665"/>
        <item t="data" sd="1" m="1" x="2666"/>
        <item t="data" sd="1" m="1" x="2667"/>
        <item t="data" sd="1" m="1" x="2668"/>
        <item t="data" sd="1" m="1" x="2669"/>
        <item t="data" sd="1" m="1" x="2670"/>
        <item t="data" sd="1" m="1" x="2671"/>
        <item t="data" sd="1" m="1" x="2672"/>
        <item t="data" sd="1" m="1" x="2673"/>
        <item t="data" sd="1" m="1" x="2674"/>
        <item t="data" sd="1" m="1" x="2675"/>
        <item t="data" sd="1" m="1" x="2677"/>
        <item t="data" sd="1" m="1" x="2678"/>
        <item t="data" sd="1" m="1" x="2679"/>
        <item t="data" sd="1" m="1" x="2680"/>
        <item t="data" sd="1" m="1" x="2681"/>
        <item t="data" sd="1" m="1" x="2682"/>
        <item t="data" sd="1" m="1" x="2683"/>
        <item t="data" sd="1" m="1" x="2684"/>
        <item t="data" sd="1" m="1" x="2685"/>
        <item t="data" sd="1" m="1" x="2686"/>
        <item t="data" sd="1" m="1" x="2687"/>
        <item t="data" sd="1" m="1" x="2688"/>
        <item t="data" sd="1" m="1" x="2689"/>
        <item t="data" sd="1" m="1" x="2690"/>
        <item t="data" sd="1" m="1" x="2691"/>
        <item t="data" sd="1" m="1" x="2692"/>
        <item t="data" sd="1" m="1" x="2693"/>
        <item t="data" sd="1" m="1" x="2694"/>
        <item t="data" sd="1" m="1" x="2695"/>
        <item t="data" sd="1" m="1" x="2696"/>
        <item t="data" sd="1" m="1" x="2697"/>
        <item t="data" sd="1" m="1" x="2698"/>
        <item t="data" sd="1" m="1" x="2699"/>
        <item t="data" sd="1" m="1" x="2700"/>
        <item t="data" sd="1" m="1" x="2701"/>
        <item t="data" sd="1" m="1" x="2702"/>
        <item t="data" sd="1" m="1" x="2703"/>
        <item t="data" sd="1" m="1" x="2704"/>
        <item t="data" sd="1" m="1" x="2705"/>
        <item t="data" sd="1" m="1" x="2706"/>
        <item t="data" sd="1" m="1" x="2708"/>
        <item t="data" sd="1" m="1" x="1865"/>
        <item t="data" sd="1" m="1" x="1866"/>
        <item t="data" sd="1" m="1" x="1867"/>
        <item t="data" sd="1" m="1" x="1868"/>
        <item t="data" sd="1" m="1" x="1869"/>
        <item t="data" sd="1" m="1" x="2152"/>
        <item t="data" sd="1" m="1" x="650"/>
        <item t="data" sd="1" m="1" x="2248"/>
        <item t="data" sd="1" m="1" x="2261"/>
        <item t="data" sd="1" m="1" x="2262"/>
        <item t="data" sd="1" m="1" x="2263"/>
        <item t="data" sd="1" m="1" x="2264"/>
        <item t="data" sd="1" m="1" x="2265"/>
        <item t="data" sd="1" m="1" x="2266"/>
        <item t="data" sd="1" m="1" x="2268"/>
        <item t="data" sd="1" m="1" x="2269"/>
        <item t="data" sd="1" m="1" x="2270"/>
        <item t="data" sd="1" m="1" x="1605"/>
        <item t="data" sd="1" m="1" x="1603"/>
        <item t="data" sd="1" m="1" x="1606"/>
        <item t="data" sd="1" m="1" x="1607"/>
        <item t="data" sd="1" m="1" x="2272"/>
        <item t="data" sd="1" m="1" x="594"/>
        <item t="data" sd="1" m="1" x="595"/>
        <item t="data" sd="1" m="1" x="598"/>
        <item t="data" sd="1" m="1" x="1631"/>
        <item t="data" sd="1" m="1" x="2274"/>
        <item t="data" sd="1" m="1" x="2275"/>
        <item t="data" sd="1" m="1" x="2276"/>
        <item t="data" sd="1" m="1" x="2277"/>
        <item t="data" sd="1" m="1" x="2278"/>
        <item t="data" sd="1" x="134"/>
        <item t="data" sd="1" m="1" x="2279"/>
        <item t="data" sd="1" m="1" x="2281"/>
        <item t="data" sd="1" x="176"/>
        <item t="data" sd="1" m="1" x="2282"/>
        <item t="data" sd="1" x="237"/>
        <item t="data" sd="1" m="1" x="657"/>
        <item t="data" sd="1" m="1" x="2284"/>
        <item t="data" sd="1" m="1" x="2285"/>
        <item t="data" sd="1" m="1" x="2286"/>
        <item t="data" sd="1" m="1" x="2293"/>
        <item t="data" sd="1" m="1" x="2294"/>
        <item t="data" sd="1" m="1" x="2295"/>
        <item t="data" sd="1" m="1" x="2296"/>
        <item t="data" sd="1" m="1" x="2297"/>
        <item t="data" sd="1" m="1" x="2298"/>
        <item t="data" sd="1" m="1" x="2299"/>
        <item t="data" sd="1" m="1" x="2300"/>
        <item t="data" sd="1" m="1" x="2301"/>
        <item t="data" sd="1" m="1" x="2305"/>
        <item t="data" sd="1" m="1" x="2306"/>
        <item t="data" sd="1" m="1" x="2307"/>
        <item t="data" sd="1" m="1" x="2308"/>
        <item t="data" sd="1" m="1" x="2309"/>
        <item t="data" sd="1" m="1" x="2310"/>
        <item t="data" sd="1" m="1" x="2311"/>
        <item t="data" sd="1" m="1" x="2312"/>
        <item t="data" sd="1" m="1" x="675"/>
        <item t="data" sd="1" m="1" x="676"/>
        <item t="data" sd="1" m="1" x="2314"/>
        <item t="data" sd="1" m="1" x="2315"/>
        <item t="data" sd="1" m="1" x="2317"/>
        <item t="data" sd="1" m="1" x="2318"/>
        <item t="data" sd="1" m="1" x="2320"/>
        <item t="data" sd="1" m="1" x="2321"/>
        <item t="data" sd="1" m="1" x="2322"/>
        <item t="data" sd="1" m="1" x="2323"/>
        <item t="data" sd="1" m="1" x="2324"/>
        <item t="data" sd="1" m="1" x="2327"/>
        <item t="data" sd="1" m="1" x="2328"/>
        <item t="data" sd="1" m="1" x="2329"/>
        <item t="data" sd="1" m="1" x="2330"/>
        <item t="data" sd="1" m="1" x="2331"/>
        <item t="data" sd="1" m="1" x="2332"/>
        <item t="data" sd="1" m="1" x="2333"/>
        <item t="data" sd="1" m="1" x="2334"/>
        <item t="data" sd="1" m="1" x="2335"/>
        <item t="data" sd="1" m="1" x="2336"/>
        <item t="data" sd="1" x="428"/>
        <item t="data" sd="1" x="429"/>
        <item t="data" sd="1" m="1" x="2337"/>
        <item t="data" sd="1" m="1" x="2338"/>
        <item t="data" sd="1" m="1" x="2340"/>
        <item t="data" sd="1" m="1" x="2341"/>
        <item t="data" sd="1" m="1" x="789"/>
        <item t="data" sd="1" m="1" x="2342"/>
        <item t="data" sd="1" m="1" x="2343"/>
        <item t="data" sd="1" m="1" x="2344"/>
        <item t="data" sd="1" m="1" x="2351"/>
        <item t="data" sd="1" m="1" x="2352"/>
        <item t="data" sd="1" m="1" x="2353"/>
        <item t="data" sd="1" m="1" x="2354"/>
        <item t="data" sd="1" m="1" x="2355"/>
        <item t="data" sd="1" m="1" x="2357"/>
        <item t="data" sd="1" m="1" x="2358"/>
        <item t="data" sd="1" m="1" x="2359"/>
        <item t="data" sd="1" m="1" x="2360"/>
        <item t="data" sd="1" m="1" x="2361"/>
        <item t="data" sd="1" m="1" x="2362"/>
        <item t="data" sd="1" m="1" x="2364"/>
        <item t="data" sd="1" m="1" x="2365"/>
        <item t="data" sd="1" m="1" x="2366"/>
        <item t="data" sd="1" m="1" x="2367"/>
        <item t="data" sd="1" m="1" x="2368"/>
        <item t="data" sd="1" m="1" x="2369"/>
        <item t="data" sd="1" m="1" x="2370"/>
        <item t="data" sd="1" m="1" x="2371"/>
        <item t="data" sd="1" m="1" x="2372"/>
        <item t="data" sd="1" m="1" x="2373"/>
        <item t="data" sd="1" m="1" x="2374"/>
        <item t="data" sd="1" m="1" x="2375"/>
        <item t="data" sd="1" m="1" x="2376"/>
        <item t="data" sd="1" m="1" x="2377"/>
        <item t="data" sd="1" m="1" x="2378"/>
        <item t="data" sd="1" m="1" x="2379"/>
        <item t="data" sd="1" m="1" x="2380"/>
        <item t="data" sd="1" m="1" x="2381"/>
        <item t="data" sd="1" m="1" x="2382"/>
        <item t="data" sd="1" m="1" x="2383"/>
        <item t="data" sd="1" m="1" x="2384"/>
        <item t="data" sd="1" m="1" x="2385"/>
        <item t="data" sd="1" m="1" x="2386"/>
        <item t="data" sd="1" m="1" x="2387"/>
        <item t="data" sd="1" m="1" x="2388"/>
        <item t="data" sd="1" m="1" x="2389"/>
        <item t="data" sd="1" m="1" x="2390"/>
        <item t="data" sd="1" m="1" x="2391"/>
        <item t="data" sd="1" m="1" x="2392"/>
        <item t="data" sd="1" m="1" x="2393"/>
        <item t="data" sd="1" m="1" x="2394"/>
        <item t="data" sd="1" m="1" x="2395"/>
        <item t="data" sd="1" m="1" x="2396"/>
        <item t="data" sd="1" m="1" x="2397"/>
        <item t="data" sd="1" m="1" x="2398"/>
        <item t="data" sd="1" m="1" x="2399"/>
        <item t="data" sd="1" m="1" x="2400"/>
        <item t="data" sd="1" m="1" x="2401"/>
        <item t="data" sd="1" m="1" x="2402"/>
        <item t="data" sd="1" m="1" x="2403"/>
        <item t="data" sd="1" m="1" x="2404"/>
        <item t="data" sd="1" m="1" x="2405"/>
        <item t="data" sd="1" m="1" x="2406"/>
        <item t="data" sd="1" m="1" x="2407"/>
        <item t="data" sd="1" m="1" x="2408"/>
        <item t="data" sd="1" m="1" x="2409"/>
        <item t="data" sd="1" m="1" x="2410"/>
        <item t="data" sd="1" m="1" x="2411"/>
        <item t="data" sd="1" m="1" x="2412"/>
        <item t="data" sd="1" m="1" x="2413"/>
        <item t="data" sd="1" m="1" x="2414"/>
        <item t="data" sd="1" m="1" x="2415"/>
        <item t="data" sd="1" m="1" x="2416"/>
        <item t="data" sd="1" m="1" x="2417"/>
        <item t="data" sd="1" m="1" x="2418"/>
        <item t="data" sd="1" m="1" x="2419"/>
        <item t="data" sd="1" m="1" x="2420"/>
        <item t="data" sd="1" m="1" x="2421"/>
        <item t="data" sd="1" m="1" x="2422"/>
        <item t="data" sd="1" m="1" x="2423"/>
        <item t="data" sd="1" m="1" x="2424"/>
        <item t="data" sd="1" m="1" x="2425"/>
        <item t="data" sd="1" m="1" x="2426"/>
        <item t="data" sd="1" m="1" x="2427"/>
        <item t="data" sd="1" m="1" x="2428"/>
        <item t="data" sd="1" m="1" x="2429"/>
        <item t="data" sd="1" m="1" x="2430"/>
        <item t="data" sd="1" m="1" x="2431"/>
        <item t="data" sd="1" m="1" x="2433"/>
        <item t="data" sd="1" m="1" x="2434"/>
        <item t="data" sd="1" m="1" x="2435"/>
        <item t="data" sd="1" m="1" x="2436"/>
        <item t="data" sd="1" m="1" x="2437"/>
        <item t="data" sd="1" m="1" x="2438"/>
        <item t="data" sd="1" m="1" x="2439"/>
        <item t="data" sd="1" m="1" x="2440"/>
        <item t="data" sd="1" m="1" x="681"/>
        <item t="data" sd="1" m="1" x="2441"/>
        <item t="data" sd="1" m="1" x="2442"/>
        <item t="data" sd="1" m="1" x="2443"/>
        <item t="data" sd="1" m="1" x="2444"/>
        <item t="data" sd="1" m="1" x="2445"/>
        <item t="data" sd="1" m="1" x="2446"/>
        <item t="data" sd="1" m="1" x="2447"/>
        <item t="data" sd="1" m="1" x="2448"/>
        <item t="data" sd="1" m="1" x="2449"/>
        <item t="data" sd="1" m="1" x="2450"/>
        <item t="data" sd="1" m="1" x="2451"/>
        <item t="data" sd="1" m="1" x="2452"/>
        <item t="data" sd="1" m="1" x="2453"/>
        <item t="data" sd="1" m="1" x="2454"/>
        <item t="data" sd="1" m="1" x="2455"/>
        <item t="data" sd="1" m="1" x="2456"/>
        <item t="data" sd="1" m="1" x="2457"/>
        <item t="data" sd="1" m="1" x="2458"/>
        <item t="data" sd="1" m="1" x="2459"/>
        <item t="data" sd="1" m="1" x="2460"/>
        <item t="data" sd="1" m="1" x="2461"/>
        <item t="data" sd="1" m="1" x="2462"/>
        <item t="data" sd="1" m="1" x="2463"/>
        <item t="data" sd="1" m="1" x="2464"/>
        <item t="data" sd="1" m="1" x="2465"/>
        <item t="data" sd="1" m="1" x="2466"/>
        <item t="data" sd="1" m="1" x="815"/>
        <item t="data" sd="1" m="1" x="816"/>
        <item t="data" sd="1" x="0"/>
        <item t="data" sd="1" x="1"/>
        <item t="data" sd="1" m="1" x="817"/>
        <item t="data" sd="1" m="1" x="818"/>
        <item t="data" sd="1" x="2"/>
        <item t="data" sd="1" m="1" x="819"/>
        <item t="data" sd="1" x="3"/>
        <item t="data" sd="1" x="4"/>
        <item t="data" sd="1" m="1" x="820"/>
        <item t="data" sd="1" m="1" x="525"/>
        <item t="data" sd="1" m="1" x="821"/>
        <item t="data" sd="1" x="7"/>
        <item t="data" sd="1" m="1" x="822"/>
        <item t="data" sd="1" m="1" x="823"/>
        <item t="data" sd="1" m="1" x="824"/>
        <item t="data" sd="1" m="1" x="825"/>
        <item t="data" sd="1" m="1" x="826"/>
        <item t="data" sd="1" m="1" x="827"/>
        <item t="data" sd="1" m="1" x="828"/>
        <item t="data" sd="1" m="1" x="829"/>
        <item t="data" sd="1" m="1" x="830"/>
        <item t="data" sd="1" m="1" x="831"/>
        <item t="data" sd="1" m="1" x="832"/>
        <item t="data" sd="1" m="1" x="833"/>
        <item t="data" sd="1" m="1" x="834"/>
        <item t="data" sd="1" m="1" x="835"/>
        <item t="data" sd="1" m="1" x="836"/>
        <item t="data" sd="1" m="1" x="837"/>
        <item t="data" sd="1" m="1" x="838"/>
        <item t="data" sd="1" m="1" x="839"/>
        <item t="data" sd="1" m="1" x="840"/>
        <item t="data" sd="1" m="1" x="841"/>
        <item t="data" sd="1" m="1" x="842"/>
        <item t="data" sd="1" m="1" x="843"/>
        <item t="data" sd="1" m="1" x="844"/>
        <item t="data" sd="1" m="1" x="845"/>
        <item t="data" sd="1" m="1" x="846"/>
        <item t="data" sd="1" m="1" x="847"/>
        <item t="data" sd="1" m="1" x="848"/>
        <item t="data" sd="1" m="1" x="849"/>
        <item t="data" sd="1" m="1" x="850"/>
        <item t="data" sd="1" m="1" x="851"/>
        <item t="data" sd="1" m="1" x="852"/>
        <item t="data" sd="1" m="1" x="853"/>
        <item t="data" sd="1" m="1" x="854"/>
        <item t="data" sd="1" m="1" x="855"/>
        <item t="data" sd="1" m="1" x="856"/>
        <item t="data" sd="1" m="1" x="857"/>
        <item t="data" sd="1" x="29"/>
        <item t="data" sd="1" m="1" x="858"/>
        <item t="data" sd="1" m="1" x="859"/>
        <item t="data" sd="1" m="1" x="860"/>
        <item t="data" sd="1" m="1" x="861"/>
        <item t="data" sd="1" m="1" x="862"/>
        <item t="data" sd="1" m="1" x="863"/>
        <item t="data" sd="1" m="1" x="864"/>
        <item t="data" sd="1" m="1" x="865"/>
        <item t="data" sd="1" m="1" x="866"/>
        <item t="data" sd="1" m="1" x="867"/>
        <item t="data" sd="1" m="1" x="868"/>
        <item t="data" sd="1" m="1" x="869"/>
        <item t="data" sd="1" m="1" x="870"/>
        <item t="data" sd="1" m="1" x="871"/>
        <item t="data" sd="1" m="1" x="872"/>
        <item t="data" sd="1" m="1" x="873"/>
        <item t="data" sd="1" m="1" x="874"/>
        <item t="data" sd="1" m="1" x="875"/>
        <item t="data" sd="1" m="1" x="876"/>
        <item t="data" sd="1" m="1" x="877"/>
        <item t="data" sd="1" m="1" x="878"/>
        <item t="data" sd="1" m="1" x="879"/>
        <item t="data" sd="1" m="1" x="880"/>
        <item t="data" sd="1" m="1" x="881"/>
        <item t="data" sd="1" m="1" x="882"/>
        <item t="data" sd="1" m="1" x="883"/>
        <item t="data" sd="1" m="1" x="884"/>
        <item t="data" sd="1" m="1" x="885"/>
        <item t="data" sd="1" m="1" x="886"/>
        <item t="data" sd="1" m="1" x="887"/>
        <item t="data" sd="1" m="1" x="888"/>
        <item t="data" sd="1" m="1" x="889"/>
        <item t="data" sd="1" m="1" x="890"/>
        <item t="data" sd="1" m="1" x="891"/>
        <item t="data" sd="1" m="1" x="892"/>
        <item t="data" sd="1" m="1" x="893"/>
        <item t="data" sd="1" m="1" x="894"/>
        <item t="data" sd="1" m="1" x="895"/>
        <item t="data" sd="1" m="1" x="896"/>
        <item t="data" sd="1" m="1" x="897"/>
        <item t="data" sd="1" m="1" x="898"/>
        <item t="data" sd="1" m="1" x="899"/>
        <item t="data" sd="1" m="1" x="900"/>
        <item t="data" sd="1" m="1" x="901"/>
        <item t="data" sd="1" m="1" x="902"/>
        <item t="data" sd="1" m="1" x="903"/>
        <item t="data" sd="1" m="1" x="904"/>
        <item t="data" sd="1" m="1" x="905"/>
        <item t="data" sd="1" m="1" x="906"/>
        <item t="data" sd="1" m="1" x="907"/>
        <item t="data" sd="1" m="1" x="908"/>
        <item t="data" sd="1" m="1" x="909"/>
        <item t="data" sd="1" m="1" x="910"/>
        <item t="data" sd="1" m="1" x="911"/>
        <item t="data" sd="1" m="1" x="912"/>
        <item t="data" sd="1" m="1" x="913"/>
        <item t="data" sd="1" m="1" x="914"/>
        <item t="data" sd="1" m="1" x="915"/>
        <item t="data" sd="1" m="1" x="916"/>
        <item t="data" sd="1" m="1" x="917"/>
        <item t="data" sd="1" m="1" x="918"/>
        <item t="data" sd="1" m="1" x="919"/>
        <item t="data" sd="1" m="1" x="920"/>
        <item t="data" sd="1" m="1" x="921"/>
        <item t="data" sd="1" m="1" x="922"/>
        <item t="data" sd="1" m="1" x="923"/>
        <item t="data" sd="1" m="1" x="924"/>
        <item t="data" sd="1" m="1" x="925"/>
        <item t="data" sd="1" m="1" x="926"/>
        <item t="data" sd="1" m="1" x="927"/>
        <item t="data" sd="1" m="1" x="928"/>
        <item t="data" sd="1" m="1" x="929"/>
        <item t="data" sd="1" m="1" x="930"/>
        <item t="data" sd="1" m="1" x="931"/>
        <item t="data" sd="1" m="1" x="932"/>
        <item t="data" sd="1" m="1" x="933"/>
        <item t="data" sd="1" m="1" x="934"/>
        <item t="data" sd="1" m="1" x="935"/>
        <item t="data" sd="1" m="1" x="936"/>
        <item t="data" sd="1" m="1" x="937"/>
        <item t="data" sd="1" m="1" x="938"/>
        <item t="data" sd="1" m="1" x="939"/>
        <item t="data" sd="1" m="1" x="940"/>
        <item t="data" sd="1" m="1" x="941"/>
        <item t="data" sd="1" m="1" x="942"/>
        <item t="data" sd="1" m="1" x="943"/>
        <item t="data" sd="1" m="1" x="944"/>
        <item t="data" sd="1" m="1" x="945"/>
        <item t="data" sd="1" m="1" x="946"/>
        <item t="data" sd="1" m="1" x="947"/>
        <item t="data" sd="1" m="1" x="948"/>
        <item t="data" sd="1" x="26"/>
        <item t="data" sd="1" m="1" x="949"/>
        <item t="data" sd="1" m="1" x="950"/>
        <item t="data" sd="1" m="1" x="951"/>
        <item t="data" sd="1" x="27"/>
        <item t="data" sd="1" m="1" x="952"/>
        <item t="data" sd="1" m="1" x="953"/>
        <item t="data" sd="1" m="1" x="954"/>
        <item t="data" sd="1" m="1" x="955"/>
        <item t="data" sd="1" m="1" x="956"/>
        <item t="data" sd="1" m="1" x="957"/>
        <item t="data" sd="1" m="1" x="958"/>
        <item t="data" sd="1" x="31"/>
        <item t="data" sd="1" m="1" x="959"/>
        <item t="data" sd="1" m="1" x="960"/>
        <item t="data" sd="1" m="1" x="961"/>
        <item t="data" sd="1" m="1" x="962"/>
        <item t="data" sd="1" m="1" x="963"/>
        <item t="data" sd="1" m="1" x="964"/>
        <item t="data" sd="1" m="1" x="965"/>
        <item t="data" sd="1" m="1" x="966"/>
        <item t="data" sd="1" x="32"/>
        <item t="data" sd="1" m="1" x="967"/>
        <item t="data" sd="1" m="1" x="968"/>
        <item t="data" sd="1" m="1" x="969"/>
        <item t="data" sd="1" x="30"/>
        <item t="data" sd="1" m="1" x="970"/>
        <item t="data" sd="1" x="28"/>
        <item t="data" sd="1" m="1" x="971"/>
        <item t="data" sd="1" m="1" x="972"/>
        <item t="data" sd="1" m="1" x="973"/>
        <item t="data" sd="1" m="1" x="974"/>
        <item t="data" sd="1" m="1" x="975"/>
        <item t="data" sd="1" m="1" x="976"/>
        <item t="data" sd="1" m="1" x="977"/>
        <item t="data" sd="1" m="1" x="978"/>
        <item t="data" sd="1" m="1" x="979"/>
        <item t="data" sd="1" m="1" x="980"/>
        <item t="data" sd="1" m="1" x="981"/>
        <item t="data" sd="1" m="1" x="982"/>
        <item t="data" sd="1" m="1" x="983"/>
        <item t="data" sd="1" m="1" x="984"/>
        <item t="data" sd="1" m="1" x="985"/>
        <item t="data" sd="1" m="1" x="529"/>
        <item t="data" sd="1" m="1" x="530"/>
        <item t="data" sd="1" m="1" x="986"/>
        <item t="data" sd="1" m="1" x="987"/>
        <item t="data" sd="1" m="1" x="988"/>
        <item t="data" sd="1" m="1" x="989"/>
        <item t="data" sd="1" m="1" x="990"/>
        <item t="data" sd="1" m="1" x="991"/>
        <item t="data" sd="1" m="1" x="992"/>
        <item t="data" sd="1" m="1" x="993"/>
        <item t="data" sd="1" m="1" x="994"/>
        <item t="data" sd="1" m="1" x="995"/>
        <item t="data" sd="1" m="1" x="996"/>
        <item t="data" sd="1" m="1" x="997"/>
        <item t="data" sd="1" m="1" x="998"/>
        <item t="data" sd="1" m="1" x="999"/>
        <item t="data" sd="1" m="1" x="1000"/>
        <item t="data" sd="1" m="1" x="1001"/>
        <item t="data" sd="1" m="1" x="1002"/>
        <item t="data" sd="1" m="1" x="1003"/>
        <item t="data" sd="1" m="1" x="1004"/>
        <item t="data" sd="1" m="1" x="1005"/>
        <item t="data" sd="1" m="1" x="1006"/>
        <item t="data" sd="1" m="1" x="1007"/>
        <item t="data" sd="1" m="1" x="1008"/>
        <item t="data" sd="1" m="1" x="1009"/>
        <item t="data" sd="1" m="1" x="1010"/>
        <item t="data" sd="1" m="1" x="1011"/>
        <item t="data" sd="1" m="1" x="1012"/>
        <item t="data" sd="1" m="1" x="1013"/>
        <item t="data" sd="1" m="1" x="1014"/>
        <item t="data" sd="1" m="1" x="1015"/>
        <item t="data" sd="1" m="1" x="1016"/>
        <item t="data" sd="1" m="1" x="1017"/>
        <item t="data" sd="1" m="1" x="1018"/>
        <item t="data" sd="1" m="1" x="1019"/>
        <item t="data" sd="1" m="1" x="1020"/>
        <item t="data" sd="1" m="1" x="1021"/>
        <item t="data" sd="1" m="1" x="1022"/>
        <item t="data" sd="1" m="1" x="1023"/>
        <item t="data" sd="1" m="1" x="1024"/>
        <item t="data" sd="1" m="1" x="1025"/>
        <item t="data" sd="1" m="1" x="1026"/>
        <item t="data" sd="1" m="1" x="1027"/>
        <item t="data" sd="1" m="1" x="1028"/>
        <item t="data" sd="1" m="1" x="1029"/>
        <item t="data" sd="1" m="1" x="1030"/>
        <item t="data" sd="1" m="1" x="1031"/>
        <item t="data" sd="1" m="1" x="1032"/>
        <item t="data" sd="1" m="1" x="1033"/>
        <item t="data" sd="1" m="1" x="1034"/>
        <item t="data" sd="1" m="1" x="1035"/>
        <item t="data" sd="1" m="1" x="1036"/>
        <item t="data" sd="1" m="1" x="1037"/>
        <item t="data" sd="1" m="1" x="1038"/>
        <item t="data" sd="1" m="1" x="1039"/>
        <item t="data" sd="1" m="1" x="1040"/>
        <item t="data" sd="1" m="1" x="1041"/>
        <item t="data" sd="1" m="1" x="1042"/>
        <item t="data" sd="1" m="1" x="1043"/>
        <item t="data" sd="1" m="1" x="1044"/>
        <item t="data" sd="1" m="1" x="1045"/>
        <item t="data" sd="1" m="1" x="1046"/>
        <item t="data" sd="1" m="1" x="1047"/>
        <item t="data" sd="1" m="1" x="1048"/>
        <item t="data" sd="1" m="1" x="1049"/>
        <item t="data" sd="1" m="1" x="1050"/>
        <item t="data" sd="1" m="1" x="1051"/>
        <item t="data" sd="1" m="1" x="1052"/>
        <item t="data" sd="1" m="1" x="1053"/>
        <item t="data" sd="1" m="1" x="1054"/>
        <item t="data" sd="1" m="1" x="1055"/>
        <item t="data" sd="1" m="1" x="1056"/>
        <item t="data" sd="1" m="1" x="1057"/>
        <item t="data" sd="1" m="1" x="1058"/>
        <item t="data" sd="1" m="1" x="1059"/>
        <item t="data" sd="1" m="1" x="1060"/>
        <item t="data" sd="1" m="1" x="1061"/>
        <item t="data" sd="1" m="1" x="1062"/>
        <item t="data" sd="1" m="1" x="1063"/>
        <item t="data" sd="1" m="1" x="1064"/>
        <item t="data" sd="1" m="1" x="1065"/>
        <item t="data" sd="1" m="1" x="1066"/>
        <item t="data" sd="1" m="1" x="1067"/>
        <item t="data" sd="1" m="1" x="1068"/>
        <item t="data" sd="1" m="1" x="1069"/>
        <item t="data" sd="1" m="1" x="1070"/>
        <item t="data" sd="1" m="1" x="1071"/>
        <item t="data" sd="1" m="1" x="1072"/>
        <item t="data" sd="1" m="1" x="1073"/>
        <item t="data" sd="1" m="1" x="1074"/>
        <item t="data" sd="1" m="1" x="1075"/>
        <item t="data" sd="1" m="1" x="1076"/>
        <item t="data" sd="1" m="1" x="1077"/>
        <item t="data" sd="1" m="1" x="1078"/>
        <item t="data" sd="1" m="1" x="1079"/>
        <item t="data" sd="1" m="1" x="1080"/>
        <item t="data" sd="1" m="1" x="1081"/>
        <item t="data" sd="1" m="1" x="1082"/>
        <item t="data" sd="1" m="1" x="1083"/>
        <item t="data" sd="1" m="1" x="1084"/>
        <item t="data" sd="1" m="1" x="1085"/>
        <item t="data" sd="1" m="1" x="1086"/>
        <item t="data" sd="1" m="1" x="1087"/>
        <item t="data" sd="1" m="1" x="1088"/>
        <item t="data" sd="1" m="1" x="1089"/>
        <item t="data" sd="1" m="1" x="1090"/>
        <item t="data" sd="1" m="1" x="1091"/>
        <item t="data" sd="1" m="1" x="1092"/>
        <item t="data" sd="1" m="1" x="1093"/>
        <item t="data" sd="1" m="1" x="1094"/>
        <item t="data" sd="1" m="1" x="1095"/>
        <item t="data" sd="1" m="1" x="1096"/>
        <item t="data" sd="1" m="1" x="1097"/>
        <item t="data" sd="1" m="1" x="1098"/>
        <item t="data" sd="1" m="1" x="1099"/>
        <item t="data" sd="1" m="1" x="1100"/>
        <item t="data" sd="1" m="1" x="1101"/>
        <item t="data" sd="1" m="1" x="1102"/>
        <item t="data" sd="1" m="1" x="528"/>
        <item t="data" sd="1" m="1" x="1103"/>
        <item t="data" sd="1" m="1" x="1104"/>
        <item t="data" sd="1" m="1" x="1105"/>
        <item t="data" sd="1" m="1" x="1106"/>
        <item t="data" sd="1" m="1" x="1107"/>
        <item t="data" sd="1" m="1" x="1108"/>
        <item t="data" sd="1" m="1" x="1109"/>
        <item t="data" sd="1" m="1" x="1110"/>
        <item t="data" sd="1" m="1" x="1111"/>
        <item t="data" sd="1" m="1" x="1112"/>
        <item t="data" sd="1" m="1" x="1113"/>
        <item t="data" sd="1" m="1" x="1114"/>
        <item t="data" sd="1" m="1" x="1115"/>
        <item t="data" sd="1" m="1" x="1116"/>
        <item t="data" sd="1" m="1" x="1117"/>
        <item t="data" sd="1" m="1" x="1118"/>
        <item t="data" sd="1" m="1" x="1119"/>
        <item t="data" sd="1" m="1" x="1120"/>
        <item t="data" sd="1" m="1" x="1121"/>
        <item t="data" sd="1" m="1" x="1122"/>
        <item t="data" sd="1" m="1" x="1123"/>
        <item t="data" sd="1" m="1" x="1124"/>
        <item t="data" sd="1" m="1" x="1125"/>
        <item t="data" sd="1" m="1" x="1126"/>
        <item t="data" sd="1" m="1" x="1127"/>
        <item t="data" sd="1" m="1" x="1128"/>
        <item t="data" sd="1" m="1" x="1129"/>
        <item t="data" sd="1" m="1" x="1130"/>
        <item t="data" sd="1" m="1" x="1131"/>
        <item t="data" sd="1" m="1" x="1132"/>
        <item t="data" sd="1" m="1" x="1133"/>
        <item t="data" sd="1" m="1" x="1134"/>
        <item t="data" sd="1" m="1" x="1135"/>
        <item t="data" sd="1" m="1" x="1136"/>
        <item t="data" sd="1" m="1" x="1137"/>
        <item t="data" sd="1" m="1" x="1138"/>
        <item t="data" sd="1" m="1" x="1139"/>
        <item t="data" sd="1" m="1" x="1140"/>
        <item t="data" sd="1" m="1" x="1141"/>
        <item t="data" sd="1" m="1" x="1142"/>
        <item t="data" sd="1" m="1" x="1143"/>
        <item t="data" sd="1" m="1" x="1144"/>
        <item t="data" sd="1" m="1" x="1145"/>
        <item t="data" sd="1" m="1" x="1146"/>
        <item t="data" sd="1" m="1" x="1147"/>
        <item t="data" sd="1" m="1" x="1148"/>
        <item t="data" sd="1" m="1" x="1149"/>
        <item t="data" sd="1" m="1" x="1150"/>
        <item t="data" sd="1" m="1" x="1151"/>
        <item t="data" sd="1" m="1" x="1152"/>
        <item t="data" sd="1" m="1" x="1153"/>
        <item t="data" sd="1" m="1" x="1154"/>
        <item t="data" sd="1" m="1" x="1155"/>
        <item t="data" sd="1" m="1" x="1156"/>
        <item t="data" sd="1" m="1" x="1157"/>
        <item t="data" sd="1" m="1" x="1158"/>
        <item t="data" sd="1" m="1" x="1159"/>
        <item t="data" sd="1" m="1" x="1160"/>
        <item t="data" sd="1" m="1" x="1161"/>
        <item t="data" sd="1" m="1" x="1162"/>
        <item t="data" sd="1" m="1" x="1163"/>
        <item t="data" sd="1" m="1" x="1164"/>
        <item t="data" sd="1" m="1" x="1165"/>
        <item t="data" sd="1" m="1" x="1166"/>
        <item t="data" sd="1" m="1" x="1167"/>
        <item t="data" sd="1" m="1" x="1168"/>
        <item t="data" sd="1" m="1" x="1169"/>
        <item t="data" sd="1" m="1" x="1170"/>
        <item t="data" sd="1" m="1" x="1171"/>
        <item t="data" sd="1" m="1" x="1172"/>
        <item t="data" sd="1" m="1" x="1173"/>
        <item t="data" sd="1" m="1" x="1174"/>
        <item t="data" sd="1" m="1" x="1175"/>
        <item t="data" sd="1" m="1" x="1176"/>
        <item t="data" sd="1" m="1" x="1177"/>
        <item t="data" sd="1" m="1" x="1178"/>
        <item t="data" sd="1" m="1" x="1179"/>
        <item t="data" sd="1" m="1" x="1180"/>
        <item t="data" sd="1" m="1" x="1181"/>
        <item t="data" sd="1" m="1" x="1182"/>
        <item t="data" sd="1" m="1" x="1183"/>
        <item t="data" sd="1" m="1" x="1184"/>
        <item t="data" sd="1" m="1" x="1185"/>
        <item t="data" sd="1" m="1" x="1186"/>
        <item t="data" sd="1" m="1" x="1187"/>
        <item t="data" sd="1" m="1" x="1188"/>
        <item t="data" sd="1" m="1" x="1189"/>
        <item t="data" sd="1" m="1" x="1190"/>
        <item t="data" sd="1" m="1" x="1191"/>
        <item t="data" sd="1" m="1" x="1192"/>
        <item t="data" sd="1" m="1" x="1193"/>
        <item t="data" sd="1" m="1" x="1194"/>
        <item t="data" sd="1" m="1" x="1195"/>
        <item t="data" sd="1" m="1" x="1196"/>
        <item t="data" sd="1" m="1" x="1197"/>
        <item t="data" sd="1" m="1" x="1198"/>
        <item t="data" sd="1" m="1" x="1199"/>
        <item t="data" sd="1" m="1" x="1200"/>
        <item t="data" sd="1" m="1" x="1201"/>
        <item t="data" sd="1" m="1" x="1202"/>
        <item t="data" sd="1" m="1" x="1203"/>
        <item t="data" sd="1" m="1" x="1204"/>
        <item t="data" sd="1" m="1" x="1205"/>
        <item t="data" sd="1" m="1" x="1206"/>
        <item t="data" sd="1" m="1" x="1207"/>
        <item t="data" sd="1" m="1" x="1208"/>
        <item t="data" sd="1" m="1" x="1209"/>
        <item t="data" sd="1" m="1" x="1210"/>
        <item t="data" sd="1" m="1" x="1211"/>
        <item t="data" sd="1" m="1" x="1212"/>
        <item t="data" sd="1" m="1" x="1213"/>
        <item t="data" sd="1" m="1" x="1214"/>
        <item t="data" sd="1" m="1" x="1215"/>
        <item t="data" sd="1" m="1" x="1216"/>
        <item t="data" sd="1" m="1" x="1217"/>
        <item t="data" sd="1" m="1" x="1218"/>
        <item t="data" sd="1" m="1" x="1219"/>
        <item t="data" sd="1" m="1" x="1220"/>
        <item t="data" sd="1" m="1" x="1221"/>
        <item t="data" sd="1" m="1" x="1222"/>
        <item t="data" sd="1" m="1" x="1223"/>
        <item t="data" sd="1" m="1" x="1224"/>
        <item t="data" sd="1" m="1" x="1225"/>
        <item t="data" sd="1" m="1" x="1226"/>
        <item t="data" sd="1" m="1" x="1227"/>
        <item t="data" sd="1" m="1" x="1228"/>
        <item t="data" sd="1" m="1" x="1229"/>
        <item t="data" sd="1" m="1" x="1230"/>
        <item t="data" sd="1" m="1" x="1231"/>
        <item t="data" sd="1" m="1" x="1232"/>
        <item t="data" sd="1" m="1" x="1233"/>
        <item t="data" sd="1" m="1" x="1234"/>
        <item t="data" sd="1" m="1" x="1235"/>
        <item t="data" sd="1" m="1" x="1236"/>
        <item t="data" sd="1" m="1" x="1237"/>
        <item t="data" sd="1" m="1" x="1238"/>
        <item t="data" sd="1" m="1" x="1239"/>
        <item t="data" sd="1" m="1" x="1240"/>
        <item t="data" sd="1" m="1" x="1241"/>
        <item t="data" sd="1" m="1" x="1242"/>
        <item t="data" sd="1" m="1" x="1243"/>
        <item t="data" sd="1" m="1" x="1244"/>
        <item t="data" sd="1" m="1" x="1245"/>
        <item t="data" sd="1" m="1" x="1246"/>
        <item t="data" sd="1" m="1" x="1247"/>
        <item t="data" sd="1" m="1" x="1248"/>
        <item t="data" sd="1" m="1" x="1249"/>
        <item t="data" sd="1" m="1" x="1250"/>
        <item t="data" sd="1" m="1" x="1251"/>
        <item t="data" sd="1" m="1" x="1252"/>
        <item t="data" sd="1" m="1" x="1253"/>
        <item t="data" sd="1" m="1" x="1254"/>
        <item t="data" sd="1" m="1" x="1255"/>
        <item t="data" sd="1" m="1" x="1256"/>
        <item t="data" sd="1" m="1" x="1257"/>
        <item t="data" sd="1" m="1" x="1258"/>
        <item t="data" sd="1" m="1" x="526"/>
        <item t="data" sd="1" m="1" x="527"/>
        <item t="data" sd="1" m="1" x="1259"/>
        <item t="data" sd="1" m="1" x="1260"/>
        <item t="data" sd="1" m="1" x="1261"/>
        <item t="data" sd="1" m="1" x="1262"/>
        <item t="data" sd="1" m="1" x="1263"/>
        <item t="data" sd="1" m="1" x="1264"/>
        <item t="data" sd="1" m="1" x="1265"/>
        <item t="data" sd="1" m="1" x="1266"/>
        <item t="data" sd="1" m="1" x="1267"/>
        <item t="data" sd="1" m="1" x="1268"/>
        <item t="data" sd="1" m="1" x="1269"/>
        <item t="data" sd="1" m="1" x="1270"/>
        <item t="data" sd="1" m="1" x="1271"/>
        <item t="data" sd="1" m="1" x="1272"/>
        <item t="data" sd="1" m="1" x="1273"/>
        <item t="data" sd="1" m="1" x="1274"/>
        <item t="data" sd="1" m="1" x="1275"/>
        <item t="data" sd="1" m="1" x="1276"/>
        <item t="data" sd="1" m="1" x="1277"/>
        <item t="data" sd="1" m="1" x="1278"/>
        <item t="data" sd="1" m="1" x="1279"/>
        <item t="data" sd="1" m="1" x="1280"/>
        <item t="data" sd="1" m="1" x="1281"/>
        <item t="data" sd="1" m="1" x="1282"/>
        <item t="data" sd="1" m="1" x="1283"/>
        <item t="data" sd="1" m="1" x="1284"/>
        <item t="data" sd="1" m="1" x="1285"/>
        <item t="data" sd="1" m="1" x="1286"/>
        <item t="data" sd="1" m="1" x="1287"/>
        <item t="data" sd="1" m="1" x="1288"/>
        <item t="data" sd="1" m="1" x="1289"/>
        <item t="data" sd="1" m="1" x="1290"/>
        <item t="data" sd="1" m="1" x="1291"/>
        <item t="data" sd="1" m="1" x="1292"/>
        <item t="data" sd="1" m="1" x="1293"/>
        <item t="data" sd="1" m="1" x="1294"/>
        <item t="data" sd="1" m="1" x="1295"/>
        <item t="data" sd="1" m="1" x="1296"/>
        <item t="data" sd="1" m="1" x="1297"/>
        <item t="data" sd="1" m="1" x="1298"/>
        <item t="data" sd="1" m="1" x="1299"/>
        <item t="data" sd="1" m="1" x="1300"/>
        <item t="data" sd="1" m="1" x="1301"/>
        <item t="data" sd="1" m="1" x="1302"/>
        <item t="data" sd="1" m="1" x="1303"/>
        <item t="data" sd="1" m="1" x="1304"/>
        <item t="data" sd="1" m="1" x="1305"/>
        <item t="data" sd="1" m="1" x="1306"/>
        <item t="data" sd="1" m="1" x="1307"/>
        <item t="data" sd="1" m="1" x="1308"/>
        <item t="data" sd="1" m="1" x="1309"/>
        <item t="data" sd="1" m="1" x="1310"/>
        <item t="data" sd="1" m="1" x="1311"/>
        <item t="data" sd="1" m="1" x="1312"/>
        <item t="data" sd="1" m="1" x="1313"/>
        <item t="data" sd="1" m="1" x="1314"/>
        <item t="data" sd="1" m="1" x="1315"/>
        <item t="data" sd="1" m="1" x="1316"/>
        <item t="data" sd="1" m="1" x="1317"/>
        <item t="data" sd="1" m="1" x="1318"/>
        <item t="data" sd="1" m="1" x="1319"/>
        <item t="data" sd="1" m="1" x="1320"/>
        <item t="data" sd="1" m="1" x="1321"/>
        <item t="data" sd="1" m="1" x="1322"/>
        <item t="data" sd="1" m="1" x="1323"/>
        <item t="data" sd="1" m="1" x="1324"/>
        <item t="data" sd="1" m="1" x="1325"/>
        <item t="data" sd="1" m="1" x="1326"/>
        <item t="data" sd="1" m="1" x="1327"/>
        <item t="data" sd="1" m="1" x="1328"/>
        <item t="data" sd="1" m="1" x="1329"/>
        <item t="data" sd="1" m="1" x="1330"/>
        <item t="data" sd="1" m="1" x="1331"/>
        <item t="data" sd="1" m="1" x="1332"/>
        <item t="data" sd="1" m="1" x="1333"/>
        <item t="data" sd="1" m="1" x="1334"/>
        <item t="data" sd="1" m="1" x="810"/>
        <item t="data" sd="1" m="1" x="1335"/>
        <item t="data" sd="1" m="1" x="1336"/>
        <item t="data" sd="1" m="1" x="1337"/>
        <item t="data" sd="1" m="1" x="1338"/>
        <item t="data" sd="1" m="1" x="1339"/>
        <item t="data" sd="1" m="1" x="1340"/>
        <item t="data" sd="1" m="1" x="1341"/>
        <item t="data" sd="1" m="1" x="1342"/>
        <item t="data" sd="1" m="1" x="1343"/>
        <item t="data" sd="1" m="1" x="1344"/>
        <item t="data" sd="1" m="1" x="1345"/>
        <item t="data" sd="1" m="1" x="1346"/>
        <item t="data" sd="1" m="1" x="1347"/>
        <item t="data" sd="1" m="1" x="1348"/>
        <item t="data" sd="1" m="1" x="1349"/>
        <item t="data" sd="1" m="1" x="1350"/>
        <item t="data" sd="1" m="1" x="1351"/>
        <item t="data" sd="1" m="1" x="1352"/>
        <item t="data" sd="1" m="1" x="1353"/>
        <item t="data" sd="1" m="1" x="1354"/>
        <item t="data" sd="1" m="1" x="1355"/>
        <item t="data" sd="1" m="1" x="1356"/>
        <item t="data" sd="1" m="1" x="1357"/>
        <item t="data" sd="1" m="1" x="1358"/>
        <item t="data" sd="1" m="1" x="1359"/>
        <item t="data" sd="1" m="1" x="1360"/>
        <item t="data" sd="1" m="1" x="1361"/>
        <item t="data" sd="1" m="1" x="1362"/>
        <item t="data" sd="1" m="1" x="1363"/>
        <item t="data" sd="1" m="1" x="1364"/>
        <item t="data" sd="1" m="1" x="1365"/>
        <item t="data" sd="1" m="1" x="1366"/>
        <item t="data" sd="1" m="1" x="1367"/>
        <item t="data" sd="1" m="1" x="1368"/>
        <item t="data" sd="1" m="1" x="1369"/>
        <item t="data" sd="1" m="1" x="1370"/>
        <item t="data" sd="1" m="1" x="1371"/>
        <item t="data" sd="1" m="1" x="1372"/>
        <item t="data" sd="1" m="1" x="1373"/>
        <item t="data" sd="1" m="1" x="1374"/>
        <item t="data" sd="1" m="1" x="1375"/>
        <item t="data" sd="1" m="1" x="1376"/>
        <item t="data" sd="1" m="1" x="1377"/>
        <item t="data" sd="1" m="1" x="1378"/>
        <item t="data" sd="1" m="1" x="1379"/>
        <item t="data" sd="1" m="1" x="1380"/>
        <item t="data" sd="1" m="1" x="1381"/>
        <item t="data" sd="1" m="1" x="1382"/>
        <item t="data" sd="1" m="1" x="1383"/>
        <item t="data" sd="1" m="1" x="1384"/>
        <item t="data" sd="1" m="1" x="1385"/>
        <item t="data" sd="1" m="1" x="1386"/>
        <item t="data" sd="1" m="1" x="1387"/>
        <item t="data" sd="1" m="1" x="1388"/>
        <item t="data" sd="1" m="1" x="1389"/>
        <item t="data" sd="1" m="1" x="1390"/>
        <item t="data" sd="1" m="1" x="1391"/>
        <item t="data" sd="1" m="1" x="1392"/>
        <item t="data" sd="1" m="1" x="1393"/>
        <item t="data" sd="1" m="1" x="1394"/>
        <item t="data" sd="1" m="1" x="1395"/>
        <item t="data" sd="1" m="1" x="1396"/>
        <item t="data" sd="1" m="1" x="1397"/>
        <item t="data" sd="1" m="1" x="1398"/>
        <item t="data" sd="1" m="1" x="1399"/>
        <item t="data" sd="1" m="1" x="1400"/>
        <item t="data" sd="1" m="1" x="1401"/>
        <item t="data" sd="1" m="1" x="1402"/>
        <item t="data" sd="1" m="1" x="1403"/>
        <item t="data" sd="1" m="1" x="1404"/>
        <item t="data" sd="1" m="1" x="1405"/>
        <item t="data" sd="1" m="1" x="1406"/>
        <item t="data" sd="1" m="1" x="1407"/>
        <item t="data" sd="1" m="1" x="1408"/>
        <item t="data" sd="1" m="1" x="1409"/>
        <item t="data" sd="1" m="1" x="1410"/>
        <item t="data" sd="1" m="1" x="1411"/>
        <item t="data" sd="1" m="1" x="1412"/>
        <item t="data" sd="1" m="1" x="1413"/>
        <item t="data" sd="1" m="1" x="1414"/>
        <item t="data" sd="1" m="1" x="1415"/>
        <item t="data" sd="1" m="1" x="1416"/>
        <item t="data" sd="1" m="1" x="1417"/>
        <item t="data" sd="1" m="1" x="1418"/>
        <item t="data" sd="1" m="1" x="1419"/>
        <item t="data" sd="1" m="1" x="1420"/>
        <item t="data" sd="1" m="1" x="1421"/>
        <item t="data" sd="1" m="1" x="1422"/>
        <item t="data" sd="1" m="1" x="1423"/>
        <item t="data" sd="1" m="1" x="1424"/>
        <item t="data" sd="1" m="1" x="1425"/>
        <item t="data" sd="1" m="1" x="1426"/>
        <item t="data" sd="1" m="1" x="1427"/>
        <item t="data" sd="1" m="1" x="1428"/>
        <item t="data" sd="1" m="1" x="1429"/>
        <item t="data" sd="1" m="1" x="1430"/>
        <item t="data" sd="1" m="1" x="1431"/>
        <item t="data" sd="1" m="1" x="1432"/>
        <item t="data" sd="1" m="1" x="1433"/>
        <item t="data" sd="1" m="1" x="1434"/>
        <item t="data" sd="1" m="1" x="1435"/>
        <item t="data" sd="1" m="1" x="1436"/>
        <item t="data" sd="1" m="1" x="1437"/>
        <item t="data" sd="1" m="1" x="1438"/>
        <item t="data" sd="1" m="1" x="1439"/>
        <item t="data" sd="1" m="1" x="1440"/>
        <item t="data" sd="1" m="1" x="1441"/>
        <item t="data" sd="1" m="1" x="1442"/>
        <item t="data" sd="1" m="1" x="1443"/>
        <item t="data" sd="1" m="1" x="1444"/>
        <item t="data" sd="1" m="1" x="1445"/>
        <item t="data" sd="1" m="1" x="1446"/>
        <item t="data" sd="1" m="1" x="1447"/>
        <item t="data" sd="1" m="1" x="1448"/>
        <item t="data" sd="1" m="1" x="1449"/>
        <item t="data" sd="1" m="1" x="1450"/>
        <item t="data" sd="1" m="1" x="1451"/>
        <item t="data" sd="1" m="1" x="1452"/>
        <item t="data" sd="1" m="1" x="1453"/>
        <item t="data" sd="1" m="1" x="1454"/>
        <item t="data" sd="1" m="1" x="1455"/>
        <item t="data" sd="1" m="1" x="1456"/>
        <item t="data" sd="1" m="1" x="1457"/>
        <item t="data" sd="1" m="1" x="1458"/>
        <item t="data" sd="1" m="1" x="1459"/>
        <item t="data" sd="1" m="1" x="1460"/>
        <item t="data" sd="1" m="1" x="1461"/>
        <item t="data" sd="1" m="1" x="1462"/>
        <item t="data" sd="1" m="1" x="1463"/>
        <item t="data" sd="1" m="1" x="1464"/>
        <item t="data" sd="1" m="1" x="1465"/>
        <item t="data" sd="1" m="1" x="1466"/>
        <item t="data" sd="1" m="1" x="1467"/>
        <item t="data" sd="1" m="1" x="1468"/>
        <item t="data" sd="1" m="1" x="1469"/>
        <item t="data" sd="1" m="1" x="1470"/>
        <item t="data" sd="1" m="1" x="1471"/>
        <item t="data" sd="1" m="1" x="1472"/>
        <item t="data" sd="1" m="1" x="1473"/>
        <item t="data" sd="1" m="1" x="1474"/>
        <item t="data" sd="1" m="1" x="1475"/>
        <item t="data" sd="1" m="1" x="1476"/>
        <item t="data" sd="1" m="1" x="1477"/>
        <item t="data" sd="1" m="1" x="1478"/>
        <item t="data" sd="1" m="1" x="1479"/>
        <item t="data" sd="1" m="1" x="1480"/>
        <item t="data" sd="1" m="1" x="1481"/>
        <item t="data" sd="1" m="1" x="1482"/>
        <item t="data" sd="1" m="1" x="1483"/>
        <item t="data" sd="1" m="1" x="1484"/>
        <item t="data" sd="1" m="1" x="1485"/>
        <item t="data" sd="1" m="1" x="1486"/>
        <item t="data" sd="1" m="1" x="1487"/>
        <item t="data" sd="1" m="1" x="1488"/>
        <item t="data" sd="1" m="1" x="1489"/>
        <item t="data" sd="1" m="1" x="1490"/>
        <item t="data" sd="1" m="1" x="1491"/>
        <item t="data" sd="1" m="1" x="1492"/>
        <item t="data" sd="1" m="1" x="1493"/>
        <item t="data" sd="1" m="1" x="1494"/>
        <item t="data" sd="1" m="1" x="1495"/>
        <item t="data" sd="1" m="1" x="1496"/>
        <item t="data" sd="1" m="1" x="1497"/>
        <item t="data" sd="1" m="1" x="1498"/>
        <item t="data" sd="1" m="1" x="1499"/>
        <item t="data" sd="1" m="1" x="1500"/>
        <item t="data" sd="1" m="1" x="1501"/>
        <item t="data" sd="1" m="1" x="1502"/>
        <item t="data" sd="1" m="1" x="1503"/>
        <item t="data" sd="1" m="1" x="1504"/>
        <item t="data" sd="1" m="1" x="1505"/>
        <item t="data" sd="1" m="1" x="1506"/>
        <item t="data" sd="1" m="1" x="1507"/>
        <item t="data" sd="1" m="1" x="1508"/>
        <item t="data" sd="1" m="1" x="1509"/>
        <item t="data" sd="1" m="1" x="1510"/>
        <item t="data" sd="1" m="1" x="1511"/>
        <item t="data" sd="1" m="1" x="1512"/>
        <item t="data" sd="1" m="1" x="1513"/>
        <item t="data" sd="1" m="1" x="1514"/>
        <item t="data" sd="1" m="1" x="1515"/>
        <item t="data" sd="1" m="1" x="1516"/>
        <item t="data" sd="1" m="1" x="1517"/>
        <item t="data" sd="1" m="1" x="1518"/>
        <item t="data" sd="1" m="1" x="1519"/>
        <item t="data" sd="1" m="1" x="1520"/>
        <item t="data" sd="1" x="39"/>
        <item t="data" sd="1" x="40"/>
        <item t="data" sd="1" x="42"/>
        <item t="data" sd="1" x="41"/>
        <item t="data" sd="1" x="45"/>
        <item t="data" sd="1" m="1" x="535"/>
        <item t="data" sd="1" x="46"/>
        <item t="data" sd="1" x="52"/>
        <item t="data" sd="1" x="51"/>
        <item t="data" sd="1" x="43"/>
        <item t="data" sd="1" x="49"/>
        <item t="data" sd="1" x="50"/>
        <item t="data" sd="1" x="44"/>
        <item t="data" sd="1" x="48"/>
        <item t="data" sd="1" x="47"/>
        <item t="data" sd="1" m="1" x="1521"/>
        <item t="data" sd="1" x="55"/>
        <item t="data" sd="1" x="57"/>
        <item t="data" sd="1" x="56"/>
        <item t="data" sd="1" m="1" x="1522"/>
        <item t="data" sd="1" m="1" x="1523"/>
        <item t="data" sd="1" m="1" x="1524"/>
        <item t="data" sd="1" m="1" x="1525"/>
        <item t="data" sd="1" m="1" x="1526"/>
        <item t="data" sd="1" m="1" x="1527"/>
        <item t="data" sd="1" m="1" x="1528"/>
        <item t="data" sd="1" m="1" x="1529"/>
        <item t="data" sd="1" m="1" x="539"/>
        <item t="data" sd="1" m="1" x="538"/>
        <item t="data" sd="1" x="58"/>
        <item t="data" sd="1" m="1" x="537"/>
        <item t="data" sd="1" m="1" x="536"/>
        <item t="data" sd="1" x="59"/>
        <item t="data" sd="1" m="1" x="1532"/>
        <item t="data" sd="1" m="1" x="1533"/>
        <item t="data" sd="1" m="1" x="1534"/>
        <item t="data" sd="1" m="1" x="1535"/>
        <item t="data" sd="1" m="1" x="540"/>
        <item t="data" sd="1" m="1" x="1536"/>
        <item t="data" sd="1" m="1" x="1537"/>
        <item t="data" sd="1" x="66"/>
        <item t="data" sd="1" x="67"/>
        <item t="data" sd="1" x="68"/>
        <item t="data" sd="1" x="69"/>
        <item t="data" sd="1" x="74"/>
        <item t="data" sd="1" x="72"/>
        <item t="data" sd="1" x="73"/>
        <item t="data" sd="1" x="70"/>
        <item t="data" sd="1" x="71"/>
        <item t="data" sd="1" m="1" x="1538"/>
        <item t="data" sd="1" m="1" x="1539"/>
        <item t="data" sd="1" m="1" x="541"/>
        <item t="data" sd="1" m="1" x="542"/>
        <item t="data" sd="1" x="78"/>
        <item t="data" sd="1" x="76"/>
        <item t="data" sd="1" m="1" x="543"/>
        <item t="data" sd="1" m="1" x="1540"/>
        <item t="data" sd="1" m="1" x="1541"/>
        <item t="data" sd="1" m="1" x="1542"/>
        <item t="data" sd="1" m="1" x="1543"/>
        <item t="data" sd="1" m="1" x="1544"/>
        <item t="data" sd="1" m="1" x="1545"/>
        <item t="data" sd="1" m="1" x="1546"/>
        <item t="data" sd="1" m="1" x="1547"/>
        <item t="data" sd="1" m="1" x="1548"/>
        <item t="data" sd="1" m="1" x="1549"/>
        <item t="data" sd="1" m="1" x="1550"/>
        <item t="data" sd="1" m="1" x="1551"/>
        <item t="data" sd="1" m="1" x="1552"/>
        <item t="data" sd="1" m="1" x="1553"/>
        <item t="data" sd="1" x="79"/>
        <item t="data" sd="1" x="94"/>
        <item t="data" sd="1" x="93"/>
        <item t="data" sd="1" m="1" x="545"/>
        <item t="data" sd="1" m="1" x="546"/>
        <item t="data" sd="1" m="1" x="1554"/>
        <item t="data" sd="1" m="1" x="1555"/>
        <item t="data" sd="1" m="1" x="1556"/>
        <item t="data" sd="1" x="95"/>
        <item t="data" sd="1" m="1" x="1557"/>
        <item t="data" sd="1" m="1" x="1558"/>
        <item t="data" sd="1" m="1" x="549"/>
        <item t="data" sd="1" m="1" x="548"/>
        <item t="data" sd="1" m="1" x="547"/>
        <item t="data" sd="1" x="101"/>
        <item t="data" sd="1" x="103"/>
        <item t="data" sd="1" m="1" x="552"/>
        <item t="data" sd="1" m="1" x="1559"/>
        <item t="data" sd="1" x="104"/>
        <item t="data" sd="1" m="1" x="1560"/>
        <item t="data" sd="1" m="1" x="1561"/>
        <item t="data" sd="1" x="108"/>
        <item t="data" sd="1" x="107"/>
        <item t="data" sd="1" x="106"/>
        <item t="data" sd="1" m="1" x="1562"/>
        <item t="data" sd="1" m="1" x="553"/>
        <item t="data" sd="1" m="1" x="1564"/>
        <item t="data" sd="1" m="1" x="554"/>
        <item t="data" sd="1" x="112"/>
        <item t="data" sd="1" x="116"/>
        <item t="data" sd="1" x="117"/>
        <item t="data" sd="1" m="1" x="558"/>
        <item t="data" sd="1" m="1" x="557"/>
        <item t="data" sd="1" m="1" x="556"/>
        <item t="data" sd="1" x="118"/>
        <item t="data" sd="1" x="114"/>
        <item t="data" sd="1" x="115"/>
        <item t="data" sd="1" x="119"/>
        <item t="data" sd="1" x="120"/>
        <item t="data" sd="1" x="121"/>
        <item t="data" sd="1" x="122"/>
        <item t="data" sd="1" m="1" x="1565"/>
        <item t="data" sd="1" m="1" x="1566"/>
        <item t="data" sd="1" m="1" x="1567"/>
        <item t="data" sd="1" m="1" x="1568"/>
        <item t="data" sd="1" m="1" x="1569"/>
        <item t="data" sd="1" m="1" x="1570"/>
        <item t="data" sd="1" m="1" x="1571"/>
        <item t="data" sd="1" m="1" x="1572"/>
        <item t="data" sd="1" m="1" x="1573"/>
        <item t="data" sd="1" m="1" x="1574"/>
        <item t="data" sd="1" m="1" x="1575"/>
        <item t="data" sd="1" m="1" x="1576"/>
        <item t="data" sd="1" m="1" x="1577"/>
        <item t="data" sd="1" m="1" x="1578"/>
        <item t="data" sd="1" m="1" x="1579"/>
        <item t="data" sd="1" m="1" x="1580"/>
        <item t="data" sd="1" m="1" x="1581"/>
        <item t="data" sd="1" m="1" x="1582"/>
        <item t="data" sd="1" m="1" x="1583"/>
        <item t="data" sd="1" m="1" x="1584"/>
        <item t="data" sd="1" m="1" x="1585"/>
        <item t="data" sd="1" m="1" x="1586"/>
        <item t="data" sd="1" x="123"/>
        <item t="data" sd="1" x="129"/>
        <item t="data" sd="1" x="133"/>
        <item t="data" sd="1" m="1" x="1587"/>
        <item t="data" sd="1" m="1" x="1588"/>
        <item t="data" sd="1" x="130"/>
        <item t="data" sd="1" m="1" x="1589"/>
        <item t="data" sd="1" x="136"/>
        <item t="data" sd="1" x="135"/>
        <item t="data" sd="1" x="137"/>
        <item t="data" sd="1" x="132"/>
        <item t="data" sd="1" x="131"/>
        <item t="data" sd="1" m="1" x="1590"/>
        <item t="data" sd="1" m="1" x="1591"/>
        <item t="data" sd="1" m="1" x="1592"/>
        <item t="data" sd="1" m="1" x="563"/>
        <item t="data" sd="1" m="1" x="564"/>
        <item t="data" sd="1" x="138"/>
        <item t="data" sd="1" x="139"/>
        <item t="data" sd="1" m="1" x="562"/>
        <item t="data" sd="1" x="140"/>
        <item t="data" sd="1" x="141"/>
        <item t="data" sd="1" x="142"/>
        <item t="data" sd="1" x="143"/>
        <item t="data" sd="1" x="144"/>
        <item t="data" sd="1" x="153"/>
        <item t="data" sd="1" x="154"/>
        <item t="data" sd="1" x="152"/>
        <item t="data" sd="1" x="192"/>
        <item t="data" sd="1" m="1" x="581"/>
        <item t="data" sd="1" x="146"/>
        <item t="data" sd="1" m="1" x="573"/>
        <item t="data" sd="1" x="147"/>
        <item t="data" sd="1" x="148"/>
        <item t="data" sd="1" x="149"/>
        <item t="data" sd="1" x="193"/>
        <item t="data" sd="1" m="1" x="575"/>
        <item t="data" sd="1" x="194"/>
        <item t="data" sd="1" m="1" x="586"/>
        <item t="data" sd="1" m="1" x="587"/>
        <item t="data" sd="1" m="1" x="585"/>
        <item t="data" sd="1" x="177"/>
        <item t="data" sd="1" x="178"/>
        <item t="data" sd="1" m="1" x="582"/>
        <item t="data" sd="1" x="175"/>
        <item t="data" sd="1" m="1" x="590"/>
        <item t="data" sd="1" m="1" x="588"/>
        <item t="data" sd="1" m="1" x="589"/>
        <item t="data" sd="1" m="1" x="592"/>
        <item t="data" sd="1" m="1" x="591"/>
        <item t="data" sd="1" x="155"/>
        <item t="data" sd="1" x="156"/>
        <item t="data" sd="1" m="1" x="565"/>
        <item t="data" sd="1" m="1" x="1593"/>
        <item t="data" sd="1" m="1" x="1594"/>
        <item t="data" sd="1" m="1" x="1595"/>
        <item t="data" sd="1" m="1" x="1596"/>
        <item t="data" sd="1" m="1" x="1597"/>
        <item t="data" sd="1" m="1" x="1598"/>
        <item t="data" sd="1" m="1" x="1599"/>
        <item t="data" sd="1" m="1" x="1600"/>
        <item t="data" sd="1" m="1" x="1601"/>
        <item t="data" sd="1" m="1" x="1602"/>
        <item t="data" sd="1" m="1" x="1609"/>
        <item t="data" sd="1" m="1" x="1610"/>
        <item t="data" sd="1" x="197"/>
        <item t="data" sd="1" x="198"/>
        <item t="data" sd="1" m="1" x="602"/>
        <item t="data" sd="1" m="1" x="599"/>
        <item t="data" sd="1" m="1" x="600"/>
        <item t="data" sd="1" x="205"/>
        <item t="data" sd="1" m="1" x="601"/>
        <item t="data" sd="1" m="1" x="604"/>
        <item t="data" sd="1" m="1" x="603"/>
        <item t="data" sd="1" m="1" x="1611"/>
        <item t="data" sd="1" m="1" x="1612"/>
        <item t="data" sd="1" m="1" x="1613"/>
        <item t="data" sd="1" m="1" x="1614"/>
        <item t="data" sd="1" m="1" x="1615"/>
        <item t="data" sd="1" x="207"/>
        <item t="data" sd="1" x="208"/>
        <item t="data" sd="1" m="1" x="606"/>
        <item t="data" sd="1" m="1" x="607"/>
        <item t="data" sd="1" m="1" x="605"/>
        <item t="data" sd="1" m="1" x="608"/>
        <item t="data" sd="1" x="206"/>
        <item t="data" sd="1" x="202"/>
        <item t="data" sd="1" m="1" x="609"/>
        <item t="data" sd="1" x="204"/>
        <item t="data" sd="1" x="203"/>
        <item t="data" sd="1" m="1" x="1616"/>
        <item t="data" sd="1" x="210"/>
        <item t="data" sd="1" m="1" x="1617"/>
        <item t="data" sd="1" x="211"/>
        <item t="data" sd="1" m="1" x="1618"/>
        <item t="data" sd="1" m="1" x="1619"/>
        <item t="data" sd="1" x="216"/>
        <item t="data" sd="1" m="1" x="1620"/>
        <item t="data" sd="1" m="1" x="1621"/>
        <item t="data" sd="1" m="1" x="610"/>
        <item t="data" sd="1" m="1" x="612"/>
        <item t="data" sd="1" x="218"/>
        <item t="data" sd="1" m="1" x="614"/>
        <item t="data" sd="1" x="219"/>
        <item t="data" sd="1" m="1" x="616"/>
        <item t="data" sd="1" m="1" x="618"/>
        <item t="data" sd="1" m="1" x="617"/>
        <item t="data" sd="1" m="1" x="619"/>
        <item t="data" sd="1" m="1" x="611"/>
        <item t="data" sd="1" m="1" x="615"/>
        <item t="data" sd="1" m="1" x="1622"/>
        <item t="data" sd="1" m="1" x="1623"/>
        <item t="data" sd="1" m="1" x="621"/>
        <item t="data" sd="1" m="1" x="623"/>
        <item t="data" sd="1" m="1" x="620"/>
        <item t="data" sd="1" m="1" x="1624"/>
        <item t="data" sd="1" m="1" x="1625"/>
        <item t="data" sd="1" m="1" x="1626"/>
        <item t="data" sd="1" x="224"/>
        <item t="data" sd="1" x="225"/>
        <item t="data" sd="1" m="1" x="1627"/>
        <item t="data" sd="1" x="226"/>
        <item t="data" sd="1" x="227"/>
        <item t="data" sd="1" m="1" x="1628"/>
        <item t="data" sd="1" m="1" x="1629"/>
        <item t="data" sd="1" x="222"/>
        <item t="data" sd="1" m="1" x="1630"/>
        <item t="data" sd="1" x="221"/>
        <item t="data" sd="1" m="1" x="624"/>
        <item t="data" sd="1" m="1" x="625"/>
        <item t="data" sd="1" m="1" x="626"/>
        <item t="data" sd="1" m="1" x="1632"/>
        <item t="data" sd="1" m="1" x="628"/>
        <item t="data" sd="1" m="1" x="629"/>
        <item t="data" sd="1" m="1" x="630"/>
        <item t="data" sd="1" m="1" x="631"/>
        <item t="data" sd="1" m="1" x="633"/>
        <item t="data" sd="1" m="1" x="635"/>
        <item t="data" sd="1" m="1" x="634"/>
        <item t="data" sd="1" m="1" x="1633"/>
        <item t="data" sd="1" m="1" x="1634"/>
        <item t="data" sd="1" m="1" x="1635"/>
        <item t="data" sd="1" m="1" x="1636"/>
        <item t="data" sd="1" m="1" x="1637"/>
        <item t="data" sd="1" m="1" x="1638"/>
        <item t="data" sd="1" m="1" x="1639"/>
        <item t="data" sd="1" m="1" x="1640"/>
        <item t="data" sd="1" m="1" x="1641"/>
        <item t="data" sd="1" m="1" x="1642"/>
        <item t="data" sd="1" m="1" x="1643"/>
        <item t="data" sd="1" m="1" x="1644"/>
        <item t="data" sd="1" m="1" x="636"/>
        <item t="data" sd="1" m="1" x="637"/>
        <item t="data" sd="1" m="1" x="638"/>
        <item t="data" sd="1" x="239"/>
        <item t="data" sd="1" m="1" x="1645"/>
        <item t="data" sd="1" m="1" x="639"/>
        <item t="data" sd="1" m="1" x="640"/>
        <item t="data" sd="1" m="1" x="649"/>
        <item t="data" sd="1" m="1" x="645"/>
        <item t="data" sd="1" m="1" x="646"/>
        <item t="data" sd="1" m="1" x="647"/>
        <item t="data" sd="1" m="1" x="641"/>
        <item t="data" sd="1" m="1" x="642"/>
        <item t="data" sd="1" m="1" x="658"/>
        <item t="data" sd="1" m="1" x="659"/>
        <item t="data" sd="1" x="244"/>
        <item t="data" sd="1" x="243"/>
        <item t="data" sd="1" m="1" x="652"/>
        <item t="data" sd="1" m="1" x="651"/>
        <item t="data" sd="1" m="1" x="662"/>
        <item t="data" sd="1" m="1" x="661"/>
        <item t="data" sd="1" x="255"/>
        <item t="data" sd="1" x="256"/>
        <item t="data" sd="1" x="249"/>
        <item t="data" sd="1" x="251"/>
        <item t="data" sd="1" x="252"/>
        <item t="data" sd="1" x="250"/>
        <item t="data" sd="1" x="253"/>
        <item t="data" sd="1" x="254"/>
        <item t="data" sd="1" x="257"/>
        <item t="data" sd="1" x="259"/>
        <item t="data" sd="1" m="1" x="1647"/>
        <item t="data" sd="1" x="261"/>
        <item t="data" sd="1" x="263"/>
        <item t="data" sd="1" x="262"/>
        <item t="data" sd="1" x="264"/>
        <item t="data" sd="1" m="1" x="665"/>
        <item t="data" sd="1" m="1" x="1648"/>
        <item t="data" sd="1" m="1" x="1649"/>
        <item t="data" sd="1" m="1" x="1650"/>
        <item t="data" sd="1" m="1" x="1651"/>
        <item t="data" sd="1" m="1" x="1652"/>
        <item t="data" sd="1" m="1" x="1653"/>
        <item t="data" sd="1" m="1" x="1654"/>
        <item t="data" sd="1" m="1" x="1655"/>
        <item t="data" sd="1" m="1" x="1656"/>
        <item t="data" sd="1" x="270"/>
        <item t="data" sd="1" m="1" x="1657"/>
        <item t="data" sd="1" m="1" x="1658"/>
        <item t="data" sd="1" x="272"/>
        <item t="data" sd="1" x="273"/>
        <item t="data" sd="1" m="1" x="1659"/>
        <item t="data" sd="1" m="1" x="1660"/>
        <item t="data" sd="1" m="1" x="1661"/>
        <item t="data" sd="1" x="265"/>
        <item t="data" sd="1" m="1" x="1662"/>
        <item t="data" sd="1" m="1" x="1663"/>
        <item t="data" sd="1" m="1" x="1664"/>
        <item t="data" sd="1" m="1" x="1665"/>
        <item t="data" sd="1" m="1" x="1666"/>
        <item t="data" sd="1" m="1" x="1667"/>
        <item t="data" sd="1" m="1" x="1668"/>
        <item t="data" sd="1" m="1" x="1669"/>
        <item t="data" sd="1" m="1" x="1670"/>
        <item t="data" sd="1" m="1" x="1671"/>
        <item t="data" sd="1" m="1" x="1672"/>
        <item t="data" sd="1" m="1" x="1673"/>
        <item t="data" sd="1" m="1" x="1674"/>
        <item t="data" sd="1" m="1" x="1675"/>
        <item t="data" sd="1" m="1" x="1676"/>
        <item t="data" sd="1" m="1" x="1677"/>
        <item t="data" sd="1" m="1" x="1678"/>
        <item t="data" sd="1" m="1" x="1679"/>
        <item t="data" sd="1" m="1" x="1680"/>
        <item t="data" sd="1" m="1" x="1681"/>
        <item t="data" sd="1" m="1" x="1682"/>
        <item t="data" sd="1" m="1" x="1683"/>
        <item t="data" sd="1" m="1" x="1684"/>
        <item t="data" sd="1" m="1" x="1685"/>
        <item t="data" sd="1" m="1" x="1686"/>
        <item t="data" sd="1" m="1" x="1687"/>
        <item t="data" sd="1" m="1" x="667"/>
        <item t="data" sd="1" x="282"/>
        <item t="data" sd="1" x="283"/>
        <item t="data" sd="1" x="284"/>
        <item t="data" sd="1" x="285"/>
        <item t="data" sd="1" m="1" x="1688"/>
        <item t="data" sd="1" m="1" x="1689"/>
        <item t="data" sd="1" m="1" x="1690"/>
        <item t="data" sd="1" m="1" x="1691"/>
        <item t="data" sd="1" m="1" x="1692"/>
        <item t="data" sd="1" x="280"/>
        <item t="data" sd="1" x="279"/>
        <item t="data" sd="1" m="1" x="670"/>
        <item t="data" sd="1" x="290"/>
        <item t="data" sd="1" x="289"/>
        <item t="data" sd="1" x="286"/>
        <item t="data" sd="1" x="288"/>
        <item t="data" sd="1" m="1" x="1693"/>
        <item t="data" sd="1" m="1" x="1694"/>
        <item t="data" sd="1" m="1" x="1695"/>
        <item t="data" sd="1" m="1" x="1696"/>
        <item t="data" sd="1" x="300"/>
        <item t="data" sd="1" m="1" x="1697"/>
        <item t="data" sd="1" m="1" x="1698"/>
        <item t="data" sd="1" m="1" x="1699"/>
        <item t="data" sd="1" m="1" x="1700"/>
        <item t="data" sd="1" m="1" x="1701"/>
        <item t="data" sd="1" x="302"/>
        <item t="data" sd="1" m="1" x="1702"/>
        <item t="data" sd="1" m="1" x="672"/>
        <item t="data" sd="1" x="293"/>
        <item t="data" sd="1" m="1" x="1703"/>
        <item t="data" sd="1" m="1" x="1704"/>
        <item t="data" sd="1" m="1" x="674"/>
        <item t="data" sd="1" m="1" x="1705"/>
        <item t="data" sd="1" x="303"/>
        <item t="data" sd="1" m="1" x="680"/>
        <item t="data" sd="1" m="1" x="679"/>
        <item t="data" sd="1" m="1" x="678"/>
        <item t="data" sd="1" m="1" x="1706"/>
        <item t="data" sd="1" m="1" x="1707"/>
        <item t="data" sd="1" m="1" x="677"/>
        <item t="data" sd="1" x="315"/>
        <item t="data" sd="1" m="1" x="1708"/>
        <item t="data" sd="1" m="1" x="692"/>
        <item t="data" sd="1" m="1" x="688"/>
        <item t="data" sd="1" m="1" x="689"/>
        <item t="data" sd="1" m="1" x="690"/>
        <item t="data" sd="1" m="1" x="686"/>
        <item t="data" sd="1" m="1" x="683"/>
        <item t="data" sd="1" m="1" x="685"/>
        <item t="data" sd="1" m="1" x="684"/>
        <item t="data" sd="1" m="1" x="1709"/>
        <item t="data" sd="1" m="1" x="1710"/>
        <item t="data" sd="1" x="307"/>
        <item t="data" sd="1" x="306"/>
        <item t="data" sd="1" x="305"/>
        <item t="data" sd="1" x="304"/>
        <item t="data" sd="1" m="1" x="1711"/>
        <item t="data" sd="1" m="1" x="693"/>
        <item t="data" sd="1" m="1" x="1712"/>
        <item t="data" sd="1" m="1" x="701"/>
        <item t="data" sd="1" m="1" x="1713"/>
        <item t="data" sd="1" m="1" x="702"/>
        <item t="data" sd="1" m="1" x="1714"/>
        <item t="data" sd="1" m="1" x="1715"/>
        <item t="data" sd="1" m="1" x="1716"/>
        <item t="data" sd="1" m="1" x="1717"/>
        <item t="data" sd="1" m="1" x="1718"/>
        <item t="data" sd="1" m="1" x="1719"/>
        <item t="data" sd="1" m="1" x="700"/>
        <item t="data" sd="1" m="1" x="703"/>
        <item t="data" sd="1" x="321"/>
        <item t="data" sd="1" m="1" x="1720"/>
        <item t="data" sd="1" m="1" x="1721"/>
        <item t="data" sd="1" m="1" x="1722"/>
        <item t="data" sd="1" m="1" x="1723"/>
        <item t="data" sd="1" m="1" x="704"/>
        <item t="data" sd="1" m="1" x="1724"/>
        <item t="data" sd="1" m="1" x="1725"/>
        <item t="data" sd="1" x="326"/>
        <item t="data" sd="1" m="1" x="1726"/>
        <item t="data" sd="1" x="325"/>
        <item t="data" sd="1" m="1" x="1727"/>
        <item t="data" sd="1" m="1" x="1728"/>
        <item t="data" sd="1" m="1" x="1729"/>
        <item t="data" sd="1" m="1" x="1730"/>
        <item t="data" sd="1" m="1" x="1731"/>
        <item t="data" sd="1" x="327"/>
        <item t="data" sd="1" m="1" x="1732"/>
        <item t="data" sd="1" m="1" x="1733"/>
        <item t="data" sd="1" m="1" x="1734"/>
        <item t="data" sd="1" m="1" x="1735"/>
        <item t="data" sd="1" m="1" x="1736"/>
        <item t="data" sd="1" m="1" x="1737"/>
        <item t="data" sd="1" m="1" x="1738"/>
        <item t="data" sd="1" m="1" x="1739"/>
        <item t="data" sd="1" m="1" x="1740"/>
        <item t="data" sd="1" x="346"/>
        <item t="data" sd="1" m="1" x="1741"/>
        <item t="data" sd="1" m="1" x="1742"/>
        <item t="data" sd="1" m="1" x="1743"/>
        <item t="data" sd="1" m="1" x="1744"/>
        <item t="data" sd="1" m="1" x="1745"/>
        <item t="data" sd="1" x="345"/>
        <item t="data" sd="1" m="1" x="1746"/>
        <item t="data" sd="1" m="1" x="1747"/>
        <item t="data" sd="1" m="1" x="1748"/>
        <item t="data" sd="1" m="1" x="1749"/>
        <item t="data" sd="1" m="1" x="1750"/>
        <item t="data" sd="1" m="1" x="1751"/>
        <item t="data" sd="1" x="375"/>
        <item t="data" sd="1" x="376"/>
        <item t="data" sd="1" x="373"/>
        <item t="data" sd="1" x="374"/>
        <item t="data" sd="1" x="372"/>
        <item t="data" sd="1" m="1" x="708"/>
        <item t="data" sd="1" m="1" x="1752"/>
        <item t="data" sd="1" m="1" x="1753"/>
        <item t="data" sd="1" x="384"/>
        <item t="data" sd="1" m="1" x="709"/>
        <item t="data" sd="1" m="1" x="711"/>
        <item t="data" sd="1" m="1" x="710"/>
        <item t="data" sd="1" x="387"/>
        <item t="data" sd="1" m="1" x="1754"/>
        <item t="data" sd="1" m="1" x="1755"/>
        <item t="data" sd="1" x="388"/>
        <item t="data" sd="1" m="1" x="1756"/>
        <item t="data" sd="1" m="1" x="1757"/>
        <item t="data" sd="1" m="1" x="723"/>
        <item t="data" sd="1" m="1" x="715"/>
        <item t="data" sd="1" m="1" x="717"/>
        <item t="data" sd="1" m="1" x="718"/>
        <item t="data" sd="1" m="1" x="721"/>
        <item t="data" sd="1" m="1" x="722"/>
        <item t="data" sd="1" m="1" x="716"/>
        <item t="data" sd="1" m="1" x="714"/>
        <item t="data" sd="1" x="390"/>
        <item t="data" sd="1" x="391"/>
        <item t="data" sd="1" m="1" x="712"/>
        <item t="data" sd="1" x="395"/>
        <item t="data" sd="1" x="392"/>
        <item t="data" sd="1" x="393"/>
        <item t="data" sd="1" x="394"/>
        <item t="data" sd="1" m="1" x="726"/>
        <item t="data" sd="1" x="385"/>
        <item t="data" sd="1" m="1" x="727"/>
        <item t="data" sd="1" m="1" x="1758"/>
        <item t="data" sd="1" m="1" x="1759"/>
        <item t="data" sd="1" m="1" x="1760"/>
        <item t="data" sd="1" m="1" x="1761"/>
        <item t="data" sd="1" m="1" x="1762"/>
        <item t="data" sd="1" m="1" x="1763"/>
        <item t="data" sd="1" x="386"/>
        <item t="data" sd="1" m="1" x="1764"/>
        <item t="data" sd="1" m="1" x="1765"/>
        <item t="data" sd="1" m="1" x="1766"/>
        <item t="data" sd="1" m="1" x="1767"/>
        <item t="data" sd="1" x="401"/>
        <item t="data" sd="1" x="402"/>
        <item t="data" sd="1" m="1" x="730"/>
        <item t="data" sd="1" m="1" x="729"/>
        <item t="data" sd="1" x="399"/>
        <item t="data" sd="1" x="400"/>
        <item t="data" sd="1" x="397"/>
        <item t="data" sd="1" x="398"/>
        <item t="data" sd="1" m="1" x="731"/>
        <item t="data" sd="1" m="1" x="1768"/>
        <item t="data" sd="1" m="1" x="1769"/>
        <item t="data" sd="1" m="1" x="1770"/>
        <item t="data" sd="1" m="1" x="1771"/>
        <item t="data" sd="1" m="1" x="1772"/>
        <item t="data" sd="1" m="1" x="1773"/>
        <item t="data" sd="1" m="1" x="1774"/>
        <item t="data" sd="1" x="411"/>
        <item t="data" sd="1" m="1" x="733"/>
        <item t="data" sd="1" x="414"/>
        <item t="data" sd="1" x="416"/>
        <item t="data" sd="1" m="1" x="1775"/>
        <item t="data" sd="1" x="415"/>
        <item t="data" sd="1" m="1" x="737"/>
        <item t="data" sd="1" m="1" x="1776"/>
        <item t="data" sd="1" m="1" x="743"/>
        <item t="data" sd="1" x="421"/>
        <item t="data" sd="1" x="422"/>
        <item t="data" sd="1" x="425"/>
        <item t="data" sd="1" m="1" x="1777"/>
        <item t="data" sd="1" x="426"/>
        <item t="data" sd="1" x="427"/>
        <item t="data" sd="1" m="1" x="746"/>
        <item t="data" sd="1" m="1" x="747"/>
        <item t="data" sd="1" m="1" x="745"/>
        <item t="data" sd="1" m="1" x="1778"/>
        <item t="data" sd="1" m="1" x="1779"/>
        <item t="data" sd="1" m="1" x="753"/>
        <item t="data" sd="1" x="430"/>
        <item t="data" sd="1" m="1" x="754"/>
        <item t="data" sd="1" m="1" x="755"/>
        <item t="data" sd="1" x="431"/>
        <item t="data" sd="1" x="432"/>
        <item t="data" sd="1" m="1" x="1780"/>
        <item t="data" sd="1" m="1" x="1781"/>
        <item t="data" sd="1" m="1" x="1782"/>
        <item t="data" sd="1" m="1" x="1783"/>
        <item t="data" sd="1" m="1" x="750"/>
        <item t="data" sd="1" m="1" x="748"/>
        <item t="data" sd="1" m="1" x="749"/>
        <item t="data" sd="1" m="1" x="761"/>
        <item t="data" sd="1" m="1" x="758"/>
        <item t="data" sd="1" m="1" x="1784"/>
        <item t="data" sd="1" m="1" x="762"/>
        <item t="data" sd="1" m="1" x="767"/>
        <item t="data" sd="1" m="1" x="766"/>
        <item t="data" sd="1" m="1" x="769"/>
        <item t="data" sd="1" m="1" x="764"/>
        <item t="data" sd="1" m="1" x="757"/>
        <item t="data" sd="1" m="1" x="759"/>
        <item t="data" sd="1" m="1" x="765"/>
        <item t="data" sd="1" m="1" x="768"/>
        <item t="data" sd="1" m="1" x="763"/>
        <item t="data" sd="1" m="1" x="760"/>
        <item t="data" sd="1" m="1" x="775"/>
        <item t="data" sd="1" m="1" x="1785"/>
        <item t="data" sd="1" m="1" x="1786"/>
        <item t="data" sd="1" m="1" x="770"/>
        <item t="data" sd="1" m="1" x="1787"/>
        <item t="data" sd="1" m="1" x="772"/>
        <item t="data" sd="1" x="439"/>
        <item t="data" sd="1" x="438"/>
        <item t="data" sd="1" x="436"/>
        <item t="data" sd="1" x="437"/>
        <item t="data" sd="1" m="1" x="773"/>
        <item t="data" sd="1" m="1" x="774"/>
        <item t="data" sd="1" m="1" x="776"/>
        <item t="data" sd="1" m="1" x="1788"/>
        <item t="data" sd="1" m="1" x="1789"/>
        <item t="data" sd="1" m="1" x="1790"/>
        <item t="data" sd="1" m="1" x="1791"/>
        <item t="data" sd="1" m="1" x="777"/>
        <item t="data" sd="1" m="1" x="778"/>
        <item t="data" sd="1" m="1" x="1792"/>
        <item t="data" sd="1" m="1" x="1793"/>
        <item t="data" sd="1" m="1" x="1794"/>
        <item t="data" sd="1" x="447"/>
        <item t="data" sd="1" m="1" x="1795"/>
        <item t="data" sd="1" x="449"/>
        <item t="data" sd="1" x="450"/>
        <item t="data" sd="1" x="451"/>
        <item t="data" sd="1" x="452"/>
        <item t="data" sd="1" x="448"/>
        <item t="data" sd="1" m="1" x="786"/>
        <item t="data" sd="1" x="453"/>
        <item t="data" sd="1" x="456"/>
        <item t="data" sd="1" x="457"/>
        <item t="data" sd="1" m="1" x="1796"/>
        <item t="data" sd="1" m="1" x="1797"/>
        <item t="data" sd="1" m="1" x="1798"/>
        <item t="data" sd="1" x="463"/>
        <item t="data" sd="1" m="1" x="1799"/>
        <item t="data" sd="1" m="1" x="1800"/>
        <item t="data" sd="1" m="1" x="1801"/>
        <item t="data" sd="1" m="1" x="1802"/>
        <item t="data" sd="1" m="1" x="1803"/>
        <item t="data" sd="1" m="1" x="1804"/>
        <item t="data" sd="1" m="1" x="1805"/>
        <item t="data" sd="1" m="1" x="1806"/>
        <item t="data" sd="1" m="1" x="1807"/>
        <item t="data" sd="1" m="1" x="1808"/>
        <item t="data" sd="1" m="1" x="1809"/>
        <item t="data" sd="1" m="1" x="1810"/>
        <item t="data" sd="1" m="1" x="1811"/>
        <item t="data" sd="1" m="1" x="1812"/>
        <item t="data" sd="1" x="464"/>
        <item t="data" sd="1" x="467"/>
        <item t="data" sd="1" x="466"/>
        <item t="data" sd="1" x="471"/>
        <item t="data" sd="1" x="472"/>
        <item t="data" sd="1" m="1" x="1813"/>
        <item t="data" sd="1" m="1" x="1814"/>
        <item t="data" sd="1" x="470"/>
        <item t="data" sd="1" m="1" x="1815"/>
        <item t="data" sd="1" x="468"/>
        <item t="data" sd="1" x="469"/>
        <item t="data" sd="1" m="1" x="1816"/>
        <item t="data" sd="1" m="1" x="1817"/>
        <item t="data" sd="1" m="1" x="1818"/>
        <item t="data" sd="1" x="473"/>
        <item t="data" sd="1" m="1" x="1819"/>
        <item t="data" sd="1" m="1" x="1820"/>
        <item t="data" sd="1" m="1" x="1821"/>
        <item t="data" sd="1" m="1" x="1822"/>
        <item t="data" sd="1" m="1" x="1823"/>
        <item t="data" sd="1" m="1" x="1824"/>
        <item t="data" sd="1" m="1" x="1825"/>
        <item t="data" sd="1" m="1" x="1826"/>
        <item t="data" sd="1" m="1" x="1827"/>
        <item t="data" sd="1" m="1" x="1828"/>
        <item t="data" sd="1" m="1" x="1829"/>
        <item t="data" sd="1" m="1" x="1830"/>
        <item t="data" sd="1" m="1" x="1831"/>
        <item t="data" sd="1" m="1" x="1832"/>
        <item t="data" sd="1" m="1" x="1833"/>
        <item t="data" sd="1" m="1" x="1834"/>
        <item t="data" sd="1" x="465"/>
        <item t="data" sd="1" m="1" x="1835"/>
        <item t="data" sd="1" m="1" x="1836"/>
        <item t="data" sd="1" m="1" x="1837"/>
        <item t="data" sd="1" m="1" x="1838"/>
        <item t="data" sd="1" m="1" x="1839"/>
        <item t="data" sd="1" m="1" x="1840"/>
        <item t="data" sd="1" m="1" x="1841"/>
        <item t="data" sd="1" m="1" x="1842"/>
        <item t="data" sd="1" m="1" x="1843"/>
        <item t="data" sd="1" m="1" x="1844"/>
        <item t="data" sd="1" m="1" x="1845"/>
        <item t="data" sd="1" m="1" x="1846"/>
        <item t="data" sd="1" m="1" x="1847"/>
        <item t="data" sd="1" x="477"/>
        <item t="data" sd="1" x="475"/>
        <item t="data" sd="1" x="474"/>
        <item t="data" sd="1" m="1" x="1848"/>
        <item t="data" sd="1" x="476"/>
        <item t="data" sd="1" m="1" x="1849"/>
        <item t="data" sd="1" m="1" x="1850"/>
        <item t="data" sd="1" m="1" x="1851"/>
        <item t="data" sd="1" m="1" x="792"/>
        <item t="data" sd="1" m="1" x="796"/>
        <item t="data" sd="1" m="1" x="1852"/>
        <item t="data" sd="1" m="1" x="1853"/>
        <item t="data" sd="1" m="1" x="1860"/>
        <item t="data" sd="1" m="1" x="1861"/>
        <item t="data" sd="1" x="498"/>
        <item t="data" sd="1" m="1" x="806"/>
        <item t="data" sd="1" m="1" x="807"/>
        <item t="data" sd="1" x="502"/>
        <item t="data" sd="1" x="501"/>
        <item t="data" sd="1" x="499"/>
        <item t="data" sd="1" x="500"/>
        <item t="data" sd="1" m="1" x="1862"/>
        <item t="data" sd="1" x="505"/>
        <item t="data" sd="1" m="1" x="808"/>
        <item t="data" sd="1" x="511"/>
        <item t="data" sd="1" m="1" x="801"/>
        <item t="data" sd="1" m="1" x="812"/>
        <item t="data" sd="1" m="1" x="813"/>
        <item t="data" sd="1" m="1" x="814"/>
        <item t="data" sd="1" x="519"/>
        <item t="data" sd="1" x="516"/>
        <item t="data" sd="1" m="1" x="1863"/>
        <item t="data" sd="1" m="1" x="1864"/>
        <item t="data" sd="1" x="494"/>
        <item t="data" sd="1" x="518"/>
        <item t="data" sd="1" x="517"/>
        <item t="data" sd="1" x="512"/>
        <item t="data" sd="1" m="1" x="522"/>
        <item t="data" sd="1" m="1" x="523"/>
        <item t="data" sd="1" m="1" x="524"/>
        <item t="data" sd="1" m="1" x="531"/>
        <item t="data" sd="1" m="1" x="532"/>
        <item t="data" sd="1" m="1" x="533"/>
        <item t="data" sd="1" m="1" x="534"/>
        <item t="data" sd="1" x="36"/>
        <item t="data" sd="1" x="37"/>
        <item t="data" sd="1" x="38"/>
        <item t="data" sd="1" x="34"/>
        <item t="data" sd="1" x="35"/>
        <item t="data" sd="1" x="60"/>
        <item t="data" sd="1" x="63"/>
        <item t="data" sd="1" x="75"/>
        <item t="data" sd="1" m="1" x="544"/>
        <item t="data" sd="1" x="88"/>
        <item t="data" sd="1" x="89"/>
        <item t="data" sd="1" x="98"/>
        <item t="data" sd="1" m="1" x="550"/>
        <item t="data" sd="1" m="1" x="551"/>
        <item t="data" sd="1" m="1" x="559"/>
        <item t="data" sd="1" m="1" x="560"/>
        <item t="data" sd="1" m="1" x="561"/>
        <item t="data" sd="1" x="150"/>
        <item t="data" sd="1" m="1" x="574"/>
        <item t="data" sd="1" m="1" x="576"/>
        <item t="data" sd="1" m="1" x="577"/>
        <item t="data" sd="1" m="1" x="578"/>
        <item t="data" sd="1" x="172"/>
        <item t="data" sd="1" m="1" x="579"/>
        <item t="data" sd="1" m="1" x="580"/>
        <item t="data" sd="1" m="1" x="583"/>
        <item t="data" sd="1" m="1" x="584"/>
        <item t="data" sd="1" m="1" x="593"/>
        <item t="data" sd="1" x="182"/>
        <item t="data" sd="1" x="201"/>
        <item t="data" sd="1" x="199"/>
        <item t="data" sd="1" x="200"/>
        <item t="data" sd="1" m="1" x="622"/>
        <item t="data" sd="1" m="1" x="627"/>
        <item t="data" sd="1" m="1" x="632"/>
        <item t="data" sd="1" x="238"/>
        <item t="data" sd="1" m="1" x="648"/>
        <item t="data" sd="1" m="1" x="655"/>
        <item t="data" sd="1" m="1" x="660"/>
        <item t="data" sd="1" m="1" x="666"/>
        <item t="data" sd="1" x="267"/>
        <item t="data" sd="1" x="277"/>
        <item t="data" sd="1" m="1" x="668"/>
        <item t="data" sd="1" m="1" x="669"/>
        <item t="data" sd="1" x="269"/>
        <item t="data" sd="1" x="268"/>
        <item t="data" sd="1" x="287"/>
        <item t="data" sd="1" m="1" x="671"/>
        <item t="data" sd="1" x="301"/>
        <item t="data" sd="1" m="1" x="673"/>
        <item t="data" sd="1" x="298"/>
        <item t="data" sd="1" x="296"/>
        <item t="data" sd="1" x="297"/>
        <item t="data" sd="1" m="1" x="687"/>
        <item t="data" sd="1" x="308"/>
        <item t="data" sd="1" m="1" x="694"/>
        <item t="data" sd="1" x="310"/>
        <item t="data" sd="1" m="1" x="695"/>
        <item t="data" sd="1" m="1" x="696"/>
        <item t="data" sd="1" m="1" x="698"/>
        <item t="data" sd="1" m="1" x="699"/>
        <item t="data" sd="1" m="1" x="705"/>
        <item t="data" sd="1" x="328"/>
        <item t="data" sd="1" m="1" x="706"/>
        <item t="data" sd="1" m="1" x="707"/>
        <item t="data" sd="1" x="330"/>
        <item t="data" sd="1" x="332"/>
        <item t="data" sd="1" x="333"/>
        <item t="data" sd="1" x="331"/>
        <item t="data" sd="1" x="347"/>
        <item t="data" sd="1" x="337"/>
        <item t="data" sd="1" x="338"/>
        <item t="data" sd="1" x="350"/>
        <item t="data" sd="1" x="349"/>
        <item t="data" sd="1" x="348"/>
        <item t="data" sd="1" x="377"/>
        <item t="data" sd="1" x="378"/>
        <item t="data" sd="1" x="396"/>
        <item t="data" sd="1" m="1" x="732"/>
        <item t="data" sd="1" m="1" x="735"/>
        <item t="data" sd="1" m="1" x="736"/>
        <item t="data" sd="1" m="1" x="738"/>
        <item t="data" sd="1" m="1" x="739"/>
        <item t="data" sd="1" m="1" x="740"/>
        <item t="data" sd="1" m="1" x="741"/>
        <item t="data" sd="1" m="1" x="742"/>
        <item t="data" sd="1" m="1" x="744"/>
        <item t="data" sd="1" x="423"/>
        <item t="data" sd="1" m="1" x="751"/>
        <item t="data" sd="1" m="1" x="752"/>
        <item t="data" sd="1" m="1" x="756"/>
        <item t="data" sd="1" m="1" x="771"/>
        <item t="data" sd="1" m="1" x="779"/>
        <item t="data" sd="1" m="1" x="780"/>
        <item t="data" sd="1" m="1" x="781"/>
        <item t="data" sd="1" m="1" x="782"/>
        <item t="data" sd="1" m="1" x="783"/>
        <item t="data" sd="1" m="1" x="784"/>
        <item t="data" sd="1" m="1" x="785"/>
        <item t="data" sd="1" m="1" x="791"/>
        <item t="data" sd="1" m="1" x="793"/>
        <item t="data" sd="1" m="1" x="794"/>
        <item t="data" sd="1" m="1" x="795"/>
        <item t="data" sd="1" x="479"/>
        <item t="data" sd="1" x="480"/>
        <item t="data" sd="1" m="1" x="799"/>
        <item t="data" sd="1" m="1" x="800"/>
        <item t="data" sd="1" x="496"/>
        <item t="data" sd="1" m="1" x="802"/>
        <item t="data" sd="1" m="1" x="803"/>
        <item t="data" sd="1" m="1" x="804"/>
        <item t="data" sd="1" m="1" x="805"/>
        <item t="data" sd="1" x="506"/>
        <item t="data" sd="1" x="507"/>
        <item t="data" sd="1" m="1" x="809"/>
        <item t="data" sd="1" m="1" x="811"/>
        <item t="data" sd="1" x="5"/>
        <item t="data" sd="1" x="6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33"/>
        <item t="data" sd="1" x="53"/>
        <item t="data" sd="1" x="54"/>
        <item t="data" sd="1" x="61"/>
        <item t="data" sd="1" x="62"/>
        <item t="data" sd="1" x="64"/>
        <item t="data" sd="1" x="65"/>
        <item t="data" sd="1" x="77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90"/>
        <item t="data" sd="1" x="91"/>
        <item t="data" sd="1" x="92"/>
        <item t="data" sd="1" x="96"/>
        <item t="data" sd="1" x="97"/>
        <item t="data" sd="1" x="99"/>
        <item t="data" sd="1" x="100"/>
        <item t="data" sd="1" x="102"/>
        <item t="data" sd="1" x="105"/>
        <item t="data" sd="1" x="109"/>
        <item t="data" sd="1" x="110"/>
        <item t="data" sd="1" x="111"/>
        <item t="data" sd="1" x="113"/>
        <item t="data" sd="1" x="124"/>
        <item t="data" sd="1" x="125"/>
        <item t="data" sd="1" x="126"/>
        <item t="data" sd="1" x="127"/>
        <item t="data" sd="1" x="128"/>
        <item t="data" sd="1" x="145"/>
        <item t="data" sd="1" x="151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3"/>
        <item t="data" sd="1" x="174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5"/>
        <item t="data" sd="1" x="196"/>
        <item t="data" sd="1" x="209"/>
        <item t="data" sd="1" x="212"/>
        <item t="data" sd="1" x="213"/>
        <item t="data" sd="1" x="214"/>
        <item t="data" sd="1" x="215"/>
        <item t="data" sd="1" x="217"/>
        <item t="data" sd="1" x="220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40"/>
        <item t="data" sd="1" x="241"/>
        <item t="data" sd="1" x="242"/>
        <item t="data" sd="1" x="245"/>
        <item t="data" sd="1" x="246"/>
        <item t="data" sd="1" x="247"/>
        <item t="data" sd="1" x="248"/>
        <item t="data" sd="1" x="258"/>
        <item t="data" sd="1" x="260"/>
        <item t="data" sd="1" x="266"/>
        <item t="data" sd="1" x="271"/>
        <item t="data" sd="1" x="274"/>
        <item t="data" sd="1" x="275"/>
        <item t="data" sd="1" x="276"/>
        <item t="data" sd="1" x="278"/>
        <item t="data" sd="1" x="281"/>
        <item t="data" sd="1" x="291"/>
        <item t="data" sd="1" x="292"/>
        <item t="data" sd="1" x="294"/>
        <item t="data" sd="1" x="295"/>
        <item t="data" sd="1" x="299"/>
        <item t="data" sd="1" x="309"/>
        <item t="data" sd="1" x="311"/>
        <item t="data" sd="1" x="312"/>
        <item t="data" sd="1" x="313"/>
        <item t="data" sd="1" x="314"/>
        <item t="data" sd="1" x="317"/>
        <item t="data" sd="1" x="318"/>
        <item t="data" sd="1" x="319"/>
        <item t="data" sd="1" x="320"/>
        <item t="data" sd="1" x="322"/>
        <item t="data" sd="1" x="323"/>
        <item t="data" sd="1" x="324"/>
        <item t="data" sd="1" x="329"/>
        <item t="data" sd="1" x="334"/>
        <item t="data" sd="1" x="335"/>
        <item t="data" sd="1" x="336"/>
        <item t="data" sd="1" x="339"/>
        <item t="data" sd="1" x="340"/>
        <item t="data" sd="1" x="341"/>
        <item t="data" sd="1" x="342"/>
        <item t="data" sd="1" x="343"/>
        <item t="data" sd="1" x="344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9"/>
        <item t="data" sd="1" x="380"/>
        <item t="data" sd="1" x="381"/>
        <item t="data" sd="1" x="382"/>
        <item t="data" sd="1" x="383"/>
        <item t="data" sd="1" x="389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2"/>
        <item t="data" sd="1" x="413"/>
        <item t="data" sd="1" x="417"/>
        <item t="data" sd="1" x="418"/>
        <item t="data" sd="1" x="419"/>
        <item t="data" sd="1" x="420"/>
        <item t="data" sd="1" x="424"/>
        <item t="data" sd="1" x="433"/>
        <item t="data" sd="1" x="434"/>
        <item t="data" sd="1" x="435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58"/>
        <item t="data" sd="1" x="459"/>
        <item t="data" sd="1" x="460"/>
        <item t="data" sd="1" x="461"/>
        <item t="data" sd="1" x="462"/>
        <item t="data" sd="1" x="478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5"/>
        <item t="data" sd="1" x="497"/>
        <item t="data" sd="1" x="503"/>
        <item t="data" sd="1" x="504"/>
        <item t="data" sd="1" x="508"/>
        <item t="data" sd="1" x="509"/>
        <item t="data" sd="1" x="510"/>
        <item t="data" sd="1" x="513"/>
        <item t="data" sd="1" x="514"/>
        <item t="data" sd="1" x="515"/>
        <item t="data" sd="1" x="52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0"/>
        <item t="data" sd="1" x="2"/>
        <item t="data" sd="1" x="1"/>
        <item t="data" sd="1" x="5"/>
        <item t="data" sd="1" x="6"/>
        <item t="data" sd="1" x="7"/>
        <item t="default" sd="1"/>
      </items>
    </pivotField>
    <pivotField dataField="1" showDropDowns="1" compact="0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3"/>
        <item t="data" sd="1" x="0"/>
        <item t="data" sd="1" x="2"/>
        <item t="data" sd="1" x="1"/>
        <item t="data" sd="1" x="6"/>
        <item t="data" sd="1" x="5"/>
        <item t="data" sd="1" x="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Col" showDropDowns="1" compact="0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2"/>
        <item t="data" sd="1" x="1"/>
        <item t="data" sd="1" x="3"/>
        <item t="data" h="1" sd="1" x="4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>
      <items count="369"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0"/>
        <item t="data" sd="1" x="36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5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18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Contagem de AGING INCLUSÃO" fld="6" subtotal="count" showDataAs="normal" baseField="0" baseItem="0"/>
  </dataFields>
  <formats count="104">
    <format action="formatting" dxfId="830">
      <pivotArea type="normal" dataOnly="1" outline="0" collapsedLevelsAreSubtotals="1" fieldPosition="0"/>
    </format>
    <format action="formatting" dxfId="829">
      <pivotArea type="normal" dataOnly="0" labelOnly="1" grandCol="1" outline="0" fieldPosition="0"/>
    </format>
    <format action="formatting" dxfId="828">
      <pivotArea type="all" dataOnly="0" outline="0" fieldPosition="0"/>
    </format>
    <format action="formatting" dxfId="827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26">
      <pivotArea type="normal" dataOnly="0" labelOnly="1" grandCol="1" outline="0" fieldPosition="0"/>
    </format>
    <format action="formatting" dxfId="825">
      <pivotArea type="normal" dataOnly="0" labelOnly="1" outline="1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24">
      <pivotArea type="normal" dataOnly="0" labelOnly="1" grandCol="1" outline="0" fieldPosition="0"/>
    </format>
    <format action="formatting" dxfId="823">
      <pivotArea type="origin" dataOnly="0" labelOnly="1" outline="0" fieldPosition="0"/>
    </format>
    <format action="formatting" dxfId="822">
      <pivotArea field="18" type="button" dataOnly="0" labelOnly="1" outline="0" axis="axisCol" fieldPosition="0"/>
    </format>
    <format action="formatting" dxfId="821">
      <pivotArea type="all" dataOnly="0" outline="0" fieldPosition="0"/>
    </format>
    <format action="formatting" dxfId="820">
      <pivotArea type="normal" dataOnly="1" outline="0" collapsedLevelsAreSubtotals="1" fieldPosition="0"/>
    </format>
    <format action="formatting" dxfId="819">
      <pivotArea type="origin" dataOnly="0" labelOnly="1" outline="0" fieldPosition="0"/>
    </format>
    <format action="formatting" dxfId="818">
      <pivotArea field="18" type="button" dataOnly="0" labelOnly="1" outline="0" axis="axisCol" fieldPosition="0"/>
    </format>
    <format action="formatting" dxfId="817">
      <pivotArea type="topRight" dataOnly="0" labelOnly="1" outline="0" fieldPosition="0"/>
    </format>
    <format action="formatting" dxfId="816">
      <pivotArea type="normal" dataOnly="0" labelOnly="1" grandRow="1" outline="0" fieldPosition="0"/>
    </format>
    <format action="formatting" dxfId="815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14">
      <pivotArea type="normal" dataOnly="0" labelOnly="1" grandCol="1" outline="0" fieldPosition="0"/>
    </format>
    <format action="formatting" dxfId="813">
      <pivotArea type="all" dataOnly="0" outline="0" fieldPosition="0"/>
    </format>
    <format action="formatting" dxfId="812">
      <pivotArea type="normal" dataOnly="1" outline="0" collapsedLevelsAreSubtotals="1" fieldPosition="0"/>
    </format>
    <format action="formatting" dxfId="811">
      <pivotArea type="origin" dataOnly="0" labelOnly="1" outline="0" fieldPosition="0"/>
    </format>
    <format action="formatting" dxfId="810">
      <pivotArea field="18" type="button" dataOnly="0" labelOnly="1" outline="0" axis="axisCol" fieldPosition="0"/>
    </format>
    <format action="formatting" dxfId="809">
      <pivotArea type="topRight" dataOnly="0" labelOnly="1" outline="0" fieldPosition="0"/>
    </format>
    <format action="formatting" dxfId="808">
      <pivotArea type="normal" dataOnly="0" labelOnly="1" grandRow="1" outline="0" fieldPosition="0"/>
    </format>
    <format action="formatting" dxfId="807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806">
      <pivotArea type="normal" dataOnly="0" labelOnly="1" grandCol="1" outline="0" fieldPosition="0"/>
    </format>
    <format action="formatting" dxfId="805">
      <pivotArea type="all" dataOnly="0" outline="0" fieldPosition="0"/>
    </format>
    <format action="formatting" dxfId="804">
      <pivotArea type="normal" dataOnly="1" outline="0" collapsedLevelsAreSubtotals="1" fieldPosition="0"/>
    </format>
    <format action="formatting" dxfId="803">
      <pivotArea type="origin" dataOnly="0" labelOnly="1" outline="0" fieldPosition="0"/>
    </format>
    <format action="formatting" dxfId="802">
      <pivotArea field="18" type="button" dataOnly="0" labelOnly="1" outline="0" axis="axisCol" fieldPosition="0"/>
    </format>
    <format action="formatting" dxfId="801">
      <pivotArea type="topRight" dataOnly="0" labelOnly="1" outline="0" fieldPosition="0"/>
    </format>
    <format action="formatting" dxfId="800">
      <pivotArea type="normal" dataOnly="0" labelOnly="1" grandRow="1" outline="0" fieldPosition="0"/>
    </format>
    <format action="formatting" dxfId="799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98">
      <pivotArea type="normal" dataOnly="0" labelOnly="1" grandCol="1" outline="0" fieldPosition="0"/>
    </format>
    <format action="formatting" dxfId="797">
      <pivotArea type="all" dataOnly="0" outline="0" fieldPosition="0"/>
    </format>
    <format action="formatting" dxfId="796">
      <pivotArea type="normal" dataOnly="1" outline="0" collapsedLevelsAreSubtotals="1" fieldPosition="0"/>
    </format>
    <format action="formatting" dxfId="795">
      <pivotArea type="origin" dataOnly="0" labelOnly="1" outline="0" fieldPosition="0"/>
    </format>
    <format action="formatting" dxfId="794">
      <pivotArea field="18" type="button" dataOnly="0" labelOnly="1" outline="0" axis="axisCol" fieldPosition="0"/>
    </format>
    <format action="formatting" dxfId="793">
      <pivotArea type="topRight" dataOnly="0" labelOnly="1" outline="0" fieldPosition="0"/>
    </format>
    <format action="formatting" dxfId="792">
      <pivotArea type="normal" dataOnly="0" labelOnly="1" grandRow="1" outline="0" fieldPosition="0"/>
    </format>
    <format action="formatting" dxfId="79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90">
      <pivotArea type="normal" dataOnly="0" labelOnly="1" grandCol="1" outline="0" fieldPosition="0"/>
    </format>
    <format action="formatting" dxfId="789">
      <pivotArea type="all" dataOnly="0" outline="0" fieldPosition="0"/>
    </format>
    <format action="formatting" dxfId="788">
      <pivotArea type="normal" dataOnly="1" outline="0" collapsedLevelsAreSubtotals="1" fieldPosition="0"/>
    </format>
    <format action="formatting" dxfId="787">
      <pivotArea type="origin" dataOnly="0" labelOnly="1" outline="0" fieldPosition="0"/>
    </format>
    <format action="formatting" dxfId="786">
      <pivotArea type="normal" dataOnly="0" labelOnly="1" grandRow="1" outline="0" fieldPosition="0"/>
    </format>
    <format action="formatting" dxfId="785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84">
      <pivotArea type="normal" dataOnly="0" labelOnly="1" grandCol="1" outline="0" fieldPosition="0"/>
    </format>
    <format action="formatting" dxfId="783">
      <pivotArea type="normal" dataOnly="1" outline="0" collapsedLevelsAreSubtotals="1" fieldPosition="0"/>
    </format>
    <format action="formatting" dxfId="782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81">
      <pivotArea type="normal" dataOnly="0" labelOnly="1" grandCol="1" outline="0" fieldPosition="0"/>
    </format>
    <format action="formatting" dxfId="780">
      <pivotArea type="origin" dataOnly="0" labelOnly="1" outline="0" fieldPosition="0"/>
    </format>
    <format action="formatting" dxfId="779">
      <pivotArea type="normal" dataOnly="0" labelOnly="1" grandRow="1" outline="0" fieldPosition="0"/>
    </format>
    <format action="formatting" dxfId="778">
      <pivotArea type="normal" dataOnly="1" outline="0" collapsedLevelsAreSubtotals="1" fieldPosition="0"/>
    </format>
    <format action="formatting" dxfId="777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76">
      <pivotArea type="normal" dataOnly="0" labelOnly="1" grandCol="1" outline="0" fieldPosition="0"/>
    </format>
    <format action="formatting" dxfId="775">
      <pivotArea type="all" dataOnly="0" outline="0" fieldPosition="0"/>
    </format>
    <format action="formatting" dxfId="774">
      <pivotArea type="normal" dataOnly="1" outline="0" collapsedLevelsAreSubtotals="1" fieldPosition="0"/>
    </format>
    <format action="formatting" dxfId="773">
      <pivotArea type="origin" dataOnly="0" labelOnly="1" outline="0" fieldPosition="0"/>
    </format>
    <format action="formatting" dxfId="772">
      <pivotArea field="18" type="button" dataOnly="0" labelOnly="1" outline="0" axis="axisCol" fieldPosition="0"/>
    </format>
    <format action="formatting" dxfId="771">
      <pivotArea type="topRight" dataOnly="0" labelOnly="1" outline="0" fieldPosition="0"/>
    </format>
    <format action="formatting" dxfId="770">
      <pivotArea type="normal" dataOnly="0" labelOnly="1" grandRow="1" outline="0" fieldPosition="0"/>
    </format>
    <format action="formatting" dxfId="769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68">
      <pivotArea type="normal" dataOnly="0" labelOnly="1" grandCol="1" outline="0" fieldPosition="0"/>
    </format>
    <format action="formatting">
      <pivotArea type="all" dataOnly="0" outline="0" fieldPosition="0"/>
    </format>
    <format action="formatting" dxfId="767">
      <pivotArea type="origin" dataOnly="0" labelOnly="1" outline="0" fieldPosition="0"/>
    </format>
    <format action="formatting" dxfId="766">
      <pivotArea field="18" type="button" dataOnly="0" labelOnly="1" outline="0" axis="axisCol" fieldPosition="0"/>
    </format>
    <format action="formatting" dxfId="765">
      <pivotArea type="all" dataOnly="0" outline="0" fieldPosition="0"/>
    </format>
    <format action="formatting" dxfId="764">
      <pivotArea type="normal" dataOnly="1" outline="0" collapsedLevelsAreSubtotals="1" fieldPosition="0"/>
    </format>
    <format action="formatting" dxfId="763">
      <pivotArea field="18" type="button" dataOnly="0" labelOnly="1" outline="0" axis="axisCol" fieldPosition="0"/>
    </format>
    <format action="formatting" dxfId="762">
      <pivotArea type="topRight" dataOnly="0" labelOnly="1" outline="0" fieldPosition="0"/>
    </format>
    <format action="formatting" dxfId="76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60">
      <pivotArea type="normal" dataOnly="0" labelOnly="1" grandCol="1" outline="0" fieldPosition="0"/>
    </format>
    <format action="formatting" dxfId="759">
      <pivotArea type="origin" dataOnly="0" labelOnly="1" outline="0" fieldPosition="0"/>
    </format>
    <format action="formatting" dxfId="758">
      <pivotArea type="normal" dataOnly="0" labelOnly="1" grandRow="1" outline="0" fieldPosition="0"/>
    </format>
    <format action="formatting" dxfId="757">
      <pivotArea type="all" dataOnly="0" outline="0" fieldPosition="0"/>
    </format>
    <format action="formatting" dxfId="756">
      <pivotArea type="normal" dataOnly="1" outline="0" collapsedLevelsAreSubtotals="1" fieldPosition="0"/>
    </format>
    <format action="formatting" dxfId="755">
      <pivotArea type="origin" dataOnly="0" labelOnly="1" outline="0" fieldPosition="0"/>
    </format>
    <format action="formatting" dxfId="754">
      <pivotArea field="18" type="button" dataOnly="0" labelOnly="1" outline="0" axis="axisCol" fieldPosition="0"/>
    </format>
    <format action="formatting" dxfId="753">
      <pivotArea type="topRight" dataOnly="0" labelOnly="1" outline="0" fieldPosition="0"/>
    </format>
    <format action="formatting" dxfId="752">
      <pivotArea type="normal" dataOnly="0" labelOnly="1" grandRow="1" outline="0" fieldPosition="0"/>
    </format>
    <format action="formatting" dxfId="751">
      <pivotArea type="normal" dataOnly="0" labelOnly="1" outline="0" fieldPosition="0">
        <references count="1">
          <reference field="18">
            <x v="0"/>
            <x v="1"/>
            <x v="2"/>
            <x v="3"/>
          </reference>
        </references>
      </pivotArea>
    </format>
    <format action="formatting" dxfId="750">
      <pivotArea type="normal" dataOnly="0" labelOnly="1" grandCol="1" outline="0" fieldPosition="0"/>
    </format>
    <format action="formatting" dxfId="749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748">
      <pivotArea type="normal" dataOnly="1" grandRow="1" grandCol="1" outline="0" collapsedLevelsAreSubtotals="1" fieldPosition="0"/>
    </format>
    <format action="formatting">
      <pivotArea type="all" dataOnly="0" outline="0" fieldPosition="0"/>
    </format>
    <format action="formatting">
      <pivotArea type="all" dataOnly="0" outline="0" fieldPosition="0"/>
    </format>
    <format action="formatting" dxfId="747">
      <pivotArea field="6" type="button" dataOnly="0" labelOnly="1" outline="0"/>
    </format>
    <format action="formatting" dxfId="746">
      <pivotArea type="normal" dataOnly="1" outline="1" fieldPosition="0">
        <references count="1">
          <reference field="5">
            <x v="5"/>
            <x v="6"/>
          </reference>
        </references>
      </pivotArea>
    </format>
    <format action="formatting" dxfId="745">
      <pivotArea type="normal" dataOnly="0" labelOnly="1" outline="0" fieldPosition="0">
        <references count="1">
          <reference field="5">
            <x v="5"/>
            <x v="6"/>
          </reference>
        </references>
      </pivotArea>
    </format>
    <format action="formatting" dxfId="744">
      <pivotArea type="normal" dataOnly="0" labelOnly="1" outline="0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743">
      <pivotArea type="normal" dataOnly="1" outline="1" fieldPosition="0">
        <references count="1">
          <reference field="5">
            <x v="4"/>
          </reference>
        </references>
      </pivotArea>
    </format>
    <format action="formatting" dxfId="742">
      <pivotArea type="normal" dataOnly="0" labelOnly="1" outline="0" fieldPosition="0">
        <references count="1">
          <reference field="5">
            <x v="4"/>
          </reference>
        </references>
      </pivotArea>
    </format>
    <format action="formatting">
      <pivotArea type="all" dataOnly="0" outline="0" fieldPosition="0"/>
    </format>
    <format action="formatting">
      <pivotArea type="normal" dataOnly="1" outline="0" collapsedLevelsAreSubtotals="1" fieldPosition="0"/>
    </format>
    <format action="formatting">
      <pivotArea field="18" type="button" dataOnly="0" labelOnly="1" outline="0" axis="axisCol" fieldPosition="0"/>
    </format>
    <format action="formatting">
      <pivotArea type="topRight" dataOnly="0" labelOnly="1" outline="0" fieldPosition="0"/>
    </format>
    <format action="formatting">
      <pivotArea type="normal" dataOnly="0" labelOnly="1" outline="0" fieldPosition="0">
        <references count="1">
          <reference field="18"/>
        </references>
      </pivotArea>
    </format>
    <format action="formatting">
      <pivotArea type="normal" dataOnly="0" labelOnly="1" grandCol="1" outline="0" fieldPosition="0"/>
    </format>
    <format action="formatting" dxfId="741">
      <pivotArea type="origin" dataOnly="0" labelOnly="1" outline="0" fieldPosition="0"/>
    </format>
    <format action="formatting" dxfId="740">
      <pivotArea field="5" type="button" dataOnly="0" labelOnly="1" outline="0" axis="axisRow" fieldPosition="0"/>
    </format>
    <format action="formatting" dxfId="739">
      <pivotArea type="normal" dataOnly="0" labelOnly="1" outline="0" fieldPosition="0">
        <references count="1">
          <reference field="5">
            <x v="0"/>
            <x v="1"/>
            <x v="2"/>
            <x v="3"/>
            <x v="4"/>
            <x v="5"/>
            <x v="6"/>
          </reference>
        </references>
      </pivotArea>
    </format>
    <format action="formatting" dxfId="738">
      <pivotArea type="normal" dataOnly="0" labelOnly="1" grandRow="1" outline="0" fieldPosition="0"/>
    </format>
  </formats>
  <chartFormats count="4">
    <chartFormat chart="0" format="0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0"/>
          </reference>
        </references>
      </pivotArea>
    </chartFormat>
    <chartFormat chart="0" format="1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1"/>
          </reference>
        </references>
      </pivotArea>
    </chartFormat>
    <chartFormat chart="0" format="2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2"/>
          </reference>
        </references>
      </pivotArea>
    </chartFormat>
    <chartFormat chart="0" format="3" series="1">
      <pivotArea type="data" dataOnly="1" outline="0" fieldPosition="0">
        <references count="2">
          <reference field="4294967294" selected="0">
            <x v="0"/>
          </reference>
          <reference field="18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Relationship Type="http://schemas.openxmlformats.org/officeDocument/2006/relationships/pivotTable" Target="/xl/pivotTables/pivotTable7.xml" Id="rId7" /><Relationship Type="http://schemas.openxmlformats.org/officeDocument/2006/relationships/pivotTable" Target="/xl/pivotTables/pivotTable8.xml" Id="rId8" /><Relationship Type="http://schemas.openxmlformats.org/officeDocument/2006/relationships/pivotTable" Target="/xl/pivotTables/pivotTable9.xml" Id="rId9" /><Relationship Type="http://schemas.openxmlformats.org/officeDocument/2006/relationships/pivotTable" Target="/xl/pivotTables/pivotTable10.xml" Id="rId10" /><Relationship Type="http://schemas.openxmlformats.org/officeDocument/2006/relationships/pivotTable" Target="/xl/pivotTables/pivotTable11.xml" Id="rId11" /><Relationship Type="http://schemas.openxmlformats.org/officeDocument/2006/relationships/pivotTable" Target="/xl/pivotTables/pivotTable12.xml" Id="rId12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U169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baseColWidth="8" defaultColWidth="33.28515625" defaultRowHeight="15.75"/>
  <cols>
    <col width="42.85546875" bestFit="1" customWidth="1" style="52" min="1" max="1"/>
    <col width="20" bestFit="1" customWidth="1" style="53" min="2" max="2"/>
    <col width="18.28515625" bestFit="1" customWidth="1" style="53" min="3" max="3"/>
    <col width="17.85546875" bestFit="1" customWidth="1" style="53" min="4" max="4"/>
    <col width="22.28515625" bestFit="1" customWidth="1" style="53" min="5" max="5"/>
    <col width="21" bestFit="1" customWidth="1" style="53" min="6" max="6"/>
    <col width="17" bestFit="1" customWidth="1" style="53" min="7" max="7"/>
    <col width="13.140625" bestFit="1" customWidth="1" style="53" min="8" max="8"/>
    <col width="19.140625" bestFit="1" customWidth="1" style="53" min="9" max="9"/>
    <col width="12.7109375" bestFit="1" customWidth="1" style="53" min="10" max="10"/>
    <col width="12.42578125" bestFit="1" customWidth="1" style="53" min="11" max="11"/>
    <col width="12.7109375" customWidth="1" style="53" min="12" max="12"/>
    <col width="45.7109375" bestFit="1" customWidth="1" style="52" min="13" max="13"/>
    <col width="20.28515625" bestFit="1" customWidth="1" style="53" min="14" max="14"/>
    <col width="9.85546875" bestFit="1" customWidth="1" style="53" min="15" max="15"/>
    <col width="17.5703125" bestFit="1" customWidth="1" style="53" min="16" max="16"/>
    <col width="15.7109375" bestFit="1" customWidth="1" style="53" min="17" max="17"/>
    <col width="12.42578125" bestFit="1" customWidth="1" style="53" min="18" max="18"/>
    <col width="20.28515625" bestFit="1" customWidth="1" style="53" min="19" max="20"/>
    <col width="11.7109375" bestFit="1" customWidth="1" style="53" min="21" max="21"/>
    <col width="9.42578125" customWidth="1" style="53" min="22" max="22"/>
    <col width="9.85546875" customWidth="1" style="53" min="23" max="23"/>
    <col width="13.7109375" bestFit="1" customWidth="1" style="53" min="24" max="63"/>
    <col width="5.85546875" bestFit="1" customWidth="1" style="53" min="64" max="64"/>
    <col width="13.7109375" bestFit="1" customWidth="1" style="53" min="65" max="664"/>
    <col width="12.28515625" bestFit="1" customWidth="1" style="53" min="665" max="665"/>
    <col width="20.5703125" bestFit="1" customWidth="1" style="53" min="666" max="1054"/>
    <col width="7" bestFit="1" customWidth="1" style="53" min="1055" max="1055"/>
    <col width="13.28515625" bestFit="1" customWidth="1" style="53" min="1056" max="1056"/>
    <col width="33.28515625" customWidth="1" style="53" min="1057" max="1640"/>
    <col width="33.28515625" customWidth="1" style="53" min="1641" max="16384"/>
  </cols>
  <sheetData>
    <row r="1" ht="46.5" customHeight="1">
      <c r="A1" s="51">
        <f>"Análise de Erros "&amp;TEXT(TODAY(),"dd/mm/aa")</f>
        <v/>
      </c>
    </row>
    <row r="3">
      <c r="A3" s="49" t="inlineStr">
        <is>
          <t>Aging por Produto - AGING INCLUSÃO</t>
        </is>
      </c>
      <c r="M3" s="49" t="inlineStr">
        <is>
          <t>Casos novos - por OBT e Responsavel</t>
        </is>
      </c>
    </row>
    <row r="4">
      <c r="A4" s="17" t="inlineStr">
        <is>
          <t>Contagem de AGING INCLUSÃO</t>
        </is>
      </c>
      <c r="B4" s="18" t="inlineStr">
        <is>
          <t>Serviço</t>
        </is>
      </c>
      <c r="M4" s="17" t="inlineStr">
        <is>
          <t>Contagem de RESPONSÁVEL</t>
        </is>
      </c>
      <c r="N4" s="18" t="inlineStr">
        <is>
          <t>Rótulos de Coluna</t>
        </is>
      </c>
    </row>
    <row r="5">
      <c r="A5" s="19" t="inlineStr">
        <is>
          <t>Aging Alteração</t>
        </is>
      </c>
      <c r="B5" s="20" t="inlineStr">
        <is>
          <t>Aéreo</t>
        </is>
      </c>
      <c r="C5" s="20" t="inlineStr">
        <is>
          <t>Carro</t>
        </is>
      </c>
      <c r="D5" s="20" t="inlineStr">
        <is>
          <t>Hotel</t>
        </is>
      </c>
      <c r="E5" s="20" t="inlineStr">
        <is>
          <t>Serviço</t>
        </is>
      </c>
      <c r="F5" s="20" t="inlineStr">
        <is>
          <t>Total Geral</t>
        </is>
      </c>
      <c r="M5" s="19" t="inlineStr">
        <is>
          <t>Rótulos de Linha</t>
        </is>
      </c>
      <c r="N5" s="20" t="inlineStr">
        <is>
          <t>ARGO(TMS)</t>
        </is>
      </c>
      <c r="O5" s="20" t="inlineStr">
        <is>
          <t>GOVER</t>
        </is>
      </c>
      <c r="P5" s="20" t="inlineStr">
        <is>
          <t>LEMONTECH</t>
        </is>
      </c>
      <c r="Q5" s="20" t="inlineStr">
        <is>
          <t>MANUAL</t>
        </is>
      </c>
      <c r="R5" s="20" t="inlineStr">
        <is>
          <t>SABRE</t>
        </is>
      </c>
      <c r="S5" s="27" t="inlineStr">
        <is>
          <t>Total Geral</t>
        </is>
      </c>
    </row>
    <row r="6">
      <c r="A6" s="52" t="inlineStr">
        <is>
          <t>0 a 02 dias</t>
        </is>
      </c>
      <c r="B6" s="20" t="n">
        <v>17</v>
      </c>
      <c r="C6" s="20" t="n">
        <v>5</v>
      </c>
      <c r="D6" s="20" t="n">
        <v>6</v>
      </c>
      <c r="E6" s="20" t="n">
        <v>57</v>
      </c>
      <c r="F6" s="20" t="n">
        <v>85</v>
      </c>
      <c r="M6" s="31" t="inlineStr">
        <is>
          <t>Suporte KCS</t>
        </is>
      </c>
      <c r="N6" s="20" t="n"/>
      <c r="O6" s="20" t="n"/>
      <c r="P6" s="20" t="n"/>
      <c r="Q6" s="20" t="n"/>
      <c r="R6" s="20" t="n"/>
      <c r="S6" s="20" t="n"/>
    </row>
    <row r="7">
      <c r="A7" s="52" t="inlineStr">
        <is>
          <t>03 a 05 dias</t>
        </is>
      </c>
      <c r="B7" s="20" t="n">
        <v>45</v>
      </c>
      <c r="C7" s="20" t="n">
        <v>55</v>
      </c>
      <c r="D7" s="20" t="n">
        <v>92</v>
      </c>
      <c r="E7" s="20" t="n">
        <v>7</v>
      </c>
      <c r="F7" s="20" t="n">
        <v>199</v>
      </c>
      <c r="M7" s="40" t="inlineStr">
        <is>
          <t>Dados do Fornecedor</t>
        </is>
      </c>
      <c r="N7" s="36" t="n">
        <v>166</v>
      </c>
      <c r="O7" s="36" t="n">
        <v>9</v>
      </c>
      <c r="P7" s="36" t="n">
        <v>20</v>
      </c>
      <c r="Q7" s="36" t="n"/>
      <c r="R7" s="36" t="n">
        <v>41</v>
      </c>
      <c r="S7" s="36" t="n">
        <v>236</v>
      </c>
    </row>
    <row r="8">
      <c r="A8" s="52" t="inlineStr">
        <is>
          <t>06 a 08 dias</t>
        </is>
      </c>
      <c r="B8" s="20" t="n">
        <v>55</v>
      </c>
      <c r="C8" s="20" t="n">
        <v>21</v>
      </c>
      <c r="D8" s="20" t="n">
        <v>32</v>
      </c>
      <c r="E8" s="20" t="n">
        <v>6</v>
      </c>
      <c r="F8" s="20" t="n">
        <v>114</v>
      </c>
      <c r="M8" s="30" t="inlineStr">
        <is>
          <t>Suporte KCS Total</t>
        </is>
      </c>
      <c r="N8" s="37" t="n">
        <v>166</v>
      </c>
      <c r="O8" s="37" t="n">
        <v>9</v>
      </c>
      <c r="P8" s="37" t="n">
        <v>20</v>
      </c>
      <c r="Q8" s="37" t="n"/>
      <c r="R8" s="37" t="n">
        <v>41</v>
      </c>
      <c r="S8" s="37" t="n">
        <v>236</v>
      </c>
    </row>
    <row r="9">
      <c r="A9" s="52" t="inlineStr">
        <is>
          <t>09 a 15 dias</t>
        </is>
      </c>
      <c r="B9" s="20" t="n">
        <v>64</v>
      </c>
      <c r="C9" s="20" t="n">
        <v>7</v>
      </c>
      <c r="D9" s="20" t="n">
        <v>45</v>
      </c>
      <c r="E9" s="20" t="n">
        <v>4</v>
      </c>
      <c r="F9" s="20" t="n">
        <v>120</v>
      </c>
      <c r="M9" s="31" t="inlineStr">
        <is>
          <t>Suporte Benner</t>
        </is>
      </c>
      <c r="N9" s="20" t="n"/>
      <c r="O9" s="20" t="n"/>
      <c r="P9" s="20" t="n"/>
      <c r="Q9" s="20" t="n"/>
      <c r="R9" s="20" t="n"/>
      <c r="S9" s="20" t="n"/>
    </row>
    <row r="10">
      <c r="A10" s="32" t="inlineStr">
        <is>
          <t>16 a 23 dias</t>
        </is>
      </c>
      <c r="B10" s="35" t="n">
        <v>6</v>
      </c>
      <c r="C10" s="35" t="n">
        <v>2</v>
      </c>
      <c r="D10" s="35" t="n">
        <v>38</v>
      </c>
      <c r="E10" s="35" t="n">
        <v>2</v>
      </c>
      <c r="F10" s="35" t="n">
        <v>48</v>
      </c>
      <c r="M10" s="40" t="inlineStr">
        <is>
          <t>Dados do Fornecedor</t>
        </is>
      </c>
      <c r="N10" s="36" t="n">
        <v>3</v>
      </c>
      <c r="O10" s="36" t="n">
        <v>48</v>
      </c>
      <c r="P10" s="36" t="n"/>
      <c r="Q10" s="36" t="n"/>
      <c r="R10" s="36" t="n">
        <v>31</v>
      </c>
      <c r="S10" s="36" t="n">
        <v>82</v>
      </c>
    </row>
    <row r="11">
      <c r="A11" s="32" t="inlineStr">
        <is>
          <t>24 a 31 dias</t>
        </is>
      </c>
      <c r="B11" s="35" t="n"/>
      <c r="C11" s="35" t="n">
        <v>3</v>
      </c>
      <c r="D11" s="35" t="n">
        <v>12</v>
      </c>
      <c r="E11" s="35" t="n"/>
      <c r="F11" s="35" t="n">
        <v>15</v>
      </c>
      <c r="M11" s="30" t="inlineStr">
        <is>
          <t>Suporte Benner Total</t>
        </is>
      </c>
      <c r="N11" s="37" t="n">
        <v>3</v>
      </c>
      <c r="O11" s="37" t="n">
        <v>48</v>
      </c>
      <c r="P11" s="37" t="n"/>
      <c r="Q11" s="37" t="n"/>
      <c r="R11" s="37" t="n">
        <v>31</v>
      </c>
      <c r="S11" s="37" t="n">
        <v>82</v>
      </c>
    </row>
    <row r="12">
      <c r="A12" s="32" t="inlineStr">
        <is>
          <t>31 dias ou +</t>
        </is>
      </c>
      <c r="B12" s="35" t="n">
        <v>2</v>
      </c>
      <c r="C12" s="35" t="n">
        <v>1</v>
      </c>
      <c r="D12" s="35" t="n">
        <v>14</v>
      </c>
      <c r="E12" s="35" t="n">
        <v>2</v>
      </c>
      <c r="F12" s="35" t="n">
        <v>19</v>
      </c>
      <c r="M12" s="31" t="inlineStr">
        <is>
          <t>Operações - FCM</t>
        </is>
      </c>
      <c r="N12" s="20" t="n"/>
      <c r="O12" s="20" t="n"/>
      <c r="P12" s="20" t="n"/>
      <c r="Q12" s="20" t="n"/>
      <c r="R12" s="20" t="n"/>
      <c r="S12" s="20" t="n"/>
    </row>
    <row r="13">
      <c r="A13" s="52" t="inlineStr">
        <is>
          <t>Total Geral</t>
        </is>
      </c>
      <c r="B13" s="20" t="n">
        <v>189</v>
      </c>
      <c r="C13" s="20" t="n">
        <v>94</v>
      </c>
      <c r="D13" s="20" t="n">
        <v>239</v>
      </c>
      <c r="E13" s="20" t="n">
        <v>78</v>
      </c>
      <c r="F13" s="34" t="n">
        <v>600</v>
      </c>
      <c r="M13" s="40" t="inlineStr">
        <is>
          <t>Dados do Fornecedor</t>
        </is>
      </c>
      <c r="N13" s="36" t="n"/>
      <c r="O13" s="36" t="n">
        <v>1</v>
      </c>
      <c r="P13" s="36" t="n"/>
      <c r="Q13" s="36" t="n"/>
      <c r="R13" s="36" t="n">
        <v>27</v>
      </c>
      <c r="S13" s="36" t="n">
        <v>28</v>
      </c>
    </row>
    <row r="14">
      <c r="M14" s="40" t="inlineStr">
        <is>
          <t>Edição não Permitida</t>
        </is>
      </c>
      <c r="N14" s="36" t="n"/>
      <c r="O14" s="36" t="n">
        <v>3</v>
      </c>
      <c r="P14" s="36" t="n"/>
      <c r="Q14" s="36" t="n"/>
      <c r="R14" s="36" t="n"/>
      <c r="S14" s="36" t="n">
        <v>3</v>
      </c>
    </row>
    <row r="15">
      <c r="A15" s="50" t="inlineStr">
        <is>
          <t>Resolvidos em D-2</t>
        </is>
      </c>
      <c r="F15" s="28" t="n">
        <v>168</v>
      </c>
      <c r="M15" s="40" t="inlineStr">
        <is>
          <t>Sistema</t>
        </is>
      </c>
      <c r="N15" s="36" t="n"/>
      <c r="O15" s="36" t="n"/>
      <c r="P15" s="36" t="n"/>
      <c r="Q15" s="36" t="n"/>
      <c r="R15" s="36" t="n">
        <v>1</v>
      </c>
      <c r="S15" s="36" t="n">
        <v>1</v>
      </c>
    </row>
    <row r="16">
      <c r="A16" s="47">
        <f>IF(($F$15/$F$6)&gt;=100%,"Eficiência Positiva","Eficiência Negativa")</f>
        <v/>
      </c>
      <c r="F16" s="29">
        <f>($F$15/$F$6)-100%</f>
        <v/>
      </c>
      <c r="M16" s="30" t="inlineStr">
        <is>
          <t>Operações - FCM Total</t>
        </is>
      </c>
      <c r="N16" s="37" t="n"/>
      <c r="O16" s="37" t="n">
        <v>4</v>
      </c>
      <c r="P16" s="37" t="n"/>
      <c r="Q16" s="37" t="n"/>
      <c r="R16" s="37" t="n">
        <v>28</v>
      </c>
      <c r="S16" s="37" t="n">
        <v>32</v>
      </c>
    </row>
    <row r="17">
      <c r="M17" s="31" t="inlineStr">
        <is>
          <t>Central de Emissão</t>
        </is>
      </c>
      <c r="N17" s="20" t="n"/>
      <c r="O17" s="20" t="n"/>
      <c r="P17" s="20" t="n"/>
      <c r="Q17" s="20" t="n"/>
      <c r="R17" s="20" t="n"/>
      <c r="S17" s="20" t="n"/>
    </row>
    <row r="18">
      <c r="A18" s="49" t="inlineStr">
        <is>
          <t>Ofensores - OBT x Produto</t>
        </is>
      </c>
      <c r="M18" s="40" t="inlineStr">
        <is>
          <t>Dados do Fornecedor</t>
        </is>
      </c>
      <c r="N18" s="36" t="n">
        <v>2</v>
      </c>
      <c r="O18" s="36" t="n">
        <v>2</v>
      </c>
      <c r="P18" s="36" t="n"/>
      <c r="Q18" s="36" t="n">
        <v>1</v>
      </c>
      <c r="R18" s="36" t="n">
        <v>5</v>
      </c>
      <c r="S18" s="36" t="n">
        <v>10</v>
      </c>
    </row>
    <row r="19">
      <c r="A19" s="19" t="inlineStr">
        <is>
          <t>Contagem de Serviço</t>
        </is>
      </c>
      <c r="B19" s="21" t="inlineStr">
        <is>
          <t>Rótulos de Coluna</t>
        </is>
      </c>
      <c r="M19" s="40" t="inlineStr">
        <is>
          <t>Edição não Permitida</t>
        </is>
      </c>
      <c r="N19" s="20" t="n"/>
      <c r="O19" s="20" t="n">
        <v>6</v>
      </c>
      <c r="P19" s="20" t="n"/>
      <c r="Q19" s="20" t="n"/>
      <c r="R19" s="20" t="n">
        <v>1</v>
      </c>
      <c r="S19" s="20" t="n">
        <v>7</v>
      </c>
    </row>
    <row r="20">
      <c r="A20" s="19" t="inlineStr">
        <is>
          <t>Rótulos de Linha</t>
        </is>
      </c>
      <c r="B20" s="53" t="inlineStr">
        <is>
          <t>Aéreo</t>
        </is>
      </c>
      <c r="C20" s="53" t="inlineStr">
        <is>
          <t>Carro</t>
        </is>
      </c>
      <c r="D20" s="53" t="inlineStr">
        <is>
          <t>Hotel</t>
        </is>
      </c>
      <c r="E20" s="53" t="inlineStr">
        <is>
          <t>Serviço</t>
        </is>
      </c>
      <c r="F20" s="53" t="inlineStr">
        <is>
          <t>Total Geral</t>
        </is>
      </c>
      <c r="M20" s="30" t="inlineStr">
        <is>
          <t>Central de Emissão Total</t>
        </is>
      </c>
      <c r="N20" s="37" t="n">
        <v>2</v>
      </c>
      <c r="O20" s="37" t="n">
        <v>8</v>
      </c>
      <c r="P20" s="37" t="n"/>
      <c r="Q20" s="37" t="n">
        <v>1</v>
      </c>
      <c r="R20" s="37" t="n">
        <v>6</v>
      </c>
      <c r="S20" s="37" t="n">
        <v>17</v>
      </c>
    </row>
    <row r="21">
      <c r="A21" s="52" t="inlineStr">
        <is>
          <t>ARGO(TMS)</t>
        </is>
      </c>
      <c r="B21" s="53" t="n">
        <v>31</v>
      </c>
      <c r="C21" s="53" t="n">
        <v>76</v>
      </c>
      <c r="D21" s="53" t="n">
        <v>61</v>
      </c>
      <c r="E21" s="53" t="n">
        <v>63</v>
      </c>
      <c r="F21" s="53" t="n">
        <v>231</v>
      </c>
      <c r="M21" s="52" t="inlineStr">
        <is>
          <t>Total Geral</t>
        </is>
      </c>
      <c r="N21" s="37" t="n">
        <v>171</v>
      </c>
      <c r="O21" s="37" t="n">
        <v>69</v>
      </c>
      <c r="P21" s="37" t="n">
        <v>20</v>
      </c>
      <c r="Q21" s="37" t="n">
        <v>1</v>
      </c>
      <c r="R21" s="37" t="n">
        <v>106</v>
      </c>
      <c r="S21" s="37" t="n">
        <v>367</v>
      </c>
    </row>
    <row r="22">
      <c r="A22" s="52" t="inlineStr">
        <is>
          <t>SABRE</t>
        </is>
      </c>
      <c r="B22" s="53" t="n">
        <v>27</v>
      </c>
      <c r="C22" s="53" t="n">
        <v>11</v>
      </c>
      <c r="D22" s="53" t="n">
        <v>105</v>
      </c>
      <c r="E22" s="53" t="n"/>
      <c r="F22" s="53" t="n">
        <v>143</v>
      </c>
    </row>
    <row r="23">
      <c r="A23" s="52" t="inlineStr">
        <is>
          <t>GOVER</t>
        </is>
      </c>
      <c r="B23" s="53" t="n">
        <v>15</v>
      </c>
      <c r="C23" s="53" t="n">
        <v>4</v>
      </c>
      <c r="D23" s="53" t="n">
        <v>58</v>
      </c>
      <c r="E23" s="53" t="n"/>
      <c r="F23" s="53" t="n">
        <v>77</v>
      </c>
    </row>
    <row r="24">
      <c r="A24" s="52" t="inlineStr">
        <is>
          <t>KONTRIP</t>
        </is>
      </c>
      <c r="B24" s="53" t="n">
        <v>66</v>
      </c>
      <c r="C24" s="53" t="n"/>
      <c r="D24" s="53" t="n"/>
      <c r="E24" s="53" t="n"/>
      <c r="F24" s="53" t="n">
        <v>66</v>
      </c>
    </row>
    <row r="25">
      <c r="A25" s="52" t="inlineStr">
        <is>
          <t>ZUPPER</t>
        </is>
      </c>
      <c r="B25" s="53" t="n">
        <v>44</v>
      </c>
      <c r="C25" s="53" t="n">
        <v>1</v>
      </c>
      <c r="D25" s="53" t="n"/>
      <c r="E25" s="53" t="n"/>
      <c r="F25" s="53" t="n">
        <v>45</v>
      </c>
    </row>
    <row r="26">
      <c r="A26" s="52" t="inlineStr">
        <is>
          <t>LEMONTECH</t>
        </is>
      </c>
      <c r="B26" s="53" t="n"/>
      <c r="C26" s="53" t="n">
        <v>2</v>
      </c>
      <c r="D26" s="53" t="n">
        <v>6</v>
      </c>
      <c r="E26" s="53" t="n">
        <v>13</v>
      </c>
      <c r="F26" s="53" t="n">
        <v>21</v>
      </c>
    </row>
    <row r="27">
      <c r="A27" s="52" t="inlineStr">
        <is>
          <t>MANUAL</t>
        </is>
      </c>
      <c r="B27" s="53" t="n">
        <v>6</v>
      </c>
      <c r="C27" s="53" t="n"/>
      <c r="D27" s="53" t="n">
        <v>1</v>
      </c>
      <c r="E27" s="53" t="n">
        <v>2</v>
      </c>
      <c r="F27" s="53" t="n">
        <v>9</v>
      </c>
    </row>
    <row r="28">
      <c r="A28" s="52" t="inlineStr">
        <is>
          <t>Total Geral</t>
        </is>
      </c>
      <c r="B28" s="53" t="n">
        <v>189</v>
      </c>
      <c r="C28" s="53" t="n">
        <v>94</v>
      </c>
      <c r="D28" s="53" t="n">
        <v>231</v>
      </c>
      <c r="E28" s="53" t="n">
        <v>78</v>
      </c>
      <c r="F28" s="34" t="n">
        <v>592</v>
      </c>
    </row>
    <row r="30">
      <c r="A30" s="31" t="inlineStr">
        <is>
          <t>Analise de ofensores por OBT</t>
        </is>
      </c>
      <c r="B30" s="54" t="n"/>
      <c r="C30" s="54" t="n"/>
      <c r="D30" s="54" t="n"/>
      <c r="E30" s="54" t="n"/>
      <c r="F30" s="54" t="n"/>
      <c r="G30" s="54" t="n"/>
      <c r="H30" s="54" t="n"/>
      <c r="I30" s="54" t="n"/>
    </row>
    <row r="31">
      <c r="A31" s="33" t="inlineStr">
        <is>
          <t>Contagem de TIPO DE ERRO</t>
        </is>
      </c>
      <c r="B31" s="25" t="inlineStr">
        <is>
          <t>Rótulos de Coluna</t>
        </is>
      </c>
      <c r="C31" s="26" t="n"/>
      <c r="D31" s="26" t="n"/>
      <c r="E31" s="26" t="n"/>
      <c r="F31" s="26" t="n"/>
      <c r="G31" s="26" t="n"/>
      <c r="H31" s="26" t="n"/>
      <c r="I31" s="26" t="n"/>
    </row>
    <row r="32">
      <c r="A32" s="33" t="inlineStr">
        <is>
          <t>Rótulos de Linha</t>
        </is>
      </c>
      <c r="B32" s="27" t="inlineStr">
        <is>
          <t>ARGO(TMS)</t>
        </is>
      </c>
      <c r="C32" s="27" t="inlineStr">
        <is>
          <t>GOVER</t>
        </is>
      </c>
      <c r="D32" s="27" t="inlineStr">
        <is>
          <t>KONTRIP</t>
        </is>
      </c>
      <c r="E32" s="27" t="inlineStr">
        <is>
          <t>LEMONTECH</t>
        </is>
      </c>
      <c r="F32" s="27" t="inlineStr">
        <is>
          <t>MANUAL</t>
        </is>
      </c>
      <c r="G32" s="27" t="inlineStr">
        <is>
          <t>SABRE</t>
        </is>
      </c>
      <c r="H32" s="27" t="inlineStr">
        <is>
          <t>ZUPPER</t>
        </is>
      </c>
      <c r="I32" s="27" t="inlineStr">
        <is>
          <t>Total Geral</t>
        </is>
      </c>
    </row>
    <row r="33">
      <c r="A33" s="52" t="inlineStr">
        <is>
          <t>Dados do Fornecedor</t>
        </is>
      </c>
      <c r="B33" s="20" t="n">
        <v>220</v>
      </c>
      <c r="C33" s="20" t="n">
        <v>68</v>
      </c>
      <c r="D33" s="20" t="n">
        <v>53</v>
      </c>
      <c r="E33" s="20" t="n">
        <v>21</v>
      </c>
      <c r="F33" s="20" t="n">
        <v>6</v>
      </c>
      <c r="G33" s="20" t="n">
        <v>141</v>
      </c>
      <c r="H33" s="20" t="n">
        <v>1</v>
      </c>
      <c r="I33" s="20" t="n">
        <v>510</v>
      </c>
    </row>
    <row r="34">
      <c r="A34" s="52" t="inlineStr">
        <is>
          <t>Sistema</t>
        </is>
      </c>
      <c r="B34" s="20" t="n">
        <v>11</v>
      </c>
      <c r="C34" s="20" t="n"/>
      <c r="D34" s="20" t="n">
        <v>6</v>
      </c>
      <c r="E34" s="20" t="n"/>
      <c r="F34" s="20" t="n"/>
      <c r="G34" s="20" t="n">
        <v>1</v>
      </c>
      <c r="H34" s="20" t="n">
        <v>23</v>
      </c>
      <c r="I34" s="20" t="n">
        <v>41</v>
      </c>
    </row>
    <row r="35">
      <c r="A35" s="52" t="inlineStr">
        <is>
          <t>Edição não Permitida</t>
        </is>
      </c>
      <c r="B35" s="20" t="n"/>
      <c r="C35" s="20" t="n">
        <v>9</v>
      </c>
      <c r="D35" s="20" t="n"/>
      <c r="E35" s="20" t="n"/>
      <c r="F35" s="20" t="n"/>
      <c r="G35" s="20" t="n">
        <v>1</v>
      </c>
      <c r="H35" s="20" t="n">
        <v>21</v>
      </c>
      <c r="I35" s="20" t="n">
        <v>31</v>
      </c>
    </row>
    <row r="36">
      <c r="A36" s="52" t="inlineStr">
        <is>
          <t>Dados Gerenciais</t>
        </is>
      </c>
      <c r="B36" s="20" t="n"/>
      <c r="C36" s="20" t="n"/>
      <c r="D36" s="20" t="n">
        <v>7</v>
      </c>
      <c r="E36" s="20" t="n"/>
      <c r="F36" s="20" t="n">
        <v>3</v>
      </c>
      <c r="G36" s="20" t="n"/>
      <c r="H36" s="20" t="n"/>
      <c r="I36" s="20" t="n">
        <v>10</v>
      </c>
    </row>
    <row r="37">
      <c r="A37" s="52" t="inlineStr">
        <is>
          <t>Total Geral</t>
        </is>
      </c>
      <c r="B37" s="20" t="n">
        <v>231</v>
      </c>
      <c r="C37" s="20" t="n">
        <v>77</v>
      </c>
      <c r="D37" s="20" t="n">
        <v>66</v>
      </c>
      <c r="E37" s="20" t="n">
        <v>21</v>
      </c>
      <c r="F37" s="20" t="n">
        <v>9</v>
      </c>
      <c r="G37" s="20" t="n">
        <v>143</v>
      </c>
      <c r="H37" s="20" t="n">
        <v>45</v>
      </c>
      <c r="I37" s="20" t="n">
        <v>592</v>
      </c>
    </row>
    <row r="40" ht="15" customHeight="1">
      <c r="A40" s="31" t="inlineStr">
        <is>
          <t>Analise de ofensores por OBT - Campos</t>
        </is>
      </c>
      <c r="B40" s="54" t="n"/>
      <c r="C40" s="54" t="n"/>
      <c r="D40" s="54" t="n"/>
      <c r="E40" s="54" t="n"/>
      <c r="F40" s="54" t="n"/>
      <c r="G40" s="54" t="n"/>
      <c r="H40" s="54" t="n"/>
      <c r="I40" s="54" t="n"/>
    </row>
    <row r="41">
      <c r="A41" s="19" t="inlineStr">
        <is>
          <t>Contagem de OBTS</t>
        </is>
      </c>
      <c r="B41" s="21" t="inlineStr">
        <is>
          <t>Rótulos de Coluna</t>
        </is>
      </c>
      <c r="M41" s="47" t="inlineStr">
        <is>
          <t>Todos os Produtos - Canal de Venda</t>
        </is>
      </c>
      <c r="S41" s="47" t="n"/>
    </row>
    <row r="42">
      <c r="A42" s="19" t="inlineStr">
        <is>
          <t>Rótulos de Linha</t>
        </is>
      </c>
      <c r="B42" s="53" t="inlineStr">
        <is>
          <t>ARGO(TMS)</t>
        </is>
      </c>
      <c r="C42" s="53" t="inlineStr">
        <is>
          <t>GOVER</t>
        </is>
      </c>
      <c r="D42" s="53" t="inlineStr">
        <is>
          <t>KONTRIP</t>
        </is>
      </c>
      <c r="E42" s="53" t="inlineStr">
        <is>
          <t>LEMONTECH</t>
        </is>
      </c>
      <c r="F42" s="53" t="inlineStr">
        <is>
          <t>MANUAL</t>
        </is>
      </c>
      <c r="G42" s="53" t="inlineStr">
        <is>
          <t>SABRE</t>
        </is>
      </c>
      <c r="H42" s="53" t="inlineStr">
        <is>
          <t>ZUPPER</t>
        </is>
      </c>
      <c r="I42" s="53" t="inlineStr">
        <is>
          <t>Total Geral</t>
        </is>
      </c>
      <c r="M42" s="19" t="inlineStr">
        <is>
          <t>Contagem de OBT</t>
        </is>
      </c>
      <c r="N42" s="21" t="inlineStr">
        <is>
          <t>Rótulos de Coluna</t>
        </is>
      </c>
    </row>
    <row r="43">
      <c r="A43" s="52" t="inlineStr">
        <is>
          <t>Falta de Fornecedor</t>
        </is>
      </c>
      <c r="B43" s="20" t="n">
        <v>174</v>
      </c>
      <c r="C43" s="20" t="n">
        <v>38</v>
      </c>
      <c r="D43" s="20" t="n"/>
      <c r="E43" s="20" t="n">
        <v>20</v>
      </c>
      <c r="F43" s="20" t="n"/>
      <c r="G43" s="20" t="n">
        <v>100</v>
      </c>
      <c r="H43" s="20" t="n">
        <v>1</v>
      </c>
      <c r="I43" s="53" t="n">
        <v>333</v>
      </c>
      <c r="M43" s="19" t="inlineStr">
        <is>
          <t>Rótulos de Linha</t>
        </is>
      </c>
      <c r="N43" s="53" t="inlineStr">
        <is>
          <t>GOVER</t>
        </is>
      </c>
      <c r="O43" s="53" t="inlineStr">
        <is>
          <t>KONTRIP</t>
        </is>
      </c>
      <c r="P43" s="53" t="inlineStr">
        <is>
          <t>LEMONTECH</t>
        </is>
      </c>
      <c r="Q43" s="53" t="inlineStr">
        <is>
          <t>ZUPPER</t>
        </is>
      </c>
      <c r="R43" s="53" t="inlineStr">
        <is>
          <t>ARGO(TMS)</t>
        </is>
      </c>
      <c r="S43" s="53" t="inlineStr">
        <is>
          <t>MANUAL</t>
        </is>
      </c>
      <c r="T43" s="53" t="inlineStr">
        <is>
          <t>SABRE</t>
        </is>
      </c>
      <c r="U43" s="53" t="inlineStr">
        <is>
          <t>Total Geral</t>
        </is>
      </c>
    </row>
    <row r="44">
      <c r="A44" s="52" t="inlineStr">
        <is>
          <t>Centro de custo</t>
        </is>
      </c>
      <c r="B44" s="20" t="n"/>
      <c r="C44" s="20" t="n">
        <v>1</v>
      </c>
      <c r="D44" s="20" t="n">
        <v>53</v>
      </c>
      <c r="E44" s="20" t="n"/>
      <c r="F44" s="20" t="n"/>
      <c r="G44" s="20" t="n">
        <v>4</v>
      </c>
      <c r="H44" s="20" t="n"/>
      <c r="I44" s="53" t="n">
        <v>58</v>
      </c>
      <c r="M44" s="52" t="inlineStr">
        <is>
          <t>KONTRIP</t>
        </is>
      </c>
      <c r="N44" s="53" t="n"/>
      <c r="O44" s="53" t="n">
        <v>66</v>
      </c>
      <c r="P44" s="53" t="n"/>
      <c r="Q44" s="53" t="n"/>
      <c r="R44" s="53" t="n"/>
      <c r="S44" s="53" t="n"/>
      <c r="T44" s="53" t="n"/>
      <c r="U44" s="53" t="n">
        <v>66</v>
      </c>
    </row>
    <row r="45">
      <c r="A45" s="52" t="inlineStr">
        <is>
          <t>Conciliação de Cartão</t>
        </is>
      </c>
      <c r="B45" s="20" t="n"/>
      <c r="C45" s="20" t="n">
        <v>9</v>
      </c>
      <c r="D45" s="20" t="n"/>
      <c r="E45" s="20" t="n"/>
      <c r="F45" s="20" t="n"/>
      <c r="G45" s="20" t="n">
        <v>1</v>
      </c>
      <c r="H45" s="20" t="n">
        <v>21</v>
      </c>
      <c r="I45" s="53" t="n">
        <v>31</v>
      </c>
      <c r="M45" s="52" t="inlineStr">
        <is>
          <t>KON-OPE-SAO-PVI-KPMG</t>
        </is>
      </c>
      <c r="N45" s="53" t="n"/>
      <c r="O45" s="53" t="n"/>
      <c r="P45" s="53" t="n"/>
      <c r="Q45" s="53" t="n"/>
      <c r="R45" s="53" t="n">
        <v>57</v>
      </c>
      <c r="S45" s="53" t="n"/>
      <c r="T45" s="53" t="n"/>
      <c r="U45" s="53" t="n">
        <v>57</v>
      </c>
    </row>
    <row r="46">
      <c r="A46" s="52" t="inlineStr">
        <is>
          <t>Mais de um campo não preenchido</t>
        </is>
      </c>
      <c r="B46" s="20" t="n">
        <v>7</v>
      </c>
      <c r="C46" s="20" t="n"/>
      <c r="D46" s="20" t="n"/>
      <c r="E46" s="20" t="n"/>
      <c r="F46" s="20" t="n"/>
      <c r="G46" s="20" t="n">
        <v>22</v>
      </c>
      <c r="H46" s="20" t="n"/>
      <c r="I46" s="53" t="n">
        <v>29</v>
      </c>
      <c r="M46" s="52" t="inlineStr">
        <is>
          <t>KON-OPE-RIO-POS-OCEANPACT</t>
        </is>
      </c>
      <c r="N46" s="53" t="n"/>
      <c r="O46" s="53" t="n"/>
      <c r="P46" s="53" t="n"/>
      <c r="Q46" s="53" t="n"/>
      <c r="R46" s="53" t="n">
        <v>47</v>
      </c>
      <c r="S46" s="53" t="n"/>
      <c r="T46" s="53" t="n"/>
      <c r="U46" s="53" t="n">
        <v>47</v>
      </c>
    </row>
    <row r="47">
      <c r="A47" s="52" t="inlineStr">
        <is>
          <t>Cadastro enviado errado no Benner</t>
        </is>
      </c>
      <c r="B47" s="20" t="n"/>
      <c r="C47" s="20" t="n"/>
      <c r="D47" s="20" t="n"/>
      <c r="E47" s="20" t="n"/>
      <c r="F47" s="20" t="n"/>
      <c r="G47" s="20" t="n"/>
      <c r="H47" s="20" t="n">
        <v>22</v>
      </c>
      <c r="I47" s="53" t="n">
        <v>22</v>
      </c>
      <c r="M47" s="52" t="inlineStr">
        <is>
          <t>ZUPPER</t>
        </is>
      </c>
      <c r="N47" s="53" t="n"/>
      <c r="O47" s="53" t="n"/>
      <c r="P47" s="53" t="n"/>
      <c r="Q47" s="53" t="n">
        <v>44</v>
      </c>
      <c r="R47" s="53" t="n"/>
      <c r="S47" s="53" t="n"/>
      <c r="T47" s="53" t="n"/>
      <c r="U47" s="53" t="n">
        <v>44</v>
      </c>
    </row>
    <row r="48">
      <c r="A48" s="52" t="inlineStr">
        <is>
          <t>Não identificado</t>
        </is>
      </c>
      <c r="B48" s="20" t="n">
        <v>11</v>
      </c>
      <c r="C48" s="20" t="n"/>
      <c r="D48" s="20" t="n">
        <v>6</v>
      </c>
      <c r="E48" s="20" t="n"/>
      <c r="F48" s="20" t="n"/>
      <c r="G48" s="20" t="n">
        <v>1</v>
      </c>
      <c r="H48" s="20" t="n">
        <v>1</v>
      </c>
      <c r="I48" s="53" t="n">
        <v>19</v>
      </c>
      <c r="M48" s="52" t="inlineStr">
        <is>
          <t>KON-OPE-RIO-PVI-CASAS BAHIA</t>
        </is>
      </c>
      <c r="N48" s="53" t="n"/>
      <c r="O48" s="53" t="n"/>
      <c r="P48" s="53" t="n"/>
      <c r="Q48" s="53" t="n"/>
      <c r="R48" s="53" t="n"/>
      <c r="S48" s="53" t="n"/>
      <c r="T48" s="53" t="n">
        <v>41</v>
      </c>
      <c r="U48" s="53" t="n">
        <v>41</v>
      </c>
    </row>
    <row r="49">
      <c r="A49" s="52" t="inlineStr">
        <is>
          <t>Empenho/departamento</t>
        </is>
      </c>
      <c r="B49" s="20" t="n">
        <v>16</v>
      </c>
      <c r="C49" s="20" t="n"/>
      <c r="D49" s="20" t="n"/>
      <c r="E49" s="20" t="n">
        <v>1</v>
      </c>
      <c r="F49" s="20" t="n"/>
      <c r="G49" s="20" t="n"/>
      <c r="H49" s="20" t="n"/>
      <c r="I49" s="53" t="n">
        <v>17</v>
      </c>
      <c r="M49" s="52" t="inlineStr">
        <is>
          <t>FCM-OPE-SAO-PVI-BTC-CONCUR</t>
        </is>
      </c>
      <c r="N49" s="53" t="n"/>
      <c r="O49" s="53" t="n"/>
      <c r="P49" s="53" t="n"/>
      <c r="Q49" s="53" t="n"/>
      <c r="R49" s="53" t="n"/>
      <c r="S49" s="53" t="n"/>
      <c r="T49" s="53" t="n">
        <v>36</v>
      </c>
      <c r="U49" s="53" t="n">
        <v>36</v>
      </c>
    </row>
    <row r="50">
      <c r="A50" s="52" t="inlineStr">
        <is>
          <t>Falta de informação Gerencial</t>
        </is>
      </c>
      <c r="B50" s="20" t="n">
        <v>4</v>
      </c>
      <c r="C50" s="20" t="n"/>
      <c r="D50" s="20" t="n">
        <v>7</v>
      </c>
      <c r="E50" s="20" t="n"/>
      <c r="F50" s="20" t="n">
        <v>3</v>
      </c>
      <c r="G50" s="20" t="n">
        <v>1</v>
      </c>
      <c r="H50" s="20" t="n"/>
      <c r="I50" s="53" t="n">
        <v>15</v>
      </c>
      <c r="M50" s="52" t="inlineStr">
        <is>
          <t>FCM-OPE-SAO-PVI-BASF</t>
        </is>
      </c>
      <c r="N50" s="53" t="n"/>
      <c r="O50" s="53" t="n"/>
      <c r="P50" s="53" t="n"/>
      <c r="Q50" s="53" t="n"/>
      <c r="R50" s="53" t="n"/>
      <c r="S50" s="53" t="n"/>
      <c r="T50" s="53" t="n">
        <v>23</v>
      </c>
      <c r="U50" s="53" t="n">
        <v>23</v>
      </c>
    </row>
    <row r="51">
      <c r="A51" s="52" t="inlineStr">
        <is>
          <t>Pagamento não permitido para cobrança</t>
        </is>
      </c>
      <c r="B51" s="20" t="n"/>
      <c r="C51" s="20" t="n">
        <v>13</v>
      </c>
      <c r="D51" s="20" t="n"/>
      <c r="E51" s="20" t="n"/>
      <c r="F51" s="20" t="n"/>
      <c r="G51" s="20" t="n">
        <v>1</v>
      </c>
      <c r="H51" s="20" t="n"/>
      <c r="I51" s="53" t="n">
        <v>14</v>
      </c>
      <c r="M51" s="52" t="inlineStr">
        <is>
          <t>KON-OPE-SAO-PVI-BTC-ARGO</t>
        </is>
      </c>
      <c r="N51" s="53" t="n"/>
      <c r="O51" s="53" t="n"/>
      <c r="P51" s="53" t="n"/>
      <c r="Q51" s="53" t="n"/>
      <c r="R51" s="53" t="n">
        <v>19</v>
      </c>
      <c r="S51" s="53" t="n"/>
      <c r="T51" s="53" t="n"/>
      <c r="U51" s="53" t="n">
        <v>19</v>
      </c>
    </row>
    <row r="52">
      <c r="A52" s="52" t="inlineStr">
        <is>
          <t>Contrato de fornecedor</t>
        </is>
      </c>
      <c r="B52" s="20" t="n">
        <v>7</v>
      </c>
      <c r="C52" s="20" t="n">
        <v>2</v>
      </c>
      <c r="D52" s="20" t="n"/>
      <c r="E52" s="20" t="n"/>
      <c r="F52" s="20" t="n">
        <v>2</v>
      </c>
      <c r="G52" s="20" t="n">
        <v>1</v>
      </c>
      <c r="H52" s="20" t="n"/>
      <c r="I52" s="53" t="n">
        <v>12</v>
      </c>
      <c r="M52" s="52" t="inlineStr">
        <is>
          <t>FCM-OPE-SAO-PVI-BTC-CONCUR-HONEYWELL</t>
        </is>
      </c>
      <c r="N52" s="53" t="n"/>
      <c r="O52" s="53" t="n"/>
      <c r="P52" s="53" t="n"/>
      <c r="Q52" s="53" t="n"/>
      <c r="R52" s="53" t="n"/>
      <c r="S52" s="53" t="n">
        <v>1</v>
      </c>
      <c r="T52" s="53" t="n">
        <v>16</v>
      </c>
      <c r="U52" s="20" t="n">
        <v>17</v>
      </c>
    </row>
    <row r="53">
      <c r="A53" s="52" t="inlineStr">
        <is>
          <t>Tarifa mínima</t>
        </is>
      </c>
      <c r="B53" s="20" t="n">
        <v>9</v>
      </c>
      <c r="C53" s="20" t="n">
        <v>2</v>
      </c>
      <c r="D53" s="20" t="n"/>
      <c r="E53" s="20" t="n"/>
      <c r="F53" s="20" t="n"/>
      <c r="G53" s="20" t="n">
        <v>1</v>
      </c>
      <c r="H53" s="20" t="n"/>
      <c r="I53" s="53" t="n">
        <v>12</v>
      </c>
      <c r="M53" s="52" t="inlineStr">
        <is>
          <t>FCM-OPE-SAO-PVI-BTC-PRA/RPS</t>
        </is>
      </c>
      <c r="N53" s="53" t="n">
        <v>13</v>
      </c>
      <c r="O53" s="53" t="n"/>
      <c r="P53" s="53" t="n"/>
      <c r="Q53" s="53" t="n"/>
      <c r="R53" s="53" t="n"/>
      <c r="S53" s="53" t="n"/>
      <c r="T53" s="53" t="n"/>
      <c r="U53" s="20" t="n">
        <v>13</v>
      </c>
    </row>
    <row r="54">
      <c r="A54" s="52" t="inlineStr">
        <is>
          <t>Matrícula</t>
        </is>
      </c>
      <c r="B54" s="20" t="n">
        <v>3</v>
      </c>
      <c r="C54" s="20" t="n"/>
      <c r="D54" s="20" t="n"/>
      <c r="E54" s="20" t="n"/>
      <c r="F54" s="20" t="n"/>
      <c r="G54" s="20" t="n">
        <v>6</v>
      </c>
      <c r="H54" s="20" t="n"/>
      <c r="I54" s="53" t="n">
        <v>9</v>
      </c>
      <c r="M54" s="52" t="inlineStr">
        <is>
          <t>KON-OPE-RIO-PVI-RENNER</t>
        </is>
      </c>
      <c r="N54" s="53" t="n"/>
      <c r="O54" s="53" t="n"/>
      <c r="P54" s="53" t="n">
        <v>12</v>
      </c>
      <c r="Q54" s="53" t="n"/>
      <c r="R54" s="53" t="n"/>
      <c r="S54" s="53" t="n"/>
      <c r="T54" s="53" t="n"/>
      <c r="U54" s="53" t="n">
        <v>12</v>
      </c>
    </row>
    <row r="55">
      <c r="A55" s="52" t="inlineStr">
        <is>
          <t>Canal de venda</t>
        </is>
      </c>
      <c r="B55" s="20" t="n"/>
      <c r="C55" s="20" t="n">
        <v>9</v>
      </c>
      <c r="D55" s="20" t="n"/>
      <c r="E55" s="20" t="n"/>
      <c r="F55" s="20" t="n"/>
      <c r="G55" s="20" t="n"/>
      <c r="H55" s="20" t="n"/>
      <c r="I55" s="53" t="n">
        <v>9</v>
      </c>
      <c r="M55" s="52" t="inlineStr">
        <is>
          <t>KON-OPE-SAO-PVI-ACHE</t>
        </is>
      </c>
      <c r="N55" s="53" t="n"/>
      <c r="O55" s="53" t="n"/>
      <c r="P55" s="53" t="n"/>
      <c r="Q55" s="53" t="n"/>
      <c r="R55" s="53" t="n">
        <v>12</v>
      </c>
      <c r="S55" s="53" t="n"/>
      <c r="T55" s="53" t="n"/>
      <c r="U55" s="53" t="n">
        <v>12</v>
      </c>
    </row>
    <row r="56">
      <c r="A56" s="52" t="inlineStr">
        <is>
          <t>Forma de Pagamento indevida</t>
        </is>
      </c>
      <c r="B56" s="20" t="n"/>
      <c r="C56" s="20" t="n"/>
      <c r="D56" s="20" t="n"/>
      <c r="E56" s="20" t="n"/>
      <c r="F56" s="20" t="n">
        <v>3</v>
      </c>
      <c r="G56" s="20" t="n">
        <v>3</v>
      </c>
      <c r="H56" s="20" t="n"/>
      <c r="I56" s="53" t="n">
        <v>6</v>
      </c>
      <c r="M56" s="52" t="inlineStr">
        <is>
          <t>KON-OPE-RIO-PVI-ENAEX</t>
        </is>
      </c>
      <c r="N56" s="53" t="n"/>
      <c r="O56" s="53" t="n"/>
      <c r="P56" s="53" t="n"/>
      <c r="Q56" s="53" t="n"/>
      <c r="R56" s="53" t="n">
        <v>12</v>
      </c>
      <c r="S56" s="53" t="n"/>
      <c r="T56" s="53" t="n"/>
      <c r="U56" s="53" t="n">
        <v>12</v>
      </c>
    </row>
    <row r="57">
      <c r="A57" s="52" t="inlineStr">
        <is>
          <t>Falta informação nos trechos</t>
        </is>
      </c>
      <c r="B57" s="20" t="n"/>
      <c r="C57" s="20" t="n">
        <v>3</v>
      </c>
      <c r="D57" s="20" t="n"/>
      <c r="E57" s="20" t="n"/>
      <c r="F57" s="20" t="n">
        <v>1</v>
      </c>
      <c r="G57" s="20" t="n"/>
      <c r="H57" s="20" t="n"/>
      <c r="I57" s="53" t="n">
        <v>4</v>
      </c>
      <c r="M57" s="52" t="inlineStr">
        <is>
          <t>FCM-OPE-SAO-PVI-BTC</t>
        </is>
      </c>
      <c r="N57" s="53" t="n"/>
      <c r="O57" s="53" t="n"/>
      <c r="P57" s="53" t="n"/>
      <c r="Q57" s="53" t="n"/>
      <c r="R57" s="53" t="n"/>
      <c r="S57" s="53" t="n"/>
      <c r="T57" s="53" t="n">
        <v>11</v>
      </c>
      <c r="U57" s="20" t="n">
        <v>11</v>
      </c>
    </row>
    <row r="58">
      <c r="A58" s="52" t="inlineStr">
        <is>
          <t>Finalidade</t>
        </is>
      </c>
      <c r="B58" s="20" t="n"/>
      <c r="C58" s="20" t="n"/>
      <c r="D58" s="20" t="n"/>
      <c r="E58" s="20" t="n"/>
      <c r="F58" s="20" t="n"/>
      <c r="G58" s="20" t="n">
        <v>2</v>
      </c>
      <c r="H58" s="20" t="n"/>
      <c r="I58" s="53" t="n">
        <v>2</v>
      </c>
      <c r="M58" s="52" t="inlineStr">
        <is>
          <t>KON-OPE-SAO-PVI-BERNOULLI</t>
        </is>
      </c>
      <c r="N58" s="53" t="n"/>
      <c r="O58" s="53" t="n"/>
      <c r="P58" s="53" t="n"/>
      <c r="Q58" s="53" t="n"/>
      <c r="R58" s="53" t="n">
        <v>11</v>
      </c>
      <c r="S58" s="53" t="n"/>
      <c r="T58" s="53" t="n"/>
      <c r="U58" s="53" t="n">
        <v>11</v>
      </c>
    </row>
    <row r="59">
      <c r="A59" s="52" t="inlineStr">
        <is>
          <t>Total Geral</t>
        </is>
      </c>
      <c r="B59" s="20" t="n">
        <v>231</v>
      </c>
      <c r="C59" s="20" t="n">
        <v>77</v>
      </c>
      <c r="D59" s="20" t="n">
        <v>66</v>
      </c>
      <c r="E59" s="20" t="n">
        <v>21</v>
      </c>
      <c r="F59" s="20" t="n">
        <v>9</v>
      </c>
      <c r="G59" s="20" t="n">
        <v>143</v>
      </c>
      <c r="H59" s="20" t="n">
        <v>45</v>
      </c>
      <c r="I59" s="20" t="n">
        <v>592</v>
      </c>
      <c r="M59" s="52" t="inlineStr">
        <is>
          <t>KON-OPE-SAO-PVI-CCR</t>
        </is>
      </c>
      <c r="N59" s="53" t="n"/>
      <c r="O59" s="53" t="n"/>
      <c r="P59" s="53" t="n"/>
      <c r="Q59" s="53" t="n"/>
      <c r="R59" s="53" t="n">
        <v>11</v>
      </c>
      <c r="S59" s="53" t="n"/>
      <c r="T59" s="53" t="n"/>
      <c r="U59" s="53" t="n">
        <v>11</v>
      </c>
    </row>
    <row r="60">
      <c r="M60" s="52" t="inlineStr">
        <is>
          <t>KON-OPE-RIO-PVI-BTC RJ</t>
        </is>
      </c>
      <c r="N60" s="53" t="n">
        <v>8</v>
      </c>
      <c r="O60" s="53" t="n"/>
      <c r="P60" s="53" t="n"/>
      <c r="Q60" s="53" t="n"/>
      <c r="R60" s="53" t="n"/>
      <c r="S60" s="53" t="n">
        <v>3</v>
      </c>
      <c r="T60" s="53" t="n"/>
      <c r="U60" s="53" t="n">
        <v>11</v>
      </c>
    </row>
    <row r="61">
      <c r="M61" s="52" t="inlineStr">
        <is>
          <t>KON-OPE-SAO-PVI-BTC-ARGO-DELOITTE</t>
        </is>
      </c>
      <c r="N61" s="53" t="n"/>
      <c r="O61" s="53" t="n"/>
      <c r="P61" s="53" t="n"/>
      <c r="Q61" s="53" t="n"/>
      <c r="R61" s="53" t="n">
        <v>10</v>
      </c>
      <c r="S61" s="53" t="n"/>
      <c r="T61" s="53" t="n"/>
      <c r="U61" s="53" t="n">
        <v>10</v>
      </c>
    </row>
    <row r="62">
      <c r="M62" s="52" t="inlineStr">
        <is>
          <t>-</t>
        </is>
      </c>
      <c r="N62" s="53" t="n">
        <v>10</v>
      </c>
      <c r="O62" s="53" t="n"/>
      <c r="P62" s="53" t="n"/>
      <c r="Q62" s="53" t="n"/>
      <c r="R62" s="53" t="n"/>
      <c r="S62" s="53" t="n"/>
      <c r="T62" s="53" t="n"/>
      <c r="U62" s="53" t="n">
        <v>10</v>
      </c>
    </row>
    <row r="63">
      <c r="J63" s="20" t="n"/>
      <c r="K63" s="20" t="n"/>
      <c r="L63" s="20" t="n"/>
      <c r="M63" s="52" t="inlineStr">
        <is>
          <t>KON-OPE-SAO-PVI-MOVER</t>
        </is>
      </c>
      <c r="N63" s="53" t="n">
        <v>10</v>
      </c>
      <c r="O63" s="53" t="n"/>
      <c r="P63" s="53" t="n"/>
      <c r="Q63" s="53" t="n"/>
      <c r="R63" s="53" t="n"/>
      <c r="S63" s="53" t="n"/>
      <c r="T63" s="53" t="n"/>
      <c r="U63" s="53" t="n">
        <v>10</v>
      </c>
    </row>
    <row r="64">
      <c r="M64" s="52" t="inlineStr">
        <is>
          <t>KON-OPE-SAO-PVI-BRASKEM</t>
        </is>
      </c>
      <c r="N64" s="53" t="n"/>
      <c r="O64" s="53" t="n"/>
      <c r="P64" s="53" t="n"/>
      <c r="Q64" s="53" t="n"/>
      <c r="R64" s="53" t="n">
        <v>10</v>
      </c>
      <c r="S64" s="53" t="n"/>
      <c r="T64" s="53" t="n"/>
      <c r="U64" s="53" t="n">
        <v>10</v>
      </c>
    </row>
    <row r="65">
      <c r="M65" s="52" t="inlineStr">
        <is>
          <t>KON-OPE-RIO-PVI-UOL</t>
        </is>
      </c>
      <c r="N65" s="53" t="n"/>
      <c r="O65" s="53" t="n"/>
      <c r="P65" s="53" t="n"/>
      <c r="Q65" s="53" t="n"/>
      <c r="R65" s="53" t="n">
        <v>9</v>
      </c>
      <c r="S65" s="53" t="n"/>
      <c r="T65" s="53" t="n"/>
      <c r="U65" s="53" t="n">
        <v>9</v>
      </c>
    </row>
    <row r="66">
      <c r="K66" s="27" t="n"/>
      <c r="L66" s="27" t="n"/>
      <c r="M66" s="52" t="inlineStr">
        <is>
          <t>FCM-OPE-SAO-PVI-BAT</t>
        </is>
      </c>
      <c r="N66" s="53" t="n">
        <v>7</v>
      </c>
      <c r="O66" s="53" t="n"/>
      <c r="P66" s="53" t="n"/>
      <c r="Q66" s="53" t="n"/>
      <c r="R66" s="53" t="n"/>
      <c r="S66" s="53" t="n"/>
      <c r="T66" s="53" t="n"/>
      <c r="U66" s="53" t="n">
        <v>7</v>
      </c>
    </row>
    <row r="67">
      <c r="A67" s="49" t="inlineStr">
        <is>
          <t>Contagem AGING por RESPONSÁVEL - AGING  ALTERAÇÃO</t>
        </is>
      </c>
      <c r="K67" s="20" t="n"/>
      <c r="L67" s="20" t="n"/>
      <c r="M67" s="52" t="inlineStr">
        <is>
          <t>FCM-OPE-SAO-PVI-BOSCH</t>
        </is>
      </c>
      <c r="N67" s="53" t="n"/>
      <c r="O67" s="53" t="n"/>
      <c r="P67" s="53" t="n"/>
      <c r="Q67" s="53" t="n"/>
      <c r="R67" s="53" t="n"/>
      <c r="S67" s="53" t="n"/>
      <c r="T67" s="53" t="n">
        <v>7</v>
      </c>
      <c r="U67" s="53" t="n">
        <v>7</v>
      </c>
    </row>
    <row r="68">
      <c r="A68" s="19" t="inlineStr">
        <is>
          <t>Contagem de RESPONSÁVEL</t>
        </is>
      </c>
      <c r="B68" s="21" t="inlineStr">
        <is>
          <t>Rótulos de Coluna</t>
        </is>
      </c>
      <c r="M68" s="52" t="inlineStr">
        <is>
          <t>KON-OPE-SAO-PVI-BIOLAB</t>
        </is>
      </c>
      <c r="N68" s="53" t="n"/>
      <c r="O68" s="53" t="n"/>
      <c r="P68" s="53" t="n">
        <v>7</v>
      </c>
      <c r="Q68" s="53" t="n"/>
      <c r="R68" s="53" t="n"/>
      <c r="S68" s="53" t="n"/>
      <c r="T68" s="53" t="n"/>
      <c r="U68" s="53" t="n">
        <v>7</v>
      </c>
    </row>
    <row r="69">
      <c r="A69" s="19" t="inlineStr">
        <is>
          <t>Rótulos de Linha</t>
        </is>
      </c>
      <c r="B69" s="53" t="inlineStr">
        <is>
          <t>Central de Emissão</t>
        </is>
      </c>
      <c r="C69" s="53" t="inlineStr">
        <is>
          <t>Operações - FCM</t>
        </is>
      </c>
      <c r="D69" s="53" t="inlineStr">
        <is>
          <t>Operações - KONTRIP</t>
        </is>
      </c>
      <c r="E69" s="53" t="inlineStr">
        <is>
          <t>Operações - ZUPPER</t>
        </is>
      </c>
      <c r="F69" s="53" t="inlineStr">
        <is>
          <t>Suporte Benner</t>
        </is>
      </c>
      <c r="G69" s="53" t="inlineStr">
        <is>
          <t>Suporte KCS</t>
        </is>
      </c>
      <c r="H69" s="53" t="inlineStr">
        <is>
          <t>Operações - CORP</t>
        </is>
      </c>
      <c r="I69" s="38" t="inlineStr">
        <is>
          <t>Total Geral</t>
        </is>
      </c>
      <c r="L69" s="27" t="n"/>
      <c r="M69" s="52" t="inlineStr">
        <is>
          <t>KON-OPE-RIO-POS-TAESA</t>
        </is>
      </c>
      <c r="N69" s="53" t="n"/>
      <c r="O69" s="53" t="n"/>
      <c r="P69" s="53" t="n"/>
      <c r="Q69" s="53" t="n"/>
      <c r="R69" s="53" t="n">
        <v>6</v>
      </c>
      <c r="S69" s="53" t="n"/>
      <c r="T69" s="53" t="n"/>
      <c r="U69" s="53" t="n">
        <v>6</v>
      </c>
    </row>
    <row r="70">
      <c r="A70" s="52" t="inlineStr">
        <is>
          <t>0 a 02 dias</t>
        </is>
      </c>
      <c r="B70" s="36" t="n"/>
      <c r="C70" s="36" t="n">
        <v>1</v>
      </c>
      <c r="D70" s="36" t="n">
        <v>2</v>
      </c>
      <c r="E70" s="36" t="n">
        <v>14</v>
      </c>
      <c r="F70" s="36" t="n">
        <v>2</v>
      </c>
      <c r="G70" s="36" t="n">
        <v>63</v>
      </c>
      <c r="H70" s="36" t="n">
        <v>3</v>
      </c>
      <c r="I70" s="36" t="n">
        <v>85</v>
      </c>
      <c r="L70" s="20" t="n"/>
      <c r="M70" s="52" t="inlineStr">
        <is>
          <t>KON-OPE-SAO-PVI-MATTOS FILHO</t>
        </is>
      </c>
      <c r="N70" s="53" t="n"/>
      <c r="O70" s="53" t="n"/>
      <c r="P70" s="53" t="n"/>
      <c r="Q70" s="53" t="n"/>
      <c r="R70" s="53" t="n">
        <v>6</v>
      </c>
      <c r="S70" s="53" t="n"/>
      <c r="T70" s="53" t="n"/>
      <c r="U70" s="53" t="n">
        <v>6</v>
      </c>
    </row>
    <row r="71">
      <c r="A71" s="52" t="inlineStr">
        <is>
          <t>03 a 05 dias</t>
        </is>
      </c>
      <c r="B71" s="36" t="n">
        <v>4</v>
      </c>
      <c r="C71" s="36" t="n">
        <v>18</v>
      </c>
      <c r="D71" s="36" t="n">
        <v>12</v>
      </c>
      <c r="E71" s="36" t="n">
        <v>10</v>
      </c>
      <c r="F71" s="36" t="n">
        <v>16</v>
      </c>
      <c r="G71" s="36" t="n">
        <v>92</v>
      </c>
      <c r="H71" s="36" t="n">
        <v>47</v>
      </c>
      <c r="I71" s="36" t="n">
        <v>199</v>
      </c>
      <c r="L71" s="20" t="n"/>
      <c r="M71" s="52" t="inlineStr">
        <is>
          <t>KON-OPE-SAO-PVI-BTC-ARGO-HTB</t>
        </is>
      </c>
      <c r="N71" s="53" t="n"/>
      <c r="O71" s="53" t="n"/>
      <c r="P71" s="53" t="n"/>
      <c r="Q71" s="53" t="n"/>
      <c r="R71" s="53" t="n">
        <v>4</v>
      </c>
      <c r="S71" s="53" t="n">
        <v>1</v>
      </c>
      <c r="T71" s="53" t="n"/>
      <c r="U71" s="20" t="n">
        <v>5</v>
      </c>
    </row>
    <row r="72">
      <c r="A72" s="52" t="inlineStr">
        <is>
          <t>06 a 08 dias</t>
        </is>
      </c>
      <c r="B72" s="36" t="n">
        <v>5</v>
      </c>
      <c r="C72" s="36" t="n">
        <v>12</v>
      </c>
      <c r="D72" s="36" t="n">
        <v>10</v>
      </c>
      <c r="E72" s="36" t="n">
        <v>21</v>
      </c>
      <c r="F72" s="36" t="n">
        <v>8</v>
      </c>
      <c r="G72" s="36" t="n">
        <v>39</v>
      </c>
      <c r="H72" s="36" t="n">
        <v>19</v>
      </c>
      <c r="I72" s="36" t="n">
        <v>114</v>
      </c>
      <c r="L72" s="20" t="n"/>
      <c r="M72" s="52" t="inlineStr">
        <is>
          <t>KON-OPE-SAO-POS-CLARO</t>
        </is>
      </c>
      <c r="N72" s="53" t="n"/>
      <c r="O72" s="53" t="n"/>
      <c r="P72" s="53" t="n"/>
      <c r="Q72" s="53" t="n"/>
      <c r="R72" s="53" t="n">
        <v>5</v>
      </c>
      <c r="S72" s="53" t="n"/>
      <c r="T72" s="53" t="n"/>
      <c r="U72" s="53" t="n">
        <v>5</v>
      </c>
    </row>
    <row r="73">
      <c r="A73" s="52" t="inlineStr">
        <is>
          <t>09 a 15 dias</t>
        </is>
      </c>
      <c r="B73" s="36" t="n">
        <v>8</v>
      </c>
      <c r="C73" s="36" t="n"/>
      <c r="D73" s="36" t="n">
        <v>39</v>
      </c>
      <c r="E73" s="36" t="n"/>
      <c r="F73" s="36" t="n">
        <v>17</v>
      </c>
      <c r="G73" s="36" t="n">
        <v>21</v>
      </c>
      <c r="H73" s="36" t="n">
        <v>35</v>
      </c>
      <c r="I73" s="36" t="n">
        <v>120</v>
      </c>
      <c r="L73" s="20" t="n"/>
      <c r="M73" s="52" t="inlineStr">
        <is>
          <t>KON-OPE-SAO-PVI-BTC-ARGO-ODONTOPREV</t>
        </is>
      </c>
      <c r="N73" s="53" t="n"/>
      <c r="O73" s="53" t="n"/>
      <c r="P73" s="53" t="n"/>
      <c r="Q73" s="53" t="n"/>
      <c r="R73" s="53" t="n">
        <v>5</v>
      </c>
      <c r="S73" s="53" t="n"/>
      <c r="T73" s="53" t="n"/>
      <c r="U73" s="53" t="n">
        <v>5</v>
      </c>
    </row>
    <row r="74">
      <c r="A74" s="32" t="inlineStr">
        <is>
          <t>16 a 23 dias</t>
        </is>
      </c>
      <c r="B74" s="39" t="n"/>
      <c r="C74" s="39" t="n">
        <v>1</v>
      </c>
      <c r="D74" s="39" t="n">
        <v>3</v>
      </c>
      <c r="E74" s="39" t="n"/>
      <c r="F74" s="39" t="n">
        <v>19</v>
      </c>
      <c r="G74" s="39" t="n">
        <v>11</v>
      </c>
      <c r="H74" s="39" t="n">
        <v>14</v>
      </c>
      <c r="I74" s="39" t="n">
        <v>48</v>
      </c>
      <c r="L74" s="35" t="n"/>
      <c r="M74" s="52" t="inlineStr">
        <is>
          <t>EMERGENCIAL</t>
        </is>
      </c>
      <c r="N74" s="53" t="n"/>
      <c r="O74" s="53" t="n"/>
      <c r="P74" s="53" t="n">
        <v>1</v>
      </c>
      <c r="Q74" s="53" t="n"/>
      <c r="R74" s="53" t="n"/>
      <c r="S74" s="53" t="n">
        <v>3</v>
      </c>
      <c r="T74" s="53" t="n"/>
      <c r="U74" s="53" t="n">
        <v>4</v>
      </c>
    </row>
    <row r="75">
      <c r="A75" s="32" t="inlineStr">
        <is>
          <t>24 a 31 dias</t>
        </is>
      </c>
      <c r="B75" s="39" t="n"/>
      <c r="C75" s="39" t="n"/>
      <c r="D75" s="39" t="n"/>
      <c r="E75" s="39" t="n"/>
      <c r="F75" s="39" t="n">
        <v>11</v>
      </c>
      <c r="G75" s="39" t="n">
        <v>3</v>
      </c>
      <c r="H75" s="39" t="n">
        <v>1</v>
      </c>
      <c r="I75" s="39" t="n">
        <v>15</v>
      </c>
      <c r="L75" s="35" t="n"/>
      <c r="M75" s="52" t="inlineStr">
        <is>
          <t>KON-OPE-SAO-PVI-HYPERA</t>
        </is>
      </c>
      <c r="N75" s="53" t="n">
        <v>3</v>
      </c>
      <c r="O75" s="53" t="n"/>
      <c r="P75" s="53" t="n"/>
      <c r="Q75" s="53" t="n"/>
      <c r="R75" s="53" t="n"/>
      <c r="S75" s="53" t="n">
        <v>1</v>
      </c>
      <c r="T75" s="53" t="n"/>
      <c r="U75" s="53" t="n">
        <v>4</v>
      </c>
    </row>
    <row r="76">
      <c r="A76" s="32" t="inlineStr">
        <is>
          <t>31 dias ou +</t>
        </is>
      </c>
      <c r="B76" s="39" t="n"/>
      <c r="C76" s="39" t="n"/>
      <c r="D76" s="39" t="n"/>
      <c r="E76" s="39" t="n"/>
      <c r="F76" s="39" t="n">
        <v>9</v>
      </c>
      <c r="G76" s="39" t="n">
        <v>7</v>
      </c>
      <c r="H76" s="39" t="n">
        <v>3</v>
      </c>
      <c r="I76" s="39" t="n">
        <v>19</v>
      </c>
      <c r="L76" s="20" t="n"/>
      <c r="M76" s="52" t="inlineStr">
        <is>
          <t>FCM-OPE-SAO-PVI-DIAGEO</t>
        </is>
      </c>
      <c r="N76" s="53" t="n">
        <v>3</v>
      </c>
      <c r="O76" s="53" t="n"/>
      <c r="P76" s="53" t="n"/>
      <c r="Q76" s="53" t="n"/>
      <c r="R76" s="53" t="n"/>
      <c r="S76" s="53" t="n"/>
      <c r="T76" s="53" t="n"/>
      <c r="U76" s="53" t="n">
        <v>3</v>
      </c>
    </row>
    <row r="77">
      <c r="A77" s="52" t="inlineStr">
        <is>
          <t>Total Geral</t>
        </is>
      </c>
      <c r="B77" s="36" t="n">
        <v>17</v>
      </c>
      <c r="C77" s="36" t="n">
        <v>32</v>
      </c>
      <c r="D77" s="36" t="n">
        <v>66</v>
      </c>
      <c r="E77" s="36" t="n">
        <v>45</v>
      </c>
      <c r="F77" s="36" t="n">
        <v>82</v>
      </c>
      <c r="G77" s="36" t="n">
        <v>236</v>
      </c>
      <c r="H77" s="36" t="n">
        <v>122</v>
      </c>
      <c r="I77" s="36" t="n">
        <v>600</v>
      </c>
      <c r="M77" s="52" t="inlineStr">
        <is>
          <t>FCM-OPE-POA-PVI-ATENTO</t>
        </is>
      </c>
      <c r="N77" s="53" t="n"/>
      <c r="O77" s="53" t="n"/>
      <c r="P77" s="53" t="n"/>
      <c r="Q77" s="53" t="n"/>
      <c r="R77" s="53" t="n"/>
      <c r="S77" s="53" t="n"/>
      <c r="T77" s="53" t="n">
        <v>3</v>
      </c>
      <c r="U77" s="53" t="n">
        <v>3</v>
      </c>
    </row>
    <row r="78"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M78" s="52" t="inlineStr">
        <is>
          <t>FCM-OPE-SAO-PVI-JTI</t>
        </is>
      </c>
      <c r="N78" s="53" t="n">
        <v>3</v>
      </c>
      <c r="O78" s="53" t="n"/>
      <c r="P78" s="53" t="n"/>
      <c r="Q78" s="53" t="n"/>
      <c r="R78" s="53" t="n"/>
      <c r="S78" s="53" t="n"/>
      <c r="T78" s="53" t="n"/>
      <c r="U78" s="53" t="n">
        <v>3</v>
      </c>
    </row>
    <row r="79">
      <c r="A79" s="31" t="inlineStr">
        <is>
          <t>Contagem de RESPONSÁVEL por SERVIÇO</t>
        </is>
      </c>
      <c r="M79" s="52" t="inlineStr">
        <is>
          <t>FCM-OPE-SAO-PVI-BTC-CONCUR-AXA</t>
        </is>
      </c>
      <c r="N79" s="53" t="n"/>
      <c r="O79" s="53" t="n"/>
      <c r="P79" s="53" t="n"/>
      <c r="Q79" s="53" t="n"/>
      <c r="R79" s="53" t="n"/>
      <c r="S79" s="53" t="n"/>
      <c r="T79" s="53" t="n">
        <v>2</v>
      </c>
      <c r="U79" s="53" t="n">
        <v>2</v>
      </c>
    </row>
    <row r="80">
      <c r="A80" s="19" t="inlineStr">
        <is>
          <t>Contagem de RESPONSÁVEL</t>
        </is>
      </c>
      <c r="B80" s="21" t="inlineStr">
        <is>
          <t>Rótulos de Coluna</t>
        </is>
      </c>
      <c r="L80" s="20" t="n"/>
      <c r="M80" s="52" t="inlineStr">
        <is>
          <t>FCM-OPE-SAO-PVI-BTC-FIRMENICH</t>
        </is>
      </c>
      <c r="N80" s="53" t="n">
        <v>2</v>
      </c>
      <c r="O80" s="53" t="n"/>
      <c r="P80" s="53" t="n"/>
      <c r="Q80" s="53" t="n"/>
      <c r="R80" s="53" t="n"/>
      <c r="S80" s="53" t="n"/>
      <c r="T80" s="53" t="n"/>
      <c r="U80" s="53" t="n">
        <v>2</v>
      </c>
    </row>
    <row r="81">
      <c r="A81" s="19" t="inlineStr">
        <is>
          <t>Rótulos de Linha</t>
        </is>
      </c>
      <c r="B81" s="53" t="inlineStr">
        <is>
          <t>Central de Emissão</t>
        </is>
      </c>
      <c r="C81" s="53" t="inlineStr">
        <is>
          <t>Operações - FCM</t>
        </is>
      </c>
      <c r="D81" s="53" t="inlineStr">
        <is>
          <t>Operações - KONTRIP</t>
        </is>
      </c>
      <c r="E81" s="53" t="inlineStr">
        <is>
          <t>Operações - ZUPPER</t>
        </is>
      </c>
      <c r="F81" s="53" t="inlineStr">
        <is>
          <t>Suporte Benner</t>
        </is>
      </c>
      <c r="G81" s="53" t="inlineStr">
        <is>
          <t>Suporte KCS</t>
        </is>
      </c>
      <c r="H81" s="53" t="inlineStr">
        <is>
          <t>Operações - CORP</t>
        </is>
      </c>
      <c r="I81" s="20" t="inlineStr">
        <is>
          <t>Total Geral</t>
        </is>
      </c>
      <c r="L81" s="20" t="n"/>
      <c r="M81" s="52" t="inlineStr">
        <is>
          <t>HOT LINE - RIO DE JANEIRO</t>
        </is>
      </c>
      <c r="N81" s="53" t="n">
        <v>2</v>
      </c>
      <c r="O81" s="53" t="n"/>
      <c r="P81" s="53" t="n"/>
      <c r="Q81" s="53" t="n"/>
      <c r="R81" s="53" t="n"/>
      <c r="S81" s="53" t="n"/>
      <c r="T81" s="53" t="n"/>
      <c r="U81" s="53" t="n">
        <v>2</v>
      </c>
    </row>
    <row r="82">
      <c r="A82" s="52" t="inlineStr">
        <is>
          <t>Hotel</t>
        </is>
      </c>
      <c r="B82" s="20" t="n"/>
      <c r="C82" s="20" t="n">
        <v>11</v>
      </c>
      <c r="D82" s="20" t="n"/>
      <c r="E82" s="20" t="n"/>
      <c r="F82" s="20" t="n">
        <v>82</v>
      </c>
      <c r="G82" s="20" t="n">
        <v>80</v>
      </c>
      <c r="H82" s="20" t="n">
        <v>66</v>
      </c>
      <c r="I82" s="20" t="n">
        <v>239</v>
      </c>
      <c r="L82" s="20" t="n"/>
      <c r="M82" s="52" t="inlineStr">
        <is>
          <t>FCM-OPE-SAO-PVI-MARS</t>
        </is>
      </c>
      <c r="N82" s="53" t="n"/>
      <c r="O82" s="53" t="n"/>
      <c r="P82" s="53" t="n"/>
      <c r="Q82" s="53" t="n"/>
      <c r="R82" s="53" t="n">
        <v>2</v>
      </c>
      <c r="S82" s="53" t="n"/>
      <c r="T82" s="53" t="n"/>
      <c r="U82" s="53" t="n">
        <v>2</v>
      </c>
    </row>
    <row r="83">
      <c r="A83" s="52" t="inlineStr">
        <is>
          <t>Aéreo</t>
        </is>
      </c>
      <c r="B83" s="20" t="n">
        <v>17</v>
      </c>
      <c r="C83" s="20" t="n">
        <v>21</v>
      </c>
      <c r="D83" s="20" t="n">
        <v>66</v>
      </c>
      <c r="E83" s="20" t="n">
        <v>44</v>
      </c>
      <c r="F83" s="20" t="n"/>
      <c r="G83" s="20" t="n">
        <v>6</v>
      </c>
      <c r="H83" s="20" t="n">
        <v>35</v>
      </c>
      <c r="I83" s="20" t="n">
        <v>189</v>
      </c>
      <c r="L83" s="20" t="n"/>
      <c r="M83" s="52" t="inlineStr">
        <is>
          <t>KON-OPE-RIO-PVI-BTC-BIOMERIEUX</t>
        </is>
      </c>
      <c r="N83" s="53" t="n">
        <v>2</v>
      </c>
      <c r="O83" s="53" t="n"/>
      <c r="P83" s="53" t="n"/>
      <c r="Q83" s="53" t="n"/>
      <c r="R83" s="53" t="n"/>
      <c r="S83" s="53" t="n"/>
      <c r="T83" s="53" t="n"/>
      <c r="U83" s="53" t="n">
        <v>2</v>
      </c>
    </row>
    <row r="84">
      <c r="A84" s="52" t="inlineStr">
        <is>
          <t>Carro</t>
        </is>
      </c>
      <c r="B84" s="20" t="n"/>
      <c r="C84" s="20" t="n"/>
      <c r="D84" s="20" t="n"/>
      <c r="E84" s="20" t="n">
        <v>1</v>
      </c>
      <c r="F84" s="20" t="n"/>
      <c r="G84" s="20" t="n">
        <v>75</v>
      </c>
      <c r="H84" s="20" t="n">
        <v>18</v>
      </c>
      <c r="I84" s="20" t="n">
        <v>94</v>
      </c>
      <c r="L84" s="20" t="n"/>
      <c r="M84" s="52" t="inlineStr">
        <is>
          <t>KON-OPE-RIO-PVI-BTC-FALCON ACTIVE</t>
        </is>
      </c>
      <c r="N84" s="53" t="n">
        <v>2</v>
      </c>
      <c r="O84" s="53" t="n"/>
      <c r="P84" s="53" t="n"/>
      <c r="Q84" s="53" t="n"/>
      <c r="R84" s="53" t="n"/>
      <c r="S84" s="53" t="n"/>
      <c r="T84" s="53" t="n"/>
      <c r="U84" s="53" t="n">
        <v>2</v>
      </c>
    </row>
    <row r="85">
      <c r="A85" s="52" t="inlineStr">
        <is>
          <t>Serviço</t>
        </is>
      </c>
      <c r="B85" s="20" t="n"/>
      <c r="C85" s="20" t="n"/>
      <c r="D85" s="20" t="n"/>
      <c r="E85" s="20" t="n"/>
      <c r="F85" s="20" t="n"/>
      <c r="G85" s="20" t="n">
        <v>75</v>
      </c>
      <c r="H85" s="20" t="n">
        <v>3</v>
      </c>
      <c r="I85" s="20" t="n">
        <v>78</v>
      </c>
      <c r="L85" s="20" t="n"/>
      <c r="M85" s="52" t="inlineStr">
        <is>
          <t xml:space="preserve">FCM-OPE-SAO-PVI-BTC-CONCUR-IRON </t>
        </is>
      </c>
      <c r="N85" s="53" t="n"/>
      <c r="O85" s="53" t="n"/>
      <c r="P85" s="53" t="n"/>
      <c r="Q85" s="53" t="n"/>
      <c r="R85" s="53" t="n"/>
      <c r="S85" s="53" t="n"/>
      <c r="T85" s="53" t="n">
        <v>2</v>
      </c>
      <c r="U85" s="20" t="n">
        <v>2</v>
      </c>
    </row>
    <row r="86">
      <c r="A86" s="52" t="inlineStr">
        <is>
          <t>Total Geral</t>
        </is>
      </c>
      <c r="B86" s="20" t="n">
        <v>17</v>
      </c>
      <c r="C86" s="20" t="n">
        <v>32</v>
      </c>
      <c r="D86" s="20" t="n">
        <v>66</v>
      </c>
      <c r="E86" s="20" t="n">
        <v>45</v>
      </c>
      <c r="F86" s="20" t="n">
        <v>82</v>
      </c>
      <c r="G86" s="20" t="n">
        <v>236</v>
      </c>
      <c r="H86" s="20" t="n">
        <v>122</v>
      </c>
      <c r="I86" s="20" t="n">
        <v>600</v>
      </c>
      <c r="M86" s="52" t="inlineStr">
        <is>
          <t>FCM-OPE-SAO-PVI-ARCADIS</t>
        </is>
      </c>
      <c r="N86" s="53" t="n">
        <v>2</v>
      </c>
      <c r="O86" s="53" t="n"/>
      <c r="P86" s="53" t="n"/>
      <c r="Q86" s="53" t="n"/>
      <c r="R86" s="53" t="n"/>
      <c r="S86" s="53" t="n"/>
      <c r="T86" s="53" t="n"/>
      <c r="U86" s="53" t="n">
        <v>2</v>
      </c>
    </row>
    <row r="87">
      <c r="B87" s="20" t="n"/>
      <c r="C87" s="20" t="n"/>
      <c r="D87" s="20" t="n"/>
      <c r="E87" s="20" t="n"/>
      <c r="F87" s="20" t="n"/>
      <c r="G87" s="20" t="n"/>
      <c r="H87" s="20" t="n"/>
      <c r="I87" s="20" t="n"/>
      <c r="M87" s="52" t="inlineStr">
        <is>
          <t>FCM-OPE-SAO-PVI-ATOS</t>
        </is>
      </c>
      <c r="N87" s="53" t="n">
        <v>2</v>
      </c>
      <c r="O87" s="53" t="n"/>
      <c r="P87" s="53" t="n"/>
      <c r="Q87" s="53" t="n"/>
      <c r="R87" s="53" t="n"/>
      <c r="S87" s="53" t="n"/>
      <c r="T87" s="53" t="n"/>
      <c r="U87" s="53" t="n">
        <v>2</v>
      </c>
    </row>
    <row r="88">
      <c r="M88" s="52" t="inlineStr">
        <is>
          <t>KON-OPE-RIO-PVI-BTC</t>
        </is>
      </c>
      <c r="N88" s="53" t="n">
        <v>2</v>
      </c>
      <c r="O88" s="53" t="n"/>
      <c r="P88" s="53" t="n"/>
      <c r="Q88" s="53" t="n"/>
      <c r="R88" s="53" t="n"/>
      <c r="S88" s="53" t="n"/>
      <c r="T88" s="53" t="n"/>
      <c r="U88" s="20" t="n">
        <v>2</v>
      </c>
    </row>
    <row r="89">
      <c r="A89" s="31" t="inlineStr">
        <is>
          <t>Todos os Produtos - Grupo Empresarial</t>
        </is>
      </c>
      <c r="M89" s="52" t="inlineStr">
        <is>
          <t>KON-OPE-RIO-PVI-BTC-BANCO BBM</t>
        </is>
      </c>
      <c r="N89" s="53" t="n">
        <v>2</v>
      </c>
      <c r="O89" s="53" t="n"/>
      <c r="P89" s="53" t="n"/>
      <c r="Q89" s="53" t="n"/>
      <c r="R89" s="53" t="n"/>
      <c r="S89" s="53" t="n"/>
      <c r="T89" s="53" t="n"/>
      <c r="U89" s="53" t="n">
        <v>2</v>
      </c>
    </row>
    <row r="90">
      <c r="A90" s="19" t="inlineStr">
        <is>
          <t>Contagem de Grupo Empresarial</t>
        </is>
      </c>
      <c r="B90" s="21" t="inlineStr">
        <is>
          <t>Rótulos de Coluna</t>
        </is>
      </c>
      <c r="M90" s="52" t="inlineStr">
        <is>
          <t>KON-OPE-SAO-SUP-KONTIK DESPESAS</t>
        </is>
      </c>
      <c r="N90" s="53" t="n"/>
      <c r="O90" s="53" t="n"/>
      <c r="P90" s="53" t="n"/>
      <c r="Q90" s="53" t="n">
        <v>1</v>
      </c>
      <c r="R90" s="53" t="n"/>
      <c r="S90" s="53" t="n"/>
      <c r="T90" s="53" t="n"/>
      <c r="U90" s="53" t="n">
        <v>1</v>
      </c>
    </row>
    <row r="91">
      <c r="A91" s="19" t="inlineStr">
        <is>
          <t>Rótulos de Linha</t>
        </is>
      </c>
      <c r="B91" s="20" t="inlineStr">
        <is>
          <t>ARGO(TMS)</t>
        </is>
      </c>
      <c r="C91" s="20" t="inlineStr">
        <is>
          <t>GOVER</t>
        </is>
      </c>
      <c r="D91" s="20" t="inlineStr">
        <is>
          <t>KONTRIP</t>
        </is>
      </c>
      <c r="E91" s="20" t="inlineStr">
        <is>
          <t>LEMONTECH</t>
        </is>
      </c>
      <c r="F91" s="20" t="inlineStr">
        <is>
          <t>MANUAL</t>
        </is>
      </c>
      <c r="G91" s="20" t="inlineStr">
        <is>
          <t>SABRE</t>
        </is>
      </c>
      <c r="H91" s="20" t="inlineStr">
        <is>
          <t>ZUPPER</t>
        </is>
      </c>
      <c r="I91" s="20" t="inlineStr">
        <is>
          <t>Total Geral</t>
        </is>
      </c>
      <c r="M91" s="52" t="inlineStr">
        <is>
          <t>KON-OPE-SAO-PVI-BTC-LEMON</t>
        </is>
      </c>
      <c r="N91" s="53" t="n"/>
      <c r="O91" s="53" t="n"/>
      <c r="P91" s="53" t="n">
        <v>1</v>
      </c>
      <c r="Q91" s="53" t="n"/>
      <c r="R91" s="53" t="n"/>
      <c r="S91" s="53" t="n"/>
      <c r="T91" s="53" t="n"/>
      <c r="U91" s="53" t="n">
        <v>1</v>
      </c>
    </row>
    <row r="92">
      <c r="A92" s="52" t="inlineStr">
        <is>
          <t>Grupo Kpmg</t>
        </is>
      </c>
      <c r="B92" s="20" t="n">
        <v>57</v>
      </c>
      <c r="C92" s="20" t="n"/>
      <c r="D92" s="20" t="n"/>
      <c r="E92" s="20" t="n"/>
      <c r="F92" s="20" t="n"/>
      <c r="G92" s="20" t="n"/>
      <c r="H92" s="20" t="n"/>
      <c r="I92" s="20" t="n">
        <v>57</v>
      </c>
      <c r="M92" s="52" t="inlineStr">
        <is>
          <t>FCM-OPE-SAO-PVI-BTC-CYTRIC-S&amp;P</t>
        </is>
      </c>
      <c r="N92" s="53" t="n"/>
      <c r="O92" s="53" t="n"/>
      <c r="P92" s="53" t="n"/>
      <c r="Q92" s="53" t="n"/>
      <c r="R92" s="53" t="n"/>
      <c r="S92" s="53" t="n"/>
      <c r="T92" s="53" t="n">
        <v>1</v>
      </c>
      <c r="U92" s="53" t="n">
        <v>1</v>
      </c>
    </row>
    <row r="93">
      <c r="A93" s="54" t="inlineStr">
        <is>
          <t>Grupo Mercurio York</t>
        </is>
      </c>
      <c r="B93" s="20" t="n"/>
      <c r="C93" s="20" t="n"/>
      <c r="D93" s="20" t="n">
        <v>53</v>
      </c>
      <c r="E93" s="20" t="n"/>
      <c r="F93" s="20" t="n"/>
      <c r="G93" s="20" t="n"/>
      <c r="H93" s="20" t="n"/>
      <c r="I93" s="20" t="n">
        <v>53</v>
      </c>
      <c r="M93" s="52" t="inlineStr">
        <is>
          <t>KON-OPE-RIO-PVI-PATRIA</t>
        </is>
      </c>
      <c r="N93" s="53" t="n">
        <v>1</v>
      </c>
      <c r="O93" s="53" t="n"/>
      <c r="P93" s="53" t="n"/>
      <c r="Q93" s="53" t="n"/>
      <c r="R93" s="53" t="n"/>
      <c r="S93" s="53" t="n"/>
      <c r="T93" s="53" t="n"/>
      <c r="U93" s="53" t="n">
        <v>1</v>
      </c>
    </row>
    <row r="94">
      <c r="A94" s="52" t="inlineStr">
        <is>
          <t>Grupo Ocean Pact</t>
        </is>
      </c>
      <c r="B94" s="20" t="n">
        <v>47</v>
      </c>
      <c r="C94" s="20" t="n"/>
      <c r="D94" s="20" t="n"/>
      <c r="E94" s="20" t="n"/>
      <c r="F94" s="20" t="n"/>
      <c r="G94" s="20" t="n"/>
      <c r="H94" s="20" t="n"/>
      <c r="I94" s="20" t="n">
        <v>47</v>
      </c>
      <c r="M94" s="52" t="inlineStr">
        <is>
          <t>KON-OPE-SAO-PVI-SAMSUNG</t>
        </is>
      </c>
      <c r="N94" s="53" t="n">
        <v>1</v>
      </c>
      <c r="O94" s="53" t="n"/>
      <c r="P94" s="53" t="n"/>
      <c r="Q94" s="53" t="n"/>
      <c r="R94" s="53" t="n"/>
      <c r="S94" s="53" t="n"/>
      <c r="T94" s="53" t="n"/>
      <c r="U94" s="53" t="n">
        <v>1</v>
      </c>
    </row>
    <row r="95">
      <c r="A95" s="52" t="inlineStr">
        <is>
          <t>Grupo Zupper</t>
        </is>
      </c>
      <c r="B95" s="20" t="n"/>
      <c r="C95" s="20" t="n"/>
      <c r="D95" s="20" t="n"/>
      <c r="E95" s="20" t="n"/>
      <c r="F95" s="20" t="n"/>
      <c r="G95" s="20" t="n"/>
      <c r="H95" s="20" t="n">
        <v>45</v>
      </c>
      <c r="I95" s="20" t="n">
        <v>45</v>
      </c>
      <c r="M95" s="52" t="inlineStr">
        <is>
          <t>KON-OPE-SAO-PVI-ENERGISA</t>
        </is>
      </c>
      <c r="N95" s="53" t="n">
        <v>1</v>
      </c>
      <c r="O95" s="53" t="n"/>
      <c r="P95" s="53" t="n"/>
      <c r="Q95" s="53" t="n"/>
      <c r="R95" s="53" t="n"/>
      <c r="S95" s="53" t="n"/>
      <c r="T95" s="53" t="n"/>
      <c r="U95" s="53" t="n">
        <v>1</v>
      </c>
    </row>
    <row r="96">
      <c r="A96" s="52" t="inlineStr">
        <is>
          <t>Grupo Casas Bahia</t>
        </is>
      </c>
      <c r="B96" s="20" t="n"/>
      <c r="C96" s="20" t="n"/>
      <c r="D96" s="20" t="n"/>
      <c r="E96" s="20" t="n"/>
      <c r="F96" s="20" t="n"/>
      <c r="G96" s="20" t="n">
        <v>41</v>
      </c>
      <c r="H96" s="20" t="n"/>
      <c r="I96" s="20" t="n">
        <v>41</v>
      </c>
      <c r="M96" s="52" t="inlineStr">
        <is>
          <t>KON-OPE-SAO-PVI-BTC-ARGO-CIELO</t>
        </is>
      </c>
      <c r="N96" s="53" t="n"/>
      <c r="O96" s="53" t="n"/>
      <c r="P96" s="53" t="n"/>
      <c r="Q96" s="53" t="n"/>
      <c r="R96" s="53" t="n">
        <v>1</v>
      </c>
      <c r="S96" s="53" t="n"/>
      <c r="T96" s="53" t="n"/>
      <c r="U96" s="53" t="n">
        <v>1</v>
      </c>
    </row>
    <row r="97">
      <c r="A97" s="52" t="inlineStr">
        <is>
          <t>Grupo Basf</t>
        </is>
      </c>
      <c r="B97" s="20" t="n"/>
      <c r="C97" s="20" t="n"/>
      <c r="D97" s="20" t="n"/>
      <c r="E97" s="20" t="n"/>
      <c r="F97" s="20" t="n"/>
      <c r="G97" s="20" t="n">
        <v>23</v>
      </c>
      <c r="H97" s="20" t="n"/>
      <c r="I97" s="20" t="n">
        <v>23</v>
      </c>
      <c r="M97" s="52" t="inlineStr">
        <is>
          <t>KON-OPE-RIO-PVI-BTC-PETRORECONCAVO</t>
        </is>
      </c>
      <c r="N97" s="53" t="n"/>
      <c r="O97" s="53" t="n"/>
      <c r="P97" s="53" t="n"/>
      <c r="Q97" s="53" t="n"/>
      <c r="R97" s="53" t="n">
        <v>1</v>
      </c>
      <c r="S97" s="53" t="n"/>
      <c r="T97" s="53" t="n"/>
      <c r="U97" s="53" t="n">
        <v>1</v>
      </c>
    </row>
    <row r="98">
      <c r="A98" s="52" t="inlineStr">
        <is>
          <t>Grupo Honeywell</t>
        </is>
      </c>
      <c r="B98" s="20" t="n"/>
      <c r="C98" s="20" t="n"/>
      <c r="D98" s="20" t="n"/>
      <c r="E98" s="20" t="n"/>
      <c r="F98" s="20" t="n">
        <v>1</v>
      </c>
      <c r="G98" s="20" t="n">
        <v>16</v>
      </c>
      <c r="H98" s="20" t="n"/>
      <c r="I98" s="20" t="n">
        <v>17</v>
      </c>
      <c r="M98" s="52" t="inlineStr">
        <is>
          <t>KON-OPE-POA-PVI-PEPSICO</t>
        </is>
      </c>
      <c r="N98" s="53" t="n"/>
      <c r="O98" s="53" t="n"/>
      <c r="P98" s="53" t="n"/>
      <c r="Q98" s="53" t="n"/>
      <c r="R98" s="53" t="n">
        <v>1</v>
      </c>
      <c r="S98" s="53" t="n"/>
      <c r="T98" s="53" t="n"/>
      <c r="U98" s="53" t="n">
        <v>1</v>
      </c>
    </row>
    <row r="99">
      <c r="A99" s="52" t="inlineStr">
        <is>
          <t>Grupo Icon</t>
        </is>
      </c>
      <c r="B99" s="20" t="n"/>
      <c r="C99" s="20" t="n">
        <v>13</v>
      </c>
      <c r="D99" s="20" t="n"/>
      <c r="E99" s="20" t="n"/>
      <c r="F99" s="20" t="n"/>
      <c r="G99" s="20" t="n"/>
      <c r="H99" s="20" t="n"/>
      <c r="I99" s="20" t="n">
        <v>13</v>
      </c>
      <c r="M99" s="52" t="inlineStr">
        <is>
          <t>KON-OPE-RIO-PVI-FERREIRA COSTA</t>
        </is>
      </c>
      <c r="N99" s="53" t="n"/>
      <c r="O99" s="53" t="n"/>
      <c r="P99" s="53" t="n"/>
      <c r="Q99" s="53" t="n"/>
      <c r="R99" s="53" t="n">
        <v>1</v>
      </c>
      <c r="S99" s="53" t="n"/>
      <c r="T99" s="53" t="n"/>
      <c r="U99" s="53" t="n">
        <v>1</v>
      </c>
    </row>
    <row r="100">
      <c r="A100" s="52" t="inlineStr">
        <is>
          <t>Grupo Intercement</t>
        </is>
      </c>
      <c r="B100" s="20" t="n"/>
      <c r="C100" s="20" t="n">
        <v>13</v>
      </c>
      <c r="D100" s="20" t="n"/>
      <c r="E100" s="20" t="n"/>
      <c r="F100" s="20" t="n"/>
      <c r="G100" s="20" t="n"/>
      <c r="H100" s="20" t="n"/>
      <c r="I100" s="20" t="n">
        <v>13</v>
      </c>
      <c r="M100" s="53" t="inlineStr">
        <is>
          <t>FCM-OPE-POA-PVI-SYNGENTA</t>
        </is>
      </c>
      <c r="N100" s="53" t="n"/>
      <c r="O100" s="53" t="n"/>
      <c r="P100" s="53" t="n"/>
      <c r="Q100" s="53" t="n"/>
      <c r="R100" s="53" t="n">
        <v>1</v>
      </c>
      <c r="S100" s="53" t="n"/>
      <c r="T100" s="53" t="n"/>
      <c r="U100" s="53" t="n">
        <v>1</v>
      </c>
    </row>
    <row r="101">
      <c r="A101" s="52" t="inlineStr">
        <is>
          <t>Grupo Ache</t>
        </is>
      </c>
      <c r="B101" s="20" t="n">
        <v>12</v>
      </c>
      <c r="C101" s="20" t="n"/>
      <c r="D101" s="20" t="n"/>
      <c r="E101" s="20" t="n"/>
      <c r="F101" s="20" t="n"/>
      <c r="G101" s="20" t="n"/>
      <c r="H101" s="20" t="n"/>
      <c r="I101" s="20" t="n">
        <v>12</v>
      </c>
      <c r="M101" s="52" t="inlineStr">
        <is>
          <t>FCM-OPE-SAO-PVI-BTC-FM GLOBAL</t>
        </is>
      </c>
      <c r="N101" s="53" t="n">
        <v>1</v>
      </c>
      <c r="O101" s="53" t="n"/>
      <c r="P101" s="53" t="n"/>
      <c r="Q101" s="53" t="n"/>
      <c r="R101" s="53" t="n"/>
      <c r="S101" s="53" t="n"/>
      <c r="T101" s="53" t="n"/>
      <c r="U101" s="53" t="n">
        <v>1</v>
      </c>
    </row>
    <row r="102">
      <c r="A102" s="52" t="inlineStr">
        <is>
          <t>Grupo Enaex</t>
        </is>
      </c>
      <c r="B102" s="20" t="n">
        <v>12</v>
      </c>
      <c r="C102" s="20" t="n"/>
      <c r="D102" s="20" t="n"/>
      <c r="E102" s="20" t="n"/>
      <c r="F102" s="20" t="n"/>
      <c r="G102" s="20" t="n"/>
      <c r="H102" s="20" t="n"/>
      <c r="I102" s="20" t="n">
        <v>12</v>
      </c>
      <c r="M102" s="52" t="inlineStr">
        <is>
          <t>FCM-OPE-SAO-PVI-SHELL</t>
        </is>
      </c>
      <c r="N102" s="53" t="n"/>
      <c r="O102" s="53" t="n"/>
      <c r="P102" s="53" t="n"/>
      <c r="Q102" s="53" t="n"/>
      <c r="R102" s="53" t="n"/>
      <c r="S102" s="53" t="n"/>
      <c r="T102" s="53" t="n">
        <v>1</v>
      </c>
      <c r="U102" s="53" t="n">
        <v>1</v>
      </c>
    </row>
    <row r="103">
      <c r="A103" s="52" t="inlineStr">
        <is>
          <t>Grupo Renner</t>
        </is>
      </c>
      <c r="B103" s="20" t="n"/>
      <c r="C103" s="20" t="n"/>
      <c r="D103" s="20" t="n"/>
      <c r="E103" s="20" t="n">
        <v>12</v>
      </c>
      <c r="F103" s="20" t="n"/>
      <c r="G103" s="20" t="n"/>
      <c r="H103" s="20" t="n"/>
      <c r="I103" s="20" t="n">
        <v>12</v>
      </c>
      <c r="M103" s="52" t="inlineStr">
        <is>
          <t>Total Geral</t>
        </is>
      </c>
      <c r="N103" s="53" t="n">
        <v>77</v>
      </c>
      <c r="O103" s="53" t="n">
        <v>66</v>
      </c>
      <c r="P103" s="53" t="n">
        <v>21</v>
      </c>
      <c r="Q103" s="53" t="n">
        <v>45</v>
      </c>
      <c r="R103" s="53" t="n">
        <v>231</v>
      </c>
      <c r="S103" s="53" t="n">
        <v>9</v>
      </c>
      <c r="T103" s="53" t="n">
        <v>143</v>
      </c>
      <c r="U103" s="53" t="n">
        <v>592</v>
      </c>
    </row>
    <row r="104">
      <c r="A104" s="52" t="inlineStr">
        <is>
          <t>Grupo Motiva</t>
        </is>
      </c>
      <c r="B104" s="20" t="n">
        <v>11</v>
      </c>
      <c r="C104" s="20" t="n"/>
      <c r="D104" s="20" t="n"/>
      <c r="E104" s="20" t="n"/>
      <c r="F104" s="20" t="n"/>
      <c r="G104" s="20" t="n"/>
      <c r="H104" s="20" t="n"/>
      <c r="I104" s="20" t="n">
        <v>11</v>
      </c>
    </row>
    <row r="105">
      <c r="A105" s="52" t="inlineStr">
        <is>
          <t>Grupo Deloitte</t>
        </is>
      </c>
      <c r="B105" s="20" t="n">
        <v>10</v>
      </c>
      <c r="C105" s="20" t="n"/>
      <c r="D105" s="20" t="n"/>
      <c r="E105" s="20" t="n"/>
      <c r="F105" s="20" t="n">
        <v>1</v>
      </c>
      <c r="G105" s="20" t="n"/>
      <c r="H105" s="20" t="n"/>
      <c r="I105" s="20" t="n">
        <v>11</v>
      </c>
    </row>
    <row r="106">
      <c r="A106" s="52" t="inlineStr">
        <is>
          <t>Grupo Bernoulli Educacao</t>
        </is>
      </c>
      <c r="B106" s="20" t="n">
        <v>11</v>
      </c>
      <c r="C106" s="20" t="n"/>
      <c r="D106" s="20" t="n"/>
      <c r="E106" s="20" t="n"/>
      <c r="F106" s="20" t="n"/>
      <c r="G106" s="20" t="n"/>
      <c r="H106" s="20" t="n"/>
      <c r="I106" s="20" t="n">
        <v>11</v>
      </c>
    </row>
    <row r="107">
      <c r="A107" s="52" t="inlineStr">
        <is>
          <t>Grupo Adidas</t>
        </is>
      </c>
      <c r="B107" s="20" t="n"/>
      <c r="C107" s="20" t="n"/>
      <c r="D107" s="20" t="n"/>
      <c r="E107" s="20" t="n"/>
      <c r="F107" s="20" t="n"/>
      <c r="G107" s="20" t="n">
        <v>11</v>
      </c>
      <c r="H107" s="20" t="n"/>
      <c r="I107" s="20" t="n">
        <v>11</v>
      </c>
    </row>
    <row r="108">
      <c r="A108" s="52" t="inlineStr">
        <is>
          <t>Grupo Kontrip</t>
        </is>
      </c>
      <c r="B108" s="20" t="n"/>
      <c r="C108" s="20" t="n"/>
      <c r="D108" s="20" t="n">
        <v>10</v>
      </c>
      <c r="E108" s="20" t="n"/>
      <c r="F108" s="20" t="n"/>
      <c r="G108" s="20" t="n"/>
      <c r="H108" s="20" t="n"/>
      <c r="I108" s="20" t="n">
        <v>10</v>
      </c>
    </row>
    <row r="109">
      <c r="A109" s="52" t="inlineStr">
        <is>
          <t>Grupo Braskem</t>
        </is>
      </c>
      <c r="B109" s="20" t="n">
        <v>10</v>
      </c>
      <c r="C109" s="20" t="n"/>
      <c r="D109" s="20" t="n"/>
      <c r="E109" s="20" t="n"/>
      <c r="F109" s="20" t="n"/>
      <c r="G109" s="20" t="n"/>
      <c r="H109" s="20" t="n"/>
      <c r="I109" s="20" t="n">
        <v>10</v>
      </c>
    </row>
    <row r="110">
      <c r="A110" s="52" t="inlineStr">
        <is>
          <t>Grupo Elanco</t>
        </is>
      </c>
      <c r="B110" s="20" t="n"/>
      <c r="C110" s="20" t="n"/>
      <c r="D110" s="20" t="n"/>
      <c r="E110" s="20" t="n"/>
      <c r="F110" s="20" t="n"/>
      <c r="G110" s="20" t="n">
        <v>10</v>
      </c>
      <c r="H110" s="20" t="n"/>
      <c r="I110" s="20" t="n">
        <v>10</v>
      </c>
    </row>
    <row r="111">
      <c r="A111" s="52" t="inlineStr">
        <is>
          <t>Grupo Ultra</t>
        </is>
      </c>
      <c r="B111" s="20" t="n">
        <v>9</v>
      </c>
      <c r="C111" s="20" t="n"/>
      <c r="D111" s="20" t="n"/>
      <c r="E111" s="20" t="n"/>
      <c r="F111" s="20" t="n"/>
      <c r="G111" s="20" t="n"/>
      <c r="H111" s="20" t="n"/>
      <c r="I111" s="20" t="n">
        <v>9</v>
      </c>
    </row>
    <row r="112">
      <c r="A112" s="52" t="inlineStr">
        <is>
          <t>Grupo Uol</t>
        </is>
      </c>
      <c r="B112" s="20" t="n">
        <v>9</v>
      </c>
      <c r="C112" s="20" t="n"/>
      <c r="D112" s="20" t="n"/>
      <c r="E112" s="20" t="n"/>
      <c r="F112" s="20" t="n"/>
      <c r="G112" s="20" t="n"/>
      <c r="H112" s="20" t="n"/>
      <c r="I112" s="20" t="n">
        <v>9</v>
      </c>
    </row>
    <row r="113">
      <c r="A113" s="52" t="inlineStr">
        <is>
          <t>Grupo Bosch</t>
        </is>
      </c>
      <c r="B113" s="20" t="n"/>
      <c r="C113" s="20" t="n"/>
      <c r="D113" s="20" t="n"/>
      <c r="E113" s="20" t="n"/>
      <c r="F113" s="20" t="n"/>
      <c r="G113" s="20" t="n">
        <v>7</v>
      </c>
      <c r="H113" s="20" t="n"/>
      <c r="I113" s="20" t="n">
        <v>7</v>
      </c>
    </row>
    <row r="114">
      <c r="A114" s="52" t="inlineStr">
        <is>
          <t>Grupo Biolab</t>
        </is>
      </c>
      <c r="B114" s="20" t="n"/>
      <c r="C114" s="20" t="n"/>
      <c r="D114" s="20" t="n"/>
      <c r="E114" s="20" t="n">
        <v>7</v>
      </c>
      <c r="F114" s="20" t="n"/>
      <c r="G114" s="20" t="n"/>
      <c r="H114" s="20" t="n"/>
      <c r="I114" s="20" t="n">
        <v>7</v>
      </c>
    </row>
    <row r="115">
      <c r="A115" s="52" t="inlineStr">
        <is>
          <t>Grupo British American Tobacco</t>
        </is>
      </c>
      <c r="B115" s="20" t="n"/>
      <c r="C115" s="20" t="n">
        <v>7</v>
      </c>
      <c r="D115" s="20" t="n"/>
      <c r="E115" s="20" t="n"/>
      <c r="F115" s="20" t="n"/>
      <c r="G115" s="20" t="n"/>
      <c r="H115" s="20" t="n"/>
      <c r="I115" s="20" t="n">
        <v>7</v>
      </c>
    </row>
    <row r="116">
      <c r="A116" s="52" t="inlineStr">
        <is>
          <t>Grupo Taesa</t>
        </is>
      </c>
      <c r="B116" s="20" t="n">
        <v>6</v>
      </c>
      <c r="C116" s="20" t="n"/>
      <c r="D116" s="20" t="n"/>
      <c r="E116" s="20" t="n"/>
      <c r="F116" s="20" t="n"/>
      <c r="G116" s="20" t="n"/>
      <c r="H116" s="20" t="n"/>
      <c r="I116" s="20" t="n">
        <v>6</v>
      </c>
    </row>
    <row r="117">
      <c r="A117" s="52" t="inlineStr">
        <is>
          <t>Grupo Mattos Filho</t>
        </is>
      </c>
      <c r="B117" s="20" t="n">
        <v>6</v>
      </c>
      <c r="C117" s="20" t="n"/>
      <c r="D117" s="20" t="n"/>
      <c r="E117" s="20" t="n"/>
      <c r="F117" s="20" t="n"/>
      <c r="G117" s="20" t="n"/>
      <c r="H117" s="20" t="n"/>
      <c r="I117" s="20" t="n">
        <v>6</v>
      </c>
    </row>
    <row r="118">
      <c r="A118" s="52" t="inlineStr">
        <is>
          <t>Grupo Htb</t>
        </is>
      </c>
      <c r="B118" s="20" t="n">
        <v>4</v>
      </c>
      <c r="C118" s="20" t="n"/>
      <c r="D118" s="20" t="n"/>
      <c r="E118" s="20" t="n"/>
      <c r="F118" s="20" t="n">
        <v>1</v>
      </c>
      <c r="G118" s="20" t="n"/>
      <c r="H118" s="20" t="n"/>
      <c r="I118" s="20" t="n">
        <v>5</v>
      </c>
    </row>
    <row r="119">
      <c r="A119" s="52" t="inlineStr">
        <is>
          <t>Grupo Odontoprev</t>
        </is>
      </c>
      <c r="B119" s="20" t="n">
        <v>5</v>
      </c>
      <c r="C119" s="20" t="n"/>
      <c r="D119" s="20" t="n"/>
      <c r="E119" s="20" t="n"/>
      <c r="F119" s="20" t="n"/>
      <c r="G119" s="20" t="n"/>
      <c r="H119" s="20" t="n"/>
      <c r="I119" s="20" t="n">
        <v>5</v>
      </c>
      <c r="M119" s="17" t="inlineStr">
        <is>
          <t>Tarifa</t>
        </is>
      </c>
      <c r="N119" s="53" t="inlineStr">
        <is>
          <t>(Vários itens)</t>
        </is>
      </c>
      <c r="P119" s="18" t="inlineStr">
        <is>
          <t>Tarifa</t>
        </is>
      </c>
      <c r="Q119" s="53" t="inlineStr">
        <is>
          <t>(Vários itens)</t>
        </is>
      </c>
      <c r="S119" s="18" t="inlineStr">
        <is>
          <t>Tarifa</t>
        </is>
      </c>
      <c r="T119" s="53" t="inlineStr">
        <is>
          <t>(Vários itens)</t>
        </is>
      </c>
    </row>
    <row r="120">
      <c r="A120" s="52" t="inlineStr">
        <is>
          <t>Grupo Claro Sa</t>
        </is>
      </c>
      <c r="B120" s="20" t="n">
        <v>5</v>
      </c>
      <c r="C120" s="20" t="n"/>
      <c r="D120" s="20" t="n"/>
      <c r="E120" s="20" t="n"/>
      <c r="F120" s="20" t="n"/>
      <c r="G120" s="20" t="n"/>
      <c r="H120" s="20" t="n"/>
      <c r="I120" s="20" t="n">
        <v>5</v>
      </c>
      <c r="M120" s="49" t="inlineStr">
        <is>
          <t>Tarifa - por aging</t>
        </is>
      </c>
      <c r="P120" s="49" t="inlineStr">
        <is>
          <t>Tarifa por Data de EMISSÃO</t>
        </is>
      </c>
      <c r="S120" s="49" t="inlineStr">
        <is>
          <t>Tarifa por Data de INCLUSÃO</t>
        </is>
      </c>
    </row>
    <row r="121">
      <c r="A121" s="52" t="inlineStr">
        <is>
          <t>Grupo Sep</t>
        </is>
      </c>
      <c r="B121" s="20" t="n"/>
      <c r="C121" s="20" t="n"/>
      <c r="D121" s="20" t="n"/>
      <c r="E121" s="20" t="n"/>
      <c r="F121" s="20" t="n"/>
      <c r="G121" s="20" t="n">
        <v>5</v>
      </c>
      <c r="H121" s="20" t="n"/>
      <c r="I121" s="20" t="n">
        <v>5</v>
      </c>
      <c r="M121" s="19" t="inlineStr">
        <is>
          <t>Rótulos de Linha</t>
        </is>
      </c>
      <c r="N121" s="22" t="inlineStr">
        <is>
          <t>Soma de Tarifa</t>
        </is>
      </c>
      <c r="P121" s="21" t="inlineStr">
        <is>
          <t>Rótulos de Linha</t>
        </is>
      </c>
      <c r="Q121" s="22" t="inlineStr">
        <is>
          <t>Soma de Tarifa</t>
        </is>
      </c>
      <c r="S121" s="19" t="inlineStr">
        <is>
          <t>Rótulos de Linha</t>
        </is>
      </c>
      <c r="T121" s="53" t="inlineStr">
        <is>
          <t>Soma de Tarifa</t>
        </is>
      </c>
    </row>
    <row r="122">
      <c r="A122" s="52" t="inlineStr">
        <is>
          <t>Grupo Vertex</t>
        </is>
      </c>
      <c r="B122" s="20" t="n"/>
      <c r="C122" s="20" t="n"/>
      <c r="D122" s="20" t="n"/>
      <c r="E122" s="20" t="n"/>
      <c r="F122" s="20" t="n"/>
      <c r="G122" s="20" t="n">
        <v>4</v>
      </c>
      <c r="H122" s="20" t="n"/>
      <c r="I122" s="20" t="n">
        <v>4</v>
      </c>
      <c r="M122" s="52" t="inlineStr">
        <is>
          <t>03 a 05 dias</t>
        </is>
      </c>
      <c r="N122" s="23" t="n">
        <v>5270</v>
      </c>
      <c r="P122" s="52" t="inlineStr">
        <is>
          <t>2025</t>
        </is>
      </c>
      <c r="Q122" s="22" t="n">
        <v>13395</v>
      </c>
      <c r="S122" s="52" t="inlineStr">
        <is>
          <t>2025</t>
        </is>
      </c>
      <c r="T122" s="22" t="n">
        <v>13395</v>
      </c>
    </row>
    <row r="123">
      <c r="A123" s="54" t="inlineStr">
        <is>
          <t>Grupo Marisa</t>
        </is>
      </c>
      <c r="B123" s="20" t="n"/>
      <c r="C123" s="20" t="n">
        <v>4</v>
      </c>
      <c r="D123" s="20" t="n"/>
      <c r="E123" s="20" t="n"/>
      <c r="F123" s="20" t="n"/>
      <c r="G123" s="20" t="n"/>
      <c r="H123" s="20" t="n"/>
      <c r="I123" s="20" t="n">
        <v>4</v>
      </c>
      <c r="M123" s="52" t="inlineStr">
        <is>
          <t>06 a 08 dias</t>
        </is>
      </c>
      <c r="N123" s="23" t="n">
        <v>994</v>
      </c>
      <c r="P123" s="40" t="inlineStr">
        <is>
          <t>fev</t>
        </is>
      </c>
      <c r="Q123" s="22" t="n">
        <v>420</v>
      </c>
      <c r="S123" s="40" t="inlineStr">
        <is>
          <t>fev</t>
        </is>
      </c>
      <c r="T123" s="22" t="n">
        <v>420</v>
      </c>
    </row>
    <row r="124">
      <c r="A124" s="52" t="inlineStr">
        <is>
          <t>Grupo Stanley Black e Decker</t>
        </is>
      </c>
      <c r="B124" s="20" t="n"/>
      <c r="C124" s="20" t="n"/>
      <c r="D124" s="20" t="n"/>
      <c r="E124" s="20" t="n"/>
      <c r="F124" s="20" t="n"/>
      <c r="G124" s="20" t="n">
        <v>4</v>
      </c>
      <c r="H124" s="20" t="n"/>
      <c r="I124" s="20" t="n">
        <v>4</v>
      </c>
      <c r="M124" s="52" t="inlineStr">
        <is>
          <t>09 a 15 dias</t>
        </is>
      </c>
      <c r="N124" s="23" t="n">
        <v>2252</v>
      </c>
      <c r="P124" s="41" t="inlineStr">
        <is>
          <t>out</t>
        </is>
      </c>
      <c r="Q124" s="22" t="n">
        <v>1690</v>
      </c>
      <c r="S124" s="41" t="inlineStr">
        <is>
          <t>out</t>
        </is>
      </c>
      <c r="T124" s="22" t="n">
        <v>1690</v>
      </c>
    </row>
    <row r="125">
      <c r="A125" s="52" t="inlineStr">
        <is>
          <t>Grupo Santista</t>
        </is>
      </c>
      <c r="B125" s="20" t="n"/>
      <c r="C125" s="20" t="n">
        <v>4</v>
      </c>
      <c r="D125" s="20" t="n"/>
      <c r="E125" s="20" t="n"/>
      <c r="F125" s="20" t="n"/>
      <c r="G125" s="20" t="n"/>
      <c r="H125" s="20" t="n"/>
      <c r="I125" s="20" t="n">
        <v>4</v>
      </c>
      <c r="M125" s="52" t="inlineStr">
        <is>
          <t>16 a 23 dias</t>
        </is>
      </c>
      <c r="N125" s="23" t="n">
        <v>723</v>
      </c>
      <c r="P125" s="41" t="inlineStr">
        <is>
          <t>nov</t>
        </is>
      </c>
      <c r="Q125" s="22" t="n">
        <v>11285</v>
      </c>
      <c r="S125" s="41" t="inlineStr">
        <is>
          <t>nov</t>
        </is>
      </c>
      <c r="T125" s="22" t="n">
        <v>11285</v>
      </c>
    </row>
    <row r="126">
      <c r="A126" s="52" t="inlineStr">
        <is>
          <t>Grupo Hypera</t>
        </is>
      </c>
      <c r="B126" s="20" t="n"/>
      <c r="C126" s="20" t="n">
        <v>3</v>
      </c>
      <c r="D126" s="20" t="n"/>
      <c r="E126" s="20" t="n"/>
      <c r="F126" s="20" t="n">
        <v>1</v>
      </c>
      <c r="G126" s="20" t="n"/>
      <c r="H126" s="20" t="n"/>
      <c r="I126" s="20" t="n">
        <v>4</v>
      </c>
      <c r="M126" s="52" t="inlineStr">
        <is>
          <t>24 a 31 dias</t>
        </is>
      </c>
      <c r="N126" s="23" t="n">
        <v>470</v>
      </c>
      <c r="P126" s="52" t="inlineStr">
        <is>
          <t>Total Geral</t>
        </is>
      </c>
      <c r="Q126" s="22" t="n">
        <v>13395</v>
      </c>
      <c r="S126" s="53" t="inlineStr">
        <is>
          <t>&lt;26/02/2025</t>
        </is>
      </c>
      <c r="T126" s="22" t="n"/>
    </row>
    <row r="127">
      <c r="A127" s="52" t="inlineStr">
        <is>
          <t>Grupo Arcadis</t>
        </is>
      </c>
      <c r="B127" s="20" t="n"/>
      <c r="C127" s="20" t="n">
        <v>4</v>
      </c>
      <c r="D127" s="20" t="n"/>
      <c r="E127" s="20" t="n"/>
      <c r="F127" s="20" t="n"/>
      <c r="G127" s="20" t="n"/>
      <c r="H127" s="20" t="n"/>
      <c r="I127" s="20" t="n">
        <v>4</v>
      </c>
      <c r="M127" s="52" t="inlineStr">
        <is>
          <t>31 dias ou +</t>
        </is>
      </c>
      <c r="N127" s="23" t="n">
        <v>420</v>
      </c>
      <c r="S127" s="41" t="inlineStr">
        <is>
          <t>&lt;26/02/2025</t>
        </is>
      </c>
      <c r="T127" s="22" t="n"/>
    </row>
    <row r="128">
      <c r="A128" s="52" t="inlineStr">
        <is>
          <t>Grupo Isdin</t>
        </is>
      </c>
      <c r="B128" s="20" t="n"/>
      <c r="C128" s="20" t="n">
        <v>4</v>
      </c>
      <c r="D128" s="20" t="n"/>
      <c r="E128" s="20" t="n"/>
      <c r="F128" s="20" t="n"/>
      <c r="G128" s="20" t="n"/>
      <c r="H128" s="20" t="n"/>
      <c r="I128" s="20" t="n">
        <v>4</v>
      </c>
      <c r="M128" s="52" t="inlineStr">
        <is>
          <t>Total Geral</t>
        </is>
      </c>
      <c r="N128" s="23" t="n">
        <v>10129</v>
      </c>
      <c r="S128" s="24" t="inlineStr">
        <is>
          <t>Total Geral</t>
        </is>
      </c>
      <c r="T128" s="22" t="n">
        <v>13395</v>
      </c>
    </row>
    <row r="129">
      <c r="A129" s="52" t="inlineStr">
        <is>
          <t>Grupo Hpe</t>
        </is>
      </c>
      <c r="B129" s="20" t="n">
        <v>4</v>
      </c>
      <c r="C129" s="20" t="n"/>
      <c r="D129" s="20" t="n"/>
      <c r="E129" s="20" t="n"/>
      <c r="F129" s="20" t="n"/>
      <c r="G129" s="20" t="n"/>
      <c r="H129" s="20" t="n"/>
      <c r="I129" s="20" t="n">
        <v>4</v>
      </c>
    </row>
    <row r="130">
      <c r="A130" s="52" t="inlineStr">
        <is>
          <t>Grupo Parexel</t>
        </is>
      </c>
      <c r="B130" s="20" t="n"/>
      <c r="C130" s="20" t="n"/>
      <c r="D130" s="20" t="n"/>
      <c r="E130" s="20" t="n"/>
      <c r="F130" s="20" t="n"/>
      <c r="G130" s="20" t="n">
        <v>4</v>
      </c>
      <c r="H130" s="20" t="n"/>
      <c r="I130" s="20" t="n">
        <v>4</v>
      </c>
    </row>
    <row r="131">
      <c r="A131" s="52" t="inlineStr">
        <is>
          <t>Grupo Falcon Active</t>
        </is>
      </c>
      <c r="B131" s="20" t="n"/>
      <c r="C131" s="20" t="n">
        <v>2</v>
      </c>
      <c r="D131" s="20" t="n"/>
      <c r="E131" s="20" t="n"/>
      <c r="F131" s="20" t="n">
        <v>1</v>
      </c>
      <c r="G131" s="20" t="n"/>
      <c r="H131" s="20" t="n"/>
      <c r="I131" s="20" t="n">
        <v>3</v>
      </c>
    </row>
    <row r="132">
      <c r="A132" s="52" t="inlineStr">
        <is>
          <t>Grupo Diageo</t>
        </is>
      </c>
      <c r="B132" s="20" t="n"/>
      <c r="C132" s="20" t="n">
        <v>3</v>
      </c>
      <c r="D132" s="20" t="n"/>
      <c r="E132" s="20" t="n"/>
      <c r="F132" s="20" t="n"/>
      <c r="G132" s="20" t="n"/>
      <c r="H132" s="20" t="n"/>
      <c r="I132" s="20" t="n">
        <v>3</v>
      </c>
    </row>
    <row r="133">
      <c r="A133" s="52" t="inlineStr">
        <is>
          <t>Grupo Pessoa Fisica</t>
        </is>
      </c>
      <c r="B133" s="20" t="n"/>
      <c r="C133" s="20" t="n"/>
      <c r="D133" s="20" t="n"/>
      <c r="E133" s="20" t="n"/>
      <c r="F133" s="20" t="n">
        <v>3</v>
      </c>
      <c r="G133" s="20" t="n"/>
      <c r="H133" s="20" t="n"/>
      <c r="I133" s="20" t="n">
        <v>3</v>
      </c>
    </row>
    <row r="134">
      <c r="A134" s="52" t="inlineStr">
        <is>
          <t>Grupo Epson</t>
        </is>
      </c>
      <c r="B134" s="20" t="n">
        <v>3</v>
      </c>
      <c r="C134" s="20" t="n"/>
      <c r="D134" s="20" t="n"/>
      <c r="E134" s="20" t="n"/>
      <c r="F134" s="20" t="n"/>
      <c r="G134" s="20" t="n"/>
      <c r="H134" s="20" t="n"/>
      <c r="I134" s="20" t="n">
        <v>3</v>
      </c>
    </row>
    <row r="135">
      <c r="A135" s="52" t="inlineStr">
        <is>
          <t>Grupo Atento</t>
        </is>
      </c>
      <c r="B135" s="20" t="n"/>
      <c r="C135" s="20" t="n"/>
      <c r="D135" s="20" t="n"/>
      <c r="E135" s="20" t="n"/>
      <c r="F135" s="20" t="n"/>
      <c r="G135" s="20" t="n">
        <v>3</v>
      </c>
      <c r="H135" s="20" t="n"/>
      <c r="I135" s="20" t="n">
        <v>3</v>
      </c>
    </row>
    <row r="136">
      <c r="A136" s="52" t="inlineStr">
        <is>
          <t>Grupo Jti</t>
        </is>
      </c>
      <c r="B136" s="20" t="n"/>
      <c r="C136" s="20" t="n">
        <v>3</v>
      </c>
      <c r="D136" s="20" t="n"/>
      <c r="E136" s="20" t="n"/>
      <c r="F136" s="20" t="n"/>
      <c r="G136" s="20" t="n"/>
      <c r="H136" s="20" t="n"/>
      <c r="I136" s="20" t="n">
        <v>3</v>
      </c>
    </row>
    <row r="137">
      <c r="A137" s="52" t="inlineStr">
        <is>
          <t>Grupo Merb</t>
        </is>
      </c>
      <c r="B137" s="20" t="n"/>
      <c r="C137" s="20" t="n"/>
      <c r="D137" s="20" t="n">
        <v>3</v>
      </c>
      <c r="E137" s="20" t="n"/>
      <c r="F137" s="20" t="n"/>
      <c r="G137" s="20" t="n"/>
      <c r="H137" s="20" t="n"/>
      <c r="I137" s="20" t="n">
        <v>3</v>
      </c>
    </row>
    <row r="138">
      <c r="A138" s="52" t="inlineStr">
        <is>
          <t>Grupo Livanova</t>
        </is>
      </c>
      <c r="B138" s="20" t="n"/>
      <c r="C138" s="20" t="n">
        <v>1</v>
      </c>
      <c r="D138" s="20" t="n"/>
      <c r="E138" s="20" t="n"/>
      <c r="F138" s="20" t="n"/>
      <c r="G138" s="20" t="n">
        <v>2</v>
      </c>
      <c r="H138" s="20" t="n"/>
      <c r="I138" s="20" t="n">
        <v>3</v>
      </c>
    </row>
    <row r="139">
      <c r="A139" s="52" t="inlineStr">
        <is>
          <t>Grupo Tec Toy</t>
        </is>
      </c>
      <c r="B139" s="20" t="n"/>
      <c r="C139" s="20" t="n">
        <v>2</v>
      </c>
      <c r="D139" s="20" t="n"/>
      <c r="E139" s="20" t="n"/>
      <c r="F139" s="20" t="n"/>
      <c r="G139" s="20" t="n"/>
      <c r="H139" s="20" t="n"/>
      <c r="I139" s="20" t="n">
        <v>2</v>
      </c>
    </row>
    <row r="140">
      <c r="A140" s="52" t="inlineStr">
        <is>
          <t>Grupo Iron Mountain</t>
        </is>
      </c>
      <c r="B140" s="20" t="n"/>
      <c r="C140" s="20" t="n"/>
      <c r="D140" s="20" t="n"/>
      <c r="E140" s="20" t="n"/>
      <c r="F140" s="20" t="n"/>
      <c r="G140" s="20" t="n">
        <v>2</v>
      </c>
      <c r="H140" s="20" t="n"/>
      <c r="I140" s="20" t="n">
        <v>2</v>
      </c>
    </row>
    <row r="141">
      <c r="A141" s="52" t="inlineStr">
        <is>
          <t>Grupo Axa</t>
        </is>
      </c>
      <c r="B141" s="20" t="n"/>
      <c r="C141" s="20" t="n"/>
      <c r="D141" s="20" t="n"/>
      <c r="E141" s="20" t="n"/>
      <c r="F141" s="20" t="n"/>
      <c r="G141" s="20" t="n">
        <v>2</v>
      </c>
      <c r="H141" s="20" t="n"/>
      <c r="I141" s="20" t="n">
        <v>2</v>
      </c>
    </row>
    <row r="142">
      <c r="A142" s="52" t="inlineStr">
        <is>
          <t>Grupo Ses</t>
        </is>
      </c>
      <c r="B142" s="20" t="n"/>
      <c r="C142" s="20" t="n"/>
      <c r="D142" s="20" t="n"/>
      <c r="E142" s="20" t="n"/>
      <c r="F142" s="20" t="n"/>
      <c r="G142" s="20" t="n">
        <v>2</v>
      </c>
      <c r="H142" s="20" t="n"/>
      <c r="I142" s="20" t="n">
        <v>2</v>
      </c>
    </row>
    <row r="143">
      <c r="A143" s="52" t="inlineStr">
        <is>
          <t>Grupo Airbus/helibras</t>
        </is>
      </c>
      <c r="B143" s="20" t="n">
        <v>2</v>
      </c>
      <c r="C143" s="20" t="n"/>
      <c r="D143" s="20" t="n"/>
      <c r="E143" s="20" t="n"/>
      <c r="F143" s="20" t="n"/>
      <c r="G143" s="20" t="n"/>
      <c r="H143" s="20" t="n"/>
      <c r="I143" s="20" t="n">
        <v>2</v>
      </c>
    </row>
    <row r="144">
      <c r="A144" s="52" t="inlineStr">
        <is>
          <t>Grupo Biomerieux</t>
        </is>
      </c>
      <c r="B144" s="20" t="n"/>
      <c r="C144" s="20" t="n">
        <v>2</v>
      </c>
      <c r="D144" s="20" t="n"/>
      <c r="E144" s="20" t="n"/>
      <c r="F144" s="20" t="n"/>
      <c r="G144" s="20" t="n"/>
      <c r="H144" s="20" t="n"/>
      <c r="I144" s="20" t="n">
        <v>2</v>
      </c>
    </row>
    <row r="145">
      <c r="A145" s="52" t="inlineStr">
        <is>
          <t>Grupo Atos</t>
        </is>
      </c>
      <c r="B145" s="20" t="n"/>
      <c r="C145" s="20" t="n">
        <v>2</v>
      </c>
      <c r="D145" s="20" t="n"/>
      <c r="E145" s="20" t="n"/>
      <c r="F145" s="20" t="n"/>
      <c r="G145" s="20" t="n"/>
      <c r="H145" s="20" t="n"/>
      <c r="I145" s="20" t="n">
        <v>2</v>
      </c>
    </row>
    <row r="146">
      <c r="A146" s="52" t="inlineStr">
        <is>
          <t>Grupo Baker Mckenzie</t>
        </is>
      </c>
      <c r="B146" s="20" t="n"/>
      <c r="C146" s="20" t="n"/>
      <c r="D146" s="20" t="n"/>
      <c r="E146" s="20" t="n"/>
      <c r="F146" s="20" t="n"/>
      <c r="G146" s="20" t="n">
        <v>2</v>
      </c>
      <c r="H146" s="20" t="n"/>
      <c r="I146" s="20" t="n">
        <v>2</v>
      </c>
    </row>
    <row r="147">
      <c r="A147" s="52" t="inlineStr">
        <is>
          <t>Grupo Firmenich</t>
        </is>
      </c>
      <c r="B147" s="20" t="n"/>
      <c r="C147" s="20" t="n">
        <v>2</v>
      </c>
      <c r="D147" s="20" t="n"/>
      <c r="E147" s="20" t="n"/>
      <c r="F147" s="20" t="n"/>
      <c r="G147" s="20" t="n"/>
      <c r="H147" s="20" t="n"/>
      <c r="I147" s="20" t="n">
        <v>2</v>
      </c>
    </row>
    <row r="148">
      <c r="A148" s="52" t="inlineStr">
        <is>
          <t>Grupo Mars</t>
        </is>
      </c>
      <c r="B148" s="20" t="n">
        <v>2</v>
      </c>
      <c r="C148" s="20" t="n"/>
      <c r="D148" s="20" t="n"/>
      <c r="E148" s="20" t="n"/>
      <c r="F148" s="20" t="n"/>
      <c r="G148" s="20" t="n"/>
      <c r="H148" s="20" t="n"/>
      <c r="I148" s="20" t="n">
        <v>2</v>
      </c>
    </row>
    <row r="149">
      <c r="A149" s="52" t="inlineStr">
        <is>
          <t>Grupo Wallenius</t>
        </is>
      </c>
      <c r="B149" s="20" t="n"/>
      <c r="C149" s="20" t="n"/>
      <c r="D149" s="20" t="n"/>
      <c r="E149" s="20" t="n"/>
      <c r="F149" s="20" t="n"/>
      <c r="G149" s="20" t="n">
        <v>2</v>
      </c>
      <c r="H149" s="20" t="n"/>
      <c r="I149" s="20" t="n">
        <v>2</v>
      </c>
    </row>
    <row r="150">
      <c r="A150" s="52" t="inlineStr">
        <is>
          <t>Grupo Banco Bbm</t>
        </is>
      </c>
      <c r="B150" s="20" t="n"/>
      <c r="C150" s="20" t="n">
        <v>2</v>
      </c>
      <c r="D150" s="20" t="n"/>
      <c r="E150" s="20" t="n"/>
      <c r="F150" s="20" t="n"/>
      <c r="G150" s="20" t="n"/>
      <c r="H150" s="20" t="n"/>
      <c r="I150" s="20" t="n">
        <v>2</v>
      </c>
    </row>
    <row r="151">
      <c r="A151" s="52" t="inlineStr">
        <is>
          <t>Grupo Syngenta</t>
        </is>
      </c>
      <c r="B151" s="20" t="n">
        <v>1</v>
      </c>
      <c r="C151" s="20" t="n"/>
      <c r="D151" s="20" t="n"/>
      <c r="E151" s="20" t="n"/>
      <c r="F151" s="20" t="n"/>
      <c r="G151" s="20" t="n"/>
      <c r="H151" s="20" t="n"/>
      <c r="I151" s="20" t="n">
        <v>1</v>
      </c>
    </row>
    <row r="152">
      <c r="A152" s="52" t="inlineStr">
        <is>
          <t>Grupo Pepsico</t>
        </is>
      </c>
      <c r="B152" s="20" t="n">
        <v>1</v>
      </c>
      <c r="C152" s="20" t="n"/>
      <c r="D152" s="20" t="n"/>
      <c r="E152" s="20" t="n"/>
      <c r="F152" s="20" t="n"/>
      <c r="G152" s="20" t="n"/>
      <c r="H152" s="20" t="n"/>
      <c r="I152" s="20" t="n">
        <v>1</v>
      </c>
    </row>
    <row r="153">
      <c r="A153" s="52" t="inlineStr">
        <is>
          <t>Grupo Lazer Kontik</t>
        </is>
      </c>
      <c r="B153" s="20" t="n"/>
      <c r="C153" s="20" t="n"/>
      <c r="D153" s="20" t="n"/>
      <c r="E153" s="20" t="n"/>
      <c r="F153" s="20" t="n">
        <v>1</v>
      </c>
      <c r="G153" s="20" t="n"/>
      <c r="H153" s="20" t="n"/>
      <c r="I153" s="20" t="n">
        <v>1</v>
      </c>
    </row>
    <row r="154">
      <c r="A154" s="52" t="inlineStr">
        <is>
          <t>Grupo Ferreira Costa</t>
        </is>
      </c>
      <c r="B154" s="20" t="n">
        <v>1</v>
      </c>
      <c r="C154" s="20" t="n"/>
      <c r="D154" s="20" t="n"/>
      <c r="E154" s="20" t="n"/>
      <c r="F154" s="20" t="n"/>
      <c r="G154" s="20" t="n"/>
      <c r="H154" s="20" t="n"/>
      <c r="I154" s="20" t="n">
        <v>1</v>
      </c>
    </row>
    <row r="155">
      <c r="A155" s="52" t="inlineStr">
        <is>
          <t>Grupo Unica</t>
        </is>
      </c>
      <c r="B155" s="20" t="n"/>
      <c r="C155" s="20" t="n">
        <v>1</v>
      </c>
      <c r="D155" s="20" t="n"/>
      <c r="E155" s="20" t="n"/>
      <c r="F155" s="20" t="n"/>
      <c r="G155" s="20" t="n"/>
      <c r="H155" s="20" t="n"/>
      <c r="I155" s="20" t="n">
        <v>1</v>
      </c>
    </row>
    <row r="156">
      <c r="A156" s="52" t="inlineStr">
        <is>
          <t>Grupo Shell</t>
        </is>
      </c>
      <c r="B156" s="20" t="n"/>
      <c r="C156" s="20" t="n"/>
      <c r="D156" s="20" t="n"/>
      <c r="E156" s="20" t="n"/>
      <c r="F156" s="20" t="n"/>
      <c r="G156" s="20" t="n">
        <v>1</v>
      </c>
      <c r="H156" s="20" t="n"/>
      <c r="I156" s="20" t="n">
        <v>1</v>
      </c>
    </row>
    <row r="157">
      <c r="A157" s="52" t="inlineStr">
        <is>
          <t>Grupo Energisa</t>
        </is>
      </c>
      <c r="B157" s="20" t="n"/>
      <c r="C157" s="20" t="n">
        <v>1</v>
      </c>
      <c r="D157" s="20" t="n"/>
      <c r="E157" s="20" t="n"/>
      <c r="F157" s="20" t="n"/>
      <c r="G157" s="20" t="n"/>
      <c r="H157" s="20" t="n"/>
      <c r="I157" s="20" t="n">
        <v>1</v>
      </c>
    </row>
    <row r="158">
      <c r="A158" s="52" t="inlineStr">
        <is>
          <t>Grupo Samsung</t>
        </is>
      </c>
      <c r="B158" s="20" t="n"/>
      <c r="C158" s="20" t="n">
        <v>1</v>
      </c>
      <c r="D158" s="20" t="n"/>
      <c r="E158" s="20" t="n"/>
      <c r="F158" s="20" t="n"/>
      <c r="G158" s="20" t="n"/>
      <c r="H158" s="20" t="n"/>
      <c r="I158" s="20" t="n">
        <v>1</v>
      </c>
    </row>
    <row r="159">
      <c r="A159" s="52" t="inlineStr">
        <is>
          <t>Grupo Petroreconcavo</t>
        </is>
      </c>
      <c r="B159" s="20" t="n">
        <v>1</v>
      </c>
      <c r="C159" s="20" t="n"/>
      <c r="D159" s="20" t="n"/>
      <c r="E159" s="20" t="n"/>
      <c r="F159" s="20" t="n"/>
      <c r="G159" s="20" t="n"/>
      <c r="H159" s="20" t="n"/>
      <c r="I159" s="20" t="n">
        <v>1</v>
      </c>
    </row>
    <row r="160">
      <c r="A160" s="52" t="inlineStr">
        <is>
          <t>Grupo Aeroleo</t>
        </is>
      </c>
      <c r="B160" s="20" t="n"/>
      <c r="C160" s="20" t="n"/>
      <c r="D160" s="20" t="n"/>
      <c r="E160" s="20" t="n">
        <v>1</v>
      </c>
      <c r="F160" s="20" t="n"/>
      <c r="G160" s="20" t="n"/>
      <c r="H160" s="20" t="n"/>
      <c r="I160" s="20" t="n">
        <v>1</v>
      </c>
    </row>
    <row r="161">
      <c r="A161" s="52" t="inlineStr">
        <is>
          <t>Grupo Innomotics</t>
        </is>
      </c>
      <c r="B161" s="20" t="n"/>
      <c r="C161" s="20" t="n"/>
      <c r="D161" s="20" t="n"/>
      <c r="E161" s="20" t="n"/>
      <c r="F161" s="20" t="n"/>
      <c r="G161" s="20" t="n">
        <v>1</v>
      </c>
      <c r="H161" s="20" t="n"/>
      <c r="I161" s="20" t="n">
        <v>1</v>
      </c>
    </row>
    <row r="162">
      <c r="A162" s="52" t="inlineStr">
        <is>
          <t>Grupo Orizon</t>
        </is>
      </c>
      <c r="B162" s="20" t="n">
        <v>1</v>
      </c>
      <c r="C162" s="20" t="n"/>
      <c r="D162" s="20" t="n"/>
      <c r="E162" s="20" t="n"/>
      <c r="F162" s="20" t="n"/>
      <c r="G162" s="20" t="n"/>
      <c r="H162" s="20" t="n"/>
      <c r="I162" s="20" t="n">
        <v>1</v>
      </c>
    </row>
    <row r="163">
      <c r="A163" s="52" t="inlineStr">
        <is>
          <t>Grupo Martins</t>
        </is>
      </c>
      <c r="B163" s="20" t="n"/>
      <c r="C163" s="20" t="n">
        <v>1</v>
      </c>
      <c r="D163" s="20" t="n"/>
      <c r="E163" s="20" t="n"/>
      <c r="F163" s="20" t="n"/>
      <c r="G163" s="20" t="n"/>
      <c r="H163" s="20" t="n"/>
      <c r="I163" s="20" t="n">
        <v>1</v>
      </c>
    </row>
    <row r="164">
      <c r="A164" s="52" t="inlineStr">
        <is>
          <t>Grupo Banco Genial Investimentos</t>
        </is>
      </c>
      <c r="B164" s="20" t="n">
        <v>1</v>
      </c>
      <c r="C164" s="20" t="n"/>
      <c r="D164" s="20" t="n"/>
      <c r="E164" s="20" t="n"/>
      <c r="F164" s="20" t="n"/>
      <c r="G164" s="20" t="n"/>
      <c r="H164" s="20" t="n"/>
      <c r="I164" s="20" t="n">
        <v>1</v>
      </c>
    </row>
    <row r="165">
      <c r="A165" s="52" t="inlineStr">
        <is>
          <t>Grupo Benner</t>
        </is>
      </c>
      <c r="B165" s="20" t="n"/>
      <c r="C165" s="20" t="n"/>
      <c r="D165" s="20" t="n"/>
      <c r="E165" s="20" t="n">
        <v>1</v>
      </c>
      <c r="F165" s="20" t="n"/>
      <c r="G165" s="20" t="n"/>
      <c r="H165" s="20" t="n"/>
      <c r="I165" s="20" t="n">
        <v>1</v>
      </c>
    </row>
    <row r="166">
      <c r="A166" s="52" t="inlineStr">
        <is>
          <t>Grupo Patria</t>
        </is>
      </c>
      <c r="B166" s="20" t="n"/>
      <c r="C166" s="20" t="n">
        <v>1</v>
      </c>
      <c r="D166" s="20" t="n"/>
      <c r="E166" s="20" t="n"/>
      <c r="F166" s="20" t="n"/>
      <c r="G166" s="20" t="n"/>
      <c r="H166" s="20" t="n"/>
      <c r="I166" s="20" t="n">
        <v>1</v>
      </c>
    </row>
    <row r="167">
      <c r="A167" s="52" t="inlineStr">
        <is>
          <t>Grupo Fm Global</t>
        </is>
      </c>
      <c r="B167" s="20" t="n"/>
      <c r="C167" s="20" t="n">
        <v>1</v>
      </c>
      <c r="D167" s="20" t="n"/>
      <c r="E167" s="20" t="n"/>
      <c r="F167" s="20" t="n"/>
      <c r="G167" s="20" t="n"/>
      <c r="H167" s="20" t="n"/>
      <c r="I167" s="20" t="n">
        <v>1</v>
      </c>
    </row>
    <row r="168">
      <c r="A168" s="52" t="inlineStr">
        <is>
          <t>Grupo Weir Group</t>
        </is>
      </c>
      <c r="B168" s="20" t="n"/>
      <c r="C168" s="20" t="n"/>
      <c r="D168" s="20" t="n"/>
      <c r="E168" s="20" t="n"/>
      <c r="F168" s="20" t="n"/>
      <c r="G168" s="20" t="n">
        <v>1</v>
      </c>
      <c r="H168" s="20" t="n"/>
      <c r="I168" s="20" t="n">
        <v>1</v>
      </c>
    </row>
    <row r="169">
      <c r="A169" s="52" t="inlineStr">
        <is>
          <t>Total Geral</t>
        </is>
      </c>
      <c r="B169" s="20" t="n">
        <v>231</v>
      </c>
      <c r="C169" s="20" t="n">
        <v>77</v>
      </c>
      <c r="D169" s="20" t="n">
        <v>66</v>
      </c>
      <c r="E169" s="20" t="n">
        <v>21</v>
      </c>
      <c r="F169" s="20" t="n">
        <v>9</v>
      </c>
      <c r="G169" s="20" t="n">
        <v>143</v>
      </c>
      <c r="H169" s="20" t="n">
        <v>45</v>
      </c>
      <c r="I169" s="20" t="n">
        <v>592</v>
      </c>
    </row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</sheetData>
  <mergeCells count="12">
    <mergeCell ref="A16:E16"/>
    <mergeCell ref="P120:Q120"/>
    <mergeCell ref="A15:E15"/>
    <mergeCell ref="S120:T120"/>
    <mergeCell ref="S41:U41"/>
    <mergeCell ref="M3:U3"/>
    <mergeCell ref="A67:I67"/>
    <mergeCell ref="M120:N120"/>
    <mergeCell ref="A18:F18"/>
    <mergeCell ref="M41:R41"/>
    <mergeCell ref="A3:F3"/>
    <mergeCell ref="A1:U1"/>
  </mergeCells>
  <pageMargins left="0.7480314960629921" right="0.7480314960629921" top="0.1968503937007874" bottom="0.1968503937007874" header="0.5118110236220472" footer="0.5118110236220472"/>
  <pageSetup orientation="portrait" paperSize="9" scale="20"/>
</worksheet>
</file>

<file path=xl/worksheets/sheet2.xml><?xml version="1.0" encoding="utf-8"?>
<worksheet xmlns="http://schemas.openxmlformats.org/spreadsheetml/2006/main">
  <sheetPr codeName="Planilha11">
    <outlinePr summaryBelow="1" summaryRight="1"/>
    <pageSetUpPr/>
  </sheetPr>
  <dimension ref="A1:E9"/>
  <sheetViews>
    <sheetView showGridLines="0" zoomScale="120" zoomScaleNormal="120" workbookViewId="0">
      <selection activeCell="F8" sqref="F8"/>
    </sheetView>
  </sheetViews>
  <sheetFormatPr baseColWidth="8" defaultColWidth="9.140625" defaultRowHeight="12"/>
  <cols>
    <col width="12.28515625" bestFit="1" customWidth="1" style="1" min="1" max="1"/>
    <col width="10" bestFit="1" customWidth="1" style="1" min="2" max="2"/>
    <col width="9.140625" customWidth="1" style="1" min="3" max="3"/>
    <col width="9.7109375" bestFit="1" customWidth="1" style="1" min="4" max="4"/>
    <col width="12.140625" bestFit="1" customWidth="1" style="1" min="5" max="5"/>
    <col width="10.140625" bestFit="1" customWidth="1" style="1" min="6" max="6"/>
    <col width="9.140625" customWidth="1" style="1" min="7" max="504"/>
    <col width="9.140625" customWidth="1" style="1" min="505" max="16384"/>
  </cols>
  <sheetData>
    <row r="1">
      <c r="A1" s="5" t="inlineStr">
        <is>
          <t>Casos Resolvido</t>
        </is>
      </c>
      <c r="B1" s="5" t="inlineStr">
        <is>
          <t>OBTS</t>
        </is>
      </c>
      <c r="C1" s="5" t="inlineStr">
        <is>
          <t>ERRO</t>
        </is>
      </c>
      <c r="D1" s="5" t="inlineStr">
        <is>
          <t>INTEGRADO</t>
        </is>
      </c>
      <c r="E1" s="5" t="inlineStr">
        <is>
          <t>PORCENTAGEM</t>
        </is>
      </c>
    </row>
    <row r="2">
      <c r="A2" s="2">
        <f>Dashboard!F15</f>
        <v/>
      </c>
      <c r="B2" s="5" t="inlineStr">
        <is>
          <t>ARGO(TMS)</t>
        </is>
      </c>
      <c r="C2" s="5">
        <f>IFERROR(GETPIVOTDATA("RESPONSÁVEL",Dashboard!$M$4,"OBTS","ARGO(TMS)"),0)</f>
        <v/>
      </c>
      <c r="D2" s="9" t="n">
        <v>2488</v>
      </c>
      <c r="E2" s="4">
        <f>C2/$C$9</f>
        <v/>
      </c>
    </row>
    <row r="3">
      <c r="B3" s="5" t="inlineStr">
        <is>
          <t>GOVER</t>
        </is>
      </c>
      <c r="C3" s="5">
        <f>IFERROR(GETPIVOTDATA("RESPONSÁVEL",Dashboard!$M$4,"OBTS","GOVER"),0)</f>
        <v/>
      </c>
      <c r="D3" s="9" t="n">
        <v>1935</v>
      </c>
      <c r="E3" s="4">
        <f>C3/$C$9</f>
        <v/>
      </c>
    </row>
    <row r="4">
      <c r="B4" s="5" t="inlineStr">
        <is>
          <t>KONTRIP</t>
        </is>
      </c>
      <c r="C4" s="5">
        <f>IFERROR(GETPIVOTDATA("RESPONSÁVEL",Dashboard!$M$4,"OBTS","KONTRIP"),0)</f>
        <v/>
      </c>
      <c r="D4" s="9" t="n">
        <v>457</v>
      </c>
      <c r="E4" s="4">
        <f>C4/$C$9</f>
        <v/>
      </c>
    </row>
    <row r="5">
      <c r="B5" s="5" t="inlineStr">
        <is>
          <t>LEMONTECH</t>
        </is>
      </c>
      <c r="C5" s="5">
        <f>IFERROR(GETPIVOTDATA("RESPONSÁVEL",Dashboard!$M$4,"OBTS","LEMONTECH"),0)</f>
        <v/>
      </c>
      <c r="D5" s="9" t="n">
        <v>741</v>
      </c>
      <c r="E5" s="4">
        <f>C5/$C$9</f>
        <v/>
      </c>
    </row>
    <row r="6">
      <c r="B6" s="5" t="inlineStr">
        <is>
          <t>MANUAL</t>
        </is>
      </c>
      <c r="C6" s="5">
        <f>IFERROR(GETPIVOTDATA("RESPONSÁVEL",Dashboard!$M$4,"OBTS","MANUAL"),0)</f>
        <v/>
      </c>
      <c r="D6" s="9" t="n">
        <v>330</v>
      </c>
      <c r="E6" s="4">
        <f>C6/$C$9</f>
        <v/>
      </c>
    </row>
    <row r="7">
      <c r="B7" s="5" t="inlineStr">
        <is>
          <t>SABRE</t>
        </is>
      </c>
      <c r="C7" s="5">
        <f>IFERROR(GETPIVOTDATA("RESPONSÁVEL",Dashboard!$M$4,"OBTS","SABRE"),0)</f>
        <v/>
      </c>
      <c r="D7" s="9" t="n">
        <v>637</v>
      </c>
      <c r="E7" s="4">
        <f>C7/$C$9</f>
        <v/>
      </c>
    </row>
    <row r="8">
      <c r="B8" s="5" t="inlineStr">
        <is>
          <t>ZUPPER</t>
        </is>
      </c>
      <c r="C8" s="5">
        <f>GETPIVOTDATA("RESPONSÁVEL",Dashboard!$M$4,"OBTS","ZUPPER")</f>
        <v/>
      </c>
      <c r="D8" s="9" t="n">
        <v>3440</v>
      </c>
      <c r="E8" s="4">
        <f>C8/$C$9</f>
        <v/>
      </c>
    </row>
    <row r="9">
      <c r="B9" s="7" t="inlineStr">
        <is>
          <t>Total Geral</t>
        </is>
      </c>
      <c r="C9" s="7">
        <f>SUM(C2:C8)</f>
        <v/>
      </c>
      <c r="D9" s="3">
        <f>SUM(D2:D8)</f>
        <v/>
      </c>
      <c r="E9" s="8">
        <f>C9/D9</f>
        <v/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 codeName="Planilha2">
    <outlinePr summaryBelow="1" summaryRight="1"/>
    <pageSetUpPr/>
  </sheetPr>
  <dimension ref="A1:AQ595"/>
  <sheetViews>
    <sheetView zoomScaleNormal="100" workbookViewId="0">
      <pane ySplit="1" topLeftCell="A2" activePane="bottomLeft" state="frozen"/>
      <selection pane="bottomLeft" activeCell="E10" sqref="E10"/>
    </sheetView>
  </sheetViews>
  <sheetFormatPr baseColWidth="8" defaultColWidth="13.5703125" defaultRowHeight="15"/>
  <cols>
    <col width="13.7109375" bestFit="1" customWidth="1" style="6" min="1" max="1"/>
    <col width="13.5703125" customWidth="1" style="6" min="2" max="2"/>
    <col width="12.42578125" bestFit="1" customWidth="1" style="6" min="3" max="3"/>
    <col width="18.28515625" bestFit="1" customWidth="1" style="12" min="4" max="4"/>
    <col width="18.28515625" bestFit="1" customWidth="1" style="6" min="5" max="5"/>
    <col width="17.28515625" bestFit="1" customWidth="1" style="6" min="6" max="6"/>
    <col width="16.140625" bestFit="1" customWidth="1" style="6" min="7" max="7"/>
    <col width="15.7109375" bestFit="1" customWidth="1" style="6" min="8" max="8"/>
    <col width="11.85546875" bestFit="1" customWidth="1" style="6" min="9" max="9"/>
    <col width="34" customWidth="1" style="6" min="10" max="10"/>
    <col width="24" customWidth="1" style="6" min="11" max="11"/>
    <col width="24.5703125" customWidth="1" style="12" min="12" max="12"/>
    <col width="18.28515625" bestFit="1" customWidth="1" style="6" min="13" max="13"/>
    <col width="23.85546875" bestFit="1" customWidth="1" style="6" min="14" max="14"/>
    <col width="80.140625" bestFit="1" customWidth="1" style="6" min="15" max="15"/>
    <col width="18.85546875" bestFit="1" customWidth="1" style="6" min="16" max="16"/>
    <col width="19.5703125" bestFit="1" customWidth="1" style="6" min="17" max="17"/>
    <col width="21.42578125" bestFit="1" customWidth="1" style="6" min="18" max="18"/>
    <col width="9.7109375" bestFit="1" customWidth="1" style="6" min="19" max="19"/>
    <col width="12.42578125" bestFit="1" customWidth="1" style="6" min="20" max="20"/>
    <col width="29.7109375" bestFit="1" customWidth="1" style="6" min="21" max="21"/>
    <col width="53" bestFit="1" customWidth="1" style="6" min="22" max="22"/>
    <col width="17.85546875" bestFit="1" customWidth="1" style="6" min="23" max="23"/>
    <col width="33.28515625" bestFit="1" customWidth="1" style="6" min="24" max="24"/>
    <col width="11" bestFit="1" customWidth="1" style="6" min="25" max="25"/>
    <col width="42.140625" bestFit="1" customWidth="1" style="6" min="26" max="26"/>
    <col width="16.140625" bestFit="1" customWidth="1" style="6" min="27" max="27"/>
    <col width="11" bestFit="1" customWidth="1" style="6" min="28" max="28"/>
    <col width="8" bestFit="1" customWidth="1" style="6" min="29" max="29"/>
    <col width="14.42578125" bestFit="1" customWidth="1" style="6" min="30" max="30"/>
    <col width="10.42578125" bestFit="1" customWidth="1" style="6" min="31" max="31"/>
    <col width="10" bestFit="1" customWidth="1" style="6" min="32" max="32"/>
    <col width="12.140625" bestFit="1" customWidth="1" style="6" min="33" max="33"/>
    <col width="7" bestFit="1" customWidth="1" style="6" min="34" max="34"/>
    <col width="59.140625" bestFit="1" customWidth="1" style="6" min="35" max="35"/>
    <col width="132.42578125" bestFit="1" customWidth="1" style="6" min="36" max="36"/>
    <col width="11.85546875" bestFit="1" customWidth="1" style="6" min="37" max="37"/>
    <col width="37.42578125" bestFit="1" customWidth="1" style="6" min="38" max="38"/>
    <col width="31.5703125" bestFit="1" customWidth="1" style="6" min="39" max="39"/>
    <col width="28.140625" bestFit="1" customWidth="1" style="6" min="40" max="40"/>
    <col width="21.7109375" bestFit="1" customWidth="1" style="6" min="41" max="41"/>
    <col width="24" bestFit="1" customWidth="1" style="13" min="42" max="42"/>
    <col width="20.140625" bestFit="1" customWidth="1" style="6" min="43" max="43"/>
    <col width="13.5703125" customWidth="1" style="6" min="44" max="196"/>
    <col width="13.5703125" customWidth="1" style="6" min="197" max="16384"/>
  </cols>
  <sheetData>
    <row r="1">
      <c r="A1" s="55" t="inlineStr">
        <is>
          <t>Handle PNR</t>
        </is>
      </c>
      <c r="B1" s="56" t="inlineStr">
        <is>
          <t>Handle ACC</t>
        </is>
      </c>
      <c r="C1" s="56" t="inlineStr">
        <is>
          <t>Sequencia</t>
        </is>
      </c>
      <c r="D1" s="56" t="inlineStr">
        <is>
          <t>Data Inclusão</t>
        </is>
      </c>
      <c r="E1" s="56" t="inlineStr">
        <is>
          <t>Data Alteração</t>
        </is>
      </c>
      <c r="F1" s="57" t="inlineStr">
        <is>
          <t>Aging Alteração</t>
        </is>
      </c>
      <c r="G1" s="57" t="inlineStr">
        <is>
          <t>Aging Inclusão</t>
        </is>
      </c>
      <c r="H1" s="56" t="inlineStr">
        <is>
          <t>Localizadora</t>
        </is>
      </c>
      <c r="I1" s="56" t="inlineStr">
        <is>
          <t>OBT</t>
        </is>
      </c>
      <c r="J1" s="56" t="inlineStr">
        <is>
          <t>Pax</t>
        </is>
      </c>
      <c r="K1" s="56" t="inlineStr">
        <is>
          <t>Agente Emissão</t>
        </is>
      </c>
      <c r="L1" s="56" t="inlineStr">
        <is>
          <t>Agente Criação</t>
        </is>
      </c>
      <c r="M1" s="56" t="inlineStr">
        <is>
          <t>Data Emissão</t>
        </is>
      </c>
      <c r="N1" s="56" t="inlineStr">
        <is>
          <t>Requisição</t>
        </is>
      </c>
      <c r="O1" s="56" t="inlineStr">
        <is>
          <t>Local Retirada</t>
        </is>
      </c>
      <c r="P1" s="56" t="inlineStr">
        <is>
          <t>Status Requisicao</t>
        </is>
      </c>
      <c r="Q1" s="56" t="inlineStr">
        <is>
          <t>Forma Pagamento</t>
        </is>
      </c>
      <c r="R1" s="56" t="inlineStr">
        <is>
          <t>Forma Recebimento</t>
        </is>
      </c>
      <c r="S1" s="56" t="inlineStr">
        <is>
          <t>Serviço</t>
        </is>
      </c>
      <c r="T1" s="56" t="inlineStr">
        <is>
          <t>Cancelado</t>
        </is>
      </c>
      <c r="U1" s="56" t="inlineStr">
        <is>
          <t>Grupo Empresarial</t>
        </is>
      </c>
      <c r="V1" s="56" t="inlineStr">
        <is>
          <t>Cliente</t>
        </is>
      </c>
      <c r="W1" s="56" t="inlineStr">
        <is>
          <t>Cliente Fee POS</t>
        </is>
      </c>
      <c r="X1" s="56" t="inlineStr">
        <is>
          <t>Fornecedor</t>
        </is>
      </c>
      <c r="Y1" s="56" t="inlineStr">
        <is>
          <t>Bilhete</t>
        </is>
      </c>
      <c r="Z1" s="56" t="inlineStr">
        <is>
          <t>Canal de Vendas</t>
        </is>
      </c>
      <c r="AA1" s="56" t="inlineStr">
        <is>
          <t>Codigo Evento</t>
        </is>
      </c>
      <c r="AB1" s="56" t="inlineStr">
        <is>
          <t>Tarifa</t>
        </is>
      </c>
      <c r="AC1" s="56" t="inlineStr">
        <is>
          <t>Taxa</t>
        </is>
      </c>
      <c r="AD1" s="56" t="inlineStr">
        <is>
          <t>Outras Taxas</t>
        </is>
      </c>
      <c r="AE1" s="56" t="inlineStr">
        <is>
          <t>Taxa DU</t>
        </is>
      </c>
      <c r="AF1" s="56" t="inlineStr">
        <is>
          <t>Taxa BR</t>
        </is>
      </c>
      <c r="AG1" s="56" t="inlineStr">
        <is>
          <t>Taxa Extra</t>
        </is>
      </c>
      <c r="AH1" s="56" t="inlineStr">
        <is>
          <t>Fee</t>
        </is>
      </c>
      <c r="AI1" s="56" t="inlineStr">
        <is>
          <t>Observação</t>
        </is>
      </c>
      <c r="AJ1" s="56" t="inlineStr">
        <is>
          <t>Mensagem Erro</t>
        </is>
      </c>
      <c r="AK1" s="57" t="inlineStr">
        <is>
          <t>OBTS</t>
        </is>
      </c>
      <c r="AL1" s="57" t="inlineStr">
        <is>
          <t>CAMPO</t>
        </is>
      </c>
      <c r="AM1" s="57" t="inlineStr">
        <is>
          <t>ORIGEM DO ERRO</t>
        </is>
      </c>
      <c r="AN1" s="57" t="inlineStr">
        <is>
          <t>TIPO DE ERRO</t>
        </is>
      </c>
      <c r="AO1" s="57" t="inlineStr">
        <is>
          <t>CATEGORIA DE ERRO</t>
        </is>
      </c>
      <c r="AP1" s="57" t="inlineStr">
        <is>
          <t>EMPRESA</t>
        </is>
      </c>
      <c r="AQ1" s="57" t="inlineStr">
        <is>
          <t>RESPONSÁVEL</t>
        </is>
      </c>
    </row>
    <row r="2">
      <c r="A2" s="6" t="n">
        <v>23378056</v>
      </c>
      <c r="B2" s="6" t="n">
        <v>24101850</v>
      </c>
      <c r="C2" s="6" t="inlineStr">
        <is>
          <t>ACC01</t>
        </is>
      </c>
      <c r="D2" s="58" t="n">
        <v>45985.3716087963</v>
      </c>
      <c r="E2" s="58" t="n">
        <v>45985.37324074074</v>
      </c>
      <c r="F2" s="6" t="inlineStr">
        <is>
          <t>0 a 02 dias</t>
        </is>
      </c>
      <c r="G2" s="6" t="inlineStr">
        <is>
          <t>0 a 02 dias</t>
        </is>
      </c>
      <c r="H2" s="6" t="inlineStr">
        <is>
          <t>UICKQU</t>
        </is>
      </c>
      <c r="I2" s="6" t="inlineStr">
        <is>
          <t>EBOOKING</t>
        </is>
      </c>
      <c r="J2" s="6" t="inlineStr">
        <is>
          <t>MARIA CLAUDIA PINHEIRO</t>
        </is>
      </c>
      <c r="K2" s="6" t="inlineStr">
        <is>
          <t>Zupper</t>
        </is>
      </c>
      <c r="L2" s="6" t="inlineStr">
        <is>
          <t>Zupper</t>
        </is>
      </c>
      <c r="M2" s="58" t="n">
        <v>45985.37083333333</v>
      </c>
      <c r="N2" s="6" t="n">
        <v>6976871</v>
      </c>
      <c r="O2" s="6" t="inlineStr">
        <is>
          <t>-</t>
        </is>
      </c>
      <c r="P2" s="6" t="inlineStr">
        <is>
          <t>OFF LINE</t>
        </is>
      </c>
      <c r="Q2" s="6" t="inlineStr">
        <is>
          <t>Cartão de crédito</t>
        </is>
      </c>
      <c r="R2" s="6" t="inlineStr">
        <is>
          <t>Cartão de crédito</t>
        </is>
      </c>
      <c r="S2" s="6" t="inlineStr">
        <is>
          <t>Aéreo</t>
        </is>
      </c>
      <c r="T2" s="6" t="inlineStr">
        <is>
          <t>N</t>
        </is>
      </c>
      <c r="U2" s="6" t="inlineStr">
        <is>
          <t>-</t>
        </is>
      </c>
      <c r="V2" s="6" t="inlineStr">
        <is>
          <t>Maria Claudia Costa Paunovic</t>
        </is>
      </c>
      <c r="W2" s="6" t="inlineStr">
        <is>
          <t>-</t>
        </is>
      </c>
      <c r="X2" s="6" t="inlineStr">
        <is>
          <t>Gol Linhas Aereas</t>
        </is>
      </c>
      <c r="Y2" s="6" t="n">
        <v>2150095851</v>
      </c>
      <c r="Z2" s="6" t="inlineStr">
        <is>
          <t>ZUPPER</t>
        </is>
      </c>
      <c r="AA2" s="6" t="inlineStr">
        <is>
          <t>-</t>
        </is>
      </c>
      <c r="AB2" s="6" t="n">
        <v>448.73</v>
      </c>
      <c r="AC2" s="6" t="n">
        <v>56.88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44.87</v>
      </c>
      <c r="AI2" s="6" t="inlineStr">
        <is>
          <t>-</t>
        </is>
      </c>
      <c r="AJ2" s="6" t="inlineStr">
        <is>
          <t>Necessário cadastrar um contrato para o cliente ""</t>
        </is>
      </c>
      <c r="AK2" s="6" t="inlineStr">
        <is>
          <t>ZUPPER</t>
        </is>
      </c>
      <c r="AL2" s="6" t="inlineStr">
        <is>
          <t>Contrato de fornecedor</t>
        </is>
      </c>
      <c r="AM2" s="6" t="inlineStr">
        <is>
          <t>Análise Cadastro</t>
        </is>
      </c>
      <c r="AN2" s="6" t="inlineStr">
        <is>
          <t>Dados do Fornecedor</t>
        </is>
      </c>
      <c r="AO2" s="6" t="inlineStr">
        <is>
          <t>Qualidade dos dados</t>
        </is>
      </c>
      <c r="AP2" s="6" t="inlineStr">
        <is>
          <t>ZUPPER VIAGENS</t>
        </is>
      </c>
      <c r="AQ2" s="6" t="inlineStr">
        <is>
          <t>Operações - ZUPPER</t>
        </is>
      </c>
    </row>
    <row r="3">
      <c r="A3" s="6" t="n">
        <v>23343399</v>
      </c>
      <c r="B3" s="6" t="n">
        <v>24071145</v>
      </c>
      <c r="C3" s="6" t="inlineStr">
        <is>
          <t>ACC01</t>
        </is>
      </c>
      <c r="D3" s="58" t="n">
        <v>45978.87145833333</v>
      </c>
      <c r="E3" s="58" t="n">
        <v>45978.87268518518</v>
      </c>
      <c r="F3" s="6" t="inlineStr">
        <is>
          <t>06 a 08 dias</t>
        </is>
      </c>
      <c r="G3" s="6" t="inlineStr">
        <is>
          <t>06 a 08 dias</t>
        </is>
      </c>
      <c r="H3" s="6" t="inlineStr">
        <is>
          <t xml:space="preserve">KOACLC </t>
        </is>
      </c>
      <c r="I3" s="6" t="inlineStr">
        <is>
          <t>GOVER</t>
        </is>
      </c>
      <c r="J3" s="6" t="inlineStr">
        <is>
          <t>RODRIGO CALEIRO</t>
        </is>
      </c>
      <c r="K3" s="6" t="inlineStr">
        <is>
          <t>Juliana dos Santos Pinto</t>
        </is>
      </c>
      <c r="L3" s="6" t="inlineStr">
        <is>
          <t>Juliana dos Santos Pinto</t>
        </is>
      </c>
      <c r="M3" s="58" t="n">
        <v>45996.86111111111</v>
      </c>
      <c r="N3" s="6" t="n">
        <v>4628623</v>
      </c>
      <c r="O3" s="6" t="inlineStr">
        <is>
          <t>-</t>
        </is>
      </c>
      <c r="P3" s="6" t="inlineStr">
        <is>
          <t>OFF LINE</t>
        </is>
      </c>
      <c r="Q3" s="6" t="inlineStr">
        <is>
          <t>Cartão de crédito</t>
        </is>
      </c>
      <c r="R3" s="6" t="inlineStr">
        <is>
          <t>Cartão de crédito</t>
        </is>
      </c>
      <c r="S3" s="6" t="inlineStr">
        <is>
          <t>Aéreo</t>
        </is>
      </c>
      <c r="T3" s="6" t="inlineStr">
        <is>
          <t>N</t>
        </is>
      </c>
      <c r="U3" s="6" t="inlineStr">
        <is>
          <t>Grupo Banco Bbm</t>
        </is>
      </c>
      <c r="V3" s="6" t="inlineStr">
        <is>
          <t>Banco Bbm</t>
        </is>
      </c>
      <c r="W3" s="6" t="inlineStr">
        <is>
          <t>-</t>
        </is>
      </c>
      <c r="X3" s="6" t="inlineStr">
        <is>
          <t>Latam Airlines Brasil</t>
        </is>
      </c>
      <c r="Y3" s="6" t="n">
        <v>2259761616</v>
      </c>
      <c r="Z3" s="6" t="inlineStr">
        <is>
          <t>KON-OPE-RIO-PVI-BTC-BANCO BBM</t>
        </is>
      </c>
      <c r="AA3" s="6" t="inlineStr">
        <is>
          <t>-</t>
        </is>
      </c>
      <c r="AB3" s="6" t="n">
        <v>0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</v>
      </c>
      <c r="AH3" s="6" t="n">
        <v>0</v>
      </c>
      <c r="AI3" s="6" t="inlineStr">
        <is>
          <t>Reserva importada do sistema Gover. Id: 4628623</t>
        </is>
      </c>
      <c r="AJ3" s="6" t="inlineStr">
        <is>
          <t>Tarifa mínima não preenchida! (ACC01)</t>
        </is>
      </c>
      <c r="AK3" s="6" t="inlineStr">
        <is>
          <t>GOVER</t>
        </is>
      </c>
      <c r="AL3" s="6" t="inlineStr">
        <is>
          <t>Tarifa mínima</t>
        </is>
      </c>
      <c r="AM3" s="6" t="inlineStr">
        <is>
          <t>Falta de informação Gerencial</t>
        </is>
      </c>
      <c r="AN3" s="6" t="inlineStr">
        <is>
          <t>Dados do Fornecedor</t>
        </is>
      </c>
      <c r="AO3" s="6" t="inlineStr">
        <is>
          <t>Qualidade dos dados</t>
        </is>
      </c>
      <c r="AP3" s="6" t="inlineStr">
        <is>
          <t>GRUPO KONTIK</t>
        </is>
      </c>
      <c r="AQ3" s="6" t="inlineStr">
        <is>
          <t>Central de Emissão</t>
        </is>
      </c>
    </row>
    <row r="4">
      <c r="A4" s="6" t="n">
        <v>23343401</v>
      </c>
      <c r="B4" s="6" t="n">
        <v>24071147</v>
      </c>
      <c r="C4" s="6" t="inlineStr">
        <is>
          <t>ACC01</t>
        </is>
      </c>
      <c r="D4" s="58" t="n">
        <v>45978.8714699074</v>
      </c>
      <c r="E4" s="58" t="n">
        <v>45978.87269675926</v>
      </c>
      <c r="F4" s="6" t="inlineStr">
        <is>
          <t>06 a 08 dias</t>
        </is>
      </c>
      <c r="G4" s="6" t="inlineStr">
        <is>
          <t>06 a 08 dias</t>
        </is>
      </c>
      <c r="H4" s="6" t="inlineStr">
        <is>
          <t>OAIJQM</t>
        </is>
      </c>
      <c r="I4" s="6" t="inlineStr">
        <is>
          <t>GOVER</t>
        </is>
      </c>
      <c r="J4" s="6" t="inlineStr">
        <is>
          <t>LEANDRO OMENA SILVA</t>
        </is>
      </c>
      <c r="K4" s="6" t="inlineStr">
        <is>
          <t>Juliana dos Santos Pinto</t>
        </is>
      </c>
      <c r="L4" s="6" t="inlineStr">
        <is>
          <t>Juliana dos Santos Pinto</t>
        </is>
      </c>
      <c r="M4" s="58" t="n">
        <v>45978.86111111111</v>
      </c>
      <c r="N4" s="6" t="n">
        <v>4628623</v>
      </c>
      <c r="O4" s="6" t="inlineStr">
        <is>
          <t>-</t>
        </is>
      </c>
      <c r="P4" s="6" t="inlineStr">
        <is>
          <t>OFF LINE</t>
        </is>
      </c>
      <c r="Q4" s="6" t="inlineStr">
        <is>
          <t>Cartão de crédito</t>
        </is>
      </c>
      <c r="R4" s="6" t="inlineStr">
        <is>
          <t>Cartão de crédito</t>
        </is>
      </c>
      <c r="S4" s="6" t="inlineStr">
        <is>
          <t>Aéreo</t>
        </is>
      </c>
      <c r="T4" s="6" t="inlineStr">
        <is>
          <t>N</t>
        </is>
      </c>
      <c r="U4" s="6" t="inlineStr">
        <is>
          <t>Grupo Banco Bbm</t>
        </is>
      </c>
      <c r="V4" s="6" t="inlineStr">
        <is>
          <t>Banco Bbm</t>
        </is>
      </c>
      <c r="W4" s="6" t="inlineStr">
        <is>
          <t>-</t>
        </is>
      </c>
      <c r="X4" s="6" t="inlineStr">
        <is>
          <t>Latam Airlines Brasil</t>
        </is>
      </c>
      <c r="Y4" s="6" t="n">
        <v>2259763463</v>
      </c>
      <c r="Z4" s="6" t="inlineStr">
        <is>
          <t>KON-OPE-RIO-PVI-BTC-BANCO BBM</t>
        </is>
      </c>
      <c r="AA4" s="6" t="inlineStr">
        <is>
          <t>-</t>
        </is>
      </c>
      <c r="AB4" s="6" t="n">
        <v>0</v>
      </c>
      <c r="AC4" s="6" t="n">
        <v>0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inlineStr">
        <is>
          <t>Reserva importada do sistema Gover. Id: 4628623</t>
        </is>
      </c>
      <c r="AJ4" s="6" t="inlineStr">
        <is>
          <t>Tarifa mínima não preenchida! (ACC01)</t>
        </is>
      </c>
      <c r="AK4" s="6" t="inlineStr">
        <is>
          <t>GOVER</t>
        </is>
      </c>
      <c r="AL4" s="6" t="inlineStr">
        <is>
          <t>Tarifa mínima</t>
        </is>
      </c>
      <c r="AM4" s="6" t="inlineStr">
        <is>
          <t>Falta de informação Gerencial</t>
        </is>
      </c>
      <c r="AN4" s="6" t="inlineStr">
        <is>
          <t>Dados do Fornecedor</t>
        </is>
      </c>
      <c r="AO4" s="6" t="inlineStr">
        <is>
          <t>Qualidade dos dados</t>
        </is>
      </c>
      <c r="AP4" s="6" t="inlineStr">
        <is>
          <t>GRUPO KONTIK</t>
        </is>
      </c>
      <c r="AQ4" s="6" t="inlineStr">
        <is>
          <t>Central de Emissão</t>
        </is>
      </c>
    </row>
    <row r="5">
      <c r="A5" s="6" t="n">
        <v>23381188</v>
      </c>
      <c r="B5" s="6" t="n">
        <v>24104907</v>
      </c>
      <c r="C5" s="6" t="inlineStr">
        <is>
          <t>ACC01</t>
        </is>
      </c>
      <c r="D5" s="58" t="n">
        <v>45985.73225694444</v>
      </c>
      <c r="E5" s="58" t="n">
        <v>45985.73399305555</v>
      </c>
      <c r="F5" s="6" t="inlineStr">
        <is>
          <t>0 a 02 dias</t>
        </is>
      </c>
      <c r="G5" s="6" t="inlineStr">
        <is>
          <t>0 a 02 dias</t>
        </is>
      </c>
      <c r="H5" s="6" t="inlineStr">
        <is>
          <t>LA9575306EUMM</t>
        </is>
      </c>
      <c r="I5" s="6" t="inlineStr">
        <is>
          <t>EBOOKING</t>
        </is>
      </c>
      <c r="J5" s="6" t="inlineStr">
        <is>
          <t>Oliveira Souza/Camila</t>
        </is>
      </c>
      <c r="K5" s="6" t="inlineStr">
        <is>
          <t>Kontrip</t>
        </is>
      </c>
      <c r="L5" s="6" t="inlineStr">
        <is>
          <t>Kontrip</t>
        </is>
      </c>
      <c r="M5" s="58" t="n">
        <v>45985.21597222222</v>
      </c>
      <c r="N5" s="6" t="inlineStr">
        <is>
          <t>-</t>
        </is>
      </c>
      <c r="O5" s="6" t="inlineStr">
        <is>
          <t>-</t>
        </is>
      </c>
      <c r="P5" s="6" t="inlineStr">
        <is>
          <t>OFF LINE</t>
        </is>
      </c>
      <c r="Q5" s="6" t="inlineStr">
        <is>
          <t>Invoice</t>
        </is>
      </c>
      <c r="R5" s="6" t="inlineStr">
        <is>
          <t>Faturado</t>
        </is>
      </c>
      <c r="S5" s="6" t="inlineStr">
        <is>
          <t>Aéreo</t>
        </is>
      </c>
      <c r="T5" s="6" t="inlineStr">
        <is>
          <t>N</t>
        </is>
      </c>
      <c r="U5" s="6" t="inlineStr">
        <is>
          <t>Independente</t>
        </is>
      </c>
      <c r="V5" s="6" t="inlineStr">
        <is>
          <t>Tap Air Portugal</t>
        </is>
      </c>
      <c r="W5" s="6" t="inlineStr">
        <is>
          <t>-</t>
        </is>
      </c>
      <c r="X5" s="6" t="inlineStr">
        <is>
          <t>Latam Airlines Brasil</t>
        </is>
      </c>
      <c r="Y5" s="6" t="n">
        <v>2261116691</v>
      </c>
      <c r="Z5" s="6" t="inlineStr">
        <is>
          <t>KONTRIP</t>
        </is>
      </c>
      <c r="AA5" s="6" t="inlineStr">
        <is>
          <t>-</t>
        </is>
      </c>
      <c r="AB5" s="6" t="n">
        <v>603.92</v>
      </c>
      <c r="AC5" s="6" t="n">
        <v>33.64</v>
      </c>
      <c r="AD5" s="6" t="n">
        <v>0</v>
      </c>
      <c r="AE5" s="6" t="n">
        <v>60.39</v>
      </c>
      <c r="AF5" s="6" t="n">
        <v>0</v>
      </c>
      <c r="AG5" s="6" t="n">
        <v>0</v>
      </c>
      <c r="AH5" s="6" t="n">
        <v>43.18</v>
      </c>
      <c r="AI5" s="6" t="inlineStr">
        <is>
          <t>obs</t>
        </is>
      </c>
      <c r="AJ5" s="6" t="inlineStr">
        <is>
          <t>Centro de custo não preenchido! (ACC01)</t>
        </is>
      </c>
      <c r="AK5" s="6" t="inlineStr">
        <is>
          <t>KONTRIP</t>
        </is>
      </c>
      <c r="AL5" s="6" t="inlineStr">
        <is>
          <t>Centro de custo</t>
        </is>
      </c>
      <c r="AM5" s="6" t="inlineStr">
        <is>
          <t>Falta de informação Gerencial</t>
        </is>
      </c>
      <c r="AN5" s="6" t="inlineStr">
        <is>
          <t>Dados do Fornecedor</t>
        </is>
      </c>
      <c r="AO5" s="6" t="inlineStr">
        <is>
          <t>Qualidade dos dados</t>
        </is>
      </c>
      <c r="AP5" s="6" t="inlineStr">
        <is>
          <t>KONTRIP VIAGENS</t>
        </is>
      </c>
      <c r="AQ5" s="6" t="inlineStr">
        <is>
          <t>Operações - KONTRIP</t>
        </is>
      </c>
    </row>
    <row r="6">
      <c r="A6" s="6" t="n">
        <v>23381189</v>
      </c>
      <c r="B6" s="6" t="n">
        <v>24104908</v>
      </c>
      <c r="C6" s="6" t="inlineStr">
        <is>
          <t>ACC01</t>
        </is>
      </c>
      <c r="D6" s="58" t="n">
        <v>45985.73226851852</v>
      </c>
      <c r="E6" s="58" t="n">
        <v>45985.73393518518</v>
      </c>
      <c r="F6" s="6" t="inlineStr">
        <is>
          <t>0 a 02 dias</t>
        </is>
      </c>
      <c r="G6" s="6" t="inlineStr">
        <is>
          <t>0 a 02 dias</t>
        </is>
      </c>
      <c r="H6" s="6" t="inlineStr">
        <is>
          <t>LA9571569XKFU</t>
        </is>
      </c>
      <c r="I6" s="6" t="inlineStr">
        <is>
          <t>EBOOKING</t>
        </is>
      </c>
      <c r="J6" s="6" t="inlineStr">
        <is>
          <t>Oliveira Souza/Camila</t>
        </is>
      </c>
      <c r="K6" s="6" t="inlineStr">
        <is>
          <t>Kontrip</t>
        </is>
      </c>
      <c r="L6" s="6" t="inlineStr">
        <is>
          <t>Kontrip</t>
        </is>
      </c>
      <c r="M6" s="58" t="n">
        <v>45985.21597222222</v>
      </c>
      <c r="N6" s="6" t="inlineStr">
        <is>
          <t>-</t>
        </is>
      </c>
      <c r="O6" s="6" t="inlineStr">
        <is>
          <t>-</t>
        </is>
      </c>
      <c r="P6" s="6" t="inlineStr">
        <is>
          <t>OFF LINE</t>
        </is>
      </c>
      <c r="Q6" s="6" t="inlineStr">
        <is>
          <t>Invoice</t>
        </is>
      </c>
      <c r="R6" s="6" t="inlineStr">
        <is>
          <t>Faturado</t>
        </is>
      </c>
      <c r="S6" s="6" t="inlineStr">
        <is>
          <t>Aéreo</t>
        </is>
      </c>
      <c r="T6" s="6" t="inlineStr">
        <is>
          <t>N</t>
        </is>
      </c>
      <c r="U6" s="6" t="inlineStr">
        <is>
          <t>Independente</t>
        </is>
      </c>
      <c r="V6" s="6" t="inlineStr">
        <is>
          <t>Tap Air Portugal</t>
        </is>
      </c>
      <c r="W6" s="6" t="inlineStr">
        <is>
          <t>-</t>
        </is>
      </c>
      <c r="X6" s="6" t="inlineStr">
        <is>
          <t>Latam Airlines Brasil</t>
        </is>
      </c>
      <c r="Y6" s="6" t="n">
        <v>2261116922</v>
      </c>
      <c r="Z6" s="6" t="inlineStr">
        <is>
          <t>KONTRIP</t>
        </is>
      </c>
      <c r="AA6" s="6" t="inlineStr">
        <is>
          <t>-</t>
        </is>
      </c>
      <c r="AB6" s="6" t="n">
        <v>603.92</v>
      </c>
      <c r="AC6" s="6" t="n">
        <v>47.02</v>
      </c>
      <c r="AD6" s="6" t="n">
        <v>0</v>
      </c>
      <c r="AE6" s="6" t="n">
        <v>60.39</v>
      </c>
      <c r="AF6" s="6" t="n">
        <v>0</v>
      </c>
      <c r="AG6" s="6" t="n">
        <v>0</v>
      </c>
      <c r="AH6" s="6" t="n">
        <v>43.18</v>
      </c>
      <c r="AI6" s="6" t="inlineStr">
        <is>
          <t>obs</t>
        </is>
      </c>
      <c r="AJ6" s="6" t="inlineStr">
        <is>
          <t>Centro de custo não preenchido! (ACC01)</t>
        </is>
      </c>
      <c r="AK6" s="6" t="inlineStr">
        <is>
          <t>KONTRIP</t>
        </is>
      </c>
      <c r="AL6" s="6" t="inlineStr">
        <is>
          <t>Centro de custo</t>
        </is>
      </c>
      <c r="AM6" s="6" t="inlineStr">
        <is>
          <t>Falta de informação Gerencial</t>
        </is>
      </c>
      <c r="AN6" s="6" t="inlineStr">
        <is>
          <t>Dados do Fornecedor</t>
        </is>
      </c>
      <c r="AO6" s="6" t="inlineStr">
        <is>
          <t>Qualidade dos dados</t>
        </is>
      </c>
      <c r="AP6" s="6" t="inlineStr">
        <is>
          <t>KONTRIP VIAGENS</t>
        </is>
      </c>
      <c r="AQ6" s="6" t="inlineStr">
        <is>
          <t>Operações - KONTRIP</t>
        </is>
      </c>
    </row>
    <row r="7">
      <c r="A7" s="6" t="n">
        <v>23331586</v>
      </c>
      <c r="B7" s="6" t="n">
        <v>24060548</v>
      </c>
      <c r="C7" s="6" t="inlineStr">
        <is>
          <t>ACC01</t>
        </is>
      </c>
      <c r="D7" s="58" t="n">
        <v>45976.6625462963</v>
      </c>
      <c r="E7" s="58" t="n">
        <v>45979.60766203704</v>
      </c>
      <c r="F7" s="6" t="inlineStr">
        <is>
          <t>06 a 08 dias</t>
        </is>
      </c>
      <c r="G7" s="6" t="inlineStr">
        <is>
          <t>09 a 15 dias</t>
        </is>
      </c>
      <c r="H7" s="6" t="inlineStr">
        <is>
          <t>HLC48G</t>
        </is>
      </c>
      <c r="I7" s="6" t="inlineStr">
        <is>
          <t>GOVER</t>
        </is>
      </c>
      <c r="J7" s="6" t="inlineStr">
        <is>
          <t>CAROLINE BALDI ROMANCINI</t>
        </is>
      </c>
      <c r="K7" s="6" t="inlineStr">
        <is>
          <t>Gover</t>
        </is>
      </c>
      <c r="L7" s="6" t="inlineStr">
        <is>
          <t>Gover</t>
        </is>
      </c>
      <c r="M7" s="58" t="n">
        <v>45976.31597222222</v>
      </c>
      <c r="N7" s="6" t="n">
        <v>4628463</v>
      </c>
      <c r="O7" s="6" t="inlineStr">
        <is>
          <t>-</t>
        </is>
      </c>
      <c r="P7" s="6" t="inlineStr">
        <is>
          <t>ON LINE</t>
        </is>
      </c>
      <c r="Q7" s="6" t="inlineStr">
        <is>
          <t>Cartão de crédito</t>
        </is>
      </c>
      <c r="R7" s="6" t="inlineStr">
        <is>
          <t>Cartão AMEX</t>
        </is>
      </c>
      <c r="S7" s="6" t="inlineStr">
        <is>
          <t>Aéreo</t>
        </is>
      </c>
      <c r="T7" s="6" t="inlineStr">
        <is>
          <t>N</t>
        </is>
      </c>
      <c r="U7" s="6" t="inlineStr">
        <is>
          <t>Grupo Biomerieux</t>
        </is>
      </c>
      <c r="V7" s="6" t="inlineStr">
        <is>
          <t>Biomerieux</t>
        </is>
      </c>
      <c r="W7" s="6" t="inlineStr">
        <is>
          <t>-</t>
        </is>
      </c>
      <c r="X7" s="6" t="inlineStr">
        <is>
          <t>Azul Linhas Aereas</t>
        </is>
      </c>
      <c r="Y7" s="6" t="n">
        <v>3024060547</v>
      </c>
      <c r="Z7" s="6" t="inlineStr">
        <is>
          <t>KON-OPE-RIO-PVI-BTC-BIOMERIEUX</t>
        </is>
      </c>
      <c r="AA7" s="6" t="inlineStr">
        <is>
          <t>-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inlineStr">
        <is>
          <t>Reserva importada do sistema Gover. Id: 4628463</t>
        </is>
      </c>
      <c r="AJ7" s="6" t="inlineStr">
        <is>
          <t>Accouting aérea não possui trechos (Bilhete: 3024060547)</t>
        </is>
      </c>
      <c r="AK7" s="6" t="inlineStr">
        <is>
          <t>GOVER</t>
        </is>
      </c>
      <c r="AL7" s="6" t="inlineStr">
        <is>
          <t>Falta informação nos trechos</t>
        </is>
      </c>
      <c r="AM7" s="6" t="inlineStr">
        <is>
          <t>Atualização de Trechos</t>
        </is>
      </c>
      <c r="AN7" s="6" t="inlineStr">
        <is>
          <t>Dados do Fornecedor</t>
        </is>
      </c>
      <c r="AO7" s="6" t="inlineStr">
        <is>
          <t>Qualidade dos dados</t>
        </is>
      </c>
      <c r="AP7" s="6" t="inlineStr">
        <is>
          <t>KONTIK BUSINESS TRAVEL</t>
        </is>
      </c>
      <c r="AQ7" s="6" t="inlineStr">
        <is>
          <t>Suporte KCS</t>
        </is>
      </c>
    </row>
    <row r="8">
      <c r="A8" s="6" t="n">
        <v>23318551</v>
      </c>
      <c r="B8" s="6" t="n">
        <v>24048249</v>
      </c>
      <c r="C8" s="6" t="inlineStr">
        <is>
          <t>ACC01</t>
        </is>
      </c>
      <c r="D8" s="58" t="n">
        <v>45974.71210648148</v>
      </c>
      <c r="E8" s="58" t="n">
        <v>45974.71586805556</v>
      </c>
      <c r="F8" s="6" t="inlineStr">
        <is>
          <t>09 a 15 dias</t>
        </is>
      </c>
      <c r="G8" s="6" t="inlineStr">
        <is>
          <t>09 a 15 dias</t>
        </is>
      </c>
      <c r="H8" s="6" t="n">
        <v>20836438</v>
      </c>
      <c r="I8" s="6" t="inlineStr">
        <is>
          <t>GOVER</t>
        </is>
      </c>
      <c r="J8" s="6" t="inlineStr">
        <is>
          <t>Otávio Francisco Lopes Neto</t>
        </is>
      </c>
      <c r="K8" s="6" t="inlineStr">
        <is>
          <t>RAIANY DA PAZ VIDAL CORREIA DA SILVA</t>
        </is>
      </c>
      <c r="L8" s="6" t="inlineStr">
        <is>
          <t>RAIANY DA PAZ VIDAL CORREIA DA SILVA</t>
        </is>
      </c>
      <c r="M8" s="58" t="n">
        <v>45974</v>
      </c>
      <c r="N8" s="6" t="n">
        <v>4624739</v>
      </c>
      <c r="O8" s="6" t="inlineStr">
        <is>
          <t>-</t>
        </is>
      </c>
      <c r="P8" s="6" t="inlineStr">
        <is>
          <t>OFF LINE</t>
        </is>
      </c>
      <c r="Q8" s="6" t="inlineStr">
        <is>
          <t>Cartão de crédito</t>
        </is>
      </c>
      <c r="R8" s="6" t="inlineStr">
        <is>
          <t>Faturado</t>
        </is>
      </c>
      <c r="S8" s="6" t="inlineStr">
        <is>
          <t>Hotel</t>
        </is>
      </c>
      <c r="T8" s="6" t="inlineStr">
        <is>
          <t>N</t>
        </is>
      </c>
      <c r="U8" s="6" t="inlineStr">
        <is>
          <t>Grupo Biomerieux</t>
        </is>
      </c>
      <c r="V8" s="6" t="inlineStr">
        <is>
          <t>Biomerieux</t>
        </is>
      </c>
      <c r="W8" s="6" t="inlineStr">
        <is>
          <t>-</t>
        </is>
      </c>
      <c r="X8" s="6" t="inlineStr">
        <is>
          <t>-</t>
        </is>
      </c>
      <c r="Y8" s="6" t="inlineStr">
        <is>
          <t>-</t>
        </is>
      </c>
      <c r="Z8" s="6" t="inlineStr">
        <is>
          <t>KON-OPE-RIO-PVI-BTC-BIOMERIEUX</t>
        </is>
      </c>
      <c r="AA8" s="6" t="inlineStr">
        <is>
          <t>-</t>
        </is>
      </c>
      <c r="AB8" s="6" t="n">
        <v>756</v>
      </c>
      <c r="AC8" s="6" t="n">
        <v>15.12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inlineStr">
        <is>
          <t>Reserva importada do sistema Gover. Id: 4624739</t>
        </is>
      </c>
      <c r="AJ8" s="6" t="inlineStr">
        <is>
          <t>Fornecedor não preenchido! (ACC01)</t>
        </is>
      </c>
      <c r="AK8" s="6" t="inlineStr">
        <is>
          <t>GOVER</t>
        </is>
      </c>
      <c r="AL8" s="6" t="inlineStr">
        <is>
          <t>Falta de Fornecedor</t>
        </is>
      </c>
      <c r="AM8" s="6" t="inlineStr">
        <is>
          <t>Campo Fornecedor</t>
        </is>
      </c>
      <c r="AN8" s="6" t="inlineStr">
        <is>
          <t>Dados do Fornecedor</t>
        </is>
      </c>
      <c r="AO8" s="6" t="inlineStr">
        <is>
          <t>Sistêmico</t>
        </is>
      </c>
      <c r="AP8" s="6" t="inlineStr">
        <is>
          <t>GRUPO KONTIK</t>
        </is>
      </c>
      <c r="AQ8" s="6" t="inlineStr">
        <is>
          <t>Suporte Benner</t>
        </is>
      </c>
    </row>
    <row r="9">
      <c r="A9" s="6" t="n">
        <v>23331525</v>
      </c>
      <c r="B9" s="6" t="n">
        <v>24060495</v>
      </c>
      <c r="C9" s="6" t="inlineStr">
        <is>
          <t>ACC01</t>
        </is>
      </c>
      <c r="D9" s="58" t="n">
        <v>45976.65012731482</v>
      </c>
      <c r="E9" s="58" t="n">
        <v>45985.88939814815</v>
      </c>
      <c r="F9" s="6" t="inlineStr">
        <is>
          <t>0 a 02 dias</t>
        </is>
      </c>
      <c r="G9" s="6" t="inlineStr">
        <is>
          <t>09 a 15 dias</t>
        </is>
      </c>
      <c r="H9" s="6" t="inlineStr">
        <is>
          <t>5TZ9P5</t>
        </is>
      </c>
      <c r="I9" s="6" t="inlineStr">
        <is>
          <t>MANUAL</t>
        </is>
      </c>
      <c r="J9" s="6" t="inlineStr">
        <is>
          <t>ANTONIO FLAVIO RIBEIRO SANTOS</t>
        </is>
      </c>
      <c r="K9" s="6" t="inlineStr">
        <is>
          <t>Felipe Aparecido da Silva Neves</t>
        </is>
      </c>
      <c r="L9" s="6" t="inlineStr">
        <is>
          <t>Felipe Aparecido da Silva Neves</t>
        </is>
      </c>
      <c r="M9" s="58" t="n">
        <v>45976.62847222222</v>
      </c>
      <c r="N9" s="6" t="inlineStr">
        <is>
          <t xml:space="preserve"> TICKET #797792</t>
        </is>
      </c>
      <c r="O9" s="6" t="inlineStr">
        <is>
          <t>-</t>
        </is>
      </c>
      <c r="P9" s="6" t="inlineStr">
        <is>
          <t>OFF LINE</t>
        </is>
      </c>
      <c r="Q9" s="6" t="inlineStr">
        <is>
          <t>Invoice</t>
        </is>
      </c>
      <c r="R9" s="6" t="inlineStr">
        <is>
          <t>Cartão AMEX</t>
        </is>
      </c>
      <c r="S9" s="6" t="inlineStr">
        <is>
          <t>Aéreo</t>
        </is>
      </c>
      <c r="T9" s="6" t="inlineStr">
        <is>
          <t>N</t>
        </is>
      </c>
      <c r="U9" s="6" t="inlineStr">
        <is>
          <t>Grupo Lazer Kontik</t>
        </is>
      </c>
      <c r="V9" s="6" t="inlineStr">
        <is>
          <t>Vendas Lazer - Pessoa Fisica</t>
        </is>
      </c>
      <c r="W9" s="6" t="inlineStr">
        <is>
          <t>-</t>
        </is>
      </c>
      <c r="X9" s="6" t="inlineStr">
        <is>
          <t>Latam Airlines Brasil</t>
        </is>
      </c>
      <c r="Y9" s="6" t="n">
        <v>2259836288</v>
      </c>
      <c r="Z9" s="6" t="inlineStr">
        <is>
          <t>EMERGENCIAL</t>
        </is>
      </c>
      <c r="AA9" s="6" t="inlineStr">
        <is>
          <t>-</t>
        </is>
      </c>
      <c r="AB9" s="6" t="n">
        <v>791.14</v>
      </c>
      <c r="AC9" s="6" t="n">
        <v>0</v>
      </c>
      <c r="AD9" s="6" t="n">
        <v>450</v>
      </c>
      <c r="AE9" s="6" t="n">
        <v>0</v>
      </c>
      <c r="AF9" s="6" t="n">
        <v>0</v>
      </c>
      <c r="AG9" s="6" t="n">
        <v>0</v>
      </c>
      <c r="AH9" s="6" t="n">
        <v>0</v>
      </c>
      <c r="AI9" s="6" t="inlineStr">
        <is>
          <t>Emergencial: Ticket #797792</t>
        </is>
      </c>
      <c r="AJ9" s="6" t="inlineStr">
        <is>
          <t xml:space="preserve"> Módulo Operações    -&gt; Configurações      -&gt; Configurações do sistema turismo        -&gt; Importação das vendas          -&gt; Entradas/Saídas  Para o </t>
        </is>
      </c>
      <c r="AK9" s="6" t="inlineStr">
        <is>
          <t>MANUAL</t>
        </is>
      </c>
      <c r="AL9" s="6" t="inlineStr">
        <is>
          <t>Forma de Pagamento indevida</t>
        </is>
      </c>
      <c r="AM9" s="6" t="inlineStr">
        <is>
          <t>Forma PG. e REC.</t>
        </is>
      </c>
      <c r="AN9" s="6" t="inlineStr">
        <is>
          <t>Dados do Fornecedor</t>
        </is>
      </c>
      <c r="AO9" s="6" t="inlineStr">
        <is>
          <t>Qualidade dos dados</t>
        </is>
      </c>
      <c r="AP9" s="6" t="inlineStr">
        <is>
          <t>KONTIK BUSINESS TRAVEL</t>
        </is>
      </c>
      <c r="AQ9" s="6" t="inlineStr">
        <is>
          <t>Operações - CORP</t>
        </is>
      </c>
    </row>
    <row r="10">
      <c r="A10" s="6" t="n">
        <v>23379736</v>
      </c>
      <c r="B10" s="6" t="n">
        <v>24103425</v>
      </c>
      <c r="C10" s="6" t="inlineStr">
        <is>
          <t>ACC01</t>
        </is>
      </c>
      <c r="D10" s="58" t="n">
        <v>45985.63831018518</v>
      </c>
      <c r="E10" s="58" t="n">
        <v>45985.63976851852</v>
      </c>
      <c r="F10" s="6" t="inlineStr">
        <is>
          <t>0 a 02 dias</t>
        </is>
      </c>
      <c r="G10" s="6" t="inlineStr">
        <is>
          <t>0 a 02 dias</t>
        </is>
      </c>
      <c r="H10" s="6" t="inlineStr">
        <is>
          <t>NFJUSP</t>
        </is>
      </c>
      <c r="I10" s="6" t="inlineStr">
        <is>
          <t>EBOOKING</t>
        </is>
      </c>
      <c r="J10" s="6" t="inlineStr">
        <is>
          <t>Julio Cesar Silva Junior</t>
        </is>
      </c>
      <c r="K10" s="6" t="inlineStr">
        <is>
          <t>Zupper</t>
        </is>
      </c>
      <c r="L10" s="6" t="inlineStr">
        <is>
          <t>Zupper</t>
        </is>
      </c>
      <c r="M10" s="58" t="n">
        <v>45985.6375</v>
      </c>
      <c r="N10" s="6" t="n">
        <v>6977313</v>
      </c>
      <c r="O10" s="6" t="inlineStr">
        <is>
          <t>-</t>
        </is>
      </c>
      <c r="P10" s="6" t="inlineStr">
        <is>
          <t>OFF LINE</t>
        </is>
      </c>
      <c r="Q10" s="6" t="inlineStr">
        <is>
          <t>Cartão de crédito</t>
        </is>
      </c>
      <c r="R10" s="6" t="inlineStr">
        <is>
          <t>Cartão de crédito</t>
        </is>
      </c>
      <c r="S10" s="6" t="inlineStr">
        <is>
          <t>Aéreo</t>
        </is>
      </c>
      <c r="T10" s="6" t="inlineStr">
        <is>
          <t>N</t>
        </is>
      </c>
      <c r="U10" s="6" t="inlineStr">
        <is>
          <t>Grupo Zupper</t>
        </is>
      </c>
      <c r="V10" s="6" t="inlineStr">
        <is>
          <t>Priscila Cortez Braga Silva</t>
        </is>
      </c>
      <c r="W10" s="6" t="inlineStr">
        <is>
          <t>-</t>
        </is>
      </c>
      <c r="X10" s="6" t="inlineStr">
        <is>
          <t>Latam Airlines Brasil</t>
        </is>
      </c>
      <c r="Y10" s="6" t="n">
        <v>2261090024</v>
      </c>
      <c r="Z10" s="6" t="inlineStr">
        <is>
          <t>ZUPPER</t>
        </is>
      </c>
      <c r="AA10" s="6" t="inlineStr">
        <is>
          <t>-</t>
        </is>
      </c>
      <c r="AB10" s="6" t="n">
        <v>769.52</v>
      </c>
      <c r="AC10" s="6" t="n">
        <v>56.78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230.86</v>
      </c>
      <c r="AI10" s="6" t="inlineStr">
        <is>
          <t>-</t>
        </is>
      </c>
      <c r="AJ10" s="6" t="inlineStr">
        <is>
          <t>Não foi possível definir o Local de destino!</t>
        </is>
      </c>
      <c r="AK10" s="6" t="inlineStr">
        <is>
          <t>ZUPPER</t>
        </is>
      </c>
      <c r="AL10" s="6" t="inlineStr">
        <is>
          <t>Cadastro enviado errado no Benner</t>
        </is>
      </c>
      <c r="AM10" s="6" t="inlineStr">
        <is>
          <t>Cadastro incompleto</t>
        </is>
      </c>
      <c r="AN10" s="6" t="inlineStr">
        <is>
          <t>Sistema</t>
        </is>
      </c>
      <c r="AO10" s="6" t="inlineStr">
        <is>
          <t>Sistêmico</t>
        </is>
      </c>
      <c r="AP10" s="6" t="inlineStr">
        <is>
          <t>ZUPPER VIAGENS</t>
        </is>
      </c>
      <c r="AQ10" s="6" t="inlineStr">
        <is>
          <t>Operações - ZUPPER</t>
        </is>
      </c>
    </row>
    <row r="11">
      <c r="A11" s="6" t="n">
        <v>23329909</v>
      </c>
      <c r="B11" s="6" t="n">
        <v>24059067</v>
      </c>
      <c r="C11" s="6" t="inlineStr">
        <is>
          <t>ACC01</t>
        </is>
      </c>
      <c r="D11" s="58" t="n">
        <v>45976.2847800926</v>
      </c>
      <c r="E11" s="58" t="n">
        <v>45979.37612268519</v>
      </c>
      <c r="F11" s="6" t="inlineStr">
        <is>
          <t>06 a 08 dias</t>
        </is>
      </c>
      <c r="G11" s="6" t="inlineStr">
        <is>
          <t>09 a 15 dias</t>
        </is>
      </c>
      <c r="H11" s="6" t="inlineStr">
        <is>
          <t>CFLRJQ</t>
        </is>
      </c>
      <c r="I11" s="6" t="inlineStr">
        <is>
          <t>EBOOKING</t>
        </is>
      </c>
      <c r="J11" s="6" t="inlineStr">
        <is>
          <t>Rosenir Silva Braga</t>
        </is>
      </c>
      <c r="K11" s="6" t="inlineStr">
        <is>
          <t>Zupper</t>
        </is>
      </c>
      <c r="L11" s="6" t="inlineStr">
        <is>
          <t>Zupper</t>
        </is>
      </c>
      <c r="M11" s="58" t="n">
        <v>45976.28402777778</v>
      </c>
      <c r="N11" s="6" t="n">
        <v>6951692</v>
      </c>
      <c r="O11" s="6" t="inlineStr">
        <is>
          <t>-</t>
        </is>
      </c>
      <c r="P11" s="6" t="inlineStr">
        <is>
          <t>OFF LINE</t>
        </is>
      </c>
      <c r="Q11" s="6" t="inlineStr">
        <is>
          <t>Invoice</t>
        </is>
      </c>
      <c r="R11" s="6" t="inlineStr">
        <is>
          <t>Cartão convênio</t>
        </is>
      </c>
      <c r="S11" s="6" t="inlineStr">
        <is>
          <t>Aéreo</t>
        </is>
      </c>
      <c r="T11" s="6" t="inlineStr">
        <is>
          <t>S</t>
        </is>
      </c>
      <c r="U11" s="6" t="inlineStr">
        <is>
          <t>Grupo Zupper</t>
        </is>
      </c>
      <c r="V11" s="6" t="inlineStr">
        <is>
          <t>Zupper Cartao</t>
        </is>
      </c>
      <c r="W11" s="6" t="inlineStr">
        <is>
          <t>-</t>
        </is>
      </c>
      <c r="X11" s="6" t="inlineStr">
        <is>
          <t>Latam Airlines Brasil</t>
        </is>
      </c>
      <c r="Y11" s="6" t="n">
        <v>2259793070</v>
      </c>
      <c r="Z11" s="6" t="inlineStr">
        <is>
          <t>ZUPPER</t>
        </is>
      </c>
      <c r="AA11" s="6" t="inlineStr">
        <is>
          <t>-</t>
        </is>
      </c>
      <c r="AB11" s="6" t="n">
        <v>577.52</v>
      </c>
      <c r="AC11" s="6" t="n">
        <v>55.17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490.9</v>
      </c>
      <c r="AI11" s="6" t="inlineStr">
        <is>
          <t>-</t>
        </is>
      </c>
      <c r="AJ11" s="6" t="inlineStr">
        <is>
          <t>Erro excluindo PNR: Não é possivel excluir a accounting de código: 25391809. A mesma está ligada a conciliação de cartão "PAYMEE 17.11.2025.xlsx"</t>
        </is>
      </c>
      <c r="AK11" s="6" t="inlineStr">
        <is>
          <t>ZUPPER</t>
        </is>
      </c>
      <c r="AL11" s="6" t="inlineStr">
        <is>
          <t>Conciliação de Cartão</t>
        </is>
      </c>
      <c r="AM11" s="6" t="inlineStr">
        <is>
          <t>Financeiro Conciliado</t>
        </is>
      </c>
      <c r="AN11" s="6" t="inlineStr">
        <is>
          <t>Edição não Permitida</t>
        </is>
      </c>
      <c r="AO11" s="6" t="inlineStr">
        <is>
          <t>Processo Operacional</t>
        </is>
      </c>
      <c r="AP11" s="6" t="inlineStr">
        <is>
          <t>ZUPPER VIAGENS</t>
        </is>
      </c>
      <c r="AQ11" s="6" t="inlineStr">
        <is>
          <t>Operações - ZUPPER</t>
        </is>
      </c>
    </row>
    <row r="12">
      <c r="A12" s="6" t="n">
        <v>23329909</v>
      </c>
      <c r="B12" s="6" t="n">
        <v>24059068</v>
      </c>
      <c r="C12" s="6" t="inlineStr">
        <is>
          <t>ACC02</t>
        </is>
      </c>
      <c r="D12" s="58" t="n">
        <v>45976.2847800926</v>
      </c>
      <c r="E12" s="58" t="n">
        <v>45979.37612268519</v>
      </c>
      <c r="F12" s="6" t="inlineStr">
        <is>
          <t>06 a 08 dias</t>
        </is>
      </c>
      <c r="G12" s="6" t="inlineStr">
        <is>
          <t>09 a 15 dias</t>
        </is>
      </c>
      <c r="H12" s="6" t="inlineStr">
        <is>
          <t>CFLRJQ</t>
        </is>
      </c>
      <c r="I12" s="6" t="inlineStr">
        <is>
          <t>EBOOKING</t>
        </is>
      </c>
      <c r="J12" s="6" t="inlineStr">
        <is>
          <t>Girleno Menezes Barbosa</t>
        </is>
      </c>
      <c r="K12" s="6" t="inlineStr">
        <is>
          <t>Zupper</t>
        </is>
      </c>
      <c r="L12" s="6" t="inlineStr">
        <is>
          <t>Zupper</t>
        </is>
      </c>
      <c r="M12" s="58" t="n">
        <v>45976.28402777778</v>
      </c>
      <c r="N12" s="6" t="n">
        <v>6951692</v>
      </c>
      <c r="O12" s="6" t="inlineStr">
        <is>
          <t>-</t>
        </is>
      </c>
      <c r="P12" s="6" t="inlineStr">
        <is>
          <t>OFF LINE</t>
        </is>
      </c>
      <c r="Q12" s="6" t="inlineStr">
        <is>
          <t>Invoice</t>
        </is>
      </c>
      <c r="R12" s="6" t="inlineStr">
        <is>
          <t>Cartão convênio</t>
        </is>
      </c>
      <c r="S12" s="6" t="inlineStr">
        <is>
          <t>Aéreo</t>
        </is>
      </c>
      <c r="T12" s="6" t="inlineStr">
        <is>
          <t>S</t>
        </is>
      </c>
      <c r="U12" s="6" t="inlineStr">
        <is>
          <t>Grupo Zupper</t>
        </is>
      </c>
      <c r="V12" s="6" t="inlineStr">
        <is>
          <t>Zupper Cartao</t>
        </is>
      </c>
      <c r="W12" s="6" t="inlineStr">
        <is>
          <t>-</t>
        </is>
      </c>
      <c r="X12" s="6" t="inlineStr">
        <is>
          <t>Latam Airlines Brasil</t>
        </is>
      </c>
      <c r="Y12" s="6" t="n">
        <v>2259793071</v>
      </c>
      <c r="Z12" s="6" t="inlineStr">
        <is>
          <t>ZUPPER</t>
        </is>
      </c>
      <c r="AA12" s="6" t="inlineStr">
        <is>
          <t>-</t>
        </is>
      </c>
      <c r="AB12" s="6" t="n">
        <v>577.52</v>
      </c>
      <c r="AC12" s="6" t="n">
        <v>55.17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inlineStr">
        <is>
          <t>-</t>
        </is>
      </c>
      <c r="AJ12" s="6" t="inlineStr">
        <is>
          <t>Erro excluindo PNR: Não é possivel excluir a accounting de código: 25391809. A mesma está ligada a conciliação de cartão "PAYMEE 17.11.2025.xlsx"</t>
        </is>
      </c>
      <c r="AK12" s="6" t="inlineStr">
        <is>
          <t>ZUPPER</t>
        </is>
      </c>
      <c r="AL12" s="6" t="inlineStr">
        <is>
          <t>Conciliação de Cartão</t>
        </is>
      </c>
      <c r="AM12" s="6" t="inlineStr">
        <is>
          <t>Financeiro Conciliado</t>
        </is>
      </c>
      <c r="AN12" s="6" t="inlineStr">
        <is>
          <t>Edição não Permitida</t>
        </is>
      </c>
      <c r="AO12" s="6" t="inlineStr">
        <is>
          <t>Processo Operacional</t>
        </is>
      </c>
      <c r="AP12" s="6" t="inlineStr">
        <is>
          <t>ZUPPER VIAGENS</t>
        </is>
      </c>
      <c r="AQ12" s="6" t="inlineStr">
        <is>
          <t>Operações - ZUPPER</t>
        </is>
      </c>
    </row>
    <row r="13">
      <c r="A13" s="6" t="n">
        <v>23332722</v>
      </c>
      <c r="B13" s="6" t="n">
        <v>24061614</v>
      </c>
      <c r="C13" s="6" t="inlineStr">
        <is>
          <t>ACC01</t>
        </is>
      </c>
      <c r="D13" s="58" t="n">
        <v>45976.91744212963</v>
      </c>
      <c r="E13" s="58" t="n">
        <v>45979.37971064815</v>
      </c>
      <c r="F13" s="6" t="inlineStr">
        <is>
          <t>06 a 08 dias</t>
        </is>
      </c>
      <c r="G13" s="6" t="inlineStr">
        <is>
          <t>09 a 15 dias</t>
        </is>
      </c>
      <c r="H13" s="6" t="inlineStr">
        <is>
          <t>RLZEGZ</t>
        </is>
      </c>
      <c r="I13" s="6" t="inlineStr">
        <is>
          <t>EBOOKING</t>
        </is>
      </c>
      <c r="J13" s="6" t="inlineStr">
        <is>
          <t>ADEMIR VALERIO</t>
        </is>
      </c>
      <c r="K13" s="6" t="inlineStr">
        <is>
          <t>Zupper</t>
        </is>
      </c>
      <c r="L13" s="6" t="inlineStr">
        <is>
          <t>Zupper</t>
        </is>
      </c>
      <c r="M13" s="58" t="n">
        <v>45976.91666666666</v>
      </c>
      <c r="N13" s="6" t="n">
        <v>6952979</v>
      </c>
      <c r="O13" s="6" t="inlineStr">
        <is>
          <t>-</t>
        </is>
      </c>
      <c r="P13" s="6" t="inlineStr">
        <is>
          <t>OFF LINE</t>
        </is>
      </c>
      <c r="Q13" s="6" t="inlineStr">
        <is>
          <t>Invoice</t>
        </is>
      </c>
      <c r="R13" s="6" t="inlineStr">
        <is>
          <t>Cartão convênio</t>
        </is>
      </c>
      <c r="S13" s="6" t="inlineStr">
        <is>
          <t>Aéreo</t>
        </is>
      </c>
      <c r="T13" s="6" t="inlineStr">
        <is>
          <t>N</t>
        </is>
      </c>
      <c r="U13" s="6" t="inlineStr">
        <is>
          <t>Grupo Zupper</t>
        </is>
      </c>
      <c r="V13" s="6" t="inlineStr">
        <is>
          <t>Fabiana Sambini</t>
        </is>
      </c>
      <c r="W13" s="6" t="inlineStr">
        <is>
          <t>-</t>
        </is>
      </c>
      <c r="X13" s="6" t="inlineStr">
        <is>
          <t>Azul Linhas Aereas</t>
        </is>
      </c>
      <c r="Y13" s="6" t="n">
        <v>3895134748</v>
      </c>
      <c r="Z13" s="6" t="inlineStr">
        <is>
          <t>ZUPPER</t>
        </is>
      </c>
      <c r="AA13" s="6" t="inlineStr">
        <is>
          <t>-</t>
        </is>
      </c>
      <c r="AB13" s="6" t="n">
        <v>1682.08</v>
      </c>
      <c r="AC13" s="6" t="n">
        <v>92.53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inlineStr">
        <is>
          <t>-</t>
        </is>
      </c>
      <c r="AJ13" s="6" t="inlineStr">
        <is>
          <t>Erro excluindo PNR: Não é possivel excluir a accounting de código: 25393682. A mesma está ligada a conciliação de cartão "PAYMEE 17.11.2025.xlsx"</t>
        </is>
      </c>
      <c r="AK13" s="6" t="inlineStr">
        <is>
          <t>ZUPPER</t>
        </is>
      </c>
      <c r="AL13" s="6" t="inlineStr">
        <is>
          <t>Conciliação de Cartão</t>
        </is>
      </c>
      <c r="AM13" s="6" t="inlineStr">
        <is>
          <t>Financeiro Conciliado</t>
        </is>
      </c>
      <c r="AN13" s="6" t="inlineStr">
        <is>
          <t>Edição não Permitida</t>
        </is>
      </c>
      <c r="AO13" s="6" t="inlineStr">
        <is>
          <t>Processo Operacional</t>
        </is>
      </c>
      <c r="AP13" s="6" t="inlineStr">
        <is>
          <t>ZUPPER VIAGENS</t>
        </is>
      </c>
      <c r="AQ13" s="6" t="inlineStr">
        <is>
          <t>Operações - ZUPPER</t>
        </is>
      </c>
    </row>
    <row r="14">
      <c r="A14" s="6" t="n">
        <v>23333521</v>
      </c>
      <c r="B14" s="6" t="n">
        <v>24062221</v>
      </c>
      <c r="C14" s="6" t="inlineStr">
        <is>
          <t>ACC01</t>
        </is>
      </c>
      <c r="D14" s="58" t="n">
        <v>45977.14121527778</v>
      </c>
      <c r="E14" s="58" t="n">
        <v>45979.38116898148</v>
      </c>
      <c r="F14" s="6" t="inlineStr">
        <is>
          <t>06 a 08 dias</t>
        </is>
      </c>
      <c r="G14" s="6" t="inlineStr">
        <is>
          <t>09 a 15 dias</t>
        </is>
      </c>
      <c r="H14" s="6" t="inlineStr">
        <is>
          <t>WFYUWK</t>
        </is>
      </c>
      <c r="I14" s="6" t="inlineStr">
        <is>
          <t>EBOOKING</t>
        </is>
      </c>
      <c r="J14" s="6" t="inlineStr">
        <is>
          <t>Victoria Cruz</t>
        </is>
      </c>
      <c r="K14" s="6" t="inlineStr">
        <is>
          <t>Zupper</t>
        </is>
      </c>
      <c r="L14" s="6" t="inlineStr">
        <is>
          <t>Zupper</t>
        </is>
      </c>
      <c r="M14" s="58" t="n">
        <v>45977.14027777778</v>
      </c>
      <c r="N14" s="6" t="n">
        <v>6953294</v>
      </c>
      <c r="O14" s="6" t="inlineStr">
        <is>
          <t>-</t>
        </is>
      </c>
      <c r="P14" s="6" t="inlineStr">
        <is>
          <t>OFF LINE</t>
        </is>
      </c>
      <c r="Q14" s="6" t="inlineStr">
        <is>
          <t>Invoice</t>
        </is>
      </c>
      <c r="R14" s="6" t="inlineStr">
        <is>
          <t>Cartão convênio</t>
        </is>
      </c>
      <c r="S14" s="6" t="inlineStr">
        <is>
          <t>Aéreo</t>
        </is>
      </c>
      <c r="T14" s="6" t="inlineStr">
        <is>
          <t>S</t>
        </is>
      </c>
      <c r="U14" s="6" t="inlineStr">
        <is>
          <t>Grupo Zupper</t>
        </is>
      </c>
      <c r="V14" s="6" t="inlineStr">
        <is>
          <t>Zupper Cartao</t>
        </is>
      </c>
      <c r="W14" s="6" t="inlineStr">
        <is>
          <t>-</t>
        </is>
      </c>
      <c r="X14" s="6" t="inlineStr">
        <is>
          <t>Latam Airlines Brasil</t>
        </is>
      </c>
      <c r="Y14" s="6" t="n">
        <v>2259897267</v>
      </c>
      <c r="Z14" s="6" t="inlineStr">
        <is>
          <t>ZUPPER</t>
        </is>
      </c>
      <c r="AA14" s="6" t="inlineStr">
        <is>
          <t>-</t>
        </is>
      </c>
      <c r="AB14" s="6" t="n">
        <v>1052.72</v>
      </c>
      <c r="AC14" s="6" t="n">
        <v>56.78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357.92</v>
      </c>
      <c r="AI14" s="6" t="inlineStr">
        <is>
          <t>-</t>
        </is>
      </c>
      <c r="AJ14" s="6" t="inlineStr">
        <is>
          <t>Erro excluindo PNR: Não é possivel excluir a accounting de código: 25394052. A mesma está ligada a conciliação de cartão "PAYMEE 17.11.2025.xlsx"</t>
        </is>
      </c>
      <c r="AK14" s="6" t="inlineStr">
        <is>
          <t>ZUPPER</t>
        </is>
      </c>
      <c r="AL14" s="6" t="inlineStr">
        <is>
          <t>Conciliação de Cartão</t>
        </is>
      </c>
      <c r="AM14" s="6" t="inlineStr">
        <is>
          <t>Financeiro Conciliado</t>
        </is>
      </c>
      <c r="AN14" s="6" t="inlineStr">
        <is>
          <t>Edição não Permitida</t>
        </is>
      </c>
      <c r="AO14" s="6" t="inlineStr">
        <is>
          <t>Processo Operacional</t>
        </is>
      </c>
      <c r="AP14" s="6" t="inlineStr">
        <is>
          <t>ZUPPER VIAGENS</t>
        </is>
      </c>
      <c r="AQ14" s="6" t="inlineStr">
        <is>
          <t>Operações - ZUPPER</t>
        </is>
      </c>
    </row>
    <row r="15">
      <c r="A15" s="6" t="n">
        <v>23333521</v>
      </c>
      <c r="B15" s="6" t="n">
        <v>24062222</v>
      </c>
      <c r="C15" s="6" t="inlineStr">
        <is>
          <t>ACC02</t>
        </is>
      </c>
      <c r="D15" s="58" t="n">
        <v>45977.14121527778</v>
      </c>
      <c r="E15" s="58" t="n">
        <v>45979.38116898148</v>
      </c>
      <c r="F15" s="6" t="inlineStr">
        <is>
          <t>06 a 08 dias</t>
        </is>
      </c>
      <c r="G15" s="6" t="inlineStr">
        <is>
          <t>09 a 15 dias</t>
        </is>
      </c>
      <c r="H15" s="6" t="inlineStr">
        <is>
          <t>WFYUWK</t>
        </is>
      </c>
      <c r="I15" s="6" t="inlineStr">
        <is>
          <t>EBOOKING</t>
        </is>
      </c>
      <c r="J15" s="6" t="inlineStr">
        <is>
          <t>Benicio Oliveira</t>
        </is>
      </c>
      <c r="K15" s="6" t="inlineStr">
        <is>
          <t>Zupper</t>
        </is>
      </c>
      <c r="L15" s="6" t="inlineStr">
        <is>
          <t>Zupper</t>
        </is>
      </c>
      <c r="M15" s="58" t="n">
        <v>45977.14027777778</v>
      </c>
      <c r="N15" s="6" t="n">
        <v>6953294</v>
      </c>
      <c r="O15" s="6" t="inlineStr">
        <is>
          <t>-</t>
        </is>
      </c>
      <c r="P15" s="6" t="inlineStr">
        <is>
          <t>OFF LINE</t>
        </is>
      </c>
      <c r="Q15" s="6" t="inlineStr">
        <is>
          <t>Invoice</t>
        </is>
      </c>
      <c r="R15" s="6" t="inlineStr">
        <is>
          <t>Cartão convênio</t>
        </is>
      </c>
      <c r="S15" s="6" t="inlineStr">
        <is>
          <t>Aéreo</t>
        </is>
      </c>
      <c r="T15" s="6" t="inlineStr">
        <is>
          <t>S</t>
        </is>
      </c>
      <c r="U15" s="6" t="inlineStr">
        <is>
          <t>Grupo Zupper</t>
        </is>
      </c>
      <c r="V15" s="6" t="inlineStr">
        <is>
          <t>Zupper Cartao</t>
        </is>
      </c>
      <c r="W15" s="6" t="inlineStr">
        <is>
          <t>-</t>
        </is>
      </c>
      <c r="X15" s="6" t="inlineStr">
        <is>
          <t>Latam Airlines Brasil</t>
        </is>
      </c>
      <c r="Y15" s="6" t="n">
        <v>2259897268</v>
      </c>
      <c r="Z15" s="6" t="inlineStr">
        <is>
          <t>ZUPPER</t>
        </is>
      </c>
      <c r="AA15" s="6" t="inlineStr">
        <is>
          <t>-</t>
        </is>
      </c>
      <c r="AB15" s="6" t="n">
        <v>1052.72</v>
      </c>
      <c r="AC15" s="6" t="n">
        <v>56.78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inlineStr">
        <is>
          <t>-</t>
        </is>
      </c>
      <c r="AJ15" s="6" t="inlineStr">
        <is>
          <t>Erro excluindo PNR: Não é possivel excluir a accounting de código: 25394052. A mesma está ligada a conciliação de cartão "PAYMEE 17.11.2025.xlsx"</t>
        </is>
      </c>
      <c r="AK15" s="6" t="inlineStr">
        <is>
          <t>ZUPPER</t>
        </is>
      </c>
      <c r="AL15" s="6" t="inlineStr">
        <is>
          <t>Conciliação de Cartão</t>
        </is>
      </c>
      <c r="AM15" s="6" t="inlineStr">
        <is>
          <t>Financeiro Conciliado</t>
        </is>
      </c>
      <c r="AN15" s="6" t="inlineStr">
        <is>
          <t>Edição não Permitida</t>
        </is>
      </c>
      <c r="AO15" s="6" t="inlineStr">
        <is>
          <t>Processo Operacional</t>
        </is>
      </c>
      <c r="AP15" s="6" t="inlineStr">
        <is>
          <t>ZUPPER VIAGENS</t>
        </is>
      </c>
      <c r="AQ15" s="6" t="inlineStr">
        <is>
          <t>Operações - ZUPPER</t>
        </is>
      </c>
    </row>
    <row r="16">
      <c r="A16" s="6" t="n">
        <v>23336052</v>
      </c>
      <c r="B16" s="6" t="n">
        <v>24064344</v>
      </c>
      <c r="C16" s="6" t="inlineStr">
        <is>
          <t>ACC02</t>
        </is>
      </c>
      <c r="D16" s="58" t="n">
        <v>45977.7834375</v>
      </c>
      <c r="E16" s="58" t="n">
        <v>45979.38715277778</v>
      </c>
      <c r="F16" s="6" t="inlineStr">
        <is>
          <t>06 a 08 dias</t>
        </is>
      </c>
      <c r="G16" s="6" t="inlineStr">
        <is>
          <t>09 a 15 dias</t>
        </is>
      </c>
      <c r="H16" s="6" t="inlineStr">
        <is>
          <t>BL8JGG</t>
        </is>
      </c>
      <c r="I16" s="6" t="inlineStr">
        <is>
          <t>EBOOKING</t>
        </is>
      </c>
      <c r="J16" s="6" t="inlineStr">
        <is>
          <t>Giulianna Delgado</t>
        </is>
      </c>
      <c r="K16" s="6" t="inlineStr">
        <is>
          <t>Zupper</t>
        </is>
      </c>
      <c r="L16" s="6" t="inlineStr">
        <is>
          <t>Zupper</t>
        </is>
      </c>
      <c r="M16" s="58" t="n">
        <v>45977.78263888889</v>
      </c>
      <c r="N16" s="6" t="n">
        <v>6954301</v>
      </c>
      <c r="O16" s="6" t="inlineStr">
        <is>
          <t>-</t>
        </is>
      </c>
      <c r="P16" s="6" t="inlineStr">
        <is>
          <t>OFF LINE</t>
        </is>
      </c>
      <c r="Q16" s="6" t="inlineStr">
        <is>
          <t>Invoice</t>
        </is>
      </c>
      <c r="R16" s="6" t="inlineStr">
        <is>
          <t>Cartão convênio</t>
        </is>
      </c>
      <c r="S16" s="6" t="inlineStr">
        <is>
          <t>Aéreo</t>
        </is>
      </c>
      <c r="T16" s="6" t="inlineStr">
        <is>
          <t>S</t>
        </is>
      </c>
      <c r="U16" s="6" t="inlineStr">
        <is>
          <t>Grupo Zupper</t>
        </is>
      </c>
      <c r="V16" s="6" t="inlineStr">
        <is>
          <t>Giulianna Angelica Piason de Brito</t>
        </is>
      </c>
      <c r="W16" s="6" t="inlineStr">
        <is>
          <t>-</t>
        </is>
      </c>
      <c r="X16" s="6" t="inlineStr">
        <is>
          <t>Azul Linhas Aereas</t>
        </is>
      </c>
      <c r="Y16" s="6" t="n">
        <v>5824548844</v>
      </c>
      <c r="Z16" s="6" t="inlineStr">
        <is>
          <t>ZUPPER</t>
        </is>
      </c>
      <c r="AA16" s="6" t="inlineStr">
        <is>
          <t>-</t>
        </is>
      </c>
      <c r="AB16" s="6" t="n">
        <v>404.38</v>
      </c>
      <c r="AC16" s="6" t="n">
        <v>58.89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0</v>
      </c>
      <c r="AI16" s="6" t="inlineStr">
        <is>
          <t>-</t>
        </is>
      </c>
      <c r="AJ16" s="6" t="inlineStr">
        <is>
          <t>Erro excluindo PNR: Não é possivel excluir a accounting de código: 25395461. A mesma está ligada a conciliação de cartão "PAYMEE 17.11.2025.xlsx"</t>
        </is>
      </c>
      <c r="AK16" s="6" t="inlineStr">
        <is>
          <t>ZUPPER</t>
        </is>
      </c>
      <c r="AL16" s="6" t="inlineStr">
        <is>
          <t>Conciliação de Cartão</t>
        </is>
      </c>
      <c r="AM16" s="6" t="inlineStr">
        <is>
          <t>Financeiro Conciliado</t>
        </is>
      </c>
      <c r="AN16" s="6" t="inlineStr">
        <is>
          <t>Edição não Permitida</t>
        </is>
      </c>
      <c r="AO16" s="6" t="inlineStr">
        <is>
          <t>Processo Operacional</t>
        </is>
      </c>
      <c r="AP16" s="6" t="inlineStr">
        <is>
          <t>ZUPPER VIAGENS</t>
        </is>
      </c>
      <c r="AQ16" s="6" t="inlineStr">
        <is>
          <t>Operações - ZUPPER</t>
        </is>
      </c>
    </row>
    <row r="17">
      <c r="A17" s="6" t="n">
        <v>23336052</v>
      </c>
      <c r="B17" s="6" t="n">
        <v>24064345</v>
      </c>
      <c r="C17" s="6" t="inlineStr">
        <is>
          <t>ACC03</t>
        </is>
      </c>
      <c r="D17" s="58" t="n">
        <v>45977.7834375</v>
      </c>
      <c r="E17" s="58" t="n">
        <v>45979.38715277778</v>
      </c>
      <c r="F17" s="6" t="inlineStr">
        <is>
          <t>06 a 08 dias</t>
        </is>
      </c>
      <c r="G17" s="6" t="inlineStr">
        <is>
          <t>09 a 15 dias</t>
        </is>
      </c>
      <c r="H17" s="6" t="inlineStr">
        <is>
          <t>BL8JGG</t>
        </is>
      </c>
      <c r="I17" s="6" t="inlineStr">
        <is>
          <t>EBOOKING</t>
        </is>
      </c>
      <c r="J17" s="6" t="inlineStr">
        <is>
          <t>Felipe Vieira</t>
        </is>
      </c>
      <c r="K17" s="6" t="inlineStr">
        <is>
          <t>Zupper</t>
        </is>
      </c>
      <c r="L17" s="6" t="inlineStr">
        <is>
          <t>Zupper</t>
        </is>
      </c>
      <c r="M17" s="58" t="n">
        <v>45977.78263888889</v>
      </c>
      <c r="N17" s="6" t="n">
        <v>6954301</v>
      </c>
      <c r="O17" s="6" t="inlineStr">
        <is>
          <t>-</t>
        </is>
      </c>
      <c r="P17" s="6" t="inlineStr">
        <is>
          <t>OFF LINE</t>
        </is>
      </c>
      <c r="Q17" s="6" t="inlineStr">
        <is>
          <t>Invoice</t>
        </is>
      </c>
      <c r="R17" s="6" t="inlineStr">
        <is>
          <t>Cartão convênio</t>
        </is>
      </c>
      <c r="S17" s="6" t="inlineStr">
        <is>
          <t>Aéreo</t>
        </is>
      </c>
      <c r="T17" s="6" t="inlineStr">
        <is>
          <t>S</t>
        </is>
      </c>
      <c r="U17" s="6" t="inlineStr">
        <is>
          <t>Grupo Zupper</t>
        </is>
      </c>
      <c r="V17" s="6" t="inlineStr">
        <is>
          <t>Giulianna Angelica Piason de Brito</t>
        </is>
      </c>
      <c r="W17" s="6" t="inlineStr">
        <is>
          <t>-</t>
        </is>
      </c>
      <c r="X17" s="6" t="inlineStr">
        <is>
          <t>Azul Linhas Aereas</t>
        </is>
      </c>
      <c r="Y17" s="6" t="n">
        <v>6776511627</v>
      </c>
      <c r="Z17" s="6" t="inlineStr">
        <is>
          <t>ZUPPER</t>
        </is>
      </c>
      <c r="AA17" s="6" t="inlineStr">
        <is>
          <t>-</t>
        </is>
      </c>
      <c r="AB17" s="6" t="n">
        <v>404.38</v>
      </c>
      <c r="AC17" s="6" t="n">
        <v>58.89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inlineStr">
        <is>
          <t>-</t>
        </is>
      </c>
      <c r="AJ17" s="6" t="inlineStr">
        <is>
          <t>Erro excluindo PNR: Não é possivel excluir a accounting de código: 25395461. A mesma está ligada a conciliação de cartão "PAYMEE 17.11.2025.xlsx"</t>
        </is>
      </c>
      <c r="AK17" s="6" t="inlineStr">
        <is>
          <t>ZUPPER</t>
        </is>
      </c>
      <c r="AL17" s="6" t="inlineStr">
        <is>
          <t>Conciliação de Cartão</t>
        </is>
      </c>
      <c r="AM17" s="6" t="inlineStr">
        <is>
          <t>Financeiro Conciliado</t>
        </is>
      </c>
      <c r="AN17" s="6" t="inlineStr">
        <is>
          <t>Edição não Permitida</t>
        </is>
      </c>
      <c r="AO17" s="6" t="inlineStr">
        <is>
          <t>Processo Operacional</t>
        </is>
      </c>
      <c r="AP17" s="6" t="inlineStr">
        <is>
          <t>ZUPPER VIAGENS</t>
        </is>
      </c>
      <c r="AQ17" s="6" t="inlineStr">
        <is>
          <t>Operações - ZUPPER</t>
        </is>
      </c>
    </row>
    <row r="18">
      <c r="A18" s="6" t="n">
        <v>23336013</v>
      </c>
      <c r="B18" s="6" t="n">
        <v>24064300</v>
      </c>
      <c r="C18" s="6" t="inlineStr">
        <is>
          <t>ACC01</t>
        </is>
      </c>
      <c r="D18" s="58" t="n">
        <v>45977.77516203704</v>
      </c>
      <c r="E18" s="58" t="n">
        <v>45979.38710648148</v>
      </c>
      <c r="F18" s="6" t="inlineStr">
        <is>
          <t>06 a 08 dias</t>
        </is>
      </c>
      <c r="G18" s="6" t="inlineStr">
        <is>
          <t>09 a 15 dias</t>
        </is>
      </c>
      <c r="H18" s="6" t="inlineStr">
        <is>
          <t>GMKD4Q</t>
        </is>
      </c>
      <c r="I18" s="6" t="inlineStr">
        <is>
          <t>EBOOKING</t>
        </is>
      </c>
      <c r="J18" s="6" t="inlineStr">
        <is>
          <t>Giullia Delgado</t>
        </is>
      </c>
      <c r="K18" s="6" t="inlineStr">
        <is>
          <t>Zupper</t>
        </is>
      </c>
      <c r="L18" s="6" t="inlineStr">
        <is>
          <t>Zupper</t>
        </is>
      </c>
      <c r="M18" s="58" t="n">
        <v>45977.77430555555</v>
      </c>
      <c r="N18" s="6" t="n">
        <v>6954279</v>
      </c>
      <c r="O18" s="6" t="inlineStr">
        <is>
          <t>-</t>
        </is>
      </c>
      <c r="P18" s="6" t="inlineStr">
        <is>
          <t>OFF LINE</t>
        </is>
      </c>
      <c r="Q18" s="6" t="inlineStr">
        <is>
          <t>Invoice</t>
        </is>
      </c>
      <c r="R18" s="6" t="inlineStr">
        <is>
          <t>Cartão convênio</t>
        </is>
      </c>
      <c r="S18" s="6" t="inlineStr">
        <is>
          <t>Aéreo</t>
        </is>
      </c>
      <c r="T18" s="6" t="inlineStr">
        <is>
          <t>S</t>
        </is>
      </c>
      <c r="U18" s="6" t="inlineStr">
        <is>
          <t>Grupo Zupper</t>
        </is>
      </c>
      <c r="V18" s="6" t="inlineStr">
        <is>
          <t>Giulianna Angelica Piason de Brito</t>
        </is>
      </c>
      <c r="W18" s="6" t="inlineStr">
        <is>
          <t>-</t>
        </is>
      </c>
      <c r="X18" s="6" t="inlineStr">
        <is>
          <t>Azul Linhas Aereas</t>
        </is>
      </c>
      <c r="Y18" s="6" t="n">
        <v>970450104</v>
      </c>
      <c r="Z18" s="6" t="inlineStr">
        <is>
          <t>ZUPPER</t>
        </is>
      </c>
      <c r="AA18" s="6" t="inlineStr">
        <is>
          <t>-</t>
        </is>
      </c>
      <c r="AB18" s="6" t="n">
        <v>404.38</v>
      </c>
      <c r="AC18" s="6" t="n">
        <v>58.89</v>
      </c>
      <c r="AD18" s="6" t="n">
        <v>0</v>
      </c>
      <c r="AE18" s="6" t="n">
        <v>0</v>
      </c>
      <c r="AF18" s="6" t="n">
        <v>0</v>
      </c>
      <c r="AG18" s="6" t="n">
        <v>0</v>
      </c>
      <c r="AH18" s="6" t="n">
        <v>151.32</v>
      </c>
      <c r="AI18" s="6" t="inlineStr">
        <is>
          <t>-</t>
        </is>
      </c>
      <c r="AJ18" s="6" t="inlineStr">
        <is>
          <t>Erro excluindo PNR: Não é possivel excluir a accounting de código: 25395430. A mesma está ligada a conciliação de cartão "PAYMEE 17.11.2025.xlsx"</t>
        </is>
      </c>
      <c r="AK18" s="6" t="inlineStr">
        <is>
          <t>ZUPPER</t>
        </is>
      </c>
      <c r="AL18" s="6" t="inlineStr">
        <is>
          <t>Conciliação de Cartão</t>
        </is>
      </c>
      <c r="AM18" s="6" t="inlineStr">
        <is>
          <t>Financeiro Conciliado</t>
        </is>
      </c>
      <c r="AN18" s="6" t="inlineStr">
        <is>
          <t>Edição não Permitida</t>
        </is>
      </c>
      <c r="AO18" s="6" t="inlineStr">
        <is>
          <t>Processo Operacional</t>
        </is>
      </c>
      <c r="AP18" s="6" t="inlineStr">
        <is>
          <t>ZUPPER VIAGENS</t>
        </is>
      </c>
      <c r="AQ18" s="6" t="inlineStr">
        <is>
          <t>Operações - ZUPPER</t>
        </is>
      </c>
    </row>
    <row r="19">
      <c r="A19" s="6" t="n">
        <v>23336013</v>
      </c>
      <c r="B19" s="6" t="n">
        <v>24064301</v>
      </c>
      <c r="C19" s="6" t="inlineStr">
        <is>
          <t>ACC02</t>
        </is>
      </c>
      <c r="D19" s="58" t="n">
        <v>45977.77516203704</v>
      </c>
      <c r="E19" s="58" t="n">
        <v>45979.38710648148</v>
      </c>
      <c r="F19" s="6" t="inlineStr">
        <is>
          <t>06 a 08 dias</t>
        </is>
      </c>
      <c r="G19" s="6" t="inlineStr">
        <is>
          <t>09 a 15 dias</t>
        </is>
      </c>
      <c r="H19" s="6" t="inlineStr">
        <is>
          <t>GMKD4Q</t>
        </is>
      </c>
      <c r="I19" s="6" t="inlineStr">
        <is>
          <t>EBOOKING</t>
        </is>
      </c>
      <c r="J19" s="6" t="inlineStr">
        <is>
          <t>Giulianna Brito</t>
        </is>
      </c>
      <c r="K19" s="6" t="inlineStr">
        <is>
          <t>Zupper</t>
        </is>
      </c>
      <c r="L19" s="6" t="inlineStr">
        <is>
          <t>Zupper</t>
        </is>
      </c>
      <c r="M19" s="58" t="n">
        <v>45977.77430555555</v>
      </c>
      <c r="N19" s="6" t="n">
        <v>6954279</v>
      </c>
      <c r="O19" s="6" t="inlineStr">
        <is>
          <t>-</t>
        </is>
      </c>
      <c r="P19" s="6" t="inlineStr">
        <is>
          <t>OFF LINE</t>
        </is>
      </c>
      <c r="Q19" s="6" t="inlineStr">
        <is>
          <t>Invoice</t>
        </is>
      </c>
      <c r="R19" s="6" t="inlineStr">
        <is>
          <t>Cartão convênio</t>
        </is>
      </c>
      <c r="S19" s="6" t="inlineStr">
        <is>
          <t>Aéreo</t>
        </is>
      </c>
      <c r="T19" s="6" t="inlineStr">
        <is>
          <t>S</t>
        </is>
      </c>
      <c r="U19" s="6" t="inlineStr">
        <is>
          <t>Grupo Zupper</t>
        </is>
      </c>
      <c r="V19" s="6" t="inlineStr">
        <is>
          <t>Giulianna Angelica Piason de Brito</t>
        </is>
      </c>
      <c r="W19" s="6" t="inlineStr">
        <is>
          <t>-</t>
        </is>
      </c>
      <c r="X19" s="6" t="inlineStr">
        <is>
          <t>Azul Linhas Aereas</t>
        </is>
      </c>
      <c r="Y19" s="6" t="n">
        <v>1961580109</v>
      </c>
      <c r="Z19" s="6" t="inlineStr">
        <is>
          <t>ZUPPER</t>
        </is>
      </c>
      <c r="AA19" s="6" t="inlineStr">
        <is>
          <t>-</t>
        </is>
      </c>
      <c r="AB19" s="6" t="n">
        <v>404.38</v>
      </c>
      <c r="AC19" s="6" t="n">
        <v>58.89</v>
      </c>
      <c r="AD19" s="6" t="n">
        <v>0</v>
      </c>
      <c r="AE19" s="6" t="n">
        <v>0</v>
      </c>
      <c r="AF19" s="6" t="n">
        <v>0</v>
      </c>
      <c r="AG19" s="6" t="n">
        <v>0</v>
      </c>
      <c r="AH19" s="6" t="n">
        <v>0</v>
      </c>
      <c r="AI19" s="6" t="inlineStr">
        <is>
          <t>-</t>
        </is>
      </c>
      <c r="AJ19" s="6" t="inlineStr">
        <is>
          <t>Erro excluindo PNR: Não é possivel excluir a accounting de código: 25395430. A mesma está ligada a conciliação de cartão "PAYMEE 17.11.2025.xlsx"</t>
        </is>
      </c>
      <c r="AK19" s="6" t="inlineStr">
        <is>
          <t>ZUPPER</t>
        </is>
      </c>
      <c r="AL19" s="6" t="inlineStr">
        <is>
          <t>Conciliação de Cartão</t>
        </is>
      </c>
      <c r="AM19" s="6" t="inlineStr">
        <is>
          <t>Financeiro Conciliado</t>
        </is>
      </c>
      <c r="AN19" s="6" t="inlineStr">
        <is>
          <t>Edição não Permitida</t>
        </is>
      </c>
      <c r="AO19" s="6" t="inlineStr">
        <is>
          <t>Processo Operacional</t>
        </is>
      </c>
      <c r="AP19" s="6" t="inlineStr">
        <is>
          <t>ZUPPER VIAGENS</t>
        </is>
      </c>
      <c r="AQ19" s="6" t="inlineStr">
        <is>
          <t>Operações - ZUPPER</t>
        </is>
      </c>
    </row>
    <row r="20">
      <c r="A20" s="6" t="n">
        <v>23329909</v>
      </c>
      <c r="B20" s="6" t="n">
        <v>24059069</v>
      </c>
      <c r="C20" s="6" t="inlineStr">
        <is>
          <t>ACC03</t>
        </is>
      </c>
      <c r="D20" s="58" t="n">
        <v>45976.2847800926</v>
      </c>
      <c r="E20" s="58" t="n">
        <v>45979.37612268519</v>
      </c>
      <c r="F20" s="6" t="inlineStr">
        <is>
          <t>06 a 08 dias</t>
        </is>
      </c>
      <c r="G20" s="6" t="inlineStr">
        <is>
          <t>09 a 15 dias</t>
        </is>
      </c>
      <c r="H20" s="6" t="inlineStr">
        <is>
          <t>CFLRJQ</t>
        </is>
      </c>
      <c r="I20" s="6" t="inlineStr">
        <is>
          <t>EBOOKING</t>
        </is>
      </c>
      <c r="J20" s="6" t="inlineStr">
        <is>
          <t>Paulo Vitor Meireles</t>
        </is>
      </c>
      <c r="K20" s="6" t="inlineStr">
        <is>
          <t>Zupper</t>
        </is>
      </c>
      <c r="L20" s="6" t="inlineStr">
        <is>
          <t>Zupper</t>
        </is>
      </c>
      <c r="M20" s="58" t="n">
        <v>45976.28402777778</v>
      </c>
      <c r="N20" s="6" t="n">
        <v>6951692</v>
      </c>
      <c r="O20" s="6" t="inlineStr">
        <is>
          <t>-</t>
        </is>
      </c>
      <c r="P20" s="6" t="inlineStr">
        <is>
          <t>OFF LINE</t>
        </is>
      </c>
      <c r="Q20" s="6" t="inlineStr">
        <is>
          <t>Invoice</t>
        </is>
      </c>
      <c r="R20" s="6" t="inlineStr">
        <is>
          <t>Cartão convênio</t>
        </is>
      </c>
      <c r="S20" s="6" t="inlineStr">
        <is>
          <t>Aéreo</t>
        </is>
      </c>
      <c r="T20" s="6" t="inlineStr">
        <is>
          <t>S</t>
        </is>
      </c>
      <c r="U20" s="6" t="inlineStr">
        <is>
          <t>Grupo Zupper</t>
        </is>
      </c>
      <c r="V20" s="6" t="inlineStr">
        <is>
          <t>Zupper Cartao</t>
        </is>
      </c>
      <c r="W20" s="6" t="inlineStr">
        <is>
          <t>-</t>
        </is>
      </c>
      <c r="X20" s="6" t="inlineStr">
        <is>
          <t>Latam Airlines Brasil</t>
        </is>
      </c>
      <c r="Y20" s="6" t="n">
        <v>2259793072</v>
      </c>
      <c r="Z20" s="6" t="inlineStr">
        <is>
          <t>ZUPPER</t>
        </is>
      </c>
      <c r="AA20" s="6" t="inlineStr">
        <is>
          <t>-</t>
        </is>
      </c>
      <c r="AB20" s="6" t="n">
        <v>577.52</v>
      </c>
      <c r="AC20" s="6" t="n">
        <v>55.17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0</v>
      </c>
      <c r="AI20" s="6" t="inlineStr">
        <is>
          <t>-</t>
        </is>
      </c>
      <c r="AJ20" s="6" t="inlineStr">
        <is>
          <t>Erro excluindo PNR: Não é possivel excluir a accounting de código: 25391809. A mesma está ligada a conciliação de cartão "PAYMEE 17.11.2025.xlsx"</t>
        </is>
      </c>
      <c r="AK20" s="6" t="inlineStr">
        <is>
          <t>ZUPPER</t>
        </is>
      </c>
      <c r="AL20" s="6" t="inlineStr">
        <is>
          <t>Conciliação de Cartão</t>
        </is>
      </c>
      <c r="AM20" s="6" t="inlineStr">
        <is>
          <t>Financeiro Conciliado</t>
        </is>
      </c>
      <c r="AN20" s="6" t="inlineStr">
        <is>
          <t>Edição não Permitida</t>
        </is>
      </c>
      <c r="AO20" s="6" t="inlineStr">
        <is>
          <t>Processo Operacional</t>
        </is>
      </c>
      <c r="AP20" s="6" t="inlineStr">
        <is>
          <t>ZUPPER VIAGENS</t>
        </is>
      </c>
      <c r="AQ20" s="6" t="inlineStr">
        <is>
          <t>Operações - ZUPPER</t>
        </is>
      </c>
    </row>
    <row r="21">
      <c r="A21" s="6" t="n">
        <v>23329909</v>
      </c>
      <c r="B21" s="6" t="n">
        <v>24059070</v>
      </c>
      <c r="C21" s="6" t="inlineStr">
        <is>
          <t>ACC04</t>
        </is>
      </c>
      <c r="D21" s="58" t="n">
        <v>45976.2847800926</v>
      </c>
      <c r="E21" s="58" t="n">
        <v>45979.37612268519</v>
      </c>
      <c r="F21" s="6" t="inlineStr">
        <is>
          <t>06 a 08 dias</t>
        </is>
      </c>
      <c r="G21" s="6" t="inlineStr">
        <is>
          <t>09 a 15 dias</t>
        </is>
      </c>
      <c r="H21" s="6" t="inlineStr">
        <is>
          <t>CFLRJQ</t>
        </is>
      </c>
      <c r="I21" s="6" t="inlineStr">
        <is>
          <t>EBOOKING</t>
        </is>
      </c>
      <c r="J21" s="6" t="inlineStr">
        <is>
          <t>Emanuel Ribeiro Franca</t>
        </is>
      </c>
      <c r="K21" s="6" t="inlineStr">
        <is>
          <t>Zupper</t>
        </is>
      </c>
      <c r="L21" s="6" t="inlineStr">
        <is>
          <t>Zupper</t>
        </is>
      </c>
      <c r="M21" s="58" t="n">
        <v>45976.28402777778</v>
      </c>
      <c r="N21" s="6" t="n">
        <v>6951692</v>
      </c>
      <c r="O21" s="6" t="inlineStr">
        <is>
          <t>-</t>
        </is>
      </c>
      <c r="P21" s="6" t="inlineStr">
        <is>
          <t>OFF LINE</t>
        </is>
      </c>
      <c r="Q21" s="6" t="inlineStr">
        <is>
          <t>Invoice</t>
        </is>
      </c>
      <c r="R21" s="6" t="inlineStr">
        <is>
          <t>Cartão convênio</t>
        </is>
      </c>
      <c r="S21" s="6" t="inlineStr">
        <is>
          <t>Aéreo</t>
        </is>
      </c>
      <c r="T21" s="6" t="inlineStr">
        <is>
          <t>S</t>
        </is>
      </c>
      <c r="U21" s="6" t="inlineStr">
        <is>
          <t>Grupo Zupper</t>
        </is>
      </c>
      <c r="V21" s="6" t="inlineStr">
        <is>
          <t>Zupper Cartao</t>
        </is>
      </c>
      <c r="W21" s="6" t="inlineStr">
        <is>
          <t>-</t>
        </is>
      </c>
      <c r="X21" s="6" t="inlineStr">
        <is>
          <t>Latam Airlines Brasil</t>
        </is>
      </c>
      <c r="Y21" s="6" t="n">
        <v>2259793073</v>
      </c>
      <c r="Z21" s="6" t="inlineStr">
        <is>
          <t>ZUPPER</t>
        </is>
      </c>
      <c r="AA21" s="6" t="inlineStr">
        <is>
          <t>-</t>
        </is>
      </c>
      <c r="AB21" s="6" t="n">
        <v>577.52</v>
      </c>
      <c r="AC21" s="6" t="n">
        <v>55.17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0</v>
      </c>
      <c r="AI21" s="6" t="inlineStr">
        <is>
          <t>-</t>
        </is>
      </c>
      <c r="AJ21" s="6" t="inlineStr">
        <is>
          <t>Erro excluindo PNR: Não é possivel excluir a accounting de código: 25391809. A mesma está ligada a conciliação de cartão "PAYMEE 17.11.2025.xlsx"</t>
        </is>
      </c>
      <c r="AK21" s="6" t="inlineStr">
        <is>
          <t>ZUPPER</t>
        </is>
      </c>
      <c r="AL21" s="6" t="inlineStr">
        <is>
          <t>Conciliação de Cartão</t>
        </is>
      </c>
      <c r="AM21" s="6" t="inlineStr">
        <is>
          <t>Financeiro Conciliado</t>
        </is>
      </c>
      <c r="AN21" s="6" t="inlineStr">
        <is>
          <t>Edição não Permitida</t>
        </is>
      </c>
      <c r="AO21" s="6" t="inlineStr">
        <is>
          <t>Processo Operacional</t>
        </is>
      </c>
      <c r="AP21" s="6" t="inlineStr">
        <is>
          <t>ZUPPER VIAGENS</t>
        </is>
      </c>
      <c r="AQ21" s="6" t="inlineStr">
        <is>
          <t>Operações - ZUPPER</t>
        </is>
      </c>
    </row>
    <row r="22">
      <c r="A22" s="6" t="n">
        <v>23329909</v>
      </c>
      <c r="B22" s="6" t="n">
        <v>24059071</v>
      </c>
      <c r="C22" s="6" t="inlineStr">
        <is>
          <t>ACC05</t>
        </is>
      </c>
      <c r="D22" s="58" t="n">
        <v>45976.2847800926</v>
      </c>
      <c r="E22" s="58" t="n">
        <v>45979.37612268519</v>
      </c>
      <c r="F22" s="6" t="inlineStr">
        <is>
          <t>06 a 08 dias</t>
        </is>
      </c>
      <c r="G22" s="6" t="inlineStr">
        <is>
          <t>09 a 15 dias</t>
        </is>
      </c>
      <c r="H22" s="6" t="inlineStr">
        <is>
          <t>CFLRJQ</t>
        </is>
      </c>
      <c r="I22" s="6" t="inlineStr">
        <is>
          <t>EBOOKING</t>
        </is>
      </c>
      <c r="J22" s="6" t="inlineStr">
        <is>
          <t>Ednildo Edgar Goncalves</t>
        </is>
      </c>
      <c r="K22" s="6" t="inlineStr">
        <is>
          <t>Zupper</t>
        </is>
      </c>
      <c r="L22" s="6" t="inlineStr">
        <is>
          <t>Zupper</t>
        </is>
      </c>
      <c r="M22" s="58" t="n">
        <v>45976.28402777778</v>
      </c>
      <c r="N22" s="6" t="n">
        <v>6951692</v>
      </c>
      <c r="O22" s="6" t="inlineStr">
        <is>
          <t>-</t>
        </is>
      </c>
      <c r="P22" s="6" t="inlineStr">
        <is>
          <t>OFF LINE</t>
        </is>
      </c>
      <c r="Q22" s="6" t="inlineStr">
        <is>
          <t>Invoice</t>
        </is>
      </c>
      <c r="R22" s="6" t="inlineStr">
        <is>
          <t>Cartão convênio</t>
        </is>
      </c>
      <c r="S22" s="6" t="inlineStr">
        <is>
          <t>Aéreo</t>
        </is>
      </c>
      <c r="T22" s="6" t="inlineStr">
        <is>
          <t>S</t>
        </is>
      </c>
      <c r="U22" s="6" t="inlineStr">
        <is>
          <t>Grupo Zupper</t>
        </is>
      </c>
      <c r="V22" s="6" t="inlineStr">
        <is>
          <t>Zupper Cartao</t>
        </is>
      </c>
      <c r="W22" s="6" t="inlineStr">
        <is>
          <t>-</t>
        </is>
      </c>
      <c r="X22" s="6" t="inlineStr">
        <is>
          <t>Latam Airlines Brasil</t>
        </is>
      </c>
      <c r="Y22" s="6" t="n">
        <v>2259793074</v>
      </c>
      <c r="Z22" s="6" t="inlineStr">
        <is>
          <t>ZUPPER</t>
        </is>
      </c>
      <c r="AA22" s="6" t="inlineStr">
        <is>
          <t>-</t>
        </is>
      </c>
      <c r="AB22" s="6" t="n">
        <v>577.52</v>
      </c>
      <c r="AC22" s="6" t="n">
        <v>55.17</v>
      </c>
      <c r="AD22" s="6" t="n">
        <v>0</v>
      </c>
      <c r="AE22" s="6" t="n">
        <v>0</v>
      </c>
      <c r="AF22" s="6" t="n">
        <v>0</v>
      </c>
      <c r="AG22" s="6" t="n">
        <v>0</v>
      </c>
      <c r="AH22" s="6" t="n">
        <v>0</v>
      </c>
      <c r="AI22" s="6" t="inlineStr">
        <is>
          <t>-</t>
        </is>
      </c>
      <c r="AJ22" s="6" t="inlineStr">
        <is>
          <t>Erro excluindo PNR: Não é possivel excluir a accounting de código: 25391809. A mesma está ligada a conciliação de cartão "PAYMEE 17.11.2025.xlsx"</t>
        </is>
      </c>
      <c r="AK22" s="6" t="inlineStr">
        <is>
          <t>ZUPPER</t>
        </is>
      </c>
      <c r="AL22" s="6" t="inlineStr">
        <is>
          <t>Conciliação de Cartão</t>
        </is>
      </c>
      <c r="AM22" s="6" t="inlineStr">
        <is>
          <t>Financeiro Conciliado</t>
        </is>
      </c>
      <c r="AN22" s="6" t="inlineStr">
        <is>
          <t>Edição não Permitida</t>
        </is>
      </c>
      <c r="AO22" s="6" t="inlineStr">
        <is>
          <t>Processo Operacional</t>
        </is>
      </c>
      <c r="AP22" s="6" t="inlineStr">
        <is>
          <t>ZUPPER VIAGENS</t>
        </is>
      </c>
      <c r="AQ22" s="6" t="inlineStr">
        <is>
          <t>Operações - ZUPPER</t>
        </is>
      </c>
    </row>
    <row r="23">
      <c r="A23" s="6" t="n">
        <v>23330902</v>
      </c>
      <c r="B23" s="6" t="n">
        <v>24059906</v>
      </c>
      <c r="C23" s="6" t="inlineStr">
        <is>
          <t>ACC01</t>
        </is>
      </c>
      <c r="D23" s="58" t="n">
        <v>45976.530625</v>
      </c>
      <c r="E23" s="58" t="n">
        <v>45979.37728009259</v>
      </c>
      <c r="F23" s="6" t="inlineStr">
        <is>
          <t>06 a 08 dias</t>
        </is>
      </c>
      <c r="G23" s="6" t="inlineStr">
        <is>
          <t>09 a 15 dias</t>
        </is>
      </c>
      <c r="H23" s="6" t="inlineStr">
        <is>
          <t>KGVCWI</t>
        </is>
      </c>
      <c r="I23" s="6" t="inlineStr">
        <is>
          <t>EBOOKING</t>
        </is>
      </c>
      <c r="J23" s="6" t="inlineStr">
        <is>
          <t>Satila Mateus Abrantes</t>
        </is>
      </c>
      <c r="K23" s="6" t="inlineStr">
        <is>
          <t>Zupper</t>
        </is>
      </c>
      <c r="L23" s="6" t="inlineStr">
        <is>
          <t>Zupper</t>
        </is>
      </c>
      <c r="M23" s="58" t="n">
        <v>45976.52986111111</v>
      </c>
      <c r="N23" s="6" t="n">
        <v>6952102</v>
      </c>
      <c r="O23" s="6" t="inlineStr">
        <is>
          <t>-</t>
        </is>
      </c>
      <c r="P23" s="6" t="inlineStr">
        <is>
          <t>OFF LINE</t>
        </is>
      </c>
      <c r="Q23" s="6" t="inlineStr">
        <is>
          <t>Invoice</t>
        </is>
      </c>
      <c r="R23" s="6" t="inlineStr">
        <is>
          <t>Cartão convênio</t>
        </is>
      </c>
      <c r="S23" s="6" t="inlineStr">
        <is>
          <t>Aéreo</t>
        </is>
      </c>
      <c r="T23" s="6" t="inlineStr">
        <is>
          <t>S</t>
        </is>
      </c>
      <c r="U23" s="6" t="inlineStr">
        <is>
          <t>Grupo Zupper</t>
        </is>
      </c>
      <c r="V23" s="6" t="inlineStr">
        <is>
          <t>Eduardo Santos da Mata</t>
        </is>
      </c>
      <c r="W23" s="6" t="inlineStr">
        <is>
          <t>-</t>
        </is>
      </c>
      <c r="X23" s="6" t="inlineStr">
        <is>
          <t>Azul Linhas Aereas</t>
        </is>
      </c>
      <c r="Y23" s="6" t="n">
        <v>9106749780</v>
      </c>
      <c r="Z23" s="6" t="inlineStr">
        <is>
          <t>ZUPPER</t>
        </is>
      </c>
      <c r="AA23" s="6" t="inlineStr">
        <is>
          <t>-</t>
        </is>
      </c>
      <c r="AB23" s="6" t="n">
        <v>1386.67</v>
      </c>
      <c r="AC23" s="6" t="n">
        <v>32.87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169.18</v>
      </c>
      <c r="AI23" s="6" t="inlineStr">
        <is>
          <t>-</t>
        </is>
      </c>
      <c r="AJ23" s="6" t="inlineStr">
        <is>
          <t>Erro excluindo PNR: Não é possivel excluir a accounting de código: 25392354. A mesma está ligada a conciliação de cartão "PAYMEE 17.11.2025.xlsx"</t>
        </is>
      </c>
      <c r="AK23" s="6" t="inlineStr">
        <is>
          <t>ZUPPER</t>
        </is>
      </c>
      <c r="AL23" s="6" t="inlineStr">
        <is>
          <t>Conciliação de Cartão</t>
        </is>
      </c>
      <c r="AM23" s="6" t="inlineStr">
        <is>
          <t>Financeiro Conciliado</t>
        </is>
      </c>
      <c r="AN23" s="6" t="inlineStr">
        <is>
          <t>Edição não Permitida</t>
        </is>
      </c>
      <c r="AO23" s="6" t="inlineStr">
        <is>
          <t>Processo Operacional</t>
        </is>
      </c>
      <c r="AP23" s="6" t="inlineStr">
        <is>
          <t>ZUPPER VIAGENS</t>
        </is>
      </c>
      <c r="AQ23" s="6" t="inlineStr">
        <is>
          <t>Operações - ZUPPER</t>
        </is>
      </c>
    </row>
    <row r="24">
      <c r="A24" s="6" t="n">
        <v>23336013</v>
      </c>
      <c r="B24" s="6" t="n">
        <v>24064302</v>
      </c>
      <c r="C24" s="6" t="inlineStr">
        <is>
          <t>ACC03</t>
        </is>
      </c>
      <c r="D24" s="58" t="n">
        <v>45977.77516203704</v>
      </c>
      <c r="E24" s="58" t="n">
        <v>45979.38710648148</v>
      </c>
      <c r="F24" s="6" t="inlineStr">
        <is>
          <t>06 a 08 dias</t>
        </is>
      </c>
      <c r="G24" s="6" t="inlineStr">
        <is>
          <t>09 a 15 dias</t>
        </is>
      </c>
      <c r="H24" s="6" t="inlineStr">
        <is>
          <t>GMKD4Q</t>
        </is>
      </c>
      <c r="I24" s="6" t="inlineStr">
        <is>
          <t>EBOOKING</t>
        </is>
      </c>
      <c r="J24" s="6" t="inlineStr">
        <is>
          <t>Felipe Vieira</t>
        </is>
      </c>
      <c r="K24" s="6" t="inlineStr">
        <is>
          <t>Zupper</t>
        </is>
      </c>
      <c r="L24" s="6" t="inlineStr">
        <is>
          <t>Zupper</t>
        </is>
      </c>
      <c r="M24" s="58" t="n">
        <v>45977.77430555555</v>
      </c>
      <c r="N24" s="6" t="n">
        <v>6954279</v>
      </c>
      <c r="O24" s="6" t="inlineStr">
        <is>
          <t>-</t>
        </is>
      </c>
      <c r="P24" s="6" t="inlineStr">
        <is>
          <t>OFF LINE</t>
        </is>
      </c>
      <c r="Q24" s="6" t="inlineStr">
        <is>
          <t>Invoice</t>
        </is>
      </c>
      <c r="R24" s="6" t="inlineStr">
        <is>
          <t>Cartão convênio</t>
        </is>
      </c>
      <c r="S24" s="6" t="inlineStr">
        <is>
          <t>Aéreo</t>
        </is>
      </c>
      <c r="T24" s="6" t="inlineStr">
        <is>
          <t>S</t>
        </is>
      </c>
      <c r="U24" s="6" t="inlineStr">
        <is>
          <t>Grupo Zupper</t>
        </is>
      </c>
      <c r="V24" s="6" t="inlineStr">
        <is>
          <t>Giulianna Angelica Piason de Brito</t>
        </is>
      </c>
      <c r="W24" s="6" t="inlineStr">
        <is>
          <t>-</t>
        </is>
      </c>
      <c r="X24" s="6" t="inlineStr">
        <is>
          <t>Azul Linhas Aereas</t>
        </is>
      </c>
      <c r="Y24" s="6" t="n">
        <v>5373137183</v>
      </c>
      <c r="Z24" s="6" t="inlineStr">
        <is>
          <t>ZUPPER</t>
        </is>
      </c>
      <c r="AA24" s="6" t="inlineStr">
        <is>
          <t>-</t>
        </is>
      </c>
      <c r="AB24" s="6" t="n">
        <v>404.38</v>
      </c>
      <c r="AC24" s="6" t="n">
        <v>58.89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inlineStr">
        <is>
          <t>-</t>
        </is>
      </c>
      <c r="AJ24" s="6" t="inlineStr">
        <is>
          <t>Erro excluindo PNR: Não é possivel excluir a accounting de código: 25395430. A mesma está ligada a conciliação de cartão "PAYMEE 17.11.2025.xlsx"</t>
        </is>
      </c>
      <c r="AK24" s="6" t="inlineStr">
        <is>
          <t>ZUPPER</t>
        </is>
      </c>
      <c r="AL24" s="6" t="inlineStr">
        <is>
          <t>Conciliação de Cartão</t>
        </is>
      </c>
      <c r="AM24" s="6" t="inlineStr">
        <is>
          <t>Financeiro Conciliado</t>
        </is>
      </c>
      <c r="AN24" s="6" t="inlineStr">
        <is>
          <t>Edição não Permitida</t>
        </is>
      </c>
      <c r="AO24" s="6" t="inlineStr">
        <is>
          <t>Processo Operacional</t>
        </is>
      </c>
      <c r="AP24" s="6" t="inlineStr">
        <is>
          <t>ZUPPER VIAGENS</t>
        </is>
      </c>
      <c r="AQ24" s="6" t="inlineStr">
        <is>
          <t>Operações - ZUPPER</t>
        </is>
      </c>
    </row>
    <row r="25">
      <c r="A25" s="6" t="n">
        <v>23336013</v>
      </c>
      <c r="B25" s="6" t="n">
        <v>24064303</v>
      </c>
      <c r="C25" s="6" t="inlineStr">
        <is>
          <t>ACC04</t>
        </is>
      </c>
      <c r="D25" s="58" t="n">
        <v>45977.77516203704</v>
      </c>
      <c r="E25" s="58" t="n">
        <v>45979.38710648148</v>
      </c>
      <c r="F25" s="6" t="inlineStr">
        <is>
          <t>06 a 08 dias</t>
        </is>
      </c>
      <c r="G25" s="6" t="inlineStr">
        <is>
          <t>09 a 15 dias</t>
        </is>
      </c>
      <c r="H25" s="6" t="inlineStr">
        <is>
          <t>GMKD4Q</t>
        </is>
      </c>
      <c r="I25" s="6" t="inlineStr">
        <is>
          <t>EBOOKING</t>
        </is>
      </c>
      <c r="J25" s="6" t="inlineStr">
        <is>
          <t>Rafael Vieira</t>
        </is>
      </c>
      <c r="K25" s="6" t="inlineStr">
        <is>
          <t>Zupper</t>
        </is>
      </c>
      <c r="L25" s="6" t="inlineStr">
        <is>
          <t>Zupper</t>
        </is>
      </c>
      <c r="M25" s="58" t="n">
        <v>45977.77430555555</v>
      </c>
      <c r="N25" s="6" t="n">
        <v>6954279</v>
      </c>
      <c r="O25" s="6" t="inlineStr">
        <is>
          <t>-</t>
        </is>
      </c>
      <c r="P25" s="6" t="inlineStr">
        <is>
          <t>OFF LINE</t>
        </is>
      </c>
      <c r="Q25" s="6" t="inlineStr">
        <is>
          <t>Invoice</t>
        </is>
      </c>
      <c r="R25" s="6" t="inlineStr">
        <is>
          <t>Cartão convênio</t>
        </is>
      </c>
      <c r="S25" s="6" t="inlineStr">
        <is>
          <t>Aéreo</t>
        </is>
      </c>
      <c r="T25" s="6" t="inlineStr">
        <is>
          <t>S</t>
        </is>
      </c>
      <c r="U25" s="6" t="inlineStr">
        <is>
          <t>Grupo Zupper</t>
        </is>
      </c>
      <c r="V25" s="6" t="inlineStr">
        <is>
          <t>Giulianna Angelica Piason de Brito</t>
        </is>
      </c>
      <c r="W25" s="6" t="inlineStr">
        <is>
          <t>-</t>
        </is>
      </c>
      <c r="X25" s="6" t="inlineStr">
        <is>
          <t>Azul Linhas Aereas</t>
        </is>
      </c>
      <c r="Y25" s="6" t="n">
        <v>2846058807</v>
      </c>
      <c r="Z25" s="6" t="inlineStr">
        <is>
          <t>ZUPPER</t>
        </is>
      </c>
      <c r="AA25" s="6" t="inlineStr">
        <is>
          <t>-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inlineStr">
        <is>
          <t>-</t>
        </is>
      </c>
      <c r="AJ25" s="6" t="inlineStr">
        <is>
          <t>Erro excluindo PNR: Não é possivel excluir a accounting de código: 25395430. A mesma está ligada a conciliação de cartão "PAYMEE 17.11.2025.xlsx"</t>
        </is>
      </c>
      <c r="AK25" s="6" t="inlineStr">
        <is>
          <t>ZUPPER</t>
        </is>
      </c>
      <c r="AL25" s="6" t="inlineStr">
        <is>
          <t>Conciliação de Cartão</t>
        </is>
      </c>
      <c r="AM25" s="6" t="inlineStr">
        <is>
          <t>Financeiro Conciliado</t>
        </is>
      </c>
      <c r="AN25" s="6" t="inlineStr">
        <is>
          <t>Edição não Permitida</t>
        </is>
      </c>
      <c r="AO25" s="6" t="inlineStr">
        <is>
          <t>Processo Operacional</t>
        </is>
      </c>
      <c r="AP25" s="6" t="inlineStr">
        <is>
          <t>ZUPPER VIAGENS</t>
        </is>
      </c>
      <c r="AQ25" s="6" t="inlineStr">
        <is>
          <t>Operações - ZUPPER</t>
        </is>
      </c>
    </row>
    <row r="26">
      <c r="A26" s="6" t="n">
        <v>23336013</v>
      </c>
      <c r="B26" s="6" t="n">
        <v>24064304</v>
      </c>
      <c r="C26" s="6" t="inlineStr">
        <is>
          <t>ACC05</t>
        </is>
      </c>
      <c r="D26" s="58" t="n">
        <v>45977.77516203704</v>
      </c>
      <c r="E26" s="58" t="n">
        <v>45979.38710648148</v>
      </c>
      <c r="F26" s="6" t="inlineStr">
        <is>
          <t>06 a 08 dias</t>
        </is>
      </c>
      <c r="G26" s="6" t="inlineStr">
        <is>
          <t>09 a 15 dias</t>
        </is>
      </c>
      <c r="H26" s="6" t="inlineStr">
        <is>
          <t>GMKD4Q</t>
        </is>
      </c>
      <c r="I26" s="6" t="inlineStr">
        <is>
          <t>EBOOKING</t>
        </is>
      </c>
      <c r="J26" s="6" t="inlineStr">
        <is>
          <t>Luisa Delgado</t>
        </is>
      </c>
      <c r="K26" s="6" t="inlineStr">
        <is>
          <t>Zupper</t>
        </is>
      </c>
      <c r="L26" s="6" t="inlineStr">
        <is>
          <t>Zupper</t>
        </is>
      </c>
      <c r="M26" s="58" t="n">
        <v>45977.77430555555</v>
      </c>
      <c r="N26" s="6" t="n">
        <v>6954279</v>
      </c>
      <c r="O26" s="6" t="inlineStr">
        <is>
          <t>-</t>
        </is>
      </c>
      <c r="P26" s="6" t="inlineStr">
        <is>
          <t>OFF LINE</t>
        </is>
      </c>
      <c r="Q26" s="6" t="inlineStr">
        <is>
          <t>Invoice</t>
        </is>
      </c>
      <c r="R26" s="6" t="inlineStr">
        <is>
          <t>Cartão convênio</t>
        </is>
      </c>
      <c r="S26" s="6" t="inlineStr">
        <is>
          <t>Aéreo</t>
        </is>
      </c>
      <c r="T26" s="6" t="inlineStr">
        <is>
          <t>S</t>
        </is>
      </c>
      <c r="U26" s="6" t="inlineStr">
        <is>
          <t>Grupo Zupper</t>
        </is>
      </c>
      <c r="V26" s="6" t="inlineStr">
        <is>
          <t>Giulianna Angelica Piason de Brito</t>
        </is>
      </c>
      <c r="W26" s="6" t="inlineStr">
        <is>
          <t>-</t>
        </is>
      </c>
      <c r="X26" s="6" t="inlineStr">
        <is>
          <t>Azul Linhas Aereas</t>
        </is>
      </c>
      <c r="Y26" s="6" t="n">
        <v>2252583666</v>
      </c>
      <c r="Z26" s="6" t="inlineStr">
        <is>
          <t>ZUPPER</t>
        </is>
      </c>
      <c r="AA26" s="6" t="inlineStr">
        <is>
          <t>-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6" t="n">
        <v>0</v>
      </c>
      <c r="AI26" s="6" t="inlineStr">
        <is>
          <t>-</t>
        </is>
      </c>
      <c r="AJ26" s="6" t="inlineStr">
        <is>
          <t>Erro excluindo PNR: Não é possivel excluir a accounting de código: 25395430. A mesma está ligada a conciliação de cartão "PAYMEE 17.11.2025.xlsx"</t>
        </is>
      </c>
      <c r="AK26" s="6" t="inlineStr">
        <is>
          <t>ZUPPER</t>
        </is>
      </c>
      <c r="AL26" s="6" t="inlineStr">
        <is>
          <t>Conciliação de Cartão</t>
        </is>
      </c>
      <c r="AM26" s="6" t="inlineStr">
        <is>
          <t>Financeiro Conciliado</t>
        </is>
      </c>
      <c r="AN26" s="6" t="inlineStr">
        <is>
          <t>Edição não Permitida</t>
        </is>
      </c>
      <c r="AO26" s="6" t="inlineStr">
        <is>
          <t>Processo Operacional</t>
        </is>
      </c>
      <c r="AP26" s="6" t="inlineStr">
        <is>
          <t>ZUPPER VIAGENS</t>
        </is>
      </c>
      <c r="AQ26" s="6" t="inlineStr">
        <is>
          <t>Operações - ZUPPER</t>
        </is>
      </c>
    </row>
    <row r="27">
      <c r="A27" s="6" t="n">
        <v>23336052</v>
      </c>
      <c r="B27" s="6" t="n">
        <v>24064343</v>
      </c>
      <c r="C27" s="6" t="inlineStr">
        <is>
          <t>ACC01</t>
        </is>
      </c>
      <c r="D27" s="58" t="n">
        <v>45977.7834375</v>
      </c>
      <c r="E27" s="58" t="n">
        <v>45979.38715277778</v>
      </c>
      <c r="F27" s="6" t="inlineStr">
        <is>
          <t>06 a 08 dias</t>
        </is>
      </c>
      <c r="G27" s="6" t="inlineStr">
        <is>
          <t>09 a 15 dias</t>
        </is>
      </c>
      <c r="H27" s="6" t="inlineStr">
        <is>
          <t>BL8JGG</t>
        </is>
      </c>
      <c r="I27" s="6" t="inlineStr">
        <is>
          <t>EBOOKING</t>
        </is>
      </c>
      <c r="J27" s="6" t="inlineStr">
        <is>
          <t>Giullia Delgado</t>
        </is>
      </c>
      <c r="K27" s="6" t="inlineStr">
        <is>
          <t>Zupper</t>
        </is>
      </c>
      <c r="L27" s="6" t="inlineStr">
        <is>
          <t>Zupper</t>
        </is>
      </c>
      <c r="M27" s="58" t="n">
        <v>45977.78263888889</v>
      </c>
      <c r="N27" s="6" t="n">
        <v>6954301</v>
      </c>
      <c r="O27" s="6" t="inlineStr">
        <is>
          <t>-</t>
        </is>
      </c>
      <c r="P27" s="6" t="inlineStr">
        <is>
          <t>OFF LINE</t>
        </is>
      </c>
      <c r="Q27" s="6" t="inlineStr">
        <is>
          <t>Invoice</t>
        </is>
      </c>
      <c r="R27" s="6" t="inlineStr">
        <is>
          <t>Cartão convênio</t>
        </is>
      </c>
      <c r="S27" s="6" t="inlineStr">
        <is>
          <t>Aéreo</t>
        </is>
      </c>
      <c r="T27" s="6" t="inlineStr">
        <is>
          <t>S</t>
        </is>
      </c>
      <c r="U27" s="6" t="inlineStr">
        <is>
          <t>Grupo Zupper</t>
        </is>
      </c>
      <c r="V27" s="6" t="inlineStr">
        <is>
          <t>Giulianna Angelica Piason de Brito</t>
        </is>
      </c>
      <c r="W27" s="6" t="inlineStr">
        <is>
          <t>-</t>
        </is>
      </c>
      <c r="X27" s="6" t="inlineStr">
        <is>
          <t>Azul Linhas Aereas</t>
        </is>
      </c>
      <c r="Y27" s="6" t="n">
        <v>3340742969</v>
      </c>
      <c r="Z27" s="6" t="inlineStr">
        <is>
          <t>ZUPPER</t>
        </is>
      </c>
      <c r="AA27" s="6" t="inlineStr">
        <is>
          <t>-</t>
        </is>
      </c>
      <c r="AB27" s="6" t="n">
        <v>404.38</v>
      </c>
      <c r="AC27" s="6" t="n">
        <v>58.89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151.32</v>
      </c>
      <c r="AI27" s="6" t="inlineStr">
        <is>
          <t>-</t>
        </is>
      </c>
      <c r="AJ27" s="6" t="inlineStr">
        <is>
          <t>Erro excluindo PNR: Não é possivel excluir a accounting de código: 25395461. A mesma está ligada a conciliação de cartão "PAYMEE 17.11.2025.xlsx"</t>
        </is>
      </c>
      <c r="AK27" s="6" t="inlineStr">
        <is>
          <t>ZUPPER</t>
        </is>
      </c>
      <c r="AL27" s="6" t="inlineStr">
        <is>
          <t>Conciliação de Cartão</t>
        </is>
      </c>
      <c r="AM27" s="6" t="inlineStr">
        <is>
          <t>Financeiro Conciliado</t>
        </is>
      </c>
      <c r="AN27" s="6" t="inlineStr">
        <is>
          <t>Edição não Permitida</t>
        </is>
      </c>
      <c r="AO27" s="6" t="inlineStr">
        <is>
          <t>Processo Operacional</t>
        </is>
      </c>
      <c r="AP27" s="6" t="inlineStr">
        <is>
          <t>ZUPPER VIAGENS</t>
        </is>
      </c>
      <c r="AQ27" s="6" t="inlineStr">
        <is>
          <t>Operações - ZUPPER</t>
        </is>
      </c>
    </row>
    <row r="28">
      <c r="A28" s="6" t="n">
        <v>23336392</v>
      </c>
      <c r="B28" s="6" t="n">
        <v>24064696</v>
      </c>
      <c r="C28" s="6" t="inlineStr">
        <is>
          <t>ACC01</t>
        </is>
      </c>
      <c r="D28" s="58" t="n">
        <v>45977.85212962963</v>
      </c>
      <c r="E28" s="58" t="n">
        <v>45979.38746527778</v>
      </c>
      <c r="F28" s="6" t="inlineStr">
        <is>
          <t>06 a 08 dias</t>
        </is>
      </c>
      <c r="G28" s="6" t="inlineStr">
        <is>
          <t>09 a 15 dias</t>
        </is>
      </c>
      <c r="H28" s="6" t="inlineStr">
        <is>
          <t>MJ7MKP</t>
        </is>
      </c>
      <c r="I28" s="6" t="inlineStr">
        <is>
          <t>EBOOKING</t>
        </is>
      </c>
      <c r="J28" s="6" t="inlineStr">
        <is>
          <t>Jose Figueiredo</t>
        </is>
      </c>
      <c r="K28" s="6" t="inlineStr">
        <is>
          <t>Zupper</t>
        </is>
      </c>
      <c r="L28" s="6" t="inlineStr">
        <is>
          <t>Zupper</t>
        </is>
      </c>
      <c r="M28" s="58" t="n">
        <v>45977.85138888889</v>
      </c>
      <c r="N28" s="6" t="n">
        <v>6954464</v>
      </c>
      <c r="O28" s="6" t="inlineStr">
        <is>
          <t>-</t>
        </is>
      </c>
      <c r="P28" s="6" t="inlineStr">
        <is>
          <t>OFF LINE</t>
        </is>
      </c>
      <c r="Q28" s="6" t="inlineStr">
        <is>
          <t>Invoice</t>
        </is>
      </c>
      <c r="R28" s="6" t="inlineStr">
        <is>
          <t>Cartão convênio</t>
        </is>
      </c>
      <c r="S28" s="6" t="inlineStr">
        <is>
          <t>Aéreo</t>
        </is>
      </c>
      <c r="T28" s="6" t="inlineStr">
        <is>
          <t>S</t>
        </is>
      </c>
      <c r="U28" s="6" t="inlineStr">
        <is>
          <t>Grupo Zupper</t>
        </is>
      </c>
      <c r="V28" s="6" t="inlineStr">
        <is>
          <t>Jose Antonio de Figueiredo</t>
        </is>
      </c>
      <c r="W28" s="6" t="inlineStr">
        <is>
          <t>-</t>
        </is>
      </c>
      <c r="X28" s="6" t="inlineStr">
        <is>
          <t>Azul Linhas Aereas</t>
        </is>
      </c>
      <c r="Y28" s="6" t="n">
        <v>9825033326</v>
      </c>
      <c r="Z28" s="6" t="inlineStr">
        <is>
          <t>ZUPPER</t>
        </is>
      </c>
      <c r="AA28" s="6" t="inlineStr">
        <is>
          <t>-</t>
        </is>
      </c>
      <c r="AB28" s="6" t="n">
        <v>1662.64</v>
      </c>
      <c r="AC28" s="6" t="n">
        <v>39.58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405.68</v>
      </c>
      <c r="AI28" s="6" t="inlineStr">
        <is>
          <t>-</t>
        </is>
      </c>
      <c r="AJ28" s="6" t="inlineStr">
        <is>
          <t>Erro excluindo PNR: Não é possivel excluir a accounting de código: 25395732. A mesma está ligada a conciliação de cartão "PAYMEE 17.11.2025.xlsx"</t>
        </is>
      </c>
      <c r="AK28" s="6" t="inlineStr">
        <is>
          <t>ZUPPER</t>
        </is>
      </c>
      <c r="AL28" s="6" t="inlineStr">
        <is>
          <t>Conciliação de Cartão</t>
        </is>
      </c>
      <c r="AM28" s="6" t="inlineStr">
        <is>
          <t>Financeiro Conciliado</t>
        </is>
      </c>
      <c r="AN28" s="6" t="inlineStr">
        <is>
          <t>Edição não Permitida</t>
        </is>
      </c>
      <c r="AO28" s="6" t="inlineStr">
        <is>
          <t>Processo Operacional</t>
        </is>
      </c>
      <c r="AP28" s="6" t="inlineStr">
        <is>
          <t>ZUPPER VIAGENS</t>
        </is>
      </c>
      <c r="AQ28" s="6" t="inlineStr">
        <is>
          <t>Operações - ZUPPER</t>
        </is>
      </c>
    </row>
    <row r="29">
      <c r="A29" s="6" t="n">
        <v>23336392</v>
      </c>
      <c r="B29" s="6" t="n">
        <v>24064697</v>
      </c>
      <c r="C29" s="6" t="inlineStr">
        <is>
          <t>ACC02</t>
        </is>
      </c>
      <c r="D29" s="58" t="n">
        <v>45977.85212962963</v>
      </c>
      <c r="E29" s="58" t="n">
        <v>45979.38746527778</v>
      </c>
      <c r="F29" s="6" t="inlineStr">
        <is>
          <t>06 a 08 dias</t>
        </is>
      </c>
      <c r="G29" s="6" t="inlineStr">
        <is>
          <t>09 a 15 dias</t>
        </is>
      </c>
      <c r="H29" s="6" t="inlineStr">
        <is>
          <t>MJ7MKP</t>
        </is>
      </c>
      <c r="I29" s="6" t="inlineStr">
        <is>
          <t>EBOOKING</t>
        </is>
      </c>
      <c r="J29" s="6" t="inlineStr">
        <is>
          <t>Kelmey Santos</t>
        </is>
      </c>
      <c r="K29" s="6" t="inlineStr">
        <is>
          <t>Zupper</t>
        </is>
      </c>
      <c r="L29" s="6" t="inlineStr">
        <is>
          <t>Zupper</t>
        </is>
      </c>
      <c r="M29" s="58" t="n">
        <v>45977.85138888889</v>
      </c>
      <c r="N29" s="6" t="n">
        <v>6954464</v>
      </c>
      <c r="O29" s="6" t="inlineStr">
        <is>
          <t>-</t>
        </is>
      </c>
      <c r="P29" s="6" t="inlineStr">
        <is>
          <t>OFF LINE</t>
        </is>
      </c>
      <c r="Q29" s="6" t="inlineStr">
        <is>
          <t>Invoice</t>
        </is>
      </c>
      <c r="R29" s="6" t="inlineStr">
        <is>
          <t>Cartão convênio</t>
        </is>
      </c>
      <c r="S29" s="6" t="inlineStr">
        <is>
          <t>Aéreo</t>
        </is>
      </c>
      <c r="T29" s="6" t="inlineStr">
        <is>
          <t>S</t>
        </is>
      </c>
      <c r="U29" s="6" t="inlineStr">
        <is>
          <t>Grupo Zupper</t>
        </is>
      </c>
      <c r="V29" s="6" t="inlineStr">
        <is>
          <t>Jose Antonio de Figueiredo</t>
        </is>
      </c>
      <c r="W29" s="6" t="inlineStr">
        <is>
          <t>-</t>
        </is>
      </c>
      <c r="X29" s="6" t="inlineStr">
        <is>
          <t>Azul Linhas Aereas</t>
        </is>
      </c>
      <c r="Y29" s="6" t="n">
        <v>1720811985</v>
      </c>
      <c r="Z29" s="6" t="inlineStr">
        <is>
          <t>ZUPPER</t>
        </is>
      </c>
      <c r="AA29" s="6" t="inlineStr">
        <is>
          <t>-</t>
        </is>
      </c>
      <c r="AB29" s="6" t="n">
        <v>1662.64</v>
      </c>
      <c r="AC29" s="6" t="n">
        <v>39.58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>
        <v>0</v>
      </c>
      <c r="AI29" s="6" t="inlineStr">
        <is>
          <t>-</t>
        </is>
      </c>
      <c r="AJ29" s="6" t="inlineStr">
        <is>
          <t>Erro excluindo PNR: Não é possivel excluir a accounting de código: 25395732. A mesma está ligada a conciliação de cartão "PAYMEE 17.11.2025.xlsx"</t>
        </is>
      </c>
      <c r="AK29" s="6" t="inlineStr">
        <is>
          <t>ZUPPER</t>
        </is>
      </c>
      <c r="AL29" s="6" t="inlineStr">
        <is>
          <t>Conciliação de Cartão</t>
        </is>
      </c>
      <c r="AM29" s="6" t="inlineStr">
        <is>
          <t>Financeiro Conciliado</t>
        </is>
      </c>
      <c r="AN29" s="6" t="inlineStr">
        <is>
          <t>Edição não Permitida</t>
        </is>
      </c>
      <c r="AO29" s="6" t="inlineStr">
        <is>
          <t>Processo Operacional</t>
        </is>
      </c>
      <c r="AP29" s="6" t="inlineStr">
        <is>
          <t>ZUPPER VIAGENS</t>
        </is>
      </c>
      <c r="AQ29" s="6" t="inlineStr">
        <is>
          <t>Operações - ZUPPER</t>
        </is>
      </c>
    </row>
    <row r="30">
      <c r="A30" s="6" t="n">
        <v>23336052</v>
      </c>
      <c r="B30" s="6" t="n">
        <v>24064346</v>
      </c>
      <c r="C30" s="6" t="inlineStr">
        <is>
          <t>ACC04</t>
        </is>
      </c>
      <c r="D30" s="58" t="n">
        <v>45977.7834375</v>
      </c>
      <c r="E30" s="58" t="n">
        <v>45979.38715277778</v>
      </c>
      <c r="F30" s="6" t="inlineStr">
        <is>
          <t>06 a 08 dias</t>
        </is>
      </c>
      <c r="G30" s="6" t="inlineStr">
        <is>
          <t>09 a 15 dias</t>
        </is>
      </c>
      <c r="H30" s="6" t="inlineStr">
        <is>
          <t>BL8JGG</t>
        </is>
      </c>
      <c r="I30" s="6" t="inlineStr">
        <is>
          <t>EBOOKING</t>
        </is>
      </c>
      <c r="J30" s="6" t="inlineStr">
        <is>
          <t>Rafael Vieira</t>
        </is>
      </c>
      <c r="K30" s="6" t="inlineStr">
        <is>
          <t>Zupper</t>
        </is>
      </c>
      <c r="L30" s="6" t="inlineStr">
        <is>
          <t>Zupper</t>
        </is>
      </c>
      <c r="M30" s="58" t="n">
        <v>45977.78263888889</v>
      </c>
      <c r="N30" s="6" t="n">
        <v>6954301</v>
      </c>
      <c r="O30" s="6" t="inlineStr">
        <is>
          <t>-</t>
        </is>
      </c>
      <c r="P30" s="6" t="inlineStr">
        <is>
          <t>OFF LINE</t>
        </is>
      </c>
      <c r="Q30" s="6" t="inlineStr">
        <is>
          <t>Invoice</t>
        </is>
      </c>
      <c r="R30" s="6" t="inlineStr">
        <is>
          <t>Cartão convênio</t>
        </is>
      </c>
      <c r="S30" s="6" t="inlineStr">
        <is>
          <t>Aéreo</t>
        </is>
      </c>
      <c r="T30" s="6" t="inlineStr">
        <is>
          <t>S</t>
        </is>
      </c>
      <c r="U30" s="6" t="inlineStr">
        <is>
          <t>Grupo Zupper</t>
        </is>
      </c>
      <c r="V30" s="6" t="inlineStr">
        <is>
          <t>Giulianna Angelica Piason de Brito</t>
        </is>
      </c>
      <c r="W30" s="6" t="inlineStr">
        <is>
          <t>-</t>
        </is>
      </c>
      <c r="X30" s="6" t="inlineStr">
        <is>
          <t>Azul Linhas Aereas</t>
        </is>
      </c>
      <c r="Y30" s="6" t="n">
        <v>4961395002</v>
      </c>
      <c r="Z30" s="6" t="inlineStr">
        <is>
          <t>ZUPPER</t>
        </is>
      </c>
      <c r="AA30" s="6" t="inlineStr">
        <is>
          <t>-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>
        <v>0</v>
      </c>
      <c r="AI30" s="6" t="inlineStr">
        <is>
          <t>-</t>
        </is>
      </c>
      <c r="AJ30" s="6" t="inlineStr">
        <is>
          <t>Erro excluindo PNR: Não é possivel excluir a accounting de código: 25395461. A mesma está ligada a conciliação de cartão "PAYMEE 17.11.2025.xlsx"</t>
        </is>
      </c>
      <c r="AK30" s="6" t="inlineStr">
        <is>
          <t>ZUPPER</t>
        </is>
      </c>
      <c r="AL30" s="6" t="inlineStr">
        <is>
          <t>Conciliação de Cartão</t>
        </is>
      </c>
      <c r="AM30" s="6" t="inlineStr">
        <is>
          <t>Financeiro Conciliado</t>
        </is>
      </c>
      <c r="AN30" s="6" t="inlineStr">
        <is>
          <t>Edição não Permitida</t>
        </is>
      </c>
      <c r="AO30" s="6" t="inlineStr">
        <is>
          <t>Processo Operacional</t>
        </is>
      </c>
      <c r="AP30" s="6" t="inlineStr">
        <is>
          <t>ZUPPER VIAGENS</t>
        </is>
      </c>
      <c r="AQ30" s="6" t="inlineStr">
        <is>
          <t>Operações - ZUPPER</t>
        </is>
      </c>
    </row>
    <row r="31">
      <c r="A31" s="6" t="n">
        <v>23336052</v>
      </c>
      <c r="B31" s="6" t="n">
        <v>24064347</v>
      </c>
      <c r="C31" s="6" t="inlineStr">
        <is>
          <t>ACC05</t>
        </is>
      </c>
      <c r="D31" s="58" t="n">
        <v>45977.7834375</v>
      </c>
      <c r="E31" s="58" t="n">
        <v>45979.38715277778</v>
      </c>
      <c r="F31" s="6" t="inlineStr">
        <is>
          <t>06 a 08 dias</t>
        </is>
      </c>
      <c r="G31" s="6" t="inlineStr">
        <is>
          <t>09 a 15 dias</t>
        </is>
      </c>
      <c r="H31" s="6" t="inlineStr">
        <is>
          <t>BL8JGG</t>
        </is>
      </c>
      <c r="I31" s="6" t="inlineStr">
        <is>
          <t>EBOOKING</t>
        </is>
      </c>
      <c r="J31" s="6" t="inlineStr">
        <is>
          <t>Luisa Delgado</t>
        </is>
      </c>
      <c r="K31" s="6" t="inlineStr">
        <is>
          <t>Zupper</t>
        </is>
      </c>
      <c r="L31" s="6" t="inlineStr">
        <is>
          <t>Zupper</t>
        </is>
      </c>
      <c r="M31" s="58" t="n">
        <v>45977.78263888889</v>
      </c>
      <c r="N31" s="6" t="n">
        <v>6954301</v>
      </c>
      <c r="O31" s="6" t="inlineStr">
        <is>
          <t>-</t>
        </is>
      </c>
      <c r="P31" s="6" t="inlineStr">
        <is>
          <t>OFF LINE</t>
        </is>
      </c>
      <c r="Q31" s="6" t="inlineStr">
        <is>
          <t>Invoice</t>
        </is>
      </c>
      <c r="R31" s="6" t="inlineStr">
        <is>
          <t>Cartão convênio</t>
        </is>
      </c>
      <c r="S31" s="6" t="inlineStr">
        <is>
          <t>Aéreo</t>
        </is>
      </c>
      <c r="T31" s="6" t="inlineStr">
        <is>
          <t>S</t>
        </is>
      </c>
      <c r="U31" s="6" t="inlineStr">
        <is>
          <t>Grupo Zupper</t>
        </is>
      </c>
      <c r="V31" s="6" t="inlineStr">
        <is>
          <t>Giulianna Angelica Piason de Brito</t>
        </is>
      </c>
      <c r="W31" s="6" t="inlineStr">
        <is>
          <t>-</t>
        </is>
      </c>
      <c r="X31" s="6" t="inlineStr">
        <is>
          <t>Azul Linhas Aereas</t>
        </is>
      </c>
      <c r="Y31" s="6" t="n">
        <v>2175324568</v>
      </c>
      <c r="Z31" s="6" t="inlineStr">
        <is>
          <t>ZUPPER</t>
        </is>
      </c>
      <c r="AA31" s="6" t="inlineStr">
        <is>
          <t>-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inlineStr">
        <is>
          <t>-</t>
        </is>
      </c>
      <c r="AJ31" s="6" t="inlineStr">
        <is>
          <t>Erro excluindo PNR: Não é possivel excluir a accounting de código: 25395461. A mesma está ligada a conciliação de cartão "PAYMEE 17.11.2025.xlsx"</t>
        </is>
      </c>
      <c r="AK31" s="6" t="inlineStr">
        <is>
          <t>ZUPPER</t>
        </is>
      </c>
      <c r="AL31" s="6" t="inlineStr">
        <is>
          <t>Conciliação de Cartão</t>
        </is>
      </c>
      <c r="AM31" s="6" t="inlineStr">
        <is>
          <t>Financeiro Conciliado</t>
        </is>
      </c>
      <c r="AN31" s="6" t="inlineStr">
        <is>
          <t>Edição não Permitida</t>
        </is>
      </c>
      <c r="AO31" s="6" t="inlineStr">
        <is>
          <t>Processo Operacional</t>
        </is>
      </c>
      <c r="AP31" s="6" t="inlineStr">
        <is>
          <t>ZUPPER VIAGENS</t>
        </is>
      </c>
      <c r="AQ31" s="6" t="inlineStr">
        <is>
          <t>Operações - ZUPPER</t>
        </is>
      </c>
    </row>
    <row r="32">
      <c r="A32" s="6" t="n">
        <v>23346086</v>
      </c>
      <c r="B32" s="6" t="n">
        <v>24073392</v>
      </c>
      <c r="C32" s="6" t="inlineStr">
        <is>
          <t>ACC01</t>
        </is>
      </c>
      <c r="D32" s="58" t="n">
        <v>45979.42690972222</v>
      </c>
      <c r="E32" s="58" t="n">
        <v>45979.4344212963</v>
      </c>
      <c r="F32" s="6" t="inlineStr">
        <is>
          <t>06 a 08 dias</t>
        </is>
      </c>
      <c r="G32" s="6" t="inlineStr">
        <is>
          <t>06 a 08 dias</t>
        </is>
      </c>
      <c r="H32" s="6" t="inlineStr">
        <is>
          <t>LA9572656FWVK</t>
        </is>
      </c>
      <c r="I32" s="6" t="inlineStr">
        <is>
          <t>EBOOKING</t>
        </is>
      </c>
      <c r="J32" s="6" t="inlineStr">
        <is>
          <t>BARTILOTTI/PATRICIA</t>
        </is>
      </c>
      <c r="K32" s="6" t="inlineStr">
        <is>
          <t>Kontrip</t>
        </is>
      </c>
      <c r="L32" s="6" t="inlineStr">
        <is>
          <t>Kontrip</t>
        </is>
      </c>
      <c r="M32" s="58" t="n">
        <v>45979.41666666666</v>
      </c>
      <c r="N32" s="6" t="inlineStr">
        <is>
          <t>-</t>
        </is>
      </c>
      <c r="O32" s="6" t="inlineStr">
        <is>
          <t>-</t>
        </is>
      </c>
      <c r="P32" s="6" t="inlineStr">
        <is>
          <t>OFF LINE</t>
        </is>
      </c>
      <c r="Q32" s="6" t="inlineStr">
        <is>
          <t>Cartão de crédito</t>
        </is>
      </c>
      <c r="R32" s="6" t="inlineStr">
        <is>
          <t>Cartão de crédito</t>
        </is>
      </c>
      <c r="S32" s="6" t="inlineStr">
        <is>
          <t>Aéreo</t>
        </is>
      </c>
      <c r="T32" s="6" t="inlineStr">
        <is>
          <t>N</t>
        </is>
      </c>
      <c r="U32" s="6" t="inlineStr">
        <is>
          <t>Grupo Mercurio York</t>
        </is>
      </c>
      <c r="V32" s="6" t="inlineStr">
        <is>
          <t>Agencia Mercurio York Viagens e Turismo Ltda</t>
        </is>
      </c>
      <c r="W32" s="6" t="inlineStr">
        <is>
          <t>-</t>
        </is>
      </c>
      <c r="X32" s="6" t="inlineStr">
        <is>
          <t>Latam Airlines Brasil</t>
        </is>
      </c>
      <c r="Y32" s="6" t="n">
        <v>2260191432</v>
      </c>
      <c r="Z32" s="6" t="inlineStr">
        <is>
          <t>KONTRIP</t>
        </is>
      </c>
      <c r="AA32" s="6" t="inlineStr">
        <is>
          <t>-</t>
        </is>
      </c>
      <c r="AB32" s="6" t="n">
        <v>901.52</v>
      </c>
      <c r="AC32" s="6" t="n">
        <v>52.72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inlineStr">
        <is>
          <t>obs</t>
        </is>
      </c>
      <c r="AJ32" s="6" t="inlineStr">
        <is>
          <t xml:space="preserve"> Centro de custo não preenchido! (ACC03)</t>
        </is>
      </c>
      <c r="AK32" s="6" t="inlineStr">
        <is>
          <t>KONTRIP</t>
        </is>
      </c>
      <c r="AL32" s="6" t="inlineStr">
        <is>
          <t>Centro de custo</t>
        </is>
      </c>
      <c r="AM32" s="6" t="inlineStr">
        <is>
          <t>Falta de informação Gerencial</t>
        </is>
      </c>
      <c r="AN32" s="6" t="inlineStr">
        <is>
          <t>Dados do Fornecedor</t>
        </is>
      </c>
      <c r="AO32" s="6" t="inlineStr">
        <is>
          <t>Qualidade dos dados</t>
        </is>
      </c>
      <c r="AP32" s="6" t="inlineStr">
        <is>
          <t>KONTRIP VIAGENS</t>
        </is>
      </c>
      <c r="AQ32" s="6" t="inlineStr">
        <is>
          <t>Operações - KONTRIP</t>
        </is>
      </c>
    </row>
    <row r="33">
      <c r="A33" s="6" t="n">
        <v>23338317</v>
      </c>
      <c r="B33" s="6" t="n">
        <v>24066122</v>
      </c>
      <c r="C33" s="6" t="inlineStr">
        <is>
          <t>ACC01</t>
        </is>
      </c>
      <c r="D33" s="58" t="n">
        <v>45978.38228009259</v>
      </c>
      <c r="E33" s="58" t="n">
        <v>45978.3840625</v>
      </c>
      <c r="F33" s="6" t="inlineStr">
        <is>
          <t>06 a 08 dias</t>
        </is>
      </c>
      <c r="G33" s="6" t="inlineStr">
        <is>
          <t>06 a 08 dias</t>
        </is>
      </c>
      <c r="H33" s="6" t="inlineStr">
        <is>
          <t>LA9571642LMOD</t>
        </is>
      </c>
      <c r="I33" s="6" t="inlineStr">
        <is>
          <t>EBOOKING</t>
        </is>
      </c>
      <c r="J33" s="6" t="inlineStr">
        <is>
          <t>VEIGA/FELIPE</t>
        </is>
      </c>
      <c r="K33" s="6" t="inlineStr">
        <is>
          <t>Kontrip</t>
        </is>
      </c>
      <c r="L33" s="6" t="inlineStr">
        <is>
          <t>Kontrip</t>
        </is>
      </c>
      <c r="M33" s="58" t="n">
        <v>45977.49652777778</v>
      </c>
      <c r="N33" s="6" t="inlineStr">
        <is>
          <t>-</t>
        </is>
      </c>
      <c r="O33" s="6" t="inlineStr">
        <is>
          <t>-</t>
        </is>
      </c>
      <c r="P33" s="6" t="inlineStr">
        <is>
          <t>OFF LINE</t>
        </is>
      </c>
      <c r="Q33" s="6" t="inlineStr">
        <is>
          <t>Cartão de crédito</t>
        </is>
      </c>
      <c r="R33" s="6" t="inlineStr">
        <is>
          <t>Cartão de crédito</t>
        </is>
      </c>
      <c r="S33" s="6" t="inlineStr">
        <is>
          <t>Aéreo</t>
        </is>
      </c>
      <c r="T33" s="6" t="inlineStr">
        <is>
          <t>N</t>
        </is>
      </c>
      <c r="U33" s="6" t="inlineStr">
        <is>
          <t>Grupo Mercurio York</t>
        </is>
      </c>
      <c r="V33" s="6" t="inlineStr">
        <is>
          <t>Agencia Mercurio York Viagens e Turismo Ltda</t>
        </is>
      </c>
      <c r="W33" s="6" t="inlineStr">
        <is>
          <t>-</t>
        </is>
      </c>
      <c r="X33" s="6" t="inlineStr">
        <is>
          <t>Latam Airlines Brasil</t>
        </is>
      </c>
      <c r="Y33" s="6" t="n">
        <v>2260016800</v>
      </c>
      <c r="Z33" s="6" t="inlineStr">
        <is>
          <t>KONTRIP</t>
        </is>
      </c>
      <c r="AA33" s="6" t="inlineStr">
        <is>
          <t>-</t>
        </is>
      </c>
      <c r="AB33" s="6" t="n">
        <v>958.24</v>
      </c>
      <c r="AC33" s="6" t="n">
        <v>85.59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>
        <v>0</v>
      </c>
      <c r="AI33" s="6" t="inlineStr">
        <is>
          <t>obs</t>
        </is>
      </c>
      <c r="AJ33" s="6" t="inlineStr">
        <is>
          <t>Centro de custo não preenchido! (ACC01)</t>
        </is>
      </c>
      <c r="AK33" s="6" t="inlineStr">
        <is>
          <t>KONTRIP</t>
        </is>
      </c>
      <c r="AL33" s="6" t="inlineStr">
        <is>
          <t>Centro de custo</t>
        </is>
      </c>
      <c r="AM33" s="6" t="inlineStr">
        <is>
          <t>Falta de informação Gerencial</t>
        </is>
      </c>
      <c r="AN33" s="6" t="inlineStr">
        <is>
          <t>Dados do Fornecedor</t>
        </is>
      </c>
      <c r="AO33" s="6" t="inlineStr">
        <is>
          <t>Qualidade dos dados</t>
        </is>
      </c>
      <c r="AP33" s="6" t="inlineStr">
        <is>
          <t>KONTRIP VIAGENS</t>
        </is>
      </c>
      <c r="AQ33" s="6" t="inlineStr">
        <is>
          <t>Operações - KONTRIP</t>
        </is>
      </c>
    </row>
    <row r="34">
      <c r="A34" s="6" t="n">
        <v>23338293</v>
      </c>
      <c r="B34" s="6" t="n">
        <v>24066102</v>
      </c>
      <c r="C34" s="6" t="inlineStr">
        <is>
          <t>ACC01</t>
        </is>
      </c>
      <c r="D34" s="58" t="n">
        <v>45978.378125</v>
      </c>
      <c r="E34" s="58" t="n">
        <v>45978.37951388889</v>
      </c>
      <c r="F34" s="6" t="inlineStr">
        <is>
          <t>06 a 08 dias</t>
        </is>
      </c>
      <c r="G34" s="6" t="inlineStr">
        <is>
          <t>06 a 08 dias</t>
        </is>
      </c>
      <c r="H34" s="6" t="inlineStr">
        <is>
          <t>LA9579496FMEX</t>
        </is>
      </c>
      <c r="I34" s="6" t="inlineStr">
        <is>
          <t>EBOOKING</t>
        </is>
      </c>
      <c r="J34" s="6" t="inlineStr">
        <is>
          <t>VEIGA/FELIPE</t>
        </is>
      </c>
      <c r="K34" s="6" t="inlineStr">
        <is>
          <t>Kontrip</t>
        </is>
      </c>
      <c r="L34" s="6" t="inlineStr">
        <is>
          <t>Kontrip</t>
        </is>
      </c>
      <c r="M34" s="58" t="n">
        <v>45977.48888888889</v>
      </c>
      <c r="N34" s="6" t="inlineStr">
        <is>
          <t>-</t>
        </is>
      </c>
      <c r="O34" s="6" t="inlineStr">
        <is>
          <t>-</t>
        </is>
      </c>
      <c r="P34" s="6" t="inlineStr">
        <is>
          <t>OFF LINE</t>
        </is>
      </c>
      <c r="Q34" s="6" t="inlineStr">
        <is>
          <t>Cartão de crédito</t>
        </is>
      </c>
      <c r="R34" s="6" t="inlineStr">
        <is>
          <t>Cartão de crédito</t>
        </is>
      </c>
      <c r="S34" s="6" t="inlineStr">
        <is>
          <t>Aéreo</t>
        </is>
      </c>
      <c r="T34" s="6" t="inlineStr">
        <is>
          <t>N</t>
        </is>
      </c>
      <c r="U34" s="6" t="inlineStr">
        <is>
          <t>Grupo Mercurio York</t>
        </is>
      </c>
      <c r="V34" s="6" t="inlineStr">
        <is>
          <t>Agencia Mercurio York Viagens e Turismo Ltda</t>
        </is>
      </c>
      <c r="W34" s="6" t="inlineStr">
        <is>
          <t>-</t>
        </is>
      </c>
      <c r="X34" s="6" t="inlineStr">
        <is>
          <t>Latam Airlines Brasil</t>
        </is>
      </c>
      <c r="Y34" s="6" t="n">
        <v>2260016749</v>
      </c>
      <c r="Z34" s="6" t="inlineStr">
        <is>
          <t>KONTRIP</t>
        </is>
      </c>
      <c r="AA34" s="6" t="inlineStr">
        <is>
          <t>-</t>
        </is>
      </c>
      <c r="AB34" s="6" t="n">
        <v>1225.44</v>
      </c>
      <c r="AC34" s="6" t="n">
        <v>85.59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0</v>
      </c>
      <c r="AI34" s="6" t="inlineStr">
        <is>
          <t>obs</t>
        </is>
      </c>
      <c r="AJ34" s="6" t="inlineStr">
        <is>
          <t>Centro de custo não preenchido! (ACC01)</t>
        </is>
      </c>
      <c r="AK34" s="6" t="inlineStr">
        <is>
          <t>KONTRIP</t>
        </is>
      </c>
      <c r="AL34" s="6" t="inlineStr">
        <is>
          <t>Centro de custo</t>
        </is>
      </c>
      <c r="AM34" s="6" t="inlineStr">
        <is>
          <t>Falta de informação Gerencial</t>
        </is>
      </c>
      <c r="AN34" s="6" t="inlineStr">
        <is>
          <t>Dados do Fornecedor</t>
        </is>
      </c>
      <c r="AO34" s="6" t="inlineStr">
        <is>
          <t>Qualidade dos dados</t>
        </is>
      </c>
      <c r="AP34" s="6" t="inlineStr">
        <is>
          <t>KONTRIP VIAGENS</t>
        </is>
      </c>
      <c r="AQ34" s="6" t="inlineStr">
        <is>
          <t>Operações - KONTRIP</t>
        </is>
      </c>
    </row>
    <row r="35">
      <c r="A35" s="6" t="n">
        <v>23298602</v>
      </c>
      <c r="B35" s="6" t="n">
        <v>24029566</v>
      </c>
      <c r="C35" s="6" t="inlineStr">
        <is>
          <t>ACC05</t>
        </is>
      </c>
      <c r="D35" s="58" t="n">
        <v>45971.88515046296</v>
      </c>
      <c r="E35" s="58" t="n">
        <v>45971.88627314815</v>
      </c>
      <c r="F35" s="6" t="inlineStr">
        <is>
          <t>09 a 15 dias</t>
        </is>
      </c>
      <c r="G35" s="6" t="inlineStr">
        <is>
          <t>09 a 15 dias</t>
        </is>
      </c>
      <c r="H35" s="6" t="inlineStr">
        <is>
          <t>LA9578646MFJQ</t>
        </is>
      </c>
      <c r="I35" s="6" t="inlineStr">
        <is>
          <t>EBOOKING</t>
        </is>
      </c>
      <c r="J35" s="6" t="inlineStr">
        <is>
          <t>Cristiane Santos/Andreia</t>
        </is>
      </c>
      <c r="K35" s="6" t="inlineStr">
        <is>
          <t>Kontrip</t>
        </is>
      </c>
      <c r="L35" s="6" t="inlineStr">
        <is>
          <t>Kontrip</t>
        </is>
      </c>
      <c r="M35" s="58" t="n">
        <v>45971.38055555556</v>
      </c>
      <c r="N35" s="6" t="inlineStr">
        <is>
          <t>-</t>
        </is>
      </c>
      <c r="O35" s="6" t="inlineStr">
        <is>
          <t>-</t>
        </is>
      </c>
      <c r="P35" s="6" t="inlineStr">
        <is>
          <t>OFF LINE</t>
        </is>
      </c>
      <c r="Q35" s="6" t="inlineStr">
        <is>
          <t>Cartão de crédito</t>
        </is>
      </c>
      <c r="R35" s="6" t="inlineStr">
        <is>
          <t>Cartão de crédito</t>
        </is>
      </c>
      <c r="S35" s="6" t="inlineStr">
        <is>
          <t>Aéreo</t>
        </is>
      </c>
      <c r="T35" s="6" t="inlineStr">
        <is>
          <t>N</t>
        </is>
      </c>
      <c r="U35" s="6" t="inlineStr">
        <is>
          <t>Grupo Mercurio York</t>
        </is>
      </c>
      <c r="V35" s="6" t="inlineStr">
        <is>
          <t>Agencia Mercurio York Viagens e Turismo Ltda</t>
        </is>
      </c>
      <c r="W35" s="6" t="inlineStr">
        <is>
          <t>-</t>
        </is>
      </c>
      <c r="X35" s="6" t="inlineStr">
        <is>
          <t>Latam Airlines Brasil</t>
        </is>
      </c>
      <c r="Y35" s="6" t="n">
        <v>2259055744</v>
      </c>
      <c r="Z35" s="6" t="inlineStr">
        <is>
          <t>KONTRIP</t>
        </is>
      </c>
      <c r="AA35" s="6" t="inlineStr">
        <is>
          <t>-</t>
        </is>
      </c>
      <c r="AB35" s="6" t="n">
        <v>411.92</v>
      </c>
      <c r="AC35" s="6" t="n">
        <v>60.62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0</v>
      </c>
      <c r="AI35" s="6" t="inlineStr">
        <is>
          <t>obs</t>
        </is>
      </c>
      <c r="AJ35" s="6" t="inlineStr">
        <is>
          <t xml:space="preserve"> Centro de custo não preenchido! (ACC03) Verificação d</t>
        </is>
      </c>
      <c r="AK35" s="6" t="inlineStr">
        <is>
          <t>KONTRIP</t>
        </is>
      </c>
      <c r="AL35" s="6" t="inlineStr">
        <is>
          <t>Centro de custo</t>
        </is>
      </c>
      <c r="AM35" s="6" t="inlineStr">
        <is>
          <t>Falta de informação Gerencial</t>
        </is>
      </c>
      <c r="AN35" s="6" t="inlineStr">
        <is>
          <t>Dados do Fornecedor</t>
        </is>
      </c>
      <c r="AO35" s="6" t="inlineStr">
        <is>
          <t>Qualidade dos dados</t>
        </is>
      </c>
      <c r="AP35" s="6" t="inlineStr">
        <is>
          <t>KONTRIP VIAGENS</t>
        </is>
      </c>
      <c r="AQ35" s="6" t="inlineStr">
        <is>
          <t>Operações - KONTRIP</t>
        </is>
      </c>
    </row>
    <row r="36">
      <c r="A36" s="6" t="n">
        <v>23298602</v>
      </c>
      <c r="B36" s="6" t="n">
        <v>24029567</v>
      </c>
      <c r="C36" s="6" t="inlineStr">
        <is>
          <t>ACC06</t>
        </is>
      </c>
      <c r="D36" s="58" t="n">
        <v>45971.88515046296</v>
      </c>
      <c r="E36" s="58" t="n">
        <v>45971.88627314815</v>
      </c>
      <c r="F36" s="6" t="inlineStr">
        <is>
          <t>09 a 15 dias</t>
        </is>
      </c>
      <c r="G36" s="6" t="inlineStr">
        <is>
          <t>09 a 15 dias</t>
        </is>
      </c>
      <c r="H36" s="6" t="inlineStr">
        <is>
          <t>LA9578646MFJQ</t>
        </is>
      </c>
      <c r="I36" s="6" t="inlineStr">
        <is>
          <t>EBOOKING</t>
        </is>
      </c>
      <c r="J36" s="6" t="inlineStr">
        <is>
          <t>Cavalcanti de Sa/Talita</t>
        </is>
      </c>
      <c r="K36" s="6" t="inlineStr">
        <is>
          <t>Kontrip</t>
        </is>
      </c>
      <c r="L36" s="6" t="inlineStr">
        <is>
          <t>Kontrip</t>
        </is>
      </c>
      <c r="M36" s="58" t="n">
        <v>45971.38055555556</v>
      </c>
      <c r="N36" s="6" t="inlineStr">
        <is>
          <t>-</t>
        </is>
      </c>
      <c r="O36" s="6" t="inlineStr">
        <is>
          <t>-</t>
        </is>
      </c>
      <c r="P36" s="6" t="inlineStr">
        <is>
          <t>OFF LINE</t>
        </is>
      </c>
      <c r="Q36" s="6" t="inlineStr">
        <is>
          <t>Cartão de crédito</t>
        </is>
      </c>
      <c r="R36" s="6" t="inlineStr">
        <is>
          <t>Cartão de crédito</t>
        </is>
      </c>
      <c r="S36" s="6" t="inlineStr">
        <is>
          <t>Aéreo</t>
        </is>
      </c>
      <c r="T36" s="6" t="inlineStr">
        <is>
          <t>N</t>
        </is>
      </c>
      <c r="U36" s="6" t="inlineStr">
        <is>
          <t>Grupo Mercurio York</t>
        </is>
      </c>
      <c r="V36" s="6" t="inlineStr">
        <is>
          <t>Agencia Mercurio York Viagens e Turismo Ltda</t>
        </is>
      </c>
      <c r="W36" s="6" t="inlineStr">
        <is>
          <t>-</t>
        </is>
      </c>
      <c r="X36" s="6" t="inlineStr">
        <is>
          <t>Latam Airlines Brasil</t>
        </is>
      </c>
      <c r="Y36" s="6" t="n">
        <v>2259055745</v>
      </c>
      <c r="Z36" s="6" t="inlineStr">
        <is>
          <t>KONTRIP</t>
        </is>
      </c>
      <c r="AA36" s="6" t="inlineStr">
        <is>
          <t>-</t>
        </is>
      </c>
      <c r="AB36" s="6" t="n">
        <v>411.92</v>
      </c>
      <c r="AC36" s="6" t="n">
        <v>60.62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inlineStr">
        <is>
          <t>obs</t>
        </is>
      </c>
      <c r="AJ36" s="6" t="inlineStr">
        <is>
          <t xml:space="preserve"> Centro de custo não preenchido! (ACC03) Verificação d</t>
        </is>
      </c>
      <c r="AK36" s="6" t="inlineStr">
        <is>
          <t>KONTRIP</t>
        </is>
      </c>
      <c r="AL36" s="6" t="inlineStr">
        <is>
          <t>Centro de custo</t>
        </is>
      </c>
      <c r="AM36" s="6" t="inlineStr">
        <is>
          <t>Falta de informação Gerencial</t>
        </is>
      </c>
      <c r="AN36" s="6" t="inlineStr">
        <is>
          <t>Dados do Fornecedor</t>
        </is>
      </c>
      <c r="AO36" s="6" t="inlineStr">
        <is>
          <t>Qualidade dos dados</t>
        </is>
      </c>
      <c r="AP36" s="6" t="inlineStr">
        <is>
          <t>KONTRIP VIAGENS</t>
        </is>
      </c>
      <c r="AQ36" s="6" t="inlineStr">
        <is>
          <t>Operações - KONTRIP</t>
        </is>
      </c>
    </row>
    <row r="37">
      <c r="A37" s="6" t="n">
        <v>23298631</v>
      </c>
      <c r="B37" s="6" t="n">
        <v>24029609</v>
      </c>
      <c r="C37" s="6" t="inlineStr">
        <is>
          <t>ACC01</t>
        </is>
      </c>
      <c r="D37" s="58" t="n">
        <v>45971.89060185185</v>
      </c>
      <c r="E37" s="58" t="n">
        <v>45971.89210648148</v>
      </c>
      <c r="F37" s="6" t="inlineStr">
        <is>
          <t>09 a 15 dias</t>
        </is>
      </c>
      <c r="G37" s="6" t="inlineStr">
        <is>
          <t>09 a 15 dias</t>
        </is>
      </c>
      <c r="H37" s="6" t="inlineStr">
        <is>
          <t>FJPLXB</t>
        </is>
      </c>
      <c r="I37" s="6" t="inlineStr">
        <is>
          <t>EBOOKING</t>
        </is>
      </c>
      <c r="J37" s="6" t="inlineStr">
        <is>
          <t>Rios/Aline</t>
        </is>
      </c>
      <c r="K37" s="6" t="inlineStr">
        <is>
          <t>Kontrip</t>
        </is>
      </c>
      <c r="L37" s="6" t="inlineStr">
        <is>
          <t>Kontrip</t>
        </is>
      </c>
      <c r="M37" s="58" t="n">
        <v>45971.38541666666</v>
      </c>
      <c r="N37" s="6" t="inlineStr">
        <is>
          <t>-</t>
        </is>
      </c>
      <c r="O37" s="6" t="inlineStr">
        <is>
          <t>-</t>
        </is>
      </c>
      <c r="P37" s="6" t="inlineStr">
        <is>
          <t>OFF LINE</t>
        </is>
      </c>
      <c r="Q37" s="6" t="inlineStr">
        <is>
          <t>Cartão de crédito</t>
        </is>
      </c>
      <c r="R37" s="6" t="inlineStr">
        <is>
          <t>Cartão de crédito</t>
        </is>
      </c>
      <c r="S37" s="6" t="inlineStr">
        <is>
          <t>Aéreo</t>
        </is>
      </c>
      <c r="T37" s="6" t="inlineStr">
        <is>
          <t>N</t>
        </is>
      </c>
      <c r="U37" s="6" t="inlineStr">
        <is>
          <t>Grupo Mercurio York</t>
        </is>
      </c>
      <c r="V37" s="6" t="inlineStr">
        <is>
          <t>Agencia Mercurio York Viagens e Turismo Ltda</t>
        </is>
      </c>
      <c r="W37" s="6" t="inlineStr">
        <is>
          <t>-</t>
        </is>
      </c>
      <c r="X37" s="6" t="inlineStr">
        <is>
          <t>Gol Linhas Aereas</t>
        </is>
      </c>
      <c r="Y37" s="6" t="n">
        <v>2149210370</v>
      </c>
      <c r="Z37" s="6" t="inlineStr">
        <is>
          <t>KONTRIP</t>
        </is>
      </c>
      <c r="AA37" s="6" t="inlineStr">
        <is>
          <t>-</t>
        </is>
      </c>
      <c r="AB37" s="6" t="n">
        <v>421.7</v>
      </c>
      <c r="AC37" s="6" t="n">
        <v>60.62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0</v>
      </c>
      <c r="AI37" s="6" t="inlineStr">
        <is>
          <t>obs</t>
        </is>
      </c>
      <c r="AJ37" s="6" t="inlineStr">
        <is>
          <t xml:space="preserve"> Centro de custo não preenchido! (ACC03) Verificação d</t>
        </is>
      </c>
      <c r="AK37" s="6" t="inlineStr">
        <is>
          <t>KONTRIP</t>
        </is>
      </c>
      <c r="AL37" s="6" t="inlineStr">
        <is>
          <t>Centro de custo</t>
        </is>
      </c>
      <c r="AM37" s="6" t="inlineStr">
        <is>
          <t>Falta de informação Gerencial</t>
        </is>
      </c>
      <c r="AN37" s="6" t="inlineStr">
        <is>
          <t>Dados do Fornecedor</t>
        </is>
      </c>
      <c r="AO37" s="6" t="inlineStr">
        <is>
          <t>Qualidade dos dados</t>
        </is>
      </c>
      <c r="AP37" s="6" t="inlineStr">
        <is>
          <t>KONTRIP VIAGENS</t>
        </is>
      </c>
      <c r="AQ37" s="6" t="inlineStr">
        <is>
          <t>Operações - KONTRIP</t>
        </is>
      </c>
    </row>
    <row r="38">
      <c r="A38" s="6" t="n">
        <v>23298631</v>
      </c>
      <c r="B38" s="6" t="n">
        <v>24029612</v>
      </c>
      <c r="C38" s="6" t="inlineStr">
        <is>
          <t>ACC04</t>
        </is>
      </c>
      <c r="D38" s="58" t="n">
        <v>45971.89060185185</v>
      </c>
      <c r="E38" s="58" t="n">
        <v>45971.89210648148</v>
      </c>
      <c r="F38" s="6" t="inlineStr">
        <is>
          <t>09 a 15 dias</t>
        </is>
      </c>
      <c r="G38" s="6" t="inlineStr">
        <is>
          <t>09 a 15 dias</t>
        </is>
      </c>
      <c r="H38" s="6" t="inlineStr">
        <is>
          <t>FJPLXB</t>
        </is>
      </c>
      <c r="I38" s="6" t="inlineStr">
        <is>
          <t>EBOOKING</t>
        </is>
      </c>
      <c r="J38" s="6" t="inlineStr">
        <is>
          <t>Varjao/Lorena</t>
        </is>
      </c>
      <c r="K38" s="6" t="inlineStr">
        <is>
          <t>Kontrip</t>
        </is>
      </c>
      <c r="L38" s="6" t="inlineStr">
        <is>
          <t>Kontrip</t>
        </is>
      </c>
      <c r="M38" s="58" t="n">
        <v>45971.38541666666</v>
      </c>
      <c r="N38" s="6" t="inlineStr">
        <is>
          <t>-</t>
        </is>
      </c>
      <c r="O38" s="6" t="inlineStr">
        <is>
          <t>-</t>
        </is>
      </c>
      <c r="P38" s="6" t="inlineStr">
        <is>
          <t>OFF LINE</t>
        </is>
      </c>
      <c r="Q38" s="6" t="inlineStr">
        <is>
          <t>Cartão de crédito</t>
        </is>
      </c>
      <c r="R38" s="6" t="inlineStr">
        <is>
          <t>Cartão de crédito</t>
        </is>
      </c>
      <c r="S38" s="6" t="inlineStr">
        <is>
          <t>Aéreo</t>
        </is>
      </c>
      <c r="T38" s="6" t="inlineStr">
        <is>
          <t>N</t>
        </is>
      </c>
      <c r="U38" s="6" t="inlineStr">
        <is>
          <t>Grupo Mercurio York</t>
        </is>
      </c>
      <c r="V38" s="6" t="inlineStr">
        <is>
          <t>Agencia Mercurio York Viagens e Turismo Ltda</t>
        </is>
      </c>
      <c r="W38" s="6" t="inlineStr">
        <is>
          <t>-</t>
        </is>
      </c>
      <c r="X38" s="6" t="inlineStr">
        <is>
          <t>Gol Linhas Aereas</t>
        </is>
      </c>
      <c r="Y38" s="6" t="n">
        <v>2149210373</v>
      </c>
      <c r="Z38" s="6" t="inlineStr">
        <is>
          <t>KONTRIP</t>
        </is>
      </c>
      <c r="AA38" s="6" t="inlineStr">
        <is>
          <t>-</t>
        </is>
      </c>
      <c r="AB38" s="6" t="n">
        <v>421.7</v>
      </c>
      <c r="AC38" s="6" t="n">
        <v>60.62</v>
      </c>
      <c r="AD38" s="6" t="n">
        <v>0</v>
      </c>
      <c r="AE38" s="6" t="n">
        <v>0</v>
      </c>
      <c r="AF38" s="6" t="n">
        <v>0</v>
      </c>
      <c r="AG38" s="6" t="n">
        <v>0</v>
      </c>
      <c r="AH38" s="6" t="n">
        <v>0</v>
      </c>
      <c r="AI38" s="6" t="inlineStr">
        <is>
          <t>obs</t>
        </is>
      </c>
      <c r="AJ38" s="6" t="inlineStr">
        <is>
          <t xml:space="preserve"> Centro de custo não preenchido! (ACC03) Verificação d</t>
        </is>
      </c>
      <c r="AK38" s="6" t="inlineStr">
        <is>
          <t>KONTRIP</t>
        </is>
      </c>
      <c r="AL38" s="6" t="inlineStr">
        <is>
          <t>Centro de custo</t>
        </is>
      </c>
      <c r="AM38" s="6" t="inlineStr">
        <is>
          <t>Falta de informação Gerencial</t>
        </is>
      </c>
      <c r="AN38" s="6" t="inlineStr">
        <is>
          <t>Dados do Fornecedor</t>
        </is>
      </c>
      <c r="AO38" s="6" t="inlineStr">
        <is>
          <t>Qualidade dos dados</t>
        </is>
      </c>
      <c r="AP38" s="6" t="inlineStr">
        <is>
          <t>KONTRIP VIAGENS</t>
        </is>
      </c>
      <c r="AQ38" s="6" t="inlineStr">
        <is>
          <t>Operações - KONTRIP</t>
        </is>
      </c>
    </row>
    <row r="39">
      <c r="A39" s="6" t="n">
        <v>23298631</v>
      </c>
      <c r="B39" s="6" t="n">
        <v>24029614</v>
      </c>
      <c r="C39" s="6" t="inlineStr">
        <is>
          <t>ACC05</t>
        </is>
      </c>
      <c r="D39" s="58" t="n">
        <v>45971.89060185185</v>
      </c>
      <c r="E39" s="58" t="n">
        <v>45971.89210648148</v>
      </c>
      <c r="F39" s="6" t="inlineStr">
        <is>
          <t>09 a 15 dias</t>
        </is>
      </c>
      <c r="G39" s="6" t="inlineStr">
        <is>
          <t>09 a 15 dias</t>
        </is>
      </c>
      <c r="H39" s="6" t="inlineStr">
        <is>
          <t>FJPLXB</t>
        </is>
      </c>
      <c r="I39" s="6" t="inlineStr">
        <is>
          <t>EBOOKING</t>
        </is>
      </c>
      <c r="J39" s="6" t="inlineStr">
        <is>
          <t>Faria/Catarina</t>
        </is>
      </c>
      <c r="K39" s="6" t="inlineStr">
        <is>
          <t>Kontrip</t>
        </is>
      </c>
      <c r="L39" s="6" t="inlineStr">
        <is>
          <t>Kontrip</t>
        </is>
      </c>
      <c r="M39" s="58" t="n">
        <v>45971.38541666666</v>
      </c>
      <c r="N39" s="6" t="inlineStr">
        <is>
          <t>-</t>
        </is>
      </c>
      <c r="O39" s="6" t="inlineStr">
        <is>
          <t>-</t>
        </is>
      </c>
      <c r="P39" s="6" t="inlineStr">
        <is>
          <t>OFF LINE</t>
        </is>
      </c>
      <c r="Q39" s="6" t="inlineStr">
        <is>
          <t>Cartão de crédito</t>
        </is>
      </c>
      <c r="R39" s="6" t="inlineStr">
        <is>
          <t>Cartão de crédito</t>
        </is>
      </c>
      <c r="S39" s="6" t="inlineStr">
        <is>
          <t>Aéreo</t>
        </is>
      </c>
      <c r="T39" s="6" t="inlineStr">
        <is>
          <t>N</t>
        </is>
      </c>
      <c r="U39" s="6" t="inlineStr">
        <is>
          <t>Grupo Mercurio York</t>
        </is>
      </c>
      <c r="V39" s="6" t="inlineStr">
        <is>
          <t>Agencia Mercurio York Viagens e Turismo Ltda</t>
        </is>
      </c>
      <c r="W39" s="6" t="inlineStr">
        <is>
          <t>-</t>
        </is>
      </c>
      <c r="X39" s="6" t="inlineStr">
        <is>
          <t>Gol Linhas Aereas</t>
        </is>
      </c>
      <c r="Y39" s="6" t="n">
        <v>2149210374</v>
      </c>
      <c r="Z39" s="6" t="inlineStr">
        <is>
          <t>KONTRIP</t>
        </is>
      </c>
      <c r="AA39" s="6" t="inlineStr">
        <is>
          <t>-</t>
        </is>
      </c>
      <c r="AB39" s="6" t="n">
        <v>421.7</v>
      </c>
      <c r="AC39" s="6" t="n">
        <v>60.62</v>
      </c>
      <c r="AD39" s="6" t="n">
        <v>0</v>
      </c>
      <c r="AE39" s="6" t="n">
        <v>0</v>
      </c>
      <c r="AF39" s="6" t="n">
        <v>0</v>
      </c>
      <c r="AG39" s="6" t="n">
        <v>0</v>
      </c>
      <c r="AH39" s="6" t="n">
        <v>0</v>
      </c>
      <c r="AI39" s="6" t="inlineStr">
        <is>
          <t>obs</t>
        </is>
      </c>
      <c r="AJ39" s="6" t="inlineStr">
        <is>
          <t xml:space="preserve"> Centro de custo não preenchido! (ACC03) Verificação d</t>
        </is>
      </c>
      <c r="AK39" s="6" t="inlineStr">
        <is>
          <t>KONTRIP</t>
        </is>
      </c>
      <c r="AL39" s="6" t="inlineStr">
        <is>
          <t>Centro de custo</t>
        </is>
      </c>
      <c r="AM39" s="6" t="inlineStr">
        <is>
          <t>Falta de informação Gerencial</t>
        </is>
      </c>
      <c r="AN39" s="6" t="inlineStr">
        <is>
          <t>Dados do Fornecedor</t>
        </is>
      </c>
      <c r="AO39" s="6" t="inlineStr">
        <is>
          <t>Qualidade dos dados</t>
        </is>
      </c>
      <c r="AP39" s="6" t="inlineStr">
        <is>
          <t>KONTRIP VIAGENS</t>
        </is>
      </c>
      <c r="AQ39" s="6" t="inlineStr">
        <is>
          <t>Operações - KONTRIP</t>
        </is>
      </c>
    </row>
    <row r="40">
      <c r="A40" s="6" t="n">
        <v>23298707</v>
      </c>
      <c r="B40" s="6" t="n">
        <v>24029687</v>
      </c>
      <c r="C40" s="6" t="inlineStr">
        <is>
          <t>ACC01</t>
        </is>
      </c>
      <c r="D40" s="58" t="n">
        <v>45971.90032407407</v>
      </c>
      <c r="E40" s="58" t="n">
        <v>45971.90085648148</v>
      </c>
      <c r="F40" s="6" t="inlineStr">
        <is>
          <t>09 a 15 dias</t>
        </is>
      </c>
      <c r="G40" s="6" t="inlineStr">
        <is>
          <t>09 a 15 dias</t>
        </is>
      </c>
      <c r="H40" s="6" t="inlineStr">
        <is>
          <t>WBFXKJ</t>
        </is>
      </c>
      <c r="I40" s="6" t="inlineStr">
        <is>
          <t>EBOOKING</t>
        </is>
      </c>
      <c r="J40" s="6" t="inlineStr">
        <is>
          <t>Vilela/Lidiany</t>
        </is>
      </c>
      <c r="K40" s="6" t="inlineStr">
        <is>
          <t>Kontrip</t>
        </is>
      </c>
      <c r="L40" s="6" t="inlineStr">
        <is>
          <t>Kontrip</t>
        </is>
      </c>
      <c r="M40" s="58" t="n">
        <v>45971.39652777778</v>
      </c>
      <c r="N40" s="6" t="inlineStr">
        <is>
          <t>-</t>
        </is>
      </c>
      <c r="O40" s="6" t="inlineStr">
        <is>
          <t>-</t>
        </is>
      </c>
      <c r="P40" s="6" t="inlineStr">
        <is>
          <t>OFF LINE</t>
        </is>
      </c>
      <c r="Q40" s="6" t="inlineStr">
        <is>
          <t>Cartão de crédito</t>
        </is>
      </c>
      <c r="R40" s="6" t="inlineStr">
        <is>
          <t>Cartão de crédito</t>
        </is>
      </c>
      <c r="S40" s="6" t="inlineStr">
        <is>
          <t>Aéreo</t>
        </is>
      </c>
      <c r="T40" s="6" t="inlineStr">
        <is>
          <t>N</t>
        </is>
      </c>
      <c r="U40" s="6" t="inlineStr">
        <is>
          <t>Grupo Mercurio York</t>
        </is>
      </c>
      <c r="V40" s="6" t="inlineStr">
        <is>
          <t>Agencia Mercurio York Viagens e Turismo Ltda</t>
        </is>
      </c>
      <c r="W40" s="6" t="inlineStr">
        <is>
          <t>-</t>
        </is>
      </c>
      <c r="X40" s="6" t="inlineStr">
        <is>
          <t>Gol Linhas Aereas</t>
        </is>
      </c>
      <c r="Y40" s="6" t="n">
        <v>2149211515</v>
      </c>
      <c r="Z40" s="6" t="inlineStr">
        <is>
          <t>KONTRIP</t>
        </is>
      </c>
      <c r="AA40" s="6" t="inlineStr">
        <is>
          <t>-</t>
        </is>
      </c>
      <c r="AB40" s="6" t="n">
        <v>421.7</v>
      </c>
      <c r="AC40" s="6" t="n">
        <v>60.62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inlineStr">
        <is>
          <t>obs</t>
        </is>
      </c>
      <c r="AJ40" s="6" t="inlineStr">
        <is>
          <t>Centro de custo não preenchido! (ACC01)</t>
        </is>
      </c>
      <c r="AK40" s="6" t="inlineStr">
        <is>
          <t>KONTRIP</t>
        </is>
      </c>
      <c r="AL40" s="6" t="inlineStr">
        <is>
          <t>Centro de custo</t>
        </is>
      </c>
      <c r="AM40" s="6" t="inlineStr">
        <is>
          <t>Falta de informação Gerencial</t>
        </is>
      </c>
      <c r="AN40" s="6" t="inlineStr">
        <is>
          <t>Dados do Fornecedor</t>
        </is>
      </c>
      <c r="AO40" s="6" t="inlineStr">
        <is>
          <t>Qualidade dos dados</t>
        </is>
      </c>
      <c r="AP40" s="6" t="inlineStr">
        <is>
          <t>KONTRIP VIAGENS</t>
        </is>
      </c>
      <c r="AQ40" s="6" t="inlineStr">
        <is>
          <t>Operações - KONTRIP</t>
        </is>
      </c>
    </row>
    <row r="41">
      <c r="A41" s="6" t="n">
        <v>23300846</v>
      </c>
      <c r="B41" s="6" t="n">
        <v>24031455</v>
      </c>
      <c r="C41" s="6" t="inlineStr">
        <is>
          <t>ACC01</t>
        </is>
      </c>
      <c r="D41" s="58" t="n">
        <v>45972.3753125</v>
      </c>
      <c r="E41" s="58" t="n">
        <v>45972.37615740741</v>
      </c>
      <c r="F41" s="6" t="inlineStr">
        <is>
          <t>09 a 15 dias</t>
        </is>
      </c>
      <c r="G41" s="6" t="inlineStr">
        <is>
          <t>09 a 15 dias</t>
        </is>
      </c>
      <c r="H41" s="6" t="inlineStr">
        <is>
          <t>LA9577795OSVJ</t>
        </is>
      </c>
      <c r="I41" s="6" t="inlineStr">
        <is>
          <t>EBOOKING</t>
        </is>
      </c>
      <c r="J41" s="6" t="inlineStr">
        <is>
          <t>ANGE ARAUJO/ENY</t>
        </is>
      </c>
      <c r="K41" s="6" t="inlineStr">
        <is>
          <t>Kontrip</t>
        </is>
      </c>
      <c r="L41" s="6" t="inlineStr">
        <is>
          <t>Kontrip</t>
        </is>
      </c>
      <c r="M41" s="58" t="n">
        <v>45972.35972222222</v>
      </c>
      <c r="N41" s="6" t="inlineStr">
        <is>
          <t>-</t>
        </is>
      </c>
      <c r="O41" s="6" t="inlineStr">
        <is>
          <t>-</t>
        </is>
      </c>
      <c r="P41" s="6" t="inlineStr">
        <is>
          <t>OFF LINE</t>
        </is>
      </c>
      <c r="Q41" s="6" t="inlineStr">
        <is>
          <t>Cartão de crédito</t>
        </is>
      </c>
      <c r="R41" s="6" t="inlineStr">
        <is>
          <t>Cartão de crédito</t>
        </is>
      </c>
      <c r="S41" s="6" t="inlineStr">
        <is>
          <t>Aéreo</t>
        </is>
      </c>
      <c r="T41" s="6" t="inlineStr">
        <is>
          <t>N</t>
        </is>
      </c>
      <c r="U41" s="6" t="inlineStr">
        <is>
          <t>Grupo Mercurio York</t>
        </is>
      </c>
      <c r="V41" s="6" t="inlineStr">
        <is>
          <t>Agencia Mercurio York Viagens e Turismo Ltda</t>
        </is>
      </c>
      <c r="W41" s="6" t="inlineStr">
        <is>
          <t>-</t>
        </is>
      </c>
      <c r="X41" s="6" t="inlineStr">
        <is>
          <t>Latam Airlines Brasil</t>
        </is>
      </c>
      <c r="Y41" s="6" t="n">
        <v>2259100812</v>
      </c>
      <c r="Z41" s="6" t="inlineStr">
        <is>
          <t>KONTRIP</t>
        </is>
      </c>
      <c r="AA41" s="6" t="inlineStr">
        <is>
          <t>-</t>
        </is>
      </c>
      <c r="AB41" s="6" t="n">
        <v>1075.12</v>
      </c>
      <c r="AC41" s="6" t="n">
        <v>52.72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inlineStr">
        <is>
          <t>obs</t>
        </is>
      </c>
      <c r="AJ41" s="6" t="inlineStr">
        <is>
          <t>Centro de custo não preenchido! (ACC02)</t>
        </is>
      </c>
      <c r="AK41" s="6" t="inlineStr">
        <is>
          <t>KONTRIP</t>
        </is>
      </c>
      <c r="AL41" s="6" t="inlineStr">
        <is>
          <t>Centro de custo</t>
        </is>
      </c>
      <c r="AM41" s="6" t="inlineStr">
        <is>
          <t>Falta de informação Gerencial</t>
        </is>
      </c>
      <c r="AN41" s="6" t="inlineStr">
        <is>
          <t>Dados do Fornecedor</t>
        </is>
      </c>
      <c r="AO41" s="6" t="inlineStr">
        <is>
          <t>Qualidade dos dados</t>
        </is>
      </c>
      <c r="AP41" s="6" t="inlineStr">
        <is>
          <t>KONTRIP VIAGENS</t>
        </is>
      </c>
      <c r="AQ41" s="6" t="inlineStr">
        <is>
          <t>Operações - KONTRIP</t>
        </is>
      </c>
    </row>
    <row r="42">
      <c r="A42" s="6" t="n">
        <v>23331632</v>
      </c>
      <c r="B42" s="6" t="n">
        <v>24060596</v>
      </c>
      <c r="C42" s="6" t="inlineStr">
        <is>
          <t>ACC01</t>
        </is>
      </c>
      <c r="D42" s="58" t="n">
        <v>45976.6753125</v>
      </c>
      <c r="E42" s="58" t="n">
        <v>45976.67737268518</v>
      </c>
      <c r="F42" s="6" t="inlineStr">
        <is>
          <t>09 a 15 dias</t>
        </is>
      </c>
      <c r="G42" s="6" t="inlineStr">
        <is>
          <t>09 a 15 dias</t>
        </is>
      </c>
      <c r="H42" s="6" t="inlineStr">
        <is>
          <t>LA9573238YNLB</t>
        </is>
      </c>
      <c r="I42" s="6" t="inlineStr">
        <is>
          <t>EBOOKING</t>
        </is>
      </c>
      <c r="J42" s="6" t="inlineStr">
        <is>
          <t>BARTILOTTI/PATRICIA</t>
        </is>
      </c>
      <c r="K42" s="6" t="inlineStr">
        <is>
          <t>Kontrip</t>
        </is>
      </c>
      <c r="L42" s="6" t="inlineStr">
        <is>
          <t>Kontrip</t>
        </is>
      </c>
      <c r="M42" s="58" t="n">
        <v>45976.16944444444</v>
      </c>
      <c r="N42" s="6" t="inlineStr">
        <is>
          <t>-</t>
        </is>
      </c>
      <c r="O42" s="6" t="inlineStr">
        <is>
          <t>-</t>
        </is>
      </c>
      <c r="P42" s="6" t="inlineStr">
        <is>
          <t>OFF LINE</t>
        </is>
      </c>
      <c r="Q42" s="6" t="inlineStr">
        <is>
          <t>Cartão de crédito</t>
        </is>
      </c>
      <c r="R42" s="6" t="inlineStr">
        <is>
          <t>Cartão de crédito</t>
        </is>
      </c>
      <c r="S42" s="6" t="inlineStr">
        <is>
          <t>Aéreo</t>
        </is>
      </c>
      <c r="T42" s="6" t="inlineStr">
        <is>
          <t>N</t>
        </is>
      </c>
      <c r="U42" s="6" t="inlineStr">
        <is>
          <t>Grupo Mercurio York</t>
        </is>
      </c>
      <c r="V42" s="6" t="inlineStr">
        <is>
          <t>Agencia Mercurio York Viagens e Turismo Ltda</t>
        </is>
      </c>
      <c r="W42" s="6" t="inlineStr">
        <is>
          <t>-</t>
        </is>
      </c>
      <c r="X42" s="6" t="inlineStr">
        <is>
          <t>Latam Airlines Brasil</t>
        </is>
      </c>
      <c r="Y42" s="6" t="n">
        <v>2259843869</v>
      </c>
      <c r="Z42" s="6" t="inlineStr">
        <is>
          <t>KONTRIP</t>
        </is>
      </c>
      <c r="AA42" s="6" t="inlineStr">
        <is>
          <t>-</t>
        </is>
      </c>
      <c r="AB42" s="6" t="n">
        <v>700.9400000000001</v>
      </c>
      <c r="AC42" s="6" t="n">
        <v>52.72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inlineStr">
        <is>
          <t>obs</t>
        </is>
      </c>
      <c r="AJ42" s="6" t="inlineStr">
        <is>
          <t xml:space="preserve"> Centro de custo não preenchido! (ACC03)</t>
        </is>
      </c>
      <c r="AK42" s="6" t="inlineStr">
        <is>
          <t>KONTRIP</t>
        </is>
      </c>
      <c r="AL42" s="6" t="inlineStr">
        <is>
          <t>Centro de custo</t>
        </is>
      </c>
      <c r="AM42" s="6" t="inlineStr">
        <is>
          <t>Falta de informação Gerencial</t>
        </is>
      </c>
      <c r="AN42" s="6" t="inlineStr">
        <is>
          <t>Dados do Fornecedor</t>
        </is>
      </c>
      <c r="AO42" s="6" t="inlineStr">
        <is>
          <t>Qualidade dos dados</t>
        </is>
      </c>
      <c r="AP42" s="6" t="inlineStr">
        <is>
          <t>KONTRIP VIAGENS</t>
        </is>
      </c>
      <c r="AQ42" s="6" t="inlineStr">
        <is>
          <t>Operações - KONTRIP</t>
        </is>
      </c>
    </row>
    <row r="43">
      <c r="A43" s="6" t="n">
        <v>23331632</v>
      </c>
      <c r="B43" s="6" t="n">
        <v>24060597</v>
      </c>
      <c r="C43" s="6" t="inlineStr">
        <is>
          <t>ACC02</t>
        </is>
      </c>
      <c r="D43" s="58" t="n">
        <v>45976.6753125</v>
      </c>
      <c r="E43" s="58" t="n">
        <v>45976.67737268518</v>
      </c>
      <c r="F43" s="6" t="inlineStr">
        <is>
          <t>09 a 15 dias</t>
        </is>
      </c>
      <c r="G43" s="6" t="inlineStr">
        <is>
          <t>09 a 15 dias</t>
        </is>
      </c>
      <c r="H43" s="6" t="inlineStr">
        <is>
          <t>LA9573238YNLB</t>
        </is>
      </c>
      <c r="I43" s="6" t="inlineStr">
        <is>
          <t>EBOOKING</t>
        </is>
      </c>
      <c r="J43" s="6" t="inlineStr">
        <is>
          <t>PEDRO BARTILOTTI/JOAO</t>
        </is>
      </c>
      <c r="K43" s="6" t="inlineStr">
        <is>
          <t>Kontrip</t>
        </is>
      </c>
      <c r="L43" s="6" t="inlineStr">
        <is>
          <t>Kontrip</t>
        </is>
      </c>
      <c r="M43" s="58" t="n">
        <v>45976.16944444444</v>
      </c>
      <c r="N43" s="6" t="inlineStr">
        <is>
          <t>-</t>
        </is>
      </c>
      <c r="O43" s="6" t="inlineStr">
        <is>
          <t>-</t>
        </is>
      </c>
      <c r="P43" s="6" t="inlineStr">
        <is>
          <t>OFF LINE</t>
        </is>
      </c>
      <c r="Q43" s="6" t="inlineStr">
        <is>
          <t>Cartão de crédito</t>
        </is>
      </c>
      <c r="R43" s="6" t="inlineStr">
        <is>
          <t>Cartão de crédito</t>
        </is>
      </c>
      <c r="S43" s="6" t="inlineStr">
        <is>
          <t>Aéreo</t>
        </is>
      </c>
      <c r="T43" s="6" t="inlineStr">
        <is>
          <t>N</t>
        </is>
      </c>
      <c r="U43" s="6" t="inlineStr">
        <is>
          <t>Grupo Mercurio York</t>
        </is>
      </c>
      <c r="V43" s="6" t="inlineStr">
        <is>
          <t>Agencia Mercurio York Viagens e Turismo Ltda</t>
        </is>
      </c>
      <c r="W43" s="6" t="inlineStr">
        <is>
          <t>-</t>
        </is>
      </c>
      <c r="X43" s="6" t="inlineStr">
        <is>
          <t>Latam Airlines Brasil</t>
        </is>
      </c>
      <c r="Y43" s="6" t="n">
        <v>2259843870</v>
      </c>
      <c r="Z43" s="6" t="inlineStr">
        <is>
          <t>KONTRIP</t>
        </is>
      </c>
      <c r="AA43" s="6" t="inlineStr">
        <is>
          <t>-</t>
        </is>
      </c>
      <c r="AB43" s="6" t="n">
        <v>700.9400000000001</v>
      </c>
      <c r="AC43" s="6" t="n">
        <v>52.72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inlineStr">
        <is>
          <t>obs</t>
        </is>
      </c>
      <c r="AJ43" s="6" t="inlineStr">
        <is>
          <t xml:space="preserve"> Centro de custo não preenchido! (ACC03)</t>
        </is>
      </c>
      <c r="AK43" s="6" t="inlineStr">
        <is>
          <t>KONTRIP</t>
        </is>
      </c>
      <c r="AL43" s="6" t="inlineStr">
        <is>
          <t>Centro de custo</t>
        </is>
      </c>
      <c r="AM43" s="6" t="inlineStr">
        <is>
          <t>Falta de informação Gerencial</t>
        </is>
      </c>
      <c r="AN43" s="6" t="inlineStr">
        <is>
          <t>Dados do Fornecedor</t>
        </is>
      </c>
      <c r="AO43" s="6" t="inlineStr">
        <is>
          <t>Qualidade dos dados</t>
        </is>
      </c>
      <c r="AP43" s="6" t="inlineStr">
        <is>
          <t>KONTRIP VIAGENS</t>
        </is>
      </c>
      <c r="AQ43" s="6" t="inlineStr">
        <is>
          <t>Operações - KONTRIP</t>
        </is>
      </c>
    </row>
    <row r="44">
      <c r="A44" s="6" t="n">
        <v>23331632</v>
      </c>
      <c r="B44" s="6" t="n">
        <v>24060598</v>
      </c>
      <c r="C44" s="6" t="inlineStr">
        <is>
          <t>ACC03</t>
        </is>
      </c>
      <c r="D44" s="58" t="n">
        <v>45976.6753125</v>
      </c>
      <c r="E44" s="58" t="n">
        <v>45976.67737268518</v>
      </c>
      <c r="F44" s="6" t="inlineStr">
        <is>
          <t>09 a 15 dias</t>
        </is>
      </c>
      <c r="G44" s="6" t="inlineStr">
        <is>
          <t>09 a 15 dias</t>
        </is>
      </c>
      <c r="H44" s="6" t="inlineStr">
        <is>
          <t>LA9573238YNLB</t>
        </is>
      </c>
      <c r="I44" s="6" t="inlineStr">
        <is>
          <t>EBOOKING</t>
        </is>
      </c>
      <c r="J44" s="6" t="inlineStr">
        <is>
          <t>LEANDRA DA CONCEICAO/BERNARDINA</t>
        </is>
      </c>
      <c r="K44" s="6" t="inlineStr">
        <is>
          <t>Kontrip</t>
        </is>
      </c>
      <c r="L44" s="6" t="inlineStr">
        <is>
          <t>Kontrip</t>
        </is>
      </c>
      <c r="M44" s="58" t="n">
        <v>45976.16944444444</v>
      </c>
      <c r="N44" s="6" t="inlineStr">
        <is>
          <t>-</t>
        </is>
      </c>
      <c r="O44" s="6" t="inlineStr">
        <is>
          <t>-</t>
        </is>
      </c>
      <c r="P44" s="6" t="inlineStr">
        <is>
          <t>OFF LINE</t>
        </is>
      </c>
      <c r="Q44" s="6" t="inlineStr">
        <is>
          <t>Cartão de crédito</t>
        </is>
      </c>
      <c r="R44" s="6" t="inlineStr">
        <is>
          <t>Cartão de crédito</t>
        </is>
      </c>
      <c r="S44" s="6" t="inlineStr">
        <is>
          <t>Aéreo</t>
        </is>
      </c>
      <c r="T44" s="6" t="inlineStr">
        <is>
          <t>N</t>
        </is>
      </c>
      <c r="U44" s="6" t="inlineStr">
        <is>
          <t>Grupo Mercurio York</t>
        </is>
      </c>
      <c r="V44" s="6" t="inlineStr">
        <is>
          <t>Agencia Mercurio York Viagens e Turismo Ltda</t>
        </is>
      </c>
      <c r="W44" s="6" t="inlineStr">
        <is>
          <t>-</t>
        </is>
      </c>
      <c r="X44" s="6" t="inlineStr">
        <is>
          <t>Latam Airlines Brasil</t>
        </is>
      </c>
      <c r="Y44" s="6" t="n">
        <v>2259843871</v>
      </c>
      <c r="Z44" s="6" t="inlineStr">
        <is>
          <t>KONTRIP</t>
        </is>
      </c>
      <c r="AA44" s="6" t="inlineStr">
        <is>
          <t>-</t>
        </is>
      </c>
      <c r="AB44" s="6" t="n">
        <v>700.9400000000001</v>
      </c>
      <c r="AC44" s="6" t="n">
        <v>52.72</v>
      </c>
      <c r="AD44" s="6" t="n">
        <v>0</v>
      </c>
      <c r="AE44" s="6" t="n">
        <v>0</v>
      </c>
      <c r="AF44" s="6" t="n">
        <v>0</v>
      </c>
      <c r="AG44" s="6" t="n">
        <v>0</v>
      </c>
      <c r="AH44" s="6" t="n">
        <v>0</v>
      </c>
      <c r="AI44" s="6" t="inlineStr">
        <is>
          <t>obs</t>
        </is>
      </c>
      <c r="AJ44" s="6" t="inlineStr">
        <is>
          <t xml:space="preserve"> Centro de custo não preenchido! (ACC03)</t>
        </is>
      </c>
      <c r="AK44" s="6" t="inlineStr">
        <is>
          <t>KONTRIP</t>
        </is>
      </c>
      <c r="AL44" s="6" t="inlineStr">
        <is>
          <t>Centro de custo</t>
        </is>
      </c>
      <c r="AM44" s="6" t="inlineStr">
        <is>
          <t>Falta de informação Gerencial</t>
        </is>
      </c>
      <c r="AN44" s="6" t="inlineStr">
        <is>
          <t>Dados do Fornecedor</t>
        </is>
      </c>
      <c r="AO44" s="6" t="inlineStr">
        <is>
          <t>Qualidade dos dados</t>
        </is>
      </c>
      <c r="AP44" s="6" t="inlineStr">
        <is>
          <t>KONTRIP VIAGENS</t>
        </is>
      </c>
      <c r="AQ44" s="6" t="inlineStr">
        <is>
          <t>Operações - KONTRIP</t>
        </is>
      </c>
    </row>
    <row r="45">
      <c r="A45" s="6" t="n">
        <v>23335504</v>
      </c>
      <c r="B45" s="6" t="n">
        <v>24063828</v>
      </c>
      <c r="C45" s="6" t="inlineStr">
        <is>
          <t>ACC01</t>
        </is>
      </c>
      <c r="D45" s="58" t="n">
        <v>45977.65737268519</v>
      </c>
      <c r="E45" s="58" t="n">
        <v>45977.65907407407</v>
      </c>
      <c r="F45" s="6" t="inlineStr">
        <is>
          <t>09 a 15 dias</t>
        </is>
      </c>
      <c r="G45" s="6" t="inlineStr">
        <is>
          <t>09 a 15 dias</t>
        </is>
      </c>
      <c r="H45" s="6" t="inlineStr">
        <is>
          <t>QWRMEE</t>
        </is>
      </c>
      <c r="I45" s="6" t="inlineStr">
        <is>
          <t>EBOOKING</t>
        </is>
      </c>
      <c r="J45" s="6" t="inlineStr">
        <is>
          <t>SOARES SANTOS/IVANA</t>
        </is>
      </c>
      <c r="K45" s="6" t="inlineStr">
        <is>
          <t>Kontrip</t>
        </is>
      </c>
      <c r="L45" s="6" t="inlineStr">
        <is>
          <t>Kontrip</t>
        </is>
      </c>
      <c r="M45" s="58" t="n">
        <v>45977.15277777778</v>
      </c>
      <c r="N45" s="6" t="inlineStr">
        <is>
          <t>-</t>
        </is>
      </c>
      <c r="O45" s="6" t="inlineStr">
        <is>
          <t>-</t>
        </is>
      </c>
      <c r="P45" s="6" t="inlineStr">
        <is>
          <t>OFF LINE</t>
        </is>
      </c>
      <c r="Q45" s="6" t="inlineStr">
        <is>
          <t>Cartão de crédito</t>
        </is>
      </c>
      <c r="R45" s="6" t="inlineStr">
        <is>
          <t>Cartão de crédito</t>
        </is>
      </c>
      <c r="S45" s="6" t="inlineStr">
        <is>
          <t>Aéreo</t>
        </is>
      </c>
      <c r="T45" s="6" t="inlineStr">
        <is>
          <t>N</t>
        </is>
      </c>
      <c r="U45" s="6" t="inlineStr">
        <is>
          <t>Grupo Mercurio York</t>
        </is>
      </c>
      <c r="V45" s="6" t="inlineStr">
        <is>
          <t>Agencia Mercurio York Viagens e Turismo Ltda</t>
        </is>
      </c>
      <c r="W45" s="6" t="inlineStr">
        <is>
          <t>-</t>
        </is>
      </c>
      <c r="X45" s="6" t="inlineStr">
        <is>
          <t>Gol Linhas Aereas</t>
        </is>
      </c>
      <c r="Y45" s="6" t="n">
        <v>2149619797</v>
      </c>
      <c r="Z45" s="6" t="inlineStr">
        <is>
          <t>KONTRIP</t>
        </is>
      </c>
      <c r="AA45" s="6" t="inlineStr">
        <is>
          <t>-</t>
        </is>
      </c>
      <c r="AB45" s="6" t="n">
        <v>712.5599999999999</v>
      </c>
      <c r="AC45" s="6" t="n">
        <v>113.34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0</v>
      </c>
      <c r="AI45" s="6" t="inlineStr">
        <is>
          <t>obs</t>
        </is>
      </c>
      <c r="AJ45" s="6" t="inlineStr">
        <is>
          <t>Centro de custo não preenchido! (ACC01)</t>
        </is>
      </c>
      <c r="AK45" s="6" t="inlineStr">
        <is>
          <t>KONTRIP</t>
        </is>
      </c>
      <c r="AL45" s="6" t="inlineStr">
        <is>
          <t>Centro de custo</t>
        </is>
      </c>
      <c r="AM45" s="6" t="inlineStr">
        <is>
          <t>Falta de informação Gerencial</t>
        </is>
      </c>
      <c r="AN45" s="6" t="inlineStr">
        <is>
          <t>Dados do Fornecedor</t>
        </is>
      </c>
      <c r="AO45" s="6" t="inlineStr">
        <is>
          <t>Qualidade dos dados</t>
        </is>
      </c>
      <c r="AP45" s="6" t="inlineStr">
        <is>
          <t>KONTRIP VIAGENS</t>
        </is>
      </c>
      <c r="AQ45" s="6" t="inlineStr">
        <is>
          <t>Operações - KONTRIP</t>
        </is>
      </c>
    </row>
    <row r="46">
      <c r="A46" s="6" t="n">
        <v>23347373</v>
      </c>
      <c r="B46" s="6" t="n">
        <v>24074760</v>
      </c>
      <c r="C46" s="6" t="inlineStr">
        <is>
          <t>ACC01</t>
        </is>
      </c>
      <c r="D46" s="58" t="n">
        <v>45979.57434027778</v>
      </c>
      <c r="E46" s="58" t="n">
        <v>45979.57575231481</v>
      </c>
      <c r="F46" s="6" t="inlineStr">
        <is>
          <t>06 a 08 dias</t>
        </is>
      </c>
      <c r="G46" s="6" t="inlineStr">
        <is>
          <t>06 a 08 dias</t>
        </is>
      </c>
      <c r="H46" s="6" t="inlineStr">
        <is>
          <t>LA9578712CYFA</t>
        </is>
      </c>
      <c r="I46" s="6" t="inlineStr">
        <is>
          <t>EBOOKING</t>
        </is>
      </c>
      <c r="J46" s="6" t="inlineStr">
        <is>
          <t>RODRIGUES SOUZA/RENATA</t>
        </is>
      </c>
      <c r="K46" s="6" t="inlineStr">
        <is>
          <t>Kontrip</t>
        </is>
      </c>
      <c r="L46" s="6" t="inlineStr">
        <is>
          <t>Kontrip</t>
        </is>
      </c>
      <c r="M46" s="58" t="n">
        <v>45979.06875</v>
      </c>
      <c r="N46" s="6" t="inlineStr">
        <is>
          <t>-</t>
        </is>
      </c>
      <c r="O46" s="6" t="inlineStr">
        <is>
          <t>-</t>
        </is>
      </c>
      <c r="P46" s="6" t="inlineStr">
        <is>
          <t>OFF LINE</t>
        </is>
      </c>
      <c r="Q46" s="6" t="inlineStr">
        <is>
          <t>Cartão de crédito</t>
        </is>
      </c>
      <c r="R46" s="6" t="inlineStr">
        <is>
          <t>Cartão de crédito</t>
        </is>
      </c>
      <c r="S46" s="6" t="inlineStr">
        <is>
          <t>Aéreo</t>
        </is>
      </c>
      <c r="T46" s="6" t="inlineStr">
        <is>
          <t>N</t>
        </is>
      </c>
      <c r="U46" s="6" t="inlineStr">
        <is>
          <t>Grupo Mercurio York</t>
        </is>
      </c>
      <c r="V46" s="6" t="inlineStr">
        <is>
          <t>Agencia Mercurio York Viagens e Turismo Ltda</t>
        </is>
      </c>
      <c r="W46" s="6" t="inlineStr">
        <is>
          <t>-</t>
        </is>
      </c>
      <c r="X46" s="6" t="inlineStr">
        <is>
          <t>Latam Airlines Brasil</t>
        </is>
      </c>
      <c r="Y46" s="6" t="n">
        <v>2260224770</v>
      </c>
      <c r="Z46" s="6" t="inlineStr">
        <is>
          <t>KONTRIP</t>
        </is>
      </c>
      <c r="AA46" s="6" t="inlineStr">
        <is>
          <t>-</t>
        </is>
      </c>
      <c r="AB46" s="6" t="n">
        <v>340.72</v>
      </c>
      <c r="AC46" s="6" t="n">
        <v>33.64</v>
      </c>
      <c r="AD46" s="6" t="n">
        <v>0</v>
      </c>
      <c r="AE46" s="6" t="n">
        <v>0</v>
      </c>
      <c r="AF46" s="6" t="n">
        <v>0</v>
      </c>
      <c r="AG46" s="6" t="n">
        <v>0</v>
      </c>
      <c r="AH46" s="6" t="n">
        <v>0</v>
      </c>
      <c r="AI46" s="6" t="inlineStr">
        <is>
          <t>obs</t>
        </is>
      </c>
      <c r="AJ46" s="6" t="inlineStr">
        <is>
          <t>Centro de custo não preenchido! (ACC01)</t>
        </is>
      </c>
      <c r="AK46" s="6" t="inlineStr">
        <is>
          <t>KONTRIP</t>
        </is>
      </c>
      <c r="AL46" s="6" t="inlineStr">
        <is>
          <t>Centro de custo</t>
        </is>
      </c>
      <c r="AM46" s="6" t="inlineStr">
        <is>
          <t>Falta de informação Gerencial</t>
        </is>
      </c>
      <c r="AN46" s="6" t="inlineStr">
        <is>
          <t>Dados do Fornecedor</t>
        </is>
      </c>
      <c r="AO46" s="6" t="inlineStr">
        <is>
          <t>Qualidade dos dados</t>
        </is>
      </c>
      <c r="AP46" s="6" t="inlineStr">
        <is>
          <t>KONTRIP VIAGENS</t>
        </is>
      </c>
      <c r="AQ46" s="6" t="inlineStr">
        <is>
          <t>Operações - KONTRIP</t>
        </is>
      </c>
    </row>
    <row r="47">
      <c r="A47" s="6" t="n">
        <v>23346086</v>
      </c>
      <c r="B47" s="6" t="n">
        <v>24073393</v>
      </c>
      <c r="C47" s="6" t="inlineStr">
        <is>
          <t>ACC02</t>
        </is>
      </c>
      <c r="D47" s="58" t="n">
        <v>45979.42690972222</v>
      </c>
      <c r="E47" s="58" t="n">
        <v>45979.4344212963</v>
      </c>
      <c r="F47" s="6" t="inlineStr">
        <is>
          <t>06 a 08 dias</t>
        </is>
      </c>
      <c r="G47" s="6" t="inlineStr">
        <is>
          <t>06 a 08 dias</t>
        </is>
      </c>
      <c r="H47" s="6" t="inlineStr">
        <is>
          <t>LA9572656FWVK</t>
        </is>
      </c>
      <c r="I47" s="6" t="inlineStr">
        <is>
          <t>EBOOKING</t>
        </is>
      </c>
      <c r="J47" s="6" t="inlineStr">
        <is>
          <t>PEDRO BARTILOTTI/JOAO</t>
        </is>
      </c>
      <c r="K47" s="6" t="inlineStr">
        <is>
          <t>Kontrip</t>
        </is>
      </c>
      <c r="L47" s="6" t="inlineStr">
        <is>
          <t>Kontrip</t>
        </is>
      </c>
      <c r="M47" s="58" t="n">
        <v>45979.41666666666</v>
      </c>
      <c r="N47" s="6" t="inlineStr">
        <is>
          <t>-</t>
        </is>
      </c>
      <c r="O47" s="6" t="inlineStr">
        <is>
          <t>-</t>
        </is>
      </c>
      <c r="P47" s="6" t="inlineStr">
        <is>
          <t>OFF LINE</t>
        </is>
      </c>
      <c r="Q47" s="6" t="inlineStr">
        <is>
          <t>Cartão de crédito</t>
        </is>
      </c>
      <c r="R47" s="6" t="inlineStr">
        <is>
          <t>Cartão de crédito</t>
        </is>
      </c>
      <c r="S47" s="6" t="inlineStr">
        <is>
          <t>Aéreo</t>
        </is>
      </c>
      <c r="T47" s="6" t="inlineStr">
        <is>
          <t>N</t>
        </is>
      </c>
      <c r="U47" s="6" t="inlineStr">
        <is>
          <t>Grupo Mercurio York</t>
        </is>
      </c>
      <c r="V47" s="6" t="inlineStr">
        <is>
          <t>Agencia Mercurio York Viagens e Turismo Ltda</t>
        </is>
      </c>
      <c r="W47" s="6" t="inlineStr">
        <is>
          <t>-</t>
        </is>
      </c>
      <c r="X47" s="6" t="inlineStr">
        <is>
          <t>Latam Airlines Brasil</t>
        </is>
      </c>
      <c r="Y47" s="6" t="n">
        <v>2260191433</v>
      </c>
      <c r="Z47" s="6" t="inlineStr">
        <is>
          <t>KONTRIP</t>
        </is>
      </c>
      <c r="AA47" s="6" t="inlineStr">
        <is>
          <t>-</t>
        </is>
      </c>
      <c r="AB47" s="6" t="n">
        <v>901.52</v>
      </c>
      <c r="AC47" s="6" t="n">
        <v>52.72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inlineStr">
        <is>
          <t>obs</t>
        </is>
      </c>
      <c r="AJ47" s="6" t="inlineStr">
        <is>
          <t xml:space="preserve"> Centro de custo não preenchido! (ACC03)</t>
        </is>
      </c>
      <c r="AK47" s="6" t="inlineStr">
        <is>
          <t>KONTRIP</t>
        </is>
      </c>
      <c r="AL47" s="6" t="inlineStr">
        <is>
          <t>Centro de custo</t>
        </is>
      </c>
      <c r="AM47" s="6" t="inlineStr">
        <is>
          <t>Falta de informação Gerencial</t>
        </is>
      </c>
      <c r="AN47" s="6" t="inlineStr">
        <is>
          <t>Dados do Fornecedor</t>
        </is>
      </c>
      <c r="AO47" s="6" t="inlineStr">
        <is>
          <t>Qualidade dos dados</t>
        </is>
      </c>
      <c r="AP47" s="6" t="inlineStr">
        <is>
          <t>KONTRIP VIAGENS</t>
        </is>
      </c>
      <c r="AQ47" s="6" t="inlineStr">
        <is>
          <t>Operações - KONTRIP</t>
        </is>
      </c>
    </row>
    <row r="48">
      <c r="A48" s="6" t="n">
        <v>23346086</v>
      </c>
      <c r="B48" s="6" t="n">
        <v>24073394</v>
      </c>
      <c r="C48" s="6" t="inlineStr">
        <is>
          <t>ACC03</t>
        </is>
      </c>
      <c r="D48" s="58" t="n">
        <v>45979.42690972222</v>
      </c>
      <c r="E48" s="58" t="n">
        <v>45979.4344212963</v>
      </c>
      <c r="F48" s="6" t="inlineStr">
        <is>
          <t>06 a 08 dias</t>
        </is>
      </c>
      <c r="G48" s="6" t="inlineStr">
        <is>
          <t>06 a 08 dias</t>
        </is>
      </c>
      <c r="H48" s="6" t="inlineStr">
        <is>
          <t>LA9572656FWVK</t>
        </is>
      </c>
      <c r="I48" s="6" t="inlineStr">
        <is>
          <t>EBOOKING</t>
        </is>
      </c>
      <c r="J48" s="6" t="inlineStr">
        <is>
          <t>LEANDRA DA CONCEICAO/BERNARDINA</t>
        </is>
      </c>
      <c r="K48" s="6" t="inlineStr">
        <is>
          <t>Kontrip</t>
        </is>
      </c>
      <c r="L48" s="6" t="inlineStr">
        <is>
          <t>Kontrip</t>
        </is>
      </c>
      <c r="M48" s="58" t="n">
        <v>45979.41666666666</v>
      </c>
      <c r="N48" s="6" t="inlineStr">
        <is>
          <t>-</t>
        </is>
      </c>
      <c r="O48" s="6" t="inlineStr">
        <is>
          <t>-</t>
        </is>
      </c>
      <c r="P48" s="6" t="inlineStr">
        <is>
          <t>OFF LINE</t>
        </is>
      </c>
      <c r="Q48" s="6" t="inlineStr">
        <is>
          <t>Cartão de crédito</t>
        </is>
      </c>
      <c r="R48" s="6" t="inlineStr">
        <is>
          <t>Cartão de crédito</t>
        </is>
      </c>
      <c r="S48" s="6" t="inlineStr">
        <is>
          <t>Aéreo</t>
        </is>
      </c>
      <c r="T48" s="6" t="inlineStr">
        <is>
          <t>N</t>
        </is>
      </c>
      <c r="U48" s="6" t="inlineStr">
        <is>
          <t>Grupo Mercurio York</t>
        </is>
      </c>
      <c r="V48" s="6" t="inlineStr">
        <is>
          <t>Agencia Mercurio York Viagens e Turismo Ltda</t>
        </is>
      </c>
      <c r="W48" s="6" t="inlineStr">
        <is>
          <t>-</t>
        </is>
      </c>
      <c r="X48" s="6" t="inlineStr">
        <is>
          <t>Latam Airlines Brasil</t>
        </is>
      </c>
      <c r="Y48" s="6" t="n">
        <v>2260191434</v>
      </c>
      <c r="Z48" s="6" t="inlineStr">
        <is>
          <t>KONTRIP</t>
        </is>
      </c>
      <c r="AA48" s="6" t="inlineStr">
        <is>
          <t>-</t>
        </is>
      </c>
      <c r="AB48" s="6" t="n">
        <v>901.52</v>
      </c>
      <c r="AC48" s="6" t="n">
        <v>52.72</v>
      </c>
      <c r="AD48" s="6" t="n">
        <v>0</v>
      </c>
      <c r="AE48" s="6" t="n">
        <v>0</v>
      </c>
      <c r="AF48" s="6" t="n">
        <v>0</v>
      </c>
      <c r="AG48" s="6" t="n">
        <v>0</v>
      </c>
      <c r="AH48" s="6" t="n">
        <v>0</v>
      </c>
      <c r="AI48" s="6" t="inlineStr">
        <is>
          <t>obs</t>
        </is>
      </c>
      <c r="AJ48" s="6" t="inlineStr">
        <is>
          <t xml:space="preserve"> Centro de custo não preenchido! (ACC03)</t>
        </is>
      </c>
      <c r="AK48" s="6" t="inlineStr">
        <is>
          <t>KONTRIP</t>
        </is>
      </c>
      <c r="AL48" s="6" t="inlineStr">
        <is>
          <t>Centro de custo</t>
        </is>
      </c>
      <c r="AM48" s="6" t="inlineStr">
        <is>
          <t>Falta de informação Gerencial</t>
        </is>
      </c>
      <c r="AN48" s="6" t="inlineStr">
        <is>
          <t>Dados do Fornecedor</t>
        </is>
      </c>
      <c r="AO48" s="6" t="inlineStr">
        <is>
          <t>Qualidade dos dados</t>
        </is>
      </c>
      <c r="AP48" s="6" t="inlineStr">
        <is>
          <t>KONTRIP VIAGENS</t>
        </is>
      </c>
      <c r="AQ48" s="6" t="inlineStr">
        <is>
          <t>Operações - KONTRIP</t>
        </is>
      </c>
    </row>
    <row r="49">
      <c r="A49" s="6" t="n">
        <v>23346089</v>
      </c>
      <c r="B49" s="6" t="n">
        <v>24073397</v>
      </c>
      <c r="C49" s="6" t="inlineStr">
        <is>
          <t>ACC01</t>
        </is>
      </c>
      <c r="D49" s="58" t="n">
        <v>45979.42831018518</v>
      </c>
      <c r="E49" s="58" t="n">
        <v>45979.43211805556</v>
      </c>
      <c r="F49" s="6" t="inlineStr">
        <is>
          <t>06 a 08 dias</t>
        </is>
      </c>
      <c r="G49" s="6" t="inlineStr">
        <is>
          <t>06 a 08 dias</t>
        </is>
      </c>
      <c r="H49" s="6" t="inlineStr">
        <is>
          <t>JWSTWN</t>
        </is>
      </c>
      <c r="I49" s="6" t="inlineStr">
        <is>
          <t>EBOOKING</t>
        </is>
      </c>
      <c r="J49" s="6" t="inlineStr">
        <is>
          <t>Marcello Sigabinazze/Alexandre</t>
        </is>
      </c>
      <c r="K49" s="6" t="inlineStr">
        <is>
          <t>Kontrip</t>
        </is>
      </c>
      <c r="L49" s="6" t="inlineStr">
        <is>
          <t>Kontrip</t>
        </is>
      </c>
      <c r="M49" s="58" t="n">
        <v>45979.42291666667</v>
      </c>
      <c r="N49" s="6" t="inlineStr">
        <is>
          <t>-</t>
        </is>
      </c>
      <c r="O49" s="6" t="inlineStr">
        <is>
          <t>-</t>
        </is>
      </c>
      <c r="P49" s="6" t="inlineStr">
        <is>
          <t>OFF LINE</t>
        </is>
      </c>
      <c r="Q49" s="6" t="inlineStr">
        <is>
          <t>Cartão de crédito</t>
        </is>
      </c>
      <c r="R49" s="6" t="inlineStr">
        <is>
          <t>Cartão de crédito</t>
        </is>
      </c>
      <c r="S49" s="6" t="inlineStr">
        <is>
          <t>Aéreo</t>
        </is>
      </c>
      <c r="T49" s="6" t="inlineStr">
        <is>
          <t>N</t>
        </is>
      </c>
      <c r="U49" s="6" t="inlineStr">
        <is>
          <t>Grupo Mercurio York</t>
        </is>
      </c>
      <c r="V49" s="6" t="inlineStr">
        <is>
          <t>Agencia Mercurio York Viagens e Turismo Ltda</t>
        </is>
      </c>
      <c r="W49" s="6" t="inlineStr">
        <is>
          <t>-</t>
        </is>
      </c>
      <c r="X49" s="6" t="inlineStr">
        <is>
          <t>Azul Linhas Aereas</t>
        </is>
      </c>
      <c r="Y49" s="6" t="n">
        <v>805013566</v>
      </c>
      <c r="Z49" s="6" t="inlineStr">
        <is>
          <t>KONTRIP</t>
        </is>
      </c>
      <c r="AA49" s="6" t="inlineStr">
        <is>
          <t>-</t>
        </is>
      </c>
      <c r="AB49" s="6" t="n">
        <v>1006.39</v>
      </c>
      <c r="AC49" s="6" t="n">
        <v>84.66</v>
      </c>
      <c r="AD49" s="6" t="n">
        <v>0</v>
      </c>
      <c r="AE49" s="6" t="n">
        <v>0</v>
      </c>
      <c r="AF49" s="6" t="n">
        <v>0</v>
      </c>
      <c r="AG49" s="6" t="n">
        <v>0</v>
      </c>
      <c r="AH49" s="6" t="n">
        <v>0</v>
      </c>
      <c r="AI49" s="6" t="inlineStr">
        <is>
          <t>obs</t>
        </is>
      </c>
      <c r="AJ49" s="6" t="inlineStr">
        <is>
          <t>Centro de custo não preenchido! (ACC01)</t>
        </is>
      </c>
      <c r="AK49" s="6" t="inlineStr">
        <is>
          <t>KONTRIP</t>
        </is>
      </c>
      <c r="AL49" s="6" t="inlineStr">
        <is>
          <t>Centro de custo</t>
        </is>
      </c>
      <c r="AM49" s="6" t="inlineStr">
        <is>
          <t>Falta de informação Gerencial</t>
        </is>
      </c>
      <c r="AN49" s="6" t="inlineStr">
        <is>
          <t>Dados do Fornecedor</t>
        </is>
      </c>
      <c r="AO49" s="6" t="inlineStr">
        <is>
          <t>Qualidade dos dados</t>
        </is>
      </c>
      <c r="AP49" s="6" t="inlineStr">
        <is>
          <t>KONTRIP VIAGENS</t>
        </is>
      </c>
      <c r="AQ49" s="6" t="inlineStr">
        <is>
          <t>Operações - KONTRIP</t>
        </is>
      </c>
    </row>
    <row r="50">
      <c r="A50" s="6" t="n">
        <v>23346584</v>
      </c>
      <c r="B50" s="6" t="n">
        <v>24073922</v>
      </c>
      <c r="C50" s="6" t="inlineStr">
        <is>
          <t>ACC01</t>
        </is>
      </c>
      <c r="D50" s="58" t="n">
        <v>45979.48248842593</v>
      </c>
      <c r="E50" s="58" t="n">
        <v>45979.52787037037</v>
      </c>
      <c r="F50" s="6" t="inlineStr">
        <is>
          <t>06 a 08 dias</t>
        </is>
      </c>
      <c r="G50" s="6" t="inlineStr">
        <is>
          <t>06 a 08 dias</t>
        </is>
      </c>
      <c r="H50" s="6" t="inlineStr">
        <is>
          <t>LA9572603ISTA</t>
        </is>
      </c>
      <c r="I50" s="6" t="inlineStr">
        <is>
          <t>EBOOKING</t>
        </is>
      </c>
      <c r="J50" s="6" t="inlineStr">
        <is>
          <t>VEIGA/FELIPE</t>
        </is>
      </c>
      <c r="K50" s="6" t="inlineStr">
        <is>
          <t>Kontrip</t>
        </is>
      </c>
      <c r="L50" s="6" t="inlineStr">
        <is>
          <t>Kontrip</t>
        </is>
      </c>
      <c r="M50" s="58" t="n">
        <v>45979.45347222222</v>
      </c>
      <c r="N50" s="6" t="inlineStr">
        <is>
          <t>-</t>
        </is>
      </c>
      <c r="O50" s="6" t="inlineStr">
        <is>
          <t>-</t>
        </is>
      </c>
      <c r="P50" s="6" t="inlineStr">
        <is>
          <t>OFF LINE</t>
        </is>
      </c>
      <c r="Q50" s="6" t="inlineStr">
        <is>
          <t>Cartão de crédito</t>
        </is>
      </c>
      <c r="R50" s="6" t="inlineStr">
        <is>
          <t>Cartão de crédito</t>
        </is>
      </c>
      <c r="S50" s="6" t="inlineStr">
        <is>
          <t>Aéreo</t>
        </is>
      </c>
      <c r="T50" s="6" t="inlineStr">
        <is>
          <t>N</t>
        </is>
      </c>
      <c r="U50" s="6" t="inlineStr">
        <is>
          <t>Grupo Mercurio York</t>
        </is>
      </c>
      <c r="V50" s="6" t="inlineStr">
        <is>
          <t>Agencia Mercurio York Viagens e Turismo Ltda</t>
        </is>
      </c>
      <c r="W50" s="6" t="inlineStr">
        <is>
          <t>-</t>
        </is>
      </c>
      <c r="X50" s="6" t="inlineStr">
        <is>
          <t>Latam Airlines Brasil</t>
        </is>
      </c>
      <c r="Y50" s="6" t="n">
        <v>2260202126</v>
      </c>
      <c r="Z50" s="6" t="inlineStr">
        <is>
          <t>KONTRIP</t>
        </is>
      </c>
      <c r="AA50" s="6" t="inlineStr">
        <is>
          <t>-</t>
        </is>
      </c>
      <c r="AB50" s="6" t="n">
        <v>1075.84</v>
      </c>
      <c r="AC50" s="6" t="n">
        <v>85.59</v>
      </c>
      <c r="AD50" s="6" t="n">
        <v>0</v>
      </c>
      <c r="AE50" s="6" t="n">
        <v>0</v>
      </c>
      <c r="AF50" s="6" t="n">
        <v>0</v>
      </c>
      <c r="AG50" s="6" t="n">
        <v>0</v>
      </c>
      <c r="AH50" s="6" t="n">
        <v>0</v>
      </c>
      <c r="AI50" s="6" t="inlineStr">
        <is>
          <t>obs</t>
        </is>
      </c>
      <c r="AJ50" s="6" t="inlineStr">
        <is>
          <t>Centro de custo não preenchido! (ACC01)</t>
        </is>
      </c>
      <c r="AK50" s="6" t="inlineStr">
        <is>
          <t>KONTRIP</t>
        </is>
      </c>
      <c r="AL50" s="6" t="inlineStr">
        <is>
          <t>Centro de custo</t>
        </is>
      </c>
      <c r="AM50" s="6" t="inlineStr">
        <is>
          <t>Falta de informação Gerencial</t>
        </is>
      </c>
      <c r="AN50" s="6" t="inlineStr">
        <is>
          <t>Dados do Fornecedor</t>
        </is>
      </c>
      <c r="AO50" s="6" t="inlineStr">
        <is>
          <t>Qualidade dos dados</t>
        </is>
      </c>
      <c r="AP50" s="6" t="inlineStr">
        <is>
          <t>KONTRIP VIAGENS</t>
        </is>
      </c>
      <c r="AQ50" s="6" t="inlineStr">
        <is>
          <t>Operações - KONTRIP</t>
        </is>
      </c>
    </row>
    <row r="51">
      <c r="A51" s="6" t="n">
        <v>23346905</v>
      </c>
      <c r="B51" s="6" t="n">
        <v>24074284</v>
      </c>
      <c r="C51" s="6" t="inlineStr">
        <is>
          <t>ACC01</t>
        </is>
      </c>
      <c r="D51" s="58" t="n">
        <v>45979.52262731481</v>
      </c>
      <c r="E51" s="58" t="n">
        <v>45979.52357638889</v>
      </c>
      <c r="F51" s="6" t="inlineStr">
        <is>
          <t>06 a 08 dias</t>
        </is>
      </c>
      <c r="G51" s="6" t="inlineStr">
        <is>
          <t>06 a 08 dias</t>
        </is>
      </c>
      <c r="H51" s="6" t="inlineStr">
        <is>
          <t>UG1W8Y</t>
        </is>
      </c>
      <c r="I51" s="6" t="inlineStr">
        <is>
          <t>EBOOKING</t>
        </is>
      </c>
      <c r="J51" s="6" t="inlineStr">
        <is>
          <t>Marcello Sigabinazze/Alexandre</t>
        </is>
      </c>
      <c r="K51" s="6" t="inlineStr">
        <is>
          <t>Kontrip</t>
        </is>
      </c>
      <c r="L51" s="6" t="inlineStr">
        <is>
          <t>Kontrip</t>
        </is>
      </c>
      <c r="M51" s="58" t="n">
        <v>45979.51666666667</v>
      </c>
      <c r="N51" s="6" t="inlineStr">
        <is>
          <t>-</t>
        </is>
      </c>
      <c r="O51" s="6" t="inlineStr">
        <is>
          <t>-</t>
        </is>
      </c>
      <c r="P51" s="6" t="inlineStr">
        <is>
          <t>OFF LINE</t>
        </is>
      </c>
      <c r="Q51" s="6" t="inlineStr">
        <is>
          <t>Cartão de crédito</t>
        </is>
      </c>
      <c r="R51" s="6" t="inlineStr">
        <is>
          <t>Cartão de crédito</t>
        </is>
      </c>
      <c r="S51" s="6" t="inlineStr">
        <is>
          <t>Aéreo</t>
        </is>
      </c>
      <c r="T51" s="6" t="inlineStr">
        <is>
          <t>N</t>
        </is>
      </c>
      <c r="U51" s="6" t="inlineStr">
        <is>
          <t>Grupo Mercurio York</t>
        </is>
      </c>
      <c r="V51" s="6" t="inlineStr">
        <is>
          <t>Agencia Mercurio York Viagens e Turismo Ltda</t>
        </is>
      </c>
      <c r="W51" s="6" t="inlineStr">
        <is>
          <t>-</t>
        </is>
      </c>
      <c r="X51" s="6" t="inlineStr">
        <is>
          <t>Azul Linhas Aereas</t>
        </is>
      </c>
      <c r="Y51" s="6" t="n">
        <v>667427834</v>
      </c>
      <c r="Z51" s="6" t="inlineStr">
        <is>
          <t>KONTRIP</t>
        </is>
      </c>
      <c r="AA51" s="6" t="inlineStr">
        <is>
          <t>-</t>
        </is>
      </c>
      <c r="AB51" s="6" t="n">
        <v>1048.5</v>
      </c>
      <c r="AC51" s="6" t="n">
        <v>84.66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0</v>
      </c>
      <c r="AI51" s="6" t="inlineStr">
        <is>
          <t>obs</t>
        </is>
      </c>
      <c r="AJ51" s="6" t="inlineStr">
        <is>
          <t>Centro de custo não preenchido! (ACC01)</t>
        </is>
      </c>
      <c r="AK51" s="6" t="inlineStr">
        <is>
          <t>KONTRIP</t>
        </is>
      </c>
      <c r="AL51" s="6" t="inlineStr">
        <is>
          <t>Centro de custo</t>
        </is>
      </c>
      <c r="AM51" s="6" t="inlineStr">
        <is>
          <t>Falta de informação Gerencial</t>
        </is>
      </c>
      <c r="AN51" s="6" t="inlineStr">
        <is>
          <t>Dados do Fornecedor</t>
        </is>
      </c>
      <c r="AO51" s="6" t="inlineStr">
        <is>
          <t>Qualidade dos dados</t>
        </is>
      </c>
      <c r="AP51" s="6" t="inlineStr">
        <is>
          <t>KONTRIP VIAGENS</t>
        </is>
      </c>
      <c r="AQ51" s="6" t="inlineStr">
        <is>
          <t>Operações - KONTRIP</t>
        </is>
      </c>
    </row>
    <row r="52">
      <c r="A52" s="6" t="n">
        <v>23362325</v>
      </c>
      <c r="B52" s="6" t="n">
        <v>24088853</v>
      </c>
      <c r="C52" s="6" t="inlineStr">
        <is>
          <t>ACC01</t>
        </is>
      </c>
      <c r="D52" s="58" t="n">
        <v>45981.81976851852</v>
      </c>
      <c r="E52" s="58" t="n">
        <v>45981.82125</v>
      </c>
      <c r="F52" s="6" t="inlineStr">
        <is>
          <t>03 a 05 dias</t>
        </is>
      </c>
      <c r="G52" s="6" t="inlineStr">
        <is>
          <t>03 a 05 dias</t>
        </is>
      </c>
      <c r="H52" s="6" t="inlineStr">
        <is>
          <t>EHOQSQ</t>
        </is>
      </c>
      <c r="I52" s="6" t="inlineStr">
        <is>
          <t>EBOOKING</t>
        </is>
      </c>
      <c r="J52" s="6" t="inlineStr">
        <is>
          <t>CONCEICAO/RONILDO</t>
        </is>
      </c>
      <c r="K52" s="6" t="inlineStr">
        <is>
          <t>Kontrip</t>
        </is>
      </c>
      <c r="L52" s="6" t="inlineStr">
        <is>
          <t>Kontrip</t>
        </is>
      </c>
      <c r="M52" s="58" t="n">
        <v>45981.31527777778</v>
      </c>
      <c r="N52" s="6" t="inlineStr">
        <is>
          <t>-</t>
        </is>
      </c>
      <c r="O52" s="6" t="inlineStr">
        <is>
          <t>-</t>
        </is>
      </c>
      <c r="P52" s="6" t="inlineStr">
        <is>
          <t>OFF LINE</t>
        </is>
      </c>
      <c r="Q52" s="6" t="inlineStr">
        <is>
          <t>Cartão de crédito</t>
        </is>
      </c>
      <c r="R52" s="6" t="inlineStr">
        <is>
          <t>Cartão de crédito</t>
        </is>
      </c>
      <c r="S52" s="6" t="inlineStr">
        <is>
          <t>Aéreo</t>
        </is>
      </c>
      <c r="T52" s="6" t="inlineStr">
        <is>
          <t>N</t>
        </is>
      </c>
      <c r="U52" s="6" t="inlineStr">
        <is>
          <t>Grupo Mercurio York</t>
        </is>
      </c>
      <c r="V52" s="6" t="inlineStr">
        <is>
          <t>Agencia Mercurio York Viagens e Turismo Ltda</t>
        </is>
      </c>
      <c r="W52" s="6" t="inlineStr">
        <is>
          <t>-</t>
        </is>
      </c>
      <c r="X52" s="6" t="inlineStr">
        <is>
          <t>Gol Linhas Aereas</t>
        </is>
      </c>
      <c r="Y52" s="6" t="n">
        <v>2149920186</v>
      </c>
      <c r="Z52" s="6" t="inlineStr">
        <is>
          <t>KONTRIP</t>
        </is>
      </c>
      <c r="AA52" s="6" t="inlineStr">
        <is>
          <t>-</t>
        </is>
      </c>
      <c r="AB52" s="6" t="n">
        <v>1580.89</v>
      </c>
      <c r="AC52" s="6" t="n">
        <v>113.34</v>
      </c>
      <c r="AD52" s="6" t="n">
        <v>0</v>
      </c>
      <c r="AE52" s="6" t="n">
        <v>0</v>
      </c>
      <c r="AF52" s="6" t="n">
        <v>0</v>
      </c>
      <c r="AG52" s="6" t="n">
        <v>0</v>
      </c>
      <c r="AH52" s="6" t="n">
        <v>0</v>
      </c>
      <c r="AI52" s="6" t="inlineStr">
        <is>
          <t>obs</t>
        </is>
      </c>
      <c r="AJ52" s="6" t="inlineStr">
        <is>
          <t>Centro de custo não preenchido! (ACC01)</t>
        </is>
      </c>
      <c r="AK52" s="6" t="inlineStr">
        <is>
          <t>KONTRIP</t>
        </is>
      </c>
      <c r="AL52" s="6" t="inlineStr">
        <is>
          <t>Centro de custo</t>
        </is>
      </c>
      <c r="AM52" s="6" t="inlineStr">
        <is>
          <t>Falta de informação Gerencial</t>
        </is>
      </c>
      <c r="AN52" s="6" t="inlineStr">
        <is>
          <t>Dados do Fornecedor</t>
        </is>
      </c>
      <c r="AO52" s="6" t="inlineStr">
        <is>
          <t>Qualidade dos dados</t>
        </is>
      </c>
      <c r="AP52" s="6" t="inlineStr">
        <is>
          <t>KONTRIP VIAGENS</t>
        </is>
      </c>
      <c r="AQ52" s="6" t="inlineStr">
        <is>
          <t>Operações - KONTRIP</t>
        </is>
      </c>
    </row>
    <row r="53">
      <c r="A53" s="6" t="n">
        <v>23298602</v>
      </c>
      <c r="B53" s="6" t="n">
        <v>24029565</v>
      </c>
      <c r="C53" s="6" t="inlineStr">
        <is>
          <t>ACC04</t>
        </is>
      </c>
      <c r="D53" s="58" t="n">
        <v>45971.88515046296</v>
      </c>
      <c r="E53" s="58" t="n">
        <v>45971.88627314815</v>
      </c>
      <c r="F53" s="6" t="inlineStr">
        <is>
          <t>09 a 15 dias</t>
        </is>
      </c>
      <c r="G53" s="6" t="inlineStr">
        <is>
          <t>09 a 15 dias</t>
        </is>
      </c>
      <c r="H53" s="6" t="inlineStr">
        <is>
          <t>LA9578646MFJQ</t>
        </is>
      </c>
      <c r="I53" s="6" t="inlineStr">
        <is>
          <t>EBOOKING</t>
        </is>
      </c>
      <c r="J53" s="6" t="inlineStr">
        <is>
          <t>VIEIRA BARRETO/LUCIANA</t>
        </is>
      </c>
      <c r="K53" s="6" t="inlineStr">
        <is>
          <t>Kontrip</t>
        </is>
      </c>
      <c r="L53" s="6" t="inlineStr">
        <is>
          <t>Kontrip</t>
        </is>
      </c>
      <c r="M53" s="58" t="n">
        <v>45971.38055555556</v>
      </c>
      <c r="N53" s="6" t="inlineStr">
        <is>
          <t>-</t>
        </is>
      </c>
      <c r="O53" s="6" t="inlineStr">
        <is>
          <t>-</t>
        </is>
      </c>
      <c r="P53" s="6" t="inlineStr">
        <is>
          <t>OFF LINE</t>
        </is>
      </c>
      <c r="Q53" s="6" t="inlineStr">
        <is>
          <t>Cartão de crédito</t>
        </is>
      </c>
      <c r="R53" s="6" t="inlineStr">
        <is>
          <t>Cartão de crédito</t>
        </is>
      </c>
      <c r="S53" s="6" t="inlineStr">
        <is>
          <t>Aéreo</t>
        </is>
      </c>
      <c r="T53" s="6" t="inlineStr">
        <is>
          <t>N</t>
        </is>
      </c>
      <c r="U53" s="6" t="inlineStr">
        <is>
          <t>Grupo Mercurio York</t>
        </is>
      </c>
      <c r="V53" s="6" t="inlineStr">
        <is>
          <t>Agencia Mercurio York Viagens e Turismo Ltda</t>
        </is>
      </c>
      <c r="W53" s="6" t="inlineStr">
        <is>
          <t>-</t>
        </is>
      </c>
      <c r="X53" s="6" t="inlineStr">
        <is>
          <t>Latam Airlines Brasil</t>
        </is>
      </c>
      <c r="Y53" s="6" t="n">
        <v>2259055743</v>
      </c>
      <c r="Z53" s="6" t="inlineStr">
        <is>
          <t>KONTRIP</t>
        </is>
      </c>
      <c r="AA53" s="6" t="inlineStr">
        <is>
          <t>-</t>
        </is>
      </c>
      <c r="AB53" s="6" t="n">
        <v>411.92</v>
      </c>
      <c r="AC53" s="6" t="n">
        <v>60.62</v>
      </c>
      <c r="AD53" s="6" t="n">
        <v>0</v>
      </c>
      <c r="AE53" s="6" t="n">
        <v>0</v>
      </c>
      <c r="AF53" s="6" t="n">
        <v>0</v>
      </c>
      <c r="AG53" s="6" t="n">
        <v>0</v>
      </c>
      <c r="AH53" s="6" t="n">
        <v>0</v>
      </c>
      <c r="AI53" s="6" t="inlineStr">
        <is>
          <t>obs</t>
        </is>
      </c>
      <c r="AJ53" s="6" t="inlineStr">
        <is>
          <t xml:space="preserve"> Centro de custo não preenchido! (ACC03) Verificação d</t>
        </is>
      </c>
      <c r="AK53" s="6" t="inlineStr">
        <is>
          <t>KONTRIP</t>
        </is>
      </c>
      <c r="AL53" s="6" t="inlineStr">
        <is>
          <t>Centro de custo</t>
        </is>
      </c>
      <c r="AM53" s="6" t="inlineStr">
        <is>
          <t>Falta de informação Gerencial</t>
        </is>
      </c>
      <c r="AN53" s="6" t="inlineStr">
        <is>
          <t>Dados do Fornecedor</t>
        </is>
      </c>
      <c r="AO53" s="6" t="inlineStr">
        <is>
          <t>Qualidade dos dados</t>
        </is>
      </c>
      <c r="AP53" s="6" t="inlineStr">
        <is>
          <t>KONTRIP VIAGENS</t>
        </is>
      </c>
      <c r="AQ53" s="6" t="inlineStr">
        <is>
          <t>Operações - KONTRIP</t>
        </is>
      </c>
    </row>
    <row r="54">
      <c r="A54" s="6" t="n">
        <v>23298602</v>
      </c>
      <c r="B54" s="6" t="n">
        <v>24029564</v>
      </c>
      <c r="C54" s="6" t="inlineStr">
        <is>
          <t>ACC03</t>
        </is>
      </c>
      <c r="D54" s="58" t="n">
        <v>45971.88515046296</v>
      </c>
      <c r="E54" s="58" t="n">
        <v>45971.88627314815</v>
      </c>
      <c r="F54" s="6" t="inlineStr">
        <is>
          <t>09 a 15 dias</t>
        </is>
      </c>
      <c r="G54" s="6" t="inlineStr">
        <is>
          <t>09 a 15 dias</t>
        </is>
      </c>
      <c r="H54" s="6" t="inlineStr">
        <is>
          <t>LA9578646MFJQ</t>
        </is>
      </c>
      <c r="I54" s="6" t="inlineStr">
        <is>
          <t>EBOOKING</t>
        </is>
      </c>
      <c r="J54" s="6" t="inlineStr">
        <is>
          <t>Rayanne Brito Morais/Nana</t>
        </is>
      </c>
      <c r="K54" s="6" t="inlineStr">
        <is>
          <t>Kontrip</t>
        </is>
      </c>
      <c r="L54" s="6" t="inlineStr">
        <is>
          <t>Kontrip</t>
        </is>
      </c>
      <c r="M54" s="58" t="n">
        <v>45971.38055555556</v>
      </c>
      <c r="N54" s="6" t="inlineStr">
        <is>
          <t>-</t>
        </is>
      </c>
      <c r="O54" s="6" t="inlineStr">
        <is>
          <t>-</t>
        </is>
      </c>
      <c r="P54" s="6" t="inlineStr">
        <is>
          <t>OFF LINE</t>
        </is>
      </c>
      <c r="Q54" s="6" t="inlineStr">
        <is>
          <t>Cartão de crédito</t>
        </is>
      </c>
      <c r="R54" s="6" t="inlineStr">
        <is>
          <t>Cartão de crédito</t>
        </is>
      </c>
      <c r="S54" s="6" t="inlineStr">
        <is>
          <t>Aéreo</t>
        </is>
      </c>
      <c r="T54" s="6" t="inlineStr">
        <is>
          <t>N</t>
        </is>
      </c>
      <c r="U54" s="6" t="inlineStr">
        <is>
          <t>Grupo Mercurio York</t>
        </is>
      </c>
      <c r="V54" s="6" t="inlineStr">
        <is>
          <t>Agencia Mercurio York Viagens e Turismo Ltda</t>
        </is>
      </c>
      <c r="W54" s="6" t="inlineStr">
        <is>
          <t>-</t>
        </is>
      </c>
      <c r="X54" s="6" t="inlineStr">
        <is>
          <t>Latam Airlines Brasil</t>
        </is>
      </c>
      <c r="Y54" s="6" t="n">
        <v>2259055742</v>
      </c>
      <c r="Z54" s="6" t="inlineStr">
        <is>
          <t>KONTRIP</t>
        </is>
      </c>
      <c r="AA54" s="6" t="inlineStr">
        <is>
          <t>-</t>
        </is>
      </c>
      <c r="AB54" s="6" t="n">
        <v>411.92</v>
      </c>
      <c r="AC54" s="6" t="n">
        <v>60.62</v>
      </c>
      <c r="AD54" s="6" t="n">
        <v>0</v>
      </c>
      <c r="AE54" s="6" t="n">
        <v>0</v>
      </c>
      <c r="AF54" s="6" t="n">
        <v>0</v>
      </c>
      <c r="AG54" s="6" t="n">
        <v>0</v>
      </c>
      <c r="AH54" s="6" t="n">
        <v>0</v>
      </c>
      <c r="AI54" s="6" t="inlineStr">
        <is>
          <t>obs</t>
        </is>
      </c>
      <c r="AJ54" s="6" t="inlineStr">
        <is>
          <t xml:space="preserve"> Centro de custo não preenchido! (ACC03) Verificação d</t>
        </is>
      </c>
      <c r="AK54" s="6" t="inlineStr">
        <is>
          <t>KONTRIP</t>
        </is>
      </c>
      <c r="AL54" s="6" t="inlineStr">
        <is>
          <t>Centro de custo</t>
        </is>
      </c>
      <c r="AM54" s="6" t="inlineStr">
        <is>
          <t>Falta de informação Gerencial</t>
        </is>
      </c>
      <c r="AN54" s="6" t="inlineStr">
        <is>
          <t>Dados do Fornecedor</t>
        </is>
      </c>
      <c r="AO54" s="6" t="inlineStr">
        <is>
          <t>Qualidade dos dados</t>
        </is>
      </c>
      <c r="AP54" s="6" t="inlineStr">
        <is>
          <t>KONTRIP VIAGENS</t>
        </is>
      </c>
      <c r="AQ54" s="6" t="inlineStr">
        <is>
          <t>Operações - KONTRIP</t>
        </is>
      </c>
    </row>
    <row r="55">
      <c r="A55" s="6" t="n">
        <v>23298602</v>
      </c>
      <c r="B55" s="6" t="n">
        <v>24029563</v>
      </c>
      <c r="C55" s="6" t="inlineStr">
        <is>
          <t>ACC02</t>
        </is>
      </c>
      <c r="D55" s="58" t="n">
        <v>45971.88515046296</v>
      </c>
      <c r="E55" s="58" t="n">
        <v>45971.88627314815</v>
      </c>
      <c r="F55" s="6" t="inlineStr">
        <is>
          <t>09 a 15 dias</t>
        </is>
      </c>
      <c r="G55" s="6" t="inlineStr">
        <is>
          <t>09 a 15 dias</t>
        </is>
      </c>
      <c r="H55" s="6" t="inlineStr">
        <is>
          <t>LA9578646MFJQ</t>
        </is>
      </c>
      <c r="I55" s="6" t="inlineStr">
        <is>
          <t>EBOOKING</t>
        </is>
      </c>
      <c r="J55" s="6" t="inlineStr">
        <is>
          <t>Souza/Carolina</t>
        </is>
      </c>
      <c r="K55" s="6" t="inlineStr">
        <is>
          <t>Kontrip</t>
        </is>
      </c>
      <c r="L55" s="6" t="inlineStr">
        <is>
          <t>Kontrip</t>
        </is>
      </c>
      <c r="M55" s="58" t="n">
        <v>45971.38055555556</v>
      </c>
      <c r="N55" s="6" t="inlineStr">
        <is>
          <t>-</t>
        </is>
      </c>
      <c r="O55" s="6" t="inlineStr">
        <is>
          <t>-</t>
        </is>
      </c>
      <c r="P55" s="6" t="inlineStr">
        <is>
          <t>OFF LINE</t>
        </is>
      </c>
      <c r="Q55" s="6" t="inlineStr">
        <is>
          <t>Cartão de crédito</t>
        </is>
      </c>
      <c r="R55" s="6" t="inlineStr">
        <is>
          <t>Cartão de crédito</t>
        </is>
      </c>
      <c r="S55" s="6" t="inlineStr">
        <is>
          <t>Aéreo</t>
        </is>
      </c>
      <c r="T55" s="6" t="inlineStr">
        <is>
          <t>N</t>
        </is>
      </c>
      <c r="U55" s="6" t="inlineStr">
        <is>
          <t>Grupo Mercurio York</t>
        </is>
      </c>
      <c r="V55" s="6" t="inlineStr">
        <is>
          <t>Agencia Mercurio York Viagens e Turismo Ltda</t>
        </is>
      </c>
      <c r="W55" s="6" t="inlineStr">
        <is>
          <t>-</t>
        </is>
      </c>
      <c r="X55" s="6" t="inlineStr">
        <is>
          <t>Latam Airlines Brasil</t>
        </is>
      </c>
      <c r="Y55" s="6" t="n">
        <v>2259055741</v>
      </c>
      <c r="Z55" s="6" t="inlineStr">
        <is>
          <t>KONTRIP</t>
        </is>
      </c>
      <c r="AA55" s="6" t="inlineStr">
        <is>
          <t>-</t>
        </is>
      </c>
      <c r="AB55" s="6" t="n">
        <v>411.92</v>
      </c>
      <c r="AC55" s="6" t="n">
        <v>60.62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0</v>
      </c>
      <c r="AI55" s="6" t="inlineStr">
        <is>
          <t>obs</t>
        </is>
      </c>
      <c r="AJ55" s="6" t="inlineStr">
        <is>
          <t xml:space="preserve"> Centro de custo não preenchido! (ACC03) Verificação d</t>
        </is>
      </c>
      <c r="AK55" s="6" t="inlineStr">
        <is>
          <t>KONTRIP</t>
        </is>
      </c>
      <c r="AL55" s="6" t="inlineStr">
        <is>
          <t>Centro de custo</t>
        </is>
      </c>
      <c r="AM55" s="6" t="inlineStr">
        <is>
          <t>Falta de informação Gerencial</t>
        </is>
      </c>
      <c r="AN55" s="6" t="inlineStr">
        <is>
          <t>Dados do Fornecedor</t>
        </is>
      </c>
      <c r="AO55" s="6" t="inlineStr">
        <is>
          <t>Qualidade dos dados</t>
        </is>
      </c>
      <c r="AP55" s="6" t="inlineStr">
        <is>
          <t>KONTRIP VIAGENS</t>
        </is>
      </c>
      <c r="AQ55" s="6" t="inlineStr">
        <is>
          <t>Operações - KONTRIP</t>
        </is>
      </c>
    </row>
    <row r="56">
      <c r="A56" s="6" t="n">
        <v>23298602</v>
      </c>
      <c r="B56" s="6" t="n">
        <v>24029562</v>
      </c>
      <c r="C56" s="6" t="inlineStr">
        <is>
          <t>ACC01</t>
        </is>
      </c>
      <c r="D56" s="58" t="n">
        <v>45971.88515046296</v>
      </c>
      <c r="E56" s="58" t="n">
        <v>45971.88627314815</v>
      </c>
      <c r="F56" s="6" t="inlineStr">
        <is>
          <t>09 a 15 dias</t>
        </is>
      </c>
      <c r="G56" s="6" t="inlineStr">
        <is>
          <t>09 a 15 dias</t>
        </is>
      </c>
      <c r="H56" s="6" t="inlineStr">
        <is>
          <t>LA9578646MFJQ</t>
        </is>
      </c>
      <c r="I56" s="6" t="inlineStr">
        <is>
          <t>EBOOKING</t>
        </is>
      </c>
      <c r="J56" s="6" t="inlineStr">
        <is>
          <t>Calheira/Patricia</t>
        </is>
      </c>
      <c r="K56" s="6" t="inlineStr">
        <is>
          <t>Kontrip</t>
        </is>
      </c>
      <c r="L56" s="6" t="inlineStr">
        <is>
          <t>Kontrip</t>
        </is>
      </c>
      <c r="M56" s="58" t="n">
        <v>45971.38055555556</v>
      </c>
      <c r="N56" s="6" t="inlineStr">
        <is>
          <t>-</t>
        </is>
      </c>
      <c r="O56" s="6" t="inlineStr">
        <is>
          <t>-</t>
        </is>
      </c>
      <c r="P56" s="6" t="inlineStr">
        <is>
          <t>OFF LINE</t>
        </is>
      </c>
      <c r="Q56" s="6" t="inlineStr">
        <is>
          <t>Cartão de crédito</t>
        </is>
      </c>
      <c r="R56" s="6" t="inlineStr">
        <is>
          <t>Cartão de crédito</t>
        </is>
      </c>
      <c r="S56" s="6" t="inlineStr">
        <is>
          <t>Aéreo</t>
        </is>
      </c>
      <c r="T56" s="6" t="inlineStr">
        <is>
          <t>N</t>
        </is>
      </c>
      <c r="U56" s="6" t="inlineStr">
        <is>
          <t>Grupo Mercurio York</t>
        </is>
      </c>
      <c r="V56" s="6" t="inlineStr">
        <is>
          <t>Agencia Mercurio York Viagens e Turismo Ltda</t>
        </is>
      </c>
      <c r="W56" s="6" t="inlineStr">
        <is>
          <t>-</t>
        </is>
      </c>
      <c r="X56" s="6" t="inlineStr">
        <is>
          <t>Latam Airlines Brasil</t>
        </is>
      </c>
      <c r="Y56" s="6" t="n">
        <v>2259055740</v>
      </c>
      <c r="Z56" s="6" t="inlineStr">
        <is>
          <t>KONTRIP</t>
        </is>
      </c>
      <c r="AA56" s="6" t="inlineStr">
        <is>
          <t>-</t>
        </is>
      </c>
      <c r="AB56" s="6" t="n">
        <v>411.92</v>
      </c>
      <c r="AC56" s="6" t="n">
        <v>60.62</v>
      </c>
      <c r="AD56" s="6" t="n">
        <v>0</v>
      </c>
      <c r="AE56" s="6" t="n">
        <v>0</v>
      </c>
      <c r="AF56" s="6" t="n">
        <v>0</v>
      </c>
      <c r="AG56" s="6" t="n">
        <v>0</v>
      </c>
      <c r="AH56" s="6" t="n">
        <v>0</v>
      </c>
      <c r="AI56" s="6" t="inlineStr">
        <is>
          <t>obs</t>
        </is>
      </c>
      <c r="AJ56" s="6" t="inlineStr">
        <is>
          <t xml:space="preserve"> Centro de custo não preenchido! (ACC03) Verificação d</t>
        </is>
      </c>
      <c r="AK56" s="6" t="inlineStr">
        <is>
          <t>KONTRIP</t>
        </is>
      </c>
      <c r="AL56" s="6" t="inlineStr">
        <is>
          <t>Centro de custo</t>
        </is>
      </c>
      <c r="AM56" s="6" t="inlineStr">
        <is>
          <t>Falta de informação Gerencial</t>
        </is>
      </c>
      <c r="AN56" s="6" t="inlineStr">
        <is>
          <t>Dados do Fornecedor</t>
        </is>
      </c>
      <c r="AO56" s="6" t="inlineStr">
        <is>
          <t>Qualidade dos dados</t>
        </is>
      </c>
      <c r="AP56" s="6" t="inlineStr">
        <is>
          <t>KONTRIP VIAGENS</t>
        </is>
      </c>
      <c r="AQ56" s="6" t="inlineStr">
        <is>
          <t>Operações - KONTRIP</t>
        </is>
      </c>
    </row>
    <row r="57">
      <c r="A57" s="6" t="n">
        <v>23298631</v>
      </c>
      <c r="B57" s="6" t="n">
        <v>24029610</v>
      </c>
      <c r="C57" s="6" t="inlineStr">
        <is>
          <t>ACC02</t>
        </is>
      </c>
      <c r="D57" s="58" t="n">
        <v>45971.89060185185</v>
      </c>
      <c r="E57" s="58" t="n">
        <v>45971.89210648148</v>
      </c>
      <c r="F57" s="6" t="inlineStr">
        <is>
          <t>09 a 15 dias</t>
        </is>
      </c>
      <c r="G57" s="6" t="inlineStr">
        <is>
          <t>09 a 15 dias</t>
        </is>
      </c>
      <c r="H57" s="6" t="inlineStr">
        <is>
          <t>FJPLXB</t>
        </is>
      </c>
      <c r="I57" s="6" t="inlineStr">
        <is>
          <t>EBOOKING</t>
        </is>
      </c>
      <c r="J57" s="6" t="inlineStr">
        <is>
          <t>Eduardo dias de Azevedo/Carlos</t>
        </is>
      </c>
      <c r="K57" s="6" t="inlineStr">
        <is>
          <t>Kontrip</t>
        </is>
      </c>
      <c r="L57" s="6" t="inlineStr">
        <is>
          <t>Kontrip</t>
        </is>
      </c>
      <c r="M57" s="58" t="n">
        <v>45971.38541666666</v>
      </c>
      <c r="N57" s="6" t="inlineStr">
        <is>
          <t>-</t>
        </is>
      </c>
      <c r="O57" s="6" t="inlineStr">
        <is>
          <t>-</t>
        </is>
      </c>
      <c r="P57" s="6" t="inlineStr">
        <is>
          <t>OFF LINE</t>
        </is>
      </c>
      <c r="Q57" s="6" t="inlineStr">
        <is>
          <t>Cartão de crédito</t>
        </is>
      </c>
      <c r="R57" s="6" t="inlineStr">
        <is>
          <t>Cartão de crédito</t>
        </is>
      </c>
      <c r="S57" s="6" t="inlineStr">
        <is>
          <t>Aéreo</t>
        </is>
      </c>
      <c r="T57" s="6" t="inlineStr">
        <is>
          <t>N</t>
        </is>
      </c>
      <c r="U57" s="6" t="inlineStr">
        <is>
          <t>Grupo Mercurio York</t>
        </is>
      </c>
      <c r="V57" s="6" t="inlineStr">
        <is>
          <t>Agencia Mercurio York Viagens e Turismo Ltda</t>
        </is>
      </c>
      <c r="W57" s="6" t="inlineStr">
        <is>
          <t>-</t>
        </is>
      </c>
      <c r="X57" s="6" t="inlineStr">
        <is>
          <t>Gol Linhas Aereas</t>
        </is>
      </c>
      <c r="Y57" s="6" t="n">
        <v>2149210371</v>
      </c>
      <c r="Z57" s="6" t="inlineStr">
        <is>
          <t>KONTRIP</t>
        </is>
      </c>
      <c r="AA57" s="6" t="inlineStr">
        <is>
          <t>-</t>
        </is>
      </c>
      <c r="AB57" s="6" t="n">
        <v>421.7</v>
      </c>
      <c r="AC57" s="6" t="n">
        <v>60.62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0</v>
      </c>
      <c r="AI57" s="6" t="inlineStr">
        <is>
          <t>obs</t>
        </is>
      </c>
      <c r="AJ57" s="6" t="inlineStr">
        <is>
          <t xml:space="preserve"> Centro de custo não preenchido! (ACC03) Verificação d</t>
        </is>
      </c>
      <c r="AK57" s="6" t="inlineStr">
        <is>
          <t>KONTRIP</t>
        </is>
      </c>
      <c r="AL57" s="6" t="inlineStr">
        <is>
          <t>Centro de custo</t>
        </is>
      </c>
      <c r="AM57" s="6" t="inlineStr">
        <is>
          <t>Falta de informação Gerencial</t>
        </is>
      </c>
      <c r="AN57" s="6" t="inlineStr">
        <is>
          <t>Dados do Fornecedor</t>
        </is>
      </c>
      <c r="AO57" s="6" t="inlineStr">
        <is>
          <t>Qualidade dos dados</t>
        </is>
      </c>
      <c r="AP57" s="6" t="inlineStr">
        <is>
          <t>KONTRIP VIAGENS</t>
        </is>
      </c>
      <c r="AQ57" s="6" t="inlineStr">
        <is>
          <t>Operações - KONTRIP</t>
        </is>
      </c>
    </row>
    <row r="58">
      <c r="A58" s="6" t="n">
        <v>23298545</v>
      </c>
      <c r="B58" s="6" t="n">
        <v>24029506</v>
      </c>
      <c r="C58" s="6" t="inlineStr">
        <is>
          <t>ACC04</t>
        </is>
      </c>
      <c r="D58" s="58" t="n">
        <v>45971.87820601852</v>
      </c>
      <c r="E58" s="58" t="n">
        <v>45971.87936342593</v>
      </c>
      <c r="F58" s="6" t="inlineStr">
        <is>
          <t>09 a 15 dias</t>
        </is>
      </c>
      <c r="G58" s="6" t="inlineStr">
        <is>
          <t>09 a 15 dias</t>
        </is>
      </c>
      <c r="H58" s="6" t="inlineStr">
        <is>
          <t>CYTJTB</t>
        </is>
      </c>
      <c r="I58" s="6" t="inlineStr">
        <is>
          <t>EBOOKING</t>
        </is>
      </c>
      <c r="J58" s="6" t="inlineStr">
        <is>
          <t>Luz Santos/Uendeo</t>
        </is>
      </c>
      <c r="K58" s="6" t="inlineStr">
        <is>
          <t>Kontrip</t>
        </is>
      </c>
      <c r="L58" s="6" t="inlineStr">
        <is>
          <t>Kontrip</t>
        </is>
      </c>
      <c r="M58" s="58" t="n">
        <v>45971.37291666667</v>
      </c>
      <c r="N58" s="6" t="inlineStr">
        <is>
          <t>-</t>
        </is>
      </c>
      <c r="O58" s="6" t="inlineStr">
        <is>
          <t>-</t>
        </is>
      </c>
      <c r="P58" s="6" t="inlineStr">
        <is>
          <t>OFF LINE</t>
        </is>
      </c>
      <c r="Q58" s="6" t="inlineStr">
        <is>
          <t>Cartão de crédito</t>
        </is>
      </c>
      <c r="R58" s="6" t="inlineStr">
        <is>
          <t>Cartão de crédito</t>
        </is>
      </c>
      <c r="S58" s="6" t="inlineStr">
        <is>
          <t>Aéreo</t>
        </is>
      </c>
      <c r="T58" s="6" t="inlineStr">
        <is>
          <t>N</t>
        </is>
      </c>
      <c r="U58" s="6" t="inlineStr">
        <is>
          <t>Grupo Mercurio York</t>
        </is>
      </c>
      <c r="V58" s="6" t="inlineStr">
        <is>
          <t>Agencia Mercurio York Viagens e Turismo Ltda</t>
        </is>
      </c>
      <c r="W58" s="6" t="inlineStr">
        <is>
          <t>-</t>
        </is>
      </c>
      <c r="X58" s="6" t="inlineStr">
        <is>
          <t>Gol Linhas Aereas</t>
        </is>
      </c>
      <c r="Y58" s="6" t="n">
        <v>2149209032</v>
      </c>
      <c r="Z58" s="6" t="inlineStr">
        <is>
          <t>KONTRIP</t>
        </is>
      </c>
      <c r="AA58" s="6" t="inlineStr">
        <is>
          <t>-</t>
        </is>
      </c>
      <c r="AB58" s="6" t="n">
        <v>421.7</v>
      </c>
      <c r="AC58" s="6" t="n">
        <v>60.62</v>
      </c>
      <c r="AD58" s="6" t="n">
        <v>0</v>
      </c>
      <c r="AE58" s="6" t="n">
        <v>0</v>
      </c>
      <c r="AF58" s="6" t="n">
        <v>0</v>
      </c>
      <c r="AG58" s="6" t="n">
        <v>0</v>
      </c>
      <c r="AH58" s="6" t="n">
        <v>0</v>
      </c>
      <c r="AI58" s="6" t="inlineStr">
        <is>
          <t>obs</t>
        </is>
      </c>
      <c r="AJ58" s="6" t="inlineStr">
        <is>
          <t xml:space="preserve"> Centro de custo não preenchido! (ACC03) Verificação d</t>
        </is>
      </c>
      <c r="AK58" s="6" t="inlineStr">
        <is>
          <t>KONTRIP</t>
        </is>
      </c>
      <c r="AL58" s="6" t="inlineStr">
        <is>
          <t>Centro de custo</t>
        </is>
      </c>
      <c r="AM58" s="6" t="inlineStr">
        <is>
          <t>Falta de informação Gerencial</t>
        </is>
      </c>
      <c r="AN58" s="6" t="inlineStr">
        <is>
          <t>Dados do Fornecedor</t>
        </is>
      </c>
      <c r="AO58" s="6" t="inlineStr">
        <is>
          <t>Qualidade dos dados</t>
        </is>
      </c>
      <c r="AP58" s="6" t="inlineStr">
        <is>
          <t>KONTRIP VIAGENS</t>
        </is>
      </c>
      <c r="AQ58" s="6" t="inlineStr">
        <is>
          <t>Operações - KONTRIP</t>
        </is>
      </c>
    </row>
    <row r="59">
      <c r="A59" s="6" t="n">
        <v>23298545</v>
      </c>
      <c r="B59" s="6" t="n">
        <v>24029507</v>
      </c>
      <c r="C59" s="6" t="inlineStr">
        <is>
          <t>ACC05</t>
        </is>
      </c>
      <c r="D59" s="58" t="n">
        <v>45971.87820601852</v>
      </c>
      <c r="E59" s="58" t="n">
        <v>45971.87936342593</v>
      </c>
      <c r="F59" s="6" t="inlineStr">
        <is>
          <t>09 a 15 dias</t>
        </is>
      </c>
      <c r="G59" s="6" t="inlineStr">
        <is>
          <t>09 a 15 dias</t>
        </is>
      </c>
      <c r="H59" s="6" t="inlineStr">
        <is>
          <t>CYTJTB</t>
        </is>
      </c>
      <c r="I59" s="6" t="inlineStr">
        <is>
          <t>EBOOKING</t>
        </is>
      </c>
      <c r="J59" s="6" t="inlineStr">
        <is>
          <t>Maciel/Marcela</t>
        </is>
      </c>
      <c r="K59" s="6" t="inlineStr">
        <is>
          <t>Kontrip</t>
        </is>
      </c>
      <c r="L59" s="6" t="inlineStr">
        <is>
          <t>Kontrip</t>
        </is>
      </c>
      <c r="M59" s="58" t="n">
        <v>45971.37291666667</v>
      </c>
      <c r="N59" s="6" t="inlineStr">
        <is>
          <t>-</t>
        </is>
      </c>
      <c r="O59" s="6" t="inlineStr">
        <is>
          <t>-</t>
        </is>
      </c>
      <c r="P59" s="6" t="inlineStr">
        <is>
          <t>OFF LINE</t>
        </is>
      </c>
      <c r="Q59" s="6" t="inlineStr">
        <is>
          <t>Cartão de crédito</t>
        </is>
      </c>
      <c r="R59" s="6" t="inlineStr">
        <is>
          <t>Cartão de crédito</t>
        </is>
      </c>
      <c r="S59" s="6" t="inlineStr">
        <is>
          <t>Aéreo</t>
        </is>
      </c>
      <c r="T59" s="6" t="inlineStr">
        <is>
          <t>N</t>
        </is>
      </c>
      <c r="U59" s="6" t="inlineStr">
        <is>
          <t>Grupo Mercurio York</t>
        </is>
      </c>
      <c r="V59" s="6" t="inlineStr">
        <is>
          <t>Agencia Mercurio York Viagens e Turismo Ltda</t>
        </is>
      </c>
      <c r="W59" s="6" t="inlineStr">
        <is>
          <t>-</t>
        </is>
      </c>
      <c r="X59" s="6" t="inlineStr">
        <is>
          <t>Gol Linhas Aereas</t>
        </is>
      </c>
      <c r="Y59" s="6" t="n">
        <v>2149209033</v>
      </c>
      <c r="Z59" s="6" t="inlineStr">
        <is>
          <t>KONTRIP</t>
        </is>
      </c>
      <c r="AA59" s="6" t="inlineStr">
        <is>
          <t>-</t>
        </is>
      </c>
      <c r="AB59" s="6" t="n">
        <v>421.7</v>
      </c>
      <c r="AC59" s="6" t="n">
        <v>60.62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0</v>
      </c>
      <c r="AI59" s="6" t="inlineStr">
        <is>
          <t>obs</t>
        </is>
      </c>
      <c r="AJ59" s="6" t="inlineStr">
        <is>
          <t xml:space="preserve"> Centro de custo não preenchido! (ACC03) Verificação d</t>
        </is>
      </c>
      <c r="AK59" s="6" t="inlineStr">
        <is>
          <t>KONTRIP</t>
        </is>
      </c>
      <c r="AL59" s="6" t="inlineStr">
        <is>
          <t>Centro de custo</t>
        </is>
      </c>
      <c r="AM59" s="6" t="inlineStr">
        <is>
          <t>Falta de informação Gerencial</t>
        </is>
      </c>
      <c r="AN59" s="6" t="inlineStr">
        <is>
          <t>Dados do Fornecedor</t>
        </is>
      </c>
      <c r="AO59" s="6" t="inlineStr">
        <is>
          <t>Qualidade dos dados</t>
        </is>
      </c>
      <c r="AP59" s="6" t="inlineStr">
        <is>
          <t>KONTRIP VIAGENS</t>
        </is>
      </c>
      <c r="AQ59" s="6" t="inlineStr">
        <is>
          <t>Operações - KONTRIP</t>
        </is>
      </c>
    </row>
    <row r="60">
      <c r="A60" s="6" t="n">
        <v>23298545</v>
      </c>
      <c r="B60" s="6" t="n">
        <v>24029505</v>
      </c>
      <c r="C60" s="6" t="inlineStr">
        <is>
          <t>ACC03</t>
        </is>
      </c>
      <c r="D60" s="58" t="n">
        <v>45971.87820601852</v>
      </c>
      <c r="E60" s="58" t="n">
        <v>45971.87936342593</v>
      </c>
      <c r="F60" s="6" t="inlineStr">
        <is>
          <t>09 a 15 dias</t>
        </is>
      </c>
      <c r="G60" s="6" t="inlineStr">
        <is>
          <t>09 a 15 dias</t>
        </is>
      </c>
      <c r="H60" s="6" t="inlineStr">
        <is>
          <t>CYTJTB</t>
        </is>
      </c>
      <c r="I60" s="6" t="inlineStr">
        <is>
          <t>EBOOKING</t>
        </is>
      </c>
      <c r="J60" s="6" t="inlineStr">
        <is>
          <t>Costa/Isabel</t>
        </is>
      </c>
      <c r="K60" s="6" t="inlineStr">
        <is>
          <t>Kontrip</t>
        </is>
      </c>
      <c r="L60" s="6" t="inlineStr">
        <is>
          <t>Kontrip</t>
        </is>
      </c>
      <c r="M60" s="58" t="n">
        <v>45971.37291666667</v>
      </c>
      <c r="N60" s="6" t="inlineStr">
        <is>
          <t>-</t>
        </is>
      </c>
      <c r="O60" s="6" t="inlineStr">
        <is>
          <t>-</t>
        </is>
      </c>
      <c r="P60" s="6" t="inlineStr">
        <is>
          <t>OFF LINE</t>
        </is>
      </c>
      <c r="Q60" s="6" t="inlineStr">
        <is>
          <t>Cartão de crédito</t>
        </is>
      </c>
      <c r="R60" s="6" t="inlineStr">
        <is>
          <t>Cartão de crédito</t>
        </is>
      </c>
      <c r="S60" s="6" t="inlineStr">
        <is>
          <t>Aéreo</t>
        </is>
      </c>
      <c r="T60" s="6" t="inlineStr">
        <is>
          <t>N</t>
        </is>
      </c>
      <c r="U60" s="6" t="inlineStr">
        <is>
          <t>Grupo Mercurio York</t>
        </is>
      </c>
      <c r="V60" s="6" t="inlineStr">
        <is>
          <t>Agencia Mercurio York Viagens e Turismo Ltda</t>
        </is>
      </c>
      <c r="W60" s="6" t="inlineStr">
        <is>
          <t>-</t>
        </is>
      </c>
      <c r="X60" s="6" t="inlineStr">
        <is>
          <t>Gol Linhas Aereas</t>
        </is>
      </c>
      <c r="Y60" s="6" t="n">
        <v>2149209031</v>
      </c>
      <c r="Z60" s="6" t="inlineStr">
        <is>
          <t>KONTRIP</t>
        </is>
      </c>
      <c r="AA60" s="6" t="inlineStr">
        <is>
          <t>-</t>
        </is>
      </c>
      <c r="AB60" s="6" t="n">
        <v>421.7</v>
      </c>
      <c r="AC60" s="6" t="n">
        <v>60.62</v>
      </c>
      <c r="AD60" s="6" t="n">
        <v>0</v>
      </c>
      <c r="AE60" s="6" t="n">
        <v>0</v>
      </c>
      <c r="AF60" s="6" t="n">
        <v>0</v>
      </c>
      <c r="AG60" s="6" t="n">
        <v>0</v>
      </c>
      <c r="AH60" s="6" t="n">
        <v>0</v>
      </c>
      <c r="AI60" s="6" t="inlineStr">
        <is>
          <t>obs</t>
        </is>
      </c>
      <c r="AJ60" s="6" t="inlineStr">
        <is>
          <t xml:space="preserve"> Centro de custo não preenchido! (ACC03) Verificação d</t>
        </is>
      </c>
      <c r="AK60" s="6" t="inlineStr">
        <is>
          <t>KONTRIP</t>
        </is>
      </c>
      <c r="AL60" s="6" t="inlineStr">
        <is>
          <t>Centro de custo</t>
        </is>
      </c>
      <c r="AM60" s="6" t="inlineStr">
        <is>
          <t>Falta de informação Gerencial</t>
        </is>
      </c>
      <c r="AN60" s="6" t="inlineStr">
        <is>
          <t>Dados do Fornecedor</t>
        </is>
      </c>
      <c r="AO60" s="6" t="inlineStr">
        <is>
          <t>Qualidade dos dados</t>
        </is>
      </c>
      <c r="AP60" s="6" t="inlineStr">
        <is>
          <t>KONTRIP VIAGENS</t>
        </is>
      </c>
      <c r="AQ60" s="6" t="inlineStr">
        <is>
          <t>Operações - KONTRIP</t>
        </is>
      </c>
    </row>
    <row r="61">
      <c r="A61" s="6" t="n">
        <v>23298631</v>
      </c>
      <c r="B61" s="6" t="n">
        <v>24029611</v>
      </c>
      <c r="C61" s="6" t="inlineStr">
        <is>
          <t>ACC03</t>
        </is>
      </c>
      <c r="D61" s="58" t="n">
        <v>45971.89060185185</v>
      </c>
      <c r="E61" s="58" t="n">
        <v>45971.89210648148</v>
      </c>
      <c r="F61" s="6" t="inlineStr">
        <is>
          <t>09 a 15 dias</t>
        </is>
      </c>
      <c r="G61" s="6" t="inlineStr">
        <is>
          <t>09 a 15 dias</t>
        </is>
      </c>
      <c r="H61" s="6" t="inlineStr">
        <is>
          <t>FJPLXB</t>
        </is>
      </c>
      <c r="I61" s="6" t="inlineStr">
        <is>
          <t>EBOOKING</t>
        </is>
      </c>
      <c r="J61" s="6" t="inlineStr">
        <is>
          <t>Mota/Luiza</t>
        </is>
      </c>
      <c r="K61" s="6" t="inlineStr">
        <is>
          <t>Kontrip</t>
        </is>
      </c>
      <c r="L61" s="6" t="inlineStr">
        <is>
          <t>Kontrip</t>
        </is>
      </c>
      <c r="M61" s="58" t="n">
        <v>45971.38541666666</v>
      </c>
      <c r="N61" s="6" t="inlineStr">
        <is>
          <t>-</t>
        </is>
      </c>
      <c r="O61" s="6" t="inlineStr">
        <is>
          <t>-</t>
        </is>
      </c>
      <c r="P61" s="6" t="inlineStr">
        <is>
          <t>OFF LINE</t>
        </is>
      </c>
      <c r="Q61" s="6" t="inlineStr">
        <is>
          <t>Cartão de crédito</t>
        </is>
      </c>
      <c r="R61" s="6" t="inlineStr">
        <is>
          <t>Cartão de crédito</t>
        </is>
      </c>
      <c r="S61" s="6" t="inlineStr">
        <is>
          <t>Aéreo</t>
        </is>
      </c>
      <c r="T61" s="6" t="inlineStr">
        <is>
          <t>N</t>
        </is>
      </c>
      <c r="U61" s="6" t="inlineStr">
        <is>
          <t>Grupo Mercurio York</t>
        </is>
      </c>
      <c r="V61" s="6" t="inlineStr">
        <is>
          <t>Agencia Mercurio York Viagens e Turismo Ltda</t>
        </is>
      </c>
      <c r="W61" s="6" t="inlineStr">
        <is>
          <t>-</t>
        </is>
      </c>
      <c r="X61" s="6" t="inlineStr">
        <is>
          <t>Gol Linhas Aereas</t>
        </is>
      </c>
      <c r="Y61" s="6" t="n">
        <v>2149210372</v>
      </c>
      <c r="Z61" s="6" t="inlineStr">
        <is>
          <t>KONTRIP</t>
        </is>
      </c>
      <c r="AA61" s="6" t="inlineStr">
        <is>
          <t>-</t>
        </is>
      </c>
      <c r="AB61" s="6" t="n">
        <v>421.7</v>
      </c>
      <c r="AC61" s="6" t="n">
        <v>60.62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inlineStr">
        <is>
          <t>obs</t>
        </is>
      </c>
      <c r="AJ61" s="6" t="inlineStr">
        <is>
          <t xml:space="preserve"> Centro de custo não preenchido! (ACC03) Verificação d</t>
        </is>
      </c>
      <c r="AK61" s="6" t="inlineStr">
        <is>
          <t>KONTRIP</t>
        </is>
      </c>
      <c r="AL61" s="6" t="inlineStr">
        <is>
          <t>Centro de custo</t>
        </is>
      </c>
      <c r="AM61" s="6" t="inlineStr">
        <is>
          <t>Falta de informação Gerencial</t>
        </is>
      </c>
      <c r="AN61" s="6" t="inlineStr">
        <is>
          <t>Dados do Fornecedor</t>
        </is>
      </c>
      <c r="AO61" s="6" t="inlineStr">
        <is>
          <t>Qualidade dos dados</t>
        </is>
      </c>
      <c r="AP61" s="6" t="inlineStr">
        <is>
          <t>KONTRIP VIAGENS</t>
        </is>
      </c>
      <c r="AQ61" s="6" t="inlineStr">
        <is>
          <t>Operações - KONTRIP</t>
        </is>
      </c>
    </row>
    <row r="62">
      <c r="A62" s="6" t="n">
        <v>23300846</v>
      </c>
      <c r="B62" s="6" t="n">
        <v>24031456</v>
      </c>
      <c r="C62" s="6" t="inlineStr">
        <is>
          <t>ACC02</t>
        </is>
      </c>
      <c r="D62" s="58" t="n">
        <v>45972.3753125</v>
      </c>
      <c r="E62" s="58" t="n">
        <v>45972.37615740741</v>
      </c>
      <c r="F62" s="6" t="inlineStr">
        <is>
          <t>09 a 15 dias</t>
        </is>
      </c>
      <c r="G62" s="6" t="inlineStr">
        <is>
          <t>09 a 15 dias</t>
        </is>
      </c>
      <c r="H62" s="6" t="inlineStr">
        <is>
          <t>LA9577795OSVJ</t>
        </is>
      </c>
      <c r="I62" s="6" t="inlineStr">
        <is>
          <t>EBOOKING</t>
        </is>
      </c>
      <c r="J62" s="6" t="inlineStr">
        <is>
          <t>Dias/Eloa</t>
        </is>
      </c>
      <c r="K62" s="6" t="inlineStr">
        <is>
          <t>Kontrip</t>
        </is>
      </c>
      <c r="L62" s="6" t="inlineStr">
        <is>
          <t>Kontrip</t>
        </is>
      </c>
      <c r="M62" s="58" t="n">
        <v>45972.35972222222</v>
      </c>
      <c r="N62" s="6" t="inlineStr">
        <is>
          <t>-</t>
        </is>
      </c>
      <c r="O62" s="6" t="inlineStr">
        <is>
          <t>-</t>
        </is>
      </c>
      <c r="P62" s="6" t="inlineStr">
        <is>
          <t>OFF LINE</t>
        </is>
      </c>
      <c r="Q62" s="6" t="inlineStr">
        <is>
          <t>Cartão de crédito</t>
        </is>
      </c>
      <c r="R62" s="6" t="inlineStr">
        <is>
          <t>Cartão de crédito</t>
        </is>
      </c>
      <c r="S62" s="6" t="inlineStr">
        <is>
          <t>Aéreo</t>
        </is>
      </c>
      <c r="T62" s="6" t="inlineStr">
        <is>
          <t>N</t>
        </is>
      </c>
      <c r="U62" s="6" t="inlineStr">
        <is>
          <t>Grupo Mercurio York</t>
        </is>
      </c>
      <c r="V62" s="6" t="inlineStr">
        <is>
          <t>Agencia Mercurio York Viagens e Turismo Ltda</t>
        </is>
      </c>
      <c r="W62" s="6" t="inlineStr">
        <is>
          <t>-</t>
        </is>
      </c>
      <c r="X62" s="6" t="inlineStr">
        <is>
          <t>Latam Airlines Brasil</t>
        </is>
      </c>
      <c r="Y62" s="6" t="n">
        <v>2259100813</v>
      </c>
      <c r="Z62" s="6" t="inlineStr">
        <is>
          <t>KONTRIP</t>
        </is>
      </c>
      <c r="AA62" s="6" t="inlineStr">
        <is>
          <t>-</t>
        </is>
      </c>
      <c r="AB62" s="6" t="n">
        <v>1075.12</v>
      </c>
      <c r="AC62" s="6" t="n">
        <v>52.72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0</v>
      </c>
      <c r="AI62" s="6" t="inlineStr">
        <is>
          <t>obs</t>
        </is>
      </c>
      <c r="AJ62" s="6" t="inlineStr">
        <is>
          <t>Centro de custo não preenchido! (ACC02)</t>
        </is>
      </c>
      <c r="AK62" s="6" t="inlineStr">
        <is>
          <t>KONTRIP</t>
        </is>
      </c>
      <c r="AL62" s="6" t="inlineStr">
        <is>
          <t>Centro de custo</t>
        </is>
      </c>
      <c r="AM62" s="6" t="inlineStr">
        <is>
          <t>Falta de informação Gerencial</t>
        </is>
      </c>
      <c r="AN62" s="6" t="inlineStr">
        <is>
          <t>Dados do Fornecedor</t>
        </is>
      </c>
      <c r="AO62" s="6" t="inlineStr">
        <is>
          <t>Qualidade dos dados</t>
        </is>
      </c>
      <c r="AP62" s="6" t="inlineStr">
        <is>
          <t>KONTRIP VIAGENS</t>
        </is>
      </c>
      <c r="AQ62" s="6" t="inlineStr">
        <is>
          <t>Operações - KONTRIP</t>
        </is>
      </c>
    </row>
    <row r="63">
      <c r="A63" s="6" t="n">
        <v>23300986</v>
      </c>
      <c r="B63" s="6" t="n">
        <v>24031601</v>
      </c>
      <c r="C63" s="6" t="inlineStr">
        <is>
          <t>ACC01</t>
        </is>
      </c>
      <c r="D63" s="58" t="n">
        <v>45972.39476851852</v>
      </c>
      <c r="E63" s="58" t="n">
        <v>45972.39633101852</v>
      </c>
      <c r="F63" s="6" t="inlineStr">
        <is>
          <t>09 a 15 dias</t>
        </is>
      </c>
      <c r="G63" s="6" t="inlineStr">
        <is>
          <t>09 a 15 dias</t>
        </is>
      </c>
      <c r="H63" s="6" t="inlineStr">
        <is>
          <t>LKAOZY</t>
        </is>
      </c>
      <c r="I63" s="6" t="inlineStr">
        <is>
          <t>EBOOKING</t>
        </is>
      </c>
      <c r="J63" s="6" t="inlineStr">
        <is>
          <t>OLIVEIRA/PRISCILA</t>
        </is>
      </c>
      <c r="K63" s="6" t="inlineStr">
        <is>
          <t>Kontrip</t>
        </is>
      </c>
      <c r="L63" s="6" t="inlineStr">
        <is>
          <t>Kontrip</t>
        </is>
      </c>
      <c r="M63" s="58" t="n">
        <v>45972.38472222222</v>
      </c>
      <c r="N63" s="6" t="inlineStr">
        <is>
          <t>-</t>
        </is>
      </c>
      <c r="O63" s="6" t="inlineStr">
        <is>
          <t>-</t>
        </is>
      </c>
      <c r="P63" s="6" t="inlineStr">
        <is>
          <t>OFF LINE</t>
        </is>
      </c>
      <c r="Q63" s="6" t="inlineStr">
        <is>
          <t>Cartão de crédito</t>
        </is>
      </c>
      <c r="R63" s="6" t="inlineStr">
        <is>
          <t>Cartão de crédito</t>
        </is>
      </c>
      <c r="S63" s="6" t="inlineStr">
        <is>
          <t>Aéreo</t>
        </is>
      </c>
      <c r="T63" s="6" t="inlineStr">
        <is>
          <t>N</t>
        </is>
      </c>
      <c r="U63" s="6" t="inlineStr">
        <is>
          <t>Grupo Mercurio York</t>
        </is>
      </c>
      <c r="V63" s="6" t="inlineStr">
        <is>
          <t>Agencia Mercurio York Viagens e Turismo Ltda</t>
        </is>
      </c>
      <c r="W63" s="6" t="inlineStr">
        <is>
          <t>-</t>
        </is>
      </c>
      <c r="X63" s="6" t="inlineStr">
        <is>
          <t>Gol Linhas Aereas</t>
        </is>
      </c>
      <c r="Y63" s="6" t="n">
        <v>2149228029</v>
      </c>
      <c r="Z63" s="6" t="inlineStr">
        <is>
          <t>KONTRIP</t>
        </is>
      </c>
      <c r="AA63" s="6" t="inlineStr">
        <is>
          <t>-</t>
        </is>
      </c>
      <c r="AB63" s="6" t="n">
        <v>591.23</v>
      </c>
      <c r="AC63" s="6" t="n">
        <v>60.62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0</v>
      </c>
      <c r="AI63" s="6" t="inlineStr">
        <is>
          <t>obs</t>
        </is>
      </c>
      <c r="AJ63" s="6" t="inlineStr">
        <is>
          <t>Centro de custo não preenchido! (ACC01)</t>
        </is>
      </c>
      <c r="AK63" s="6" t="inlineStr">
        <is>
          <t>KONTRIP</t>
        </is>
      </c>
      <c r="AL63" s="6" t="inlineStr">
        <is>
          <t>Centro de custo</t>
        </is>
      </c>
      <c r="AM63" s="6" t="inlineStr">
        <is>
          <t>Falta de informação Gerencial</t>
        </is>
      </c>
      <c r="AN63" s="6" t="inlineStr">
        <is>
          <t>Dados do Fornecedor</t>
        </is>
      </c>
      <c r="AO63" s="6" t="inlineStr">
        <is>
          <t>Qualidade dos dados</t>
        </is>
      </c>
      <c r="AP63" s="6" t="inlineStr">
        <is>
          <t>KONTRIP VIAGENS</t>
        </is>
      </c>
      <c r="AQ63" s="6" t="inlineStr">
        <is>
          <t>Operações - KONTRIP</t>
        </is>
      </c>
    </row>
    <row r="64">
      <c r="A64" s="6" t="n">
        <v>23298506</v>
      </c>
      <c r="B64" s="6" t="n">
        <v>24029454</v>
      </c>
      <c r="C64" s="6" t="inlineStr">
        <is>
          <t>ACC01</t>
        </is>
      </c>
      <c r="D64" s="58" t="n">
        <v>45971.87402777778</v>
      </c>
      <c r="E64" s="58" t="n">
        <v>45971.87581018519</v>
      </c>
      <c r="F64" s="6" t="inlineStr">
        <is>
          <t>09 a 15 dias</t>
        </is>
      </c>
      <c r="G64" s="6" t="inlineStr">
        <is>
          <t>09 a 15 dias</t>
        </is>
      </c>
      <c r="H64" s="6" t="inlineStr">
        <is>
          <t>WCJCRK</t>
        </is>
      </c>
      <c r="I64" s="6" t="inlineStr">
        <is>
          <t>EBOOKING</t>
        </is>
      </c>
      <c r="J64" s="6" t="inlineStr">
        <is>
          <t>ANGE ARAUJO/ENY</t>
        </is>
      </c>
      <c r="K64" s="6" t="inlineStr">
        <is>
          <t>Kontrip</t>
        </is>
      </c>
      <c r="L64" s="6" t="inlineStr">
        <is>
          <t>Kontrip</t>
        </is>
      </c>
      <c r="M64" s="58" t="n">
        <v>45971.37013888889</v>
      </c>
      <c r="N64" s="6" t="inlineStr">
        <is>
          <t>-</t>
        </is>
      </c>
      <c r="O64" s="6" t="inlineStr">
        <is>
          <t>-</t>
        </is>
      </c>
      <c r="P64" s="6" t="inlineStr">
        <is>
          <t>OFF LINE</t>
        </is>
      </c>
      <c r="Q64" s="6" t="inlineStr">
        <is>
          <t>Cartão de crédito</t>
        </is>
      </c>
      <c r="R64" s="6" t="inlineStr">
        <is>
          <t>Cartão de crédito</t>
        </is>
      </c>
      <c r="S64" s="6" t="inlineStr">
        <is>
          <t>Aéreo</t>
        </is>
      </c>
      <c r="T64" s="6" t="inlineStr">
        <is>
          <t>N</t>
        </is>
      </c>
      <c r="U64" s="6" t="inlineStr">
        <is>
          <t>Grupo Mercurio York</t>
        </is>
      </c>
      <c r="V64" s="6" t="inlineStr">
        <is>
          <t>Agencia Mercurio York Viagens e Turismo Ltda</t>
        </is>
      </c>
      <c r="W64" s="6" t="inlineStr">
        <is>
          <t>-</t>
        </is>
      </c>
      <c r="X64" s="6" t="inlineStr">
        <is>
          <t>Gol Linhas Aereas</t>
        </is>
      </c>
      <c r="Y64" s="6" t="n">
        <v>2149208904</v>
      </c>
      <c r="Z64" s="6" t="inlineStr">
        <is>
          <t>KONTRIP</t>
        </is>
      </c>
      <c r="AA64" s="6" t="inlineStr">
        <is>
          <t>-</t>
        </is>
      </c>
      <c r="AB64" s="6" t="n">
        <v>421.7</v>
      </c>
      <c r="AC64" s="6" t="n">
        <v>60.62</v>
      </c>
      <c r="AD64" s="6" t="n">
        <v>0</v>
      </c>
      <c r="AE64" s="6" t="n">
        <v>0</v>
      </c>
      <c r="AF64" s="6" t="n">
        <v>0</v>
      </c>
      <c r="AG64" s="6" t="n">
        <v>0</v>
      </c>
      <c r="AH64" s="6" t="n">
        <v>0</v>
      </c>
      <c r="AI64" s="6" t="inlineStr">
        <is>
          <t>obs</t>
        </is>
      </c>
      <c r="AJ64" s="6" t="inlineStr">
        <is>
          <t xml:space="preserve"> Centro de custo não preenchido! (ACC03)</t>
        </is>
      </c>
      <c r="AK64" s="6" t="inlineStr">
        <is>
          <t>KONTRIP</t>
        </is>
      </c>
      <c r="AL64" s="6" t="inlineStr">
        <is>
          <t>Centro de custo</t>
        </is>
      </c>
      <c r="AM64" s="6" t="inlineStr">
        <is>
          <t>Falta de informação Gerencial</t>
        </is>
      </c>
      <c r="AN64" s="6" t="inlineStr">
        <is>
          <t>Dados do Fornecedor</t>
        </is>
      </c>
      <c r="AO64" s="6" t="inlineStr">
        <is>
          <t>Qualidade dos dados</t>
        </is>
      </c>
      <c r="AP64" s="6" t="inlineStr">
        <is>
          <t>KONTRIP VIAGENS</t>
        </is>
      </c>
      <c r="AQ64" s="6" t="inlineStr">
        <is>
          <t>Operações - KONTRIP</t>
        </is>
      </c>
    </row>
    <row r="65">
      <c r="A65" s="6" t="n">
        <v>23298506</v>
      </c>
      <c r="B65" s="6" t="n">
        <v>24029455</v>
      </c>
      <c r="C65" s="6" t="inlineStr">
        <is>
          <t>ACC02</t>
        </is>
      </c>
      <c r="D65" s="58" t="n">
        <v>45971.87402777778</v>
      </c>
      <c r="E65" s="58" t="n">
        <v>45971.87581018519</v>
      </c>
      <c r="F65" s="6" t="inlineStr">
        <is>
          <t>09 a 15 dias</t>
        </is>
      </c>
      <c r="G65" s="6" t="inlineStr">
        <is>
          <t>09 a 15 dias</t>
        </is>
      </c>
      <c r="H65" s="6" t="inlineStr">
        <is>
          <t>WCJCRK</t>
        </is>
      </c>
      <c r="I65" s="6" t="inlineStr">
        <is>
          <t>EBOOKING</t>
        </is>
      </c>
      <c r="J65" s="6" t="inlineStr">
        <is>
          <t>Dias/Eloa</t>
        </is>
      </c>
      <c r="K65" s="6" t="inlineStr">
        <is>
          <t>Kontrip</t>
        </is>
      </c>
      <c r="L65" s="6" t="inlineStr">
        <is>
          <t>Kontrip</t>
        </is>
      </c>
      <c r="M65" s="58" t="n">
        <v>45971.37013888889</v>
      </c>
      <c r="N65" s="6" t="inlineStr">
        <is>
          <t>-</t>
        </is>
      </c>
      <c r="O65" s="6" t="inlineStr">
        <is>
          <t>-</t>
        </is>
      </c>
      <c r="P65" s="6" t="inlineStr">
        <is>
          <t>OFF LINE</t>
        </is>
      </c>
      <c r="Q65" s="6" t="inlineStr">
        <is>
          <t>Cartão de crédito</t>
        </is>
      </c>
      <c r="R65" s="6" t="inlineStr">
        <is>
          <t>Cartão de crédito</t>
        </is>
      </c>
      <c r="S65" s="6" t="inlineStr">
        <is>
          <t>Aéreo</t>
        </is>
      </c>
      <c r="T65" s="6" t="inlineStr">
        <is>
          <t>N</t>
        </is>
      </c>
      <c r="U65" s="6" t="inlineStr">
        <is>
          <t>Grupo Mercurio York</t>
        </is>
      </c>
      <c r="V65" s="6" t="inlineStr">
        <is>
          <t>Agencia Mercurio York Viagens e Turismo Ltda</t>
        </is>
      </c>
      <c r="W65" s="6" t="inlineStr">
        <is>
          <t>-</t>
        </is>
      </c>
      <c r="X65" s="6" t="inlineStr">
        <is>
          <t>Gol Linhas Aereas</t>
        </is>
      </c>
      <c r="Y65" s="6" t="n">
        <v>2149208905</v>
      </c>
      <c r="Z65" s="6" t="inlineStr">
        <is>
          <t>KONTRIP</t>
        </is>
      </c>
      <c r="AA65" s="6" t="inlineStr">
        <is>
          <t>-</t>
        </is>
      </c>
      <c r="AB65" s="6" t="n">
        <v>421.7</v>
      </c>
      <c r="AC65" s="6" t="n">
        <v>60.62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0</v>
      </c>
      <c r="AI65" s="6" t="inlineStr">
        <is>
          <t>obs</t>
        </is>
      </c>
      <c r="AJ65" s="6" t="inlineStr">
        <is>
          <t xml:space="preserve"> Centro de custo não preenchido! (ACC03)</t>
        </is>
      </c>
      <c r="AK65" s="6" t="inlineStr">
        <is>
          <t>KONTRIP</t>
        </is>
      </c>
      <c r="AL65" s="6" t="inlineStr">
        <is>
          <t>Centro de custo</t>
        </is>
      </c>
      <c r="AM65" s="6" t="inlineStr">
        <is>
          <t>Falta de informação Gerencial</t>
        </is>
      </c>
      <c r="AN65" s="6" t="inlineStr">
        <is>
          <t>Dados do Fornecedor</t>
        </is>
      </c>
      <c r="AO65" s="6" t="inlineStr">
        <is>
          <t>Qualidade dos dados</t>
        </is>
      </c>
      <c r="AP65" s="6" t="inlineStr">
        <is>
          <t>KONTRIP VIAGENS</t>
        </is>
      </c>
      <c r="AQ65" s="6" t="inlineStr">
        <is>
          <t>Operações - KONTRIP</t>
        </is>
      </c>
    </row>
    <row r="66">
      <c r="A66" s="6" t="n">
        <v>23298506</v>
      </c>
      <c r="B66" s="6" t="n">
        <v>24029456</v>
      </c>
      <c r="C66" s="6" t="inlineStr">
        <is>
          <t>ACC03</t>
        </is>
      </c>
      <c r="D66" s="58" t="n">
        <v>45971.87402777778</v>
      </c>
      <c r="E66" s="58" t="n">
        <v>45971.87581018519</v>
      </c>
      <c r="F66" s="6" t="inlineStr">
        <is>
          <t>09 a 15 dias</t>
        </is>
      </c>
      <c r="G66" s="6" t="inlineStr">
        <is>
          <t>09 a 15 dias</t>
        </is>
      </c>
      <c r="H66" s="6" t="inlineStr">
        <is>
          <t>WCJCRK</t>
        </is>
      </c>
      <c r="I66" s="6" t="inlineStr">
        <is>
          <t>EBOOKING</t>
        </is>
      </c>
      <c r="J66" s="6" t="inlineStr">
        <is>
          <t>DIAS/GUSTAVO</t>
        </is>
      </c>
      <c r="K66" s="6" t="inlineStr">
        <is>
          <t>Kontrip</t>
        </is>
      </c>
      <c r="L66" s="6" t="inlineStr">
        <is>
          <t>Kontrip</t>
        </is>
      </c>
      <c r="M66" s="58" t="n">
        <v>45971.37013888889</v>
      </c>
      <c r="N66" s="6" t="inlineStr">
        <is>
          <t>-</t>
        </is>
      </c>
      <c r="O66" s="6" t="inlineStr">
        <is>
          <t>-</t>
        </is>
      </c>
      <c r="P66" s="6" t="inlineStr">
        <is>
          <t>OFF LINE</t>
        </is>
      </c>
      <c r="Q66" s="6" t="inlineStr">
        <is>
          <t>Cartão de crédito</t>
        </is>
      </c>
      <c r="R66" s="6" t="inlineStr">
        <is>
          <t>Cartão de crédito</t>
        </is>
      </c>
      <c r="S66" s="6" t="inlineStr">
        <is>
          <t>Aéreo</t>
        </is>
      </c>
      <c r="T66" s="6" t="inlineStr">
        <is>
          <t>N</t>
        </is>
      </c>
      <c r="U66" s="6" t="inlineStr">
        <is>
          <t>Grupo Mercurio York</t>
        </is>
      </c>
      <c r="V66" s="6" t="inlineStr">
        <is>
          <t>Agencia Mercurio York Viagens e Turismo Ltda</t>
        </is>
      </c>
      <c r="W66" s="6" t="inlineStr">
        <is>
          <t>-</t>
        </is>
      </c>
      <c r="X66" s="6" t="inlineStr">
        <is>
          <t>Gol Linhas Aereas</t>
        </is>
      </c>
      <c r="Y66" s="6" t="n">
        <v>2149208906</v>
      </c>
      <c r="Z66" s="6" t="inlineStr">
        <is>
          <t>KONTRIP</t>
        </is>
      </c>
      <c r="AA66" s="6" t="inlineStr">
        <is>
          <t>-</t>
        </is>
      </c>
      <c r="AB66" s="6" t="n">
        <v>421.7</v>
      </c>
      <c r="AC66" s="6" t="n">
        <v>60.62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inlineStr">
        <is>
          <t>obs</t>
        </is>
      </c>
      <c r="AJ66" s="6" t="inlineStr">
        <is>
          <t xml:space="preserve"> Centro de custo não preenchido! (ACC03)</t>
        </is>
      </c>
      <c r="AK66" s="6" t="inlineStr">
        <is>
          <t>KONTRIP</t>
        </is>
      </c>
      <c r="AL66" s="6" t="inlineStr">
        <is>
          <t>Centro de custo</t>
        </is>
      </c>
      <c r="AM66" s="6" t="inlineStr">
        <is>
          <t>Falta de informação Gerencial</t>
        </is>
      </c>
      <c r="AN66" s="6" t="inlineStr">
        <is>
          <t>Dados do Fornecedor</t>
        </is>
      </c>
      <c r="AO66" s="6" t="inlineStr">
        <is>
          <t>Qualidade dos dados</t>
        </is>
      </c>
      <c r="AP66" s="6" t="inlineStr">
        <is>
          <t>KONTRIP VIAGENS</t>
        </is>
      </c>
      <c r="AQ66" s="6" t="inlineStr">
        <is>
          <t>Operações - KONTRIP</t>
        </is>
      </c>
    </row>
    <row r="67">
      <c r="A67" s="6" t="n">
        <v>23298545</v>
      </c>
      <c r="B67" s="6" t="n">
        <v>24029502</v>
      </c>
      <c r="C67" s="6" t="inlineStr">
        <is>
          <t>ACC01</t>
        </is>
      </c>
      <c r="D67" s="58" t="n">
        <v>45971.87820601852</v>
      </c>
      <c r="E67" s="58" t="n">
        <v>45971.87936342593</v>
      </c>
      <c r="F67" s="6" t="inlineStr">
        <is>
          <t>09 a 15 dias</t>
        </is>
      </c>
      <c r="G67" s="6" t="inlineStr">
        <is>
          <t>09 a 15 dias</t>
        </is>
      </c>
      <c r="H67" s="6" t="inlineStr">
        <is>
          <t>CYTJTB</t>
        </is>
      </c>
      <c r="I67" s="6" t="inlineStr">
        <is>
          <t>EBOOKING</t>
        </is>
      </c>
      <c r="J67" s="6" t="inlineStr">
        <is>
          <t>Hasselmann/Bruna</t>
        </is>
      </c>
      <c r="K67" s="6" t="inlineStr">
        <is>
          <t>Kontrip</t>
        </is>
      </c>
      <c r="L67" s="6" t="inlineStr">
        <is>
          <t>Kontrip</t>
        </is>
      </c>
      <c r="M67" s="58" t="n">
        <v>45971.37291666667</v>
      </c>
      <c r="N67" s="6" t="inlineStr">
        <is>
          <t>-</t>
        </is>
      </c>
      <c r="O67" s="6" t="inlineStr">
        <is>
          <t>-</t>
        </is>
      </c>
      <c r="P67" s="6" t="inlineStr">
        <is>
          <t>OFF LINE</t>
        </is>
      </c>
      <c r="Q67" s="6" t="inlineStr">
        <is>
          <t>Cartão de crédito</t>
        </is>
      </c>
      <c r="R67" s="6" t="inlineStr">
        <is>
          <t>Cartão de crédito</t>
        </is>
      </c>
      <c r="S67" s="6" t="inlineStr">
        <is>
          <t>Aéreo</t>
        </is>
      </c>
      <c r="T67" s="6" t="inlineStr">
        <is>
          <t>N</t>
        </is>
      </c>
      <c r="U67" s="6" t="inlineStr">
        <is>
          <t>Grupo Mercurio York</t>
        </is>
      </c>
      <c r="V67" s="6" t="inlineStr">
        <is>
          <t>Agencia Mercurio York Viagens e Turismo Ltda</t>
        </is>
      </c>
      <c r="W67" s="6" t="inlineStr">
        <is>
          <t>-</t>
        </is>
      </c>
      <c r="X67" s="6" t="inlineStr">
        <is>
          <t>Gol Linhas Aereas</t>
        </is>
      </c>
      <c r="Y67" s="6" t="n">
        <v>2149209029</v>
      </c>
      <c r="Z67" s="6" t="inlineStr">
        <is>
          <t>KONTRIP</t>
        </is>
      </c>
      <c r="AA67" s="6" t="inlineStr">
        <is>
          <t>-</t>
        </is>
      </c>
      <c r="AB67" s="6" t="n">
        <v>421.7</v>
      </c>
      <c r="AC67" s="6" t="n">
        <v>60.62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0</v>
      </c>
      <c r="AI67" s="6" t="inlineStr">
        <is>
          <t>obs</t>
        </is>
      </c>
      <c r="AJ67" s="6" t="inlineStr">
        <is>
          <t xml:space="preserve"> Centro de custo não preenchido! (ACC03) Verificação d</t>
        </is>
      </c>
      <c r="AK67" s="6" t="inlineStr">
        <is>
          <t>KONTRIP</t>
        </is>
      </c>
      <c r="AL67" s="6" t="inlineStr">
        <is>
          <t>Centro de custo</t>
        </is>
      </c>
      <c r="AM67" s="6" t="inlineStr">
        <is>
          <t>Falta de informação Gerencial</t>
        </is>
      </c>
      <c r="AN67" s="6" t="inlineStr">
        <is>
          <t>Dados do Fornecedor</t>
        </is>
      </c>
      <c r="AO67" s="6" t="inlineStr">
        <is>
          <t>Qualidade dos dados</t>
        </is>
      </c>
      <c r="AP67" s="6" t="inlineStr">
        <is>
          <t>KONTRIP VIAGENS</t>
        </is>
      </c>
      <c r="AQ67" s="6" t="inlineStr">
        <is>
          <t>Operações - KONTRIP</t>
        </is>
      </c>
    </row>
    <row r="68">
      <c r="A68" s="6" t="n">
        <v>23298545</v>
      </c>
      <c r="B68" s="6" t="n">
        <v>24029504</v>
      </c>
      <c r="C68" s="6" t="inlineStr">
        <is>
          <t>ACC02</t>
        </is>
      </c>
      <c r="D68" s="58" t="n">
        <v>45971.87820601852</v>
      </c>
      <c r="E68" s="58" t="n">
        <v>45971.87936342593</v>
      </c>
      <c r="F68" s="6" t="inlineStr">
        <is>
          <t>09 a 15 dias</t>
        </is>
      </c>
      <c r="G68" s="6" t="inlineStr">
        <is>
          <t>09 a 15 dias</t>
        </is>
      </c>
      <c r="H68" s="6" t="inlineStr">
        <is>
          <t>CYTJTB</t>
        </is>
      </c>
      <c r="I68" s="6" t="inlineStr">
        <is>
          <t>EBOOKING</t>
        </is>
      </c>
      <c r="J68" s="6" t="inlineStr">
        <is>
          <t>Malaquias Santos/Elder</t>
        </is>
      </c>
      <c r="K68" s="6" t="inlineStr">
        <is>
          <t>Kontrip</t>
        </is>
      </c>
      <c r="L68" s="6" t="inlineStr">
        <is>
          <t>Kontrip</t>
        </is>
      </c>
      <c r="M68" s="58" t="n">
        <v>45971.37291666667</v>
      </c>
      <c r="N68" s="6" t="inlineStr">
        <is>
          <t>-</t>
        </is>
      </c>
      <c r="O68" s="6" t="inlineStr">
        <is>
          <t>-</t>
        </is>
      </c>
      <c r="P68" s="6" t="inlineStr">
        <is>
          <t>OFF LINE</t>
        </is>
      </c>
      <c r="Q68" s="6" t="inlineStr">
        <is>
          <t>Cartão de crédito</t>
        </is>
      </c>
      <c r="R68" s="6" t="inlineStr">
        <is>
          <t>Cartão de crédito</t>
        </is>
      </c>
      <c r="S68" s="6" t="inlineStr">
        <is>
          <t>Aéreo</t>
        </is>
      </c>
      <c r="T68" s="6" t="inlineStr">
        <is>
          <t>N</t>
        </is>
      </c>
      <c r="U68" s="6" t="inlineStr">
        <is>
          <t>Grupo Mercurio York</t>
        </is>
      </c>
      <c r="V68" s="6" t="inlineStr">
        <is>
          <t>Agencia Mercurio York Viagens e Turismo Ltda</t>
        </is>
      </c>
      <c r="W68" s="6" t="inlineStr">
        <is>
          <t>-</t>
        </is>
      </c>
      <c r="X68" s="6" t="inlineStr">
        <is>
          <t>Gol Linhas Aereas</t>
        </is>
      </c>
      <c r="Y68" s="6" t="n">
        <v>2149209030</v>
      </c>
      <c r="Z68" s="6" t="inlineStr">
        <is>
          <t>KONTRIP</t>
        </is>
      </c>
      <c r="AA68" s="6" t="inlineStr">
        <is>
          <t>-</t>
        </is>
      </c>
      <c r="AB68" s="6" t="n">
        <v>421.7</v>
      </c>
      <c r="AC68" s="6" t="n">
        <v>60.62</v>
      </c>
      <c r="AD68" s="6" t="n">
        <v>0</v>
      </c>
      <c r="AE68" s="6" t="n">
        <v>0</v>
      </c>
      <c r="AF68" s="6" t="n">
        <v>0</v>
      </c>
      <c r="AG68" s="6" t="n">
        <v>0</v>
      </c>
      <c r="AH68" s="6" t="n">
        <v>0</v>
      </c>
      <c r="AI68" s="6" t="inlineStr">
        <is>
          <t>obs</t>
        </is>
      </c>
      <c r="AJ68" s="6" t="inlineStr">
        <is>
          <t xml:space="preserve"> Centro de custo não preenchido! (ACC03) Verificação d</t>
        </is>
      </c>
      <c r="AK68" s="6" t="inlineStr">
        <is>
          <t>KONTRIP</t>
        </is>
      </c>
      <c r="AL68" s="6" t="inlineStr">
        <is>
          <t>Centro de custo</t>
        </is>
      </c>
      <c r="AM68" s="6" t="inlineStr">
        <is>
          <t>Falta de informação Gerencial</t>
        </is>
      </c>
      <c r="AN68" s="6" t="inlineStr">
        <is>
          <t>Dados do Fornecedor</t>
        </is>
      </c>
      <c r="AO68" s="6" t="inlineStr">
        <is>
          <t>Qualidade dos dados</t>
        </is>
      </c>
      <c r="AP68" s="6" t="inlineStr">
        <is>
          <t>KONTRIP VIAGENS</t>
        </is>
      </c>
      <c r="AQ68" s="6" t="inlineStr">
        <is>
          <t>Operações - KONTRIP</t>
        </is>
      </c>
    </row>
    <row r="69">
      <c r="A69" s="6" t="n">
        <v>23274601</v>
      </c>
      <c r="B69" s="6" t="n">
        <v>24007278</v>
      </c>
      <c r="C69" s="6" t="inlineStr">
        <is>
          <t>ACC01</t>
        </is>
      </c>
      <c r="D69" s="58" t="n">
        <v>45967.85180555555</v>
      </c>
      <c r="E69" s="58" t="n">
        <v>45967.85231481482</v>
      </c>
      <c r="F69" s="59" t="inlineStr">
        <is>
          <t>16 a 23 dias</t>
        </is>
      </c>
      <c r="G69" s="59" t="inlineStr">
        <is>
          <t>16 a 23 dias</t>
        </is>
      </c>
      <c r="H69" s="6" t="inlineStr">
        <is>
          <t>LA9579914AWQT</t>
        </is>
      </c>
      <c r="I69" s="6" t="inlineStr">
        <is>
          <t>EBOOKING</t>
        </is>
      </c>
      <c r="J69" s="6" t="inlineStr">
        <is>
          <t>BARTILOTTI/PATRICIA</t>
        </is>
      </c>
      <c r="K69" s="6" t="inlineStr">
        <is>
          <t>Kontrip</t>
        </is>
      </c>
      <c r="L69" s="6" t="inlineStr">
        <is>
          <t>Kontrip</t>
        </is>
      </c>
      <c r="M69" s="58" t="n">
        <v>45967.34583333333</v>
      </c>
      <c r="N69" s="6" t="inlineStr">
        <is>
          <t>-</t>
        </is>
      </c>
      <c r="O69" s="6" t="inlineStr">
        <is>
          <t>-</t>
        </is>
      </c>
      <c r="P69" s="6" t="inlineStr">
        <is>
          <t>OFF LINE</t>
        </is>
      </c>
      <c r="Q69" s="6" t="inlineStr">
        <is>
          <t>Cartão de crédito</t>
        </is>
      </c>
      <c r="R69" s="6" t="inlineStr">
        <is>
          <t>Cartão de crédito</t>
        </is>
      </c>
      <c r="S69" s="6" t="inlineStr">
        <is>
          <t>Aéreo</t>
        </is>
      </c>
      <c r="T69" s="6" t="inlineStr">
        <is>
          <t>N</t>
        </is>
      </c>
      <c r="U69" s="6" t="inlineStr">
        <is>
          <t>Grupo Mercurio York</t>
        </is>
      </c>
      <c r="V69" s="6" t="inlineStr">
        <is>
          <t>Agencia Mercurio York Viagens e Turismo Ltda</t>
        </is>
      </c>
      <c r="W69" s="6" t="inlineStr">
        <is>
          <t>-</t>
        </is>
      </c>
      <c r="X69" s="6" t="inlineStr">
        <is>
          <t>Latam Airlines Brasil</t>
        </is>
      </c>
      <c r="Y69" s="6" t="n">
        <v>2258477240</v>
      </c>
      <c r="Z69" s="6" t="inlineStr">
        <is>
          <t>KONTRIP</t>
        </is>
      </c>
      <c r="AA69" s="6" t="inlineStr">
        <is>
          <t>-</t>
        </is>
      </c>
      <c r="AB69" s="6" t="n">
        <v>833.52</v>
      </c>
      <c r="AC69" s="6" t="n">
        <v>60.62</v>
      </c>
      <c r="AD69" s="6" t="n">
        <v>0</v>
      </c>
      <c r="AE69" s="6" t="n">
        <v>0</v>
      </c>
      <c r="AF69" s="6" t="n">
        <v>0</v>
      </c>
      <c r="AG69" s="6" t="n">
        <v>0</v>
      </c>
      <c r="AH69" s="6" t="n">
        <v>0</v>
      </c>
      <c r="AI69" s="6" t="inlineStr">
        <is>
          <t>obs</t>
        </is>
      </c>
      <c r="AJ69" s="6" t="inlineStr">
        <is>
          <t xml:space="preserve"> Centro de custo não preenchido! (ACC03)</t>
        </is>
      </c>
      <c r="AK69" s="6" t="inlineStr">
        <is>
          <t>KONTRIP</t>
        </is>
      </c>
      <c r="AL69" s="6" t="inlineStr">
        <is>
          <t>Centro de custo</t>
        </is>
      </c>
      <c r="AM69" s="6" t="inlineStr">
        <is>
          <t>Falta de informação Gerencial</t>
        </is>
      </c>
      <c r="AN69" s="6" t="inlineStr">
        <is>
          <t>Dados do Fornecedor</t>
        </is>
      </c>
      <c r="AO69" s="6" t="inlineStr">
        <is>
          <t>Qualidade dos dados</t>
        </is>
      </c>
      <c r="AP69" s="6" t="inlineStr">
        <is>
          <t>KONTRIP VIAGENS</t>
        </is>
      </c>
      <c r="AQ69" s="6" t="inlineStr">
        <is>
          <t>Operações - KONTRIP</t>
        </is>
      </c>
    </row>
    <row r="70">
      <c r="A70" s="6" t="n">
        <v>23274601</v>
      </c>
      <c r="B70" s="6" t="n">
        <v>24007279</v>
      </c>
      <c r="C70" s="6" t="inlineStr">
        <is>
          <t>ACC02</t>
        </is>
      </c>
      <c r="D70" s="58" t="n">
        <v>45967.85180555555</v>
      </c>
      <c r="E70" s="58" t="n">
        <v>45967.85231481482</v>
      </c>
      <c r="F70" s="59" t="inlineStr">
        <is>
          <t>16 a 23 dias</t>
        </is>
      </c>
      <c r="G70" s="59" t="inlineStr">
        <is>
          <t>16 a 23 dias</t>
        </is>
      </c>
      <c r="H70" s="6" t="inlineStr">
        <is>
          <t>LA9579914AWQT</t>
        </is>
      </c>
      <c r="I70" s="6" t="inlineStr">
        <is>
          <t>EBOOKING</t>
        </is>
      </c>
      <c r="J70" s="6" t="inlineStr">
        <is>
          <t>PEDRO BARTILOTTI/JOAO</t>
        </is>
      </c>
      <c r="K70" s="6" t="inlineStr">
        <is>
          <t>Kontrip</t>
        </is>
      </c>
      <c r="L70" s="6" t="inlineStr">
        <is>
          <t>Kontrip</t>
        </is>
      </c>
      <c r="M70" s="58" t="n">
        <v>45967.34583333333</v>
      </c>
      <c r="N70" s="6" t="inlineStr">
        <is>
          <t>-</t>
        </is>
      </c>
      <c r="O70" s="6" t="inlineStr">
        <is>
          <t>-</t>
        </is>
      </c>
      <c r="P70" s="6" t="inlineStr">
        <is>
          <t>OFF LINE</t>
        </is>
      </c>
      <c r="Q70" s="6" t="inlineStr">
        <is>
          <t>Cartão de crédito</t>
        </is>
      </c>
      <c r="R70" s="6" t="inlineStr">
        <is>
          <t>Cartão de crédito</t>
        </is>
      </c>
      <c r="S70" s="6" t="inlineStr">
        <is>
          <t>Aéreo</t>
        </is>
      </c>
      <c r="T70" s="6" t="inlineStr">
        <is>
          <t>N</t>
        </is>
      </c>
      <c r="U70" s="6" t="inlineStr">
        <is>
          <t>Grupo Mercurio York</t>
        </is>
      </c>
      <c r="V70" s="6" t="inlineStr">
        <is>
          <t>Agencia Mercurio York Viagens e Turismo Ltda</t>
        </is>
      </c>
      <c r="W70" s="6" t="inlineStr">
        <is>
          <t>-</t>
        </is>
      </c>
      <c r="X70" s="6" t="inlineStr">
        <is>
          <t>Latam Airlines Brasil</t>
        </is>
      </c>
      <c r="Y70" s="6" t="n">
        <v>2258477241</v>
      </c>
      <c r="Z70" s="6" t="inlineStr">
        <is>
          <t>KONTRIP</t>
        </is>
      </c>
      <c r="AA70" s="6" t="inlineStr">
        <is>
          <t>-</t>
        </is>
      </c>
      <c r="AB70" s="6" t="n">
        <v>833.52</v>
      </c>
      <c r="AC70" s="6" t="n">
        <v>60.62</v>
      </c>
      <c r="AD70" s="6" t="n">
        <v>0</v>
      </c>
      <c r="AE70" s="6" t="n">
        <v>0</v>
      </c>
      <c r="AF70" s="6" t="n">
        <v>0</v>
      </c>
      <c r="AG70" s="6" t="n">
        <v>0</v>
      </c>
      <c r="AH70" s="6" t="n">
        <v>0</v>
      </c>
      <c r="AI70" s="6" t="inlineStr">
        <is>
          <t>obs</t>
        </is>
      </c>
      <c r="AJ70" s="6" t="inlineStr">
        <is>
          <t xml:space="preserve"> Centro de custo não preenchido! (ACC03)</t>
        </is>
      </c>
      <c r="AK70" s="6" t="inlineStr">
        <is>
          <t>KONTRIP</t>
        </is>
      </c>
      <c r="AL70" s="6" t="inlineStr">
        <is>
          <t>Centro de custo</t>
        </is>
      </c>
      <c r="AM70" s="6" t="inlineStr">
        <is>
          <t>Falta de informação Gerencial</t>
        </is>
      </c>
      <c r="AN70" s="6" t="inlineStr">
        <is>
          <t>Dados do Fornecedor</t>
        </is>
      </c>
      <c r="AO70" s="6" t="inlineStr">
        <is>
          <t>Qualidade dos dados</t>
        </is>
      </c>
      <c r="AP70" s="6" t="inlineStr">
        <is>
          <t>KONTRIP VIAGENS</t>
        </is>
      </c>
      <c r="AQ70" s="6" t="inlineStr">
        <is>
          <t>Operações - KONTRIP</t>
        </is>
      </c>
    </row>
    <row r="71">
      <c r="A71" s="6" t="n">
        <v>23274601</v>
      </c>
      <c r="B71" s="6" t="n">
        <v>24007280</v>
      </c>
      <c r="C71" s="6" t="inlineStr">
        <is>
          <t>ACC03</t>
        </is>
      </c>
      <c r="D71" s="58" t="n">
        <v>45967.85180555555</v>
      </c>
      <c r="E71" s="58" t="n">
        <v>45967.85231481482</v>
      </c>
      <c r="F71" s="59" t="inlineStr">
        <is>
          <t>16 a 23 dias</t>
        </is>
      </c>
      <c r="G71" s="59" t="inlineStr">
        <is>
          <t>16 a 23 dias</t>
        </is>
      </c>
      <c r="H71" s="6" t="inlineStr">
        <is>
          <t>LA9579914AWQT</t>
        </is>
      </c>
      <c r="I71" s="6" t="inlineStr">
        <is>
          <t>EBOOKING</t>
        </is>
      </c>
      <c r="J71" s="6" t="inlineStr">
        <is>
          <t>DA CONCEICAO/BERNARDINA</t>
        </is>
      </c>
      <c r="K71" s="6" t="inlineStr">
        <is>
          <t>Kontrip</t>
        </is>
      </c>
      <c r="L71" s="6" t="inlineStr">
        <is>
          <t>Kontrip</t>
        </is>
      </c>
      <c r="M71" s="58" t="n">
        <v>45967.34583333333</v>
      </c>
      <c r="N71" s="6" t="inlineStr">
        <is>
          <t>-</t>
        </is>
      </c>
      <c r="O71" s="6" t="inlineStr">
        <is>
          <t>-</t>
        </is>
      </c>
      <c r="P71" s="6" t="inlineStr">
        <is>
          <t>OFF LINE</t>
        </is>
      </c>
      <c r="Q71" s="6" t="inlineStr">
        <is>
          <t>Cartão de crédito</t>
        </is>
      </c>
      <c r="R71" s="6" t="inlineStr">
        <is>
          <t>Cartão de crédito</t>
        </is>
      </c>
      <c r="S71" s="6" t="inlineStr">
        <is>
          <t>Aéreo</t>
        </is>
      </c>
      <c r="T71" s="6" t="inlineStr">
        <is>
          <t>N</t>
        </is>
      </c>
      <c r="U71" s="6" t="inlineStr">
        <is>
          <t>Grupo Mercurio York</t>
        </is>
      </c>
      <c r="V71" s="6" t="inlineStr">
        <is>
          <t>Agencia Mercurio York Viagens e Turismo Ltda</t>
        </is>
      </c>
      <c r="W71" s="6" t="inlineStr">
        <is>
          <t>-</t>
        </is>
      </c>
      <c r="X71" s="6" t="inlineStr">
        <is>
          <t>Latam Airlines Brasil</t>
        </is>
      </c>
      <c r="Y71" s="6" t="n">
        <v>2258477242</v>
      </c>
      <c r="Z71" s="6" t="inlineStr">
        <is>
          <t>KONTRIP</t>
        </is>
      </c>
      <c r="AA71" s="6" t="inlineStr">
        <is>
          <t>-</t>
        </is>
      </c>
      <c r="AB71" s="6" t="n">
        <v>833.52</v>
      </c>
      <c r="AC71" s="6" t="n">
        <v>60.62</v>
      </c>
      <c r="AD71" s="6" t="n">
        <v>0</v>
      </c>
      <c r="AE71" s="6" t="n">
        <v>0</v>
      </c>
      <c r="AF71" s="6" t="n">
        <v>0</v>
      </c>
      <c r="AG71" s="6" t="n">
        <v>0</v>
      </c>
      <c r="AH71" s="6" t="n">
        <v>0</v>
      </c>
      <c r="AI71" s="6" t="inlineStr">
        <is>
          <t>obs</t>
        </is>
      </c>
      <c r="AJ71" s="6" t="inlineStr">
        <is>
          <t xml:space="preserve"> Centro de custo não preenchido! (ACC03)</t>
        </is>
      </c>
      <c r="AK71" s="6" t="inlineStr">
        <is>
          <t>KONTRIP</t>
        </is>
      </c>
      <c r="AL71" s="6" t="inlineStr">
        <is>
          <t>Centro de custo</t>
        </is>
      </c>
      <c r="AM71" s="6" t="inlineStr">
        <is>
          <t>Falta de informação Gerencial</t>
        </is>
      </c>
      <c r="AN71" s="6" t="inlineStr">
        <is>
          <t>Dados do Fornecedor</t>
        </is>
      </c>
      <c r="AO71" s="6" t="inlineStr">
        <is>
          <t>Qualidade dos dados</t>
        </is>
      </c>
      <c r="AP71" s="6" t="inlineStr">
        <is>
          <t>KONTRIP VIAGENS</t>
        </is>
      </c>
      <c r="AQ71" s="6" t="inlineStr">
        <is>
          <t>Operações - KONTRIP</t>
        </is>
      </c>
    </row>
    <row r="72">
      <c r="A72" s="6" t="n">
        <v>23298427</v>
      </c>
      <c r="B72" s="6" t="n">
        <v>24029360</v>
      </c>
      <c r="C72" s="6" t="inlineStr">
        <is>
          <t>ACC01</t>
        </is>
      </c>
      <c r="D72" s="58" t="n">
        <v>45971.86346064815</v>
      </c>
      <c r="E72" s="58" t="n">
        <v>45971.86513888889</v>
      </c>
      <c r="F72" s="6" t="inlineStr">
        <is>
          <t>09 a 15 dias</t>
        </is>
      </c>
      <c r="G72" s="6" t="inlineStr">
        <is>
          <t>09 a 15 dias</t>
        </is>
      </c>
      <c r="H72" s="6" t="inlineStr">
        <is>
          <t>IWCSOS</t>
        </is>
      </c>
      <c r="I72" s="6" t="inlineStr">
        <is>
          <t>EBOOKING</t>
        </is>
      </c>
      <c r="J72" s="6" t="inlineStr">
        <is>
          <t>Vilela/Lidiany</t>
        </is>
      </c>
      <c r="K72" s="6" t="inlineStr">
        <is>
          <t>Kontrip</t>
        </is>
      </c>
      <c r="L72" s="6" t="inlineStr">
        <is>
          <t>Kontrip</t>
        </is>
      </c>
      <c r="M72" s="58" t="n">
        <v>45971.26180555556</v>
      </c>
      <c r="N72" s="6" t="inlineStr">
        <is>
          <t>-</t>
        </is>
      </c>
      <c r="O72" s="6" t="inlineStr">
        <is>
          <t>-</t>
        </is>
      </c>
      <c r="P72" s="6" t="inlineStr">
        <is>
          <t>OFF LINE</t>
        </is>
      </c>
      <c r="Q72" s="6" t="inlineStr">
        <is>
          <t>Cartão de crédito</t>
        </is>
      </c>
      <c r="R72" s="6" t="inlineStr">
        <is>
          <t>Cartão de crédito</t>
        </is>
      </c>
      <c r="S72" s="6" t="inlineStr">
        <is>
          <t>Aéreo</t>
        </is>
      </c>
      <c r="T72" s="6" t="inlineStr">
        <is>
          <t>N</t>
        </is>
      </c>
      <c r="U72" s="6" t="inlineStr">
        <is>
          <t>Grupo Mercurio York</t>
        </is>
      </c>
      <c r="V72" s="6" t="inlineStr">
        <is>
          <t>Agencia Mercurio York Viagens e Turismo Ltda</t>
        </is>
      </c>
      <c r="W72" s="6" t="inlineStr">
        <is>
          <t>-</t>
        </is>
      </c>
      <c r="X72" s="6" t="inlineStr">
        <is>
          <t>Gol Linhas Aereas</t>
        </is>
      </c>
      <c r="Y72" s="6" t="n">
        <v>2149207815</v>
      </c>
      <c r="Z72" s="6" t="inlineStr">
        <is>
          <t>KONTRIP</t>
        </is>
      </c>
      <c r="AA72" s="6" t="inlineStr">
        <is>
          <t>-</t>
        </is>
      </c>
      <c r="AB72" s="6" t="n">
        <v>421.7</v>
      </c>
      <c r="AC72" s="6" t="n">
        <v>52.72</v>
      </c>
      <c r="AD72" s="6" t="n">
        <v>0</v>
      </c>
      <c r="AE72" s="6" t="n">
        <v>0</v>
      </c>
      <c r="AF72" s="6" t="n">
        <v>0</v>
      </c>
      <c r="AG72" s="6" t="n">
        <v>0</v>
      </c>
      <c r="AH72" s="6" t="n">
        <v>0</v>
      </c>
      <c r="AI72" s="6" t="inlineStr">
        <is>
          <t>obs</t>
        </is>
      </c>
      <c r="AJ72" s="6" t="inlineStr">
        <is>
          <t xml:space="preserve"> Centro de custo não preenchido! (ACC03) Verificação d</t>
        </is>
      </c>
      <c r="AK72" s="6" t="inlineStr">
        <is>
          <t>KONTRIP</t>
        </is>
      </c>
      <c r="AL72" s="6" t="inlineStr">
        <is>
          <t>Centro de custo</t>
        </is>
      </c>
      <c r="AM72" s="6" t="inlineStr">
        <is>
          <t>Falta de informação Gerencial</t>
        </is>
      </c>
      <c r="AN72" s="6" t="inlineStr">
        <is>
          <t>Dados do Fornecedor</t>
        </is>
      </c>
      <c r="AO72" s="6" t="inlineStr">
        <is>
          <t>Qualidade dos dados</t>
        </is>
      </c>
      <c r="AP72" s="6" t="inlineStr">
        <is>
          <t>KONTRIP VIAGENS</t>
        </is>
      </c>
      <c r="AQ72" s="6" t="inlineStr">
        <is>
          <t>Operações - KONTRIP</t>
        </is>
      </c>
    </row>
    <row r="73">
      <c r="A73" s="6" t="n">
        <v>23298427</v>
      </c>
      <c r="B73" s="6" t="n">
        <v>24029362</v>
      </c>
      <c r="C73" s="6" t="inlineStr">
        <is>
          <t>ACC02</t>
        </is>
      </c>
      <c r="D73" s="58" t="n">
        <v>45971.86346064815</v>
      </c>
      <c r="E73" s="58" t="n">
        <v>45971.86513888889</v>
      </c>
      <c r="F73" s="6" t="inlineStr">
        <is>
          <t>09 a 15 dias</t>
        </is>
      </c>
      <c r="G73" s="6" t="inlineStr">
        <is>
          <t>09 a 15 dias</t>
        </is>
      </c>
      <c r="H73" s="6" t="inlineStr">
        <is>
          <t>IWCSOS</t>
        </is>
      </c>
      <c r="I73" s="6" t="inlineStr">
        <is>
          <t>EBOOKING</t>
        </is>
      </c>
      <c r="J73" s="6" t="inlineStr">
        <is>
          <t>Mota/Luiza</t>
        </is>
      </c>
      <c r="K73" s="6" t="inlineStr">
        <is>
          <t>Kontrip</t>
        </is>
      </c>
      <c r="L73" s="6" t="inlineStr">
        <is>
          <t>Kontrip</t>
        </is>
      </c>
      <c r="M73" s="58" t="n">
        <v>45971.26180555556</v>
      </c>
      <c r="N73" s="6" t="inlineStr">
        <is>
          <t>-</t>
        </is>
      </c>
      <c r="O73" s="6" t="inlineStr">
        <is>
          <t>-</t>
        </is>
      </c>
      <c r="P73" s="6" t="inlineStr">
        <is>
          <t>OFF LINE</t>
        </is>
      </c>
      <c r="Q73" s="6" t="inlineStr">
        <is>
          <t>Cartão de crédito</t>
        </is>
      </c>
      <c r="R73" s="6" t="inlineStr">
        <is>
          <t>Cartão de crédito</t>
        </is>
      </c>
      <c r="S73" s="6" t="inlineStr">
        <is>
          <t>Aéreo</t>
        </is>
      </c>
      <c r="T73" s="6" t="inlineStr">
        <is>
          <t>N</t>
        </is>
      </c>
      <c r="U73" s="6" t="inlineStr">
        <is>
          <t>Grupo Mercurio York</t>
        </is>
      </c>
      <c r="V73" s="6" t="inlineStr">
        <is>
          <t>Agencia Mercurio York Viagens e Turismo Ltda</t>
        </is>
      </c>
      <c r="W73" s="6" t="inlineStr">
        <is>
          <t>-</t>
        </is>
      </c>
      <c r="X73" s="6" t="inlineStr">
        <is>
          <t>Gol Linhas Aereas</t>
        </is>
      </c>
      <c r="Y73" s="6" t="n">
        <v>2149207816</v>
      </c>
      <c r="Z73" s="6" t="inlineStr">
        <is>
          <t>KONTRIP</t>
        </is>
      </c>
      <c r="AA73" s="6" t="inlineStr">
        <is>
          <t>-</t>
        </is>
      </c>
      <c r="AB73" s="6" t="n">
        <v>421.7</v>
      </c>
      <c r="AC73" s="6" t="n">
        <v>52.72</v>
      </c>
      <c r="AD73" s="6" t="n">
        <v>0</v>
      </c>
      <c r="AE73" s="6" t="n">
        <v>0</v>
      </c>
      <c r="AF73" s="6" t="n">
        <v>0</v>
      </c>
      <c r="AG73" s="6" t="n">
        <v>0</v>
      </c>
      <c r="AH73" s="6" t="n">
        <v>0</v>
      </c>
      <c r="AI73" s="6" t="inlineStr">
        <is>
          <t>obs</t>
        </is>
      </c>
      <c r="AJ73" s="6" t="inlineStr">
        <is>
          <t xml:space="preserve"> Centro de custo não preenchido! (ACC03) Verificação d</t>
        </is>
      </c>
      <c r="AK73" s="6" t="inlineStr">
        <is>
          <t>KONTRIP</t>
        </is>
      </c>
      <c r="AL73" s="6" t="inlineStr">
        <is>
          <t>Centro de custo</t>
        </is>
      </c>
      <c r="AM73" s="6" t="inlineStr">
        <is>
          <t>Falta de informação Gerencial</t>
        </is>
      </c>
      <c r="AN73" s="6" t="inlineStr">
        <is>
          <t>Dados do Fornecedor</t>
        </is>
      </c>
      <c r="AO73" s="6" t="inlineStr">
        <is>
          <t>Qualidade dos dados</t>
        </is>
      </c>
      <c r="AP73" s="6" t="inlineStr">
        <is>
          <t>KONTRIP VIAGENS</t>
        </is>
      </c>
      <c r="AQ73" s="6" t="inlineStr">
        <is>
          <t>Operações - KONTRIP</t>
        </is>
      </c>
    </row>
    <row r="74">
      <c r="A74" s="6" t="n">
        <v>23298420</v>
      </c>
      <c r="B74" s="6" t="n">
        <v>24029350</v>
      </c>
      <c r="C74" s="6" t="inlineStr">
        <is>
          <t>ACC01</t>
        </is>
      </c>
      <c r="D74" s="58" t="n">
        <v>45971.86278935185</v>
      </c>
      <c r="E74" s="58" t="n">
        <v>45971.86398148148</v>
      </c>
      <c r="F74" s="6" t="inlineStr">
        <is>
          <t>09 a 15 dias</t>
        </is>
      </c>
      <c r="G74" s="6" t="inlineStr">
        <is>
          <t>09 a 15 dias</t>
        </is>
      </c>
      <c r="H74" s="6" t="inlineStr">
        <is>
          <t>FMGGRI</t>
        </is>
      </c>
      <c r="I74" s="6" t="inlineStr">
        <is>
          <t>EBOOKING</t>
        </is>
      </c>
      <c r="J74" s="6" t="inlineStr">
        <is>
          <t>Costa/Isabel</t>
        </is>
      </c>
      <c r="K74" s="6" t="inlineStr">
        <is>
          <t>Kontrip</t>
        </is>
      </c>
      <c r="L74" s="6" t="inlineStr">
        <is>
          <t>Kontrip</t>
        </is>
      </c>
      <c r="M74" s="58" t="n">
        <v>45971.34375</v>
      </c>
      <c r="N74" s="6" t="inlineStr">
        <is>
          <t>-</t>
        </is>
      </c>
      <c r="O74" s="6" t="inlineStr">
        <is>
          <t>-</t>
        </is>
      </c>
      <c r="P74" s="6" t="inlineStr">
        <is>
          <t>OFF LINE</t>
        </is>
      </c>
      <c r="Q74" s="6" t="inlineStr">
        <is>
          <t>Cartão de crédito</t>
        </is>
      </c>
      <c r="R74" s="6" t="inlineStr">
        <is>
          <t>Cartão de crédito</t>
        </is>
      </c>
      <c r="S74" s="6" t="inlineStr">
        <is>
          <t>Aéreo</t>
        </is>
      </c>
      <c r="T74" s="6" t="inlineStr">
        <is>
          <t>N</t>
        </is>
      </c>
      <c r="U74" s="6" t="inlineStr">
        <is>
          <t>Grupo Mercurio York</t>
        </is>
      </c>
      <c r="V74" s="6" t="inlineStr">
        <is>
          <t>Agencia Mercurio York Viagens e Turismo Ltda</t>
        </is>
      </c>
      <c r="W74" s="6" t="inlineStr">
        <is>
          <t>-</t>
        </is>
      </c>
      <c r="X74" s="6" t="inlineStr">
        <is>
          <t>Gol Linhas Aereas</t>
        </is>
      </c>
      <c r="Y74" s="6" t="n">
        <v>2149207459</v>
      </c>
      <c r="Z74" s="6" t="inlineStr">
        <is>
          <t>KONTRIP</t>
        </is>
      </c>
      <c r="AA74" s="6" t="inlineStr">
        <is>
          <t>-</t>
        </is>
      </c>
      <c r="AB74" s="6" t="n">
        <v>421.7</v>
      </c>
      <c r="AC74" s="6" t="n">
        <v>52.72</v>
      </c>
      <c r="AD74" s="6" t="n">
        <v>0</v>
      </c>
      <c r="AE74" s="6" t="n">
        <v>0</v>
      </c>
      <c r="AF74" s="6" t="n">
        <v>0</v>
      </c>
      <c r="AG74" s="6" t="n">
        <v>0</v>
      </c>
      <c r="AH74" s="6" t="n">
        <v>0</v>
      </c>
      <c r="AI74" s="6" t="inlineStr">
        <is>
          <t>obs</t>
        </is>
      </c>
      <c r="AJ74" s="6" t="inlineStr">
        <is>
          <t xml:space="preserve"> Centro de custo não preenchido! (ACC03) Verificação d</t>
        </is>
      </c>
      <c r="AK74" s="6" t="inlineStr">
        <is>
          <t>KONTRIP</t>
        </is>
      </c>
      <c r="AL74" s="6" t="inlineStr">
        <is>
          <t>Centro de custo</t>
        </is>
      </c>
      <c r="AM74" s="6" t="inlineStr">
        <is>
          <t>Falta de informação Gerencial</t>
        </is>
      </c>
      <c r="AN74" s="6" t="inlineStr">
        <is>
          <t>Dados do Fornecedor</t>
        </is>
      </c>
      <c r="AO74" s="6" t="inlineStr">
        <is>
          <t>Qualidade dos dados</t>
        </is>
      </c>
      <c r="AP74" s="6" t="inlineStr">
        <is>
          <t>KONTRIP VIAGENS</t>
        </is>
      </c>
      <c r="AQ74" s="6" t="inlineStr">
        <is>
          <t>Operações - KONTRIP</t>
        </is>
      </c>
    </row>
    <row r="75">
      <c r="A75" s="6" t="n">
        <v>23298420</v>
      </c>
      <c r="B75" s="6" t="n">
        <v>24029351</v>
      </c>
      <c r="C75" s="6" t="inlineStr">
        <is>
          <t>ACC02</t>
        </is>
      </c>
      <c r="D75" s="58" t="n">
        <v>45971.86278935185</v>
      </c>
      <c r="E75" s="58" t="n">
        <v>45971.86398148148</v>
      </c>
      <c r="F75" s="6" t="inlineStr">
        <is>
          <t>09 a 15 dias</t>
        </is>
      </c>
      <c r="G75" s="6" t="inlineStr">
        <is>
          <t>09 a 15 dias</t>
        </is>
      </c>
      <c r="H75" s="6" t="inlineStr">
        <is>
          <t>FMGGRI</t>
        </is>
      </c>
      <c r="I75" s="6" t="inlineStr">
        <is>
          <t>EBOOKING</t>
        </is>
      </c>
      <c r="J75" s="6" t="inlineStr">
        <is>
          <t>Malaquias Santos/Elder</t>
        </is>
      </c>
      <c r="K75" s="6" t="inlineStr">
        <is>
          <t>Kontrip</t>
        </is>
      </c>
      <c r="L75" s="6" t="inlineStr">
        <is>
          <t>Kontrip</t>
        </is>
      </c>
      <c r="M75" s="58" t="n">
        <v>45971.34375</v>
      </c>
      <c r="N75" s="6" t="inlineStr">
        <is>
          <t>-</t>
        </is>
      </c>
      <c r="O75" s="6" t="inlineStr">
        <is>
          <t>-</t>
        </is>
      </c>
      <c r="P75" s="6" t="inlineStr">
        <is>
          <t>OFF LINE</t>
        </is>
      </c>
      <c r="Q75" s="6" t="inlineStr">
        <is>
          <t>Cartão de crédito</t>
        </is>
      </c>
      <c r="R75" s="6" t="inlineStr">
        <is>
          <t>Cartão de crédito</t>
        </is>
      </c>
      <c r="S75" s="6" t="inlineStr">
        <is>
          <t>Aéreo</t>
        </is>
      </c>
      <c r="T75" s="6" t="inlineStr">
        <is>
          <t>N</t>
        </is>
      </c>
      <c r="U75" s="6" t="inlineStr">
        <is>
          <t>Grupo Mercurio York</t>
        </is>
      </c>
      <c r="V75" s="6" t="inlineStr">
        <is>
          <t>Agencia Mercurio York Viagens e Turismo Ltda</t>
        </is>
      </c>
      <c r="W75" s="6" t="inlineStr">
        <is>
          <t>-</t>
        </is>
      </c>
      <c r="X75" s="6" t="inlineStr">
        <is>
          <t>Gol Linhas Aereas</t>
        </is>
      </c>
      <c r="Y75" s="6" t="n">
        <v>2149207460</v>
      </c>
      <c r="Z75" s="6" t="inlineStr">
        <is>
          <t>KONTRIP</t>
        </is>
      </c>
      <c r="AA75" s="6" t="inlineStr">
        <is>
          <t>-</t>
        </is>
      </c>
      <c r="AB75" s="6" t="n">
        <v>421.7</v>
      </c>
      <c r="AC75" s="6" t="n">
        <v>52.72</v>
      </c>
      <c r="AD75" s="6" t="n">
        <v>0</v>
      </c>
      <c r="AE75" s="6" t="n">
        <v>0</v>
      </c>
      <c r="AF75" s="6" t="n">
        <v>0</v>
      </c>
      <c r="AG75" s="6" t="n">
        <v>0</v>
      </c>
      <c r="AH75" s="6" t="n">
        <v>0</v>
      </c>
      <c r="AI75" s="6" t="inlineStr">
        <is>
          <t>obs</t>
        </is>
      </c>
      <c r="AJ75" s="6" t="inlineStr">
        <is>
          <t xml:space="preserve"> Centro de custo não preenchido! (ACC03) Verificação d</t>
        </is>
      </c>
      <c r="AK75" s="6" t="inlineStr">
        <is>
          <t>KONTRIP</t>
        </is>
      </c>
      <c r="AL75" s="6" t="inlineStr">
        <is>
          <t>Centro de custo</t>
        </is>
      </c>
      <c r="AM75" s="6" t="inlineStr">
        <is>
          <t>Falta de informação Gerencial</t>
        </is>
      </c>
      <c r="AN75" s="6" t="inlineStr">
        <is>
          <t>Dados do Fornecedor</t>
        </is>
      </c>
      <c r="AO75" s="6" t="inlineStr">
        <is>
          <t>Qualidade dos dados</t>
        </is>
      </c>
      <c r="AP75" s="6" t="inlineStr">
        <is>
          <t>KONTRIP VIAGENS</t>
        </is>
      </c>
      <c r="AQ75" s="6" t="inlineStr">
        <is>
          <t>Operações - KONTRIP</t>
        </is>
      </c>
    </row>
    <row r="76">
      <c r="A76" s="6" t="n">
        <v>23298420</v>
      </c>
      <c r="B76" s="6" t="n">
        <v>24029352</v>
      </c>
      <c r="C76" s="6" t="inlineStr">
        <is>
          <t>ACC03</t>
        </is>
      </c>
      <c r="D76" s="58" t="n">
        <v>45971.86278935185</v>
      </c>
      <c r="E76" s="58" t="n">
        <v>45971.86398148148</v>
      </c>
      <c r="F76" s="6" t="inlineStr">
        <is>
          <t>09 a 15 dias</t>
        </is>
      </c>
      <c r="G76" s="6" t="inlineStr">
        <is>
          <t>09 a 15 dias</t>
        </is>
      </c>
      <c r="H76" s="6" t="inlineStr">
        <is>
          <t>FMGGRI</t>
        </is>
      </c>
      <c r="I76" s="6" t="inlineStr">
        <is>
          <t>EBOOKING</t>
        </is>
      </c>
      <c r="J76" s="6" t="inlineStr">
        <is>
          <t>Luz Santos/Uendeo</t>
        </is>
      </c>
      <c r="K76" s="6" t="inlineStr">
        <is>
          <t>Kontrip</t>
        </is>
      </c>
      <c r="L76" s="6" t="inlineStr">
        <is>
          <t>Kontrip</t>
        </is>
      </c>
      <c r="M76" s="58" t="n">
        <v>45971.34375</v>
      </c>
      <c r="N76" s="6" t="inlineStr">
        <is>
          <t>-</t>
        </is>
      </c>
      <c r="O76" s="6" t="inlineStr">
        <is>
          <t>-</t>
        </is>
      </c>
      <c r="P76" s="6" t="inlineStr">
        <is>
          <t>OFF LINE</t>
        </is>
      </c>
      <c r="Q76" s="6" t="inlineStr">
        <is>
          <t>Cartão de crédito</t>
        </is>
      </c>
      <c r="R76" s="6" t="inlineStr">
        <is>
          <t>Cartão de crédito</t>
        </is>
      </c>
      <c r="S76" s="6" t="inlineStr">
        <is>
          <t>Aéreo</t>
        </is>
      </c>
      <c r="T76" s="6" t="inlineStr">
        <is>
          <t>N</t>
        </is>
      </c>
      <c r="U76" s="6" t="inlineStr">
        <is>
          <t>Grupo Mercurio York</t>
        </is>
      </c>
      <c r="V76" s="6" t="inlineStr">
        <is>
          <t>Agencia Mercurio York Viagens e Turismo Ltda</t>
        </is>
      </c>
      <c r="W76" s="6" t="inlineStr">
        <is>
          <t>-</t>
        </is>
      </c>
      <c r="X76" s="6" t="inlineStr">
        <is>
          <t>Gol Linhas Aereas</t>
        </is>
      </c>
      <c r="Y76" s="6" t="n">
        <v>2149207461</v>
      </c>
      <c r="Z76" s="6" t="inlineStr">
        <is>
          <t>KONTRIP</t>
        </is>
      </c>
      <c r="AA76" s="6" t="inlineStr">
        <is>
          <t>-</t>
        </is>
      </c>
      <c r="AB76" s="6" t="n">
        <v>421.7</v>
      </c>
      <c r="AC76" s="6" t="n">
        <v>52.72</v>
      </c>
      <c r="AD76" s="6" t="n">
        <v>0</v>
      </c>
      <c r="AE76" s="6" t="n">
        <v>0</v>
      </c>
      <c r="AF76" s="6" t="n">
        <v>0</v>
      </c>
      <c r="AG76" s="6" t="n">
        <v>0</v>
      </c>
      <c r="AH76" s="6" t="n">
        <v>0</v>
      </c>
      <c r="AI76" s="6" t="inlineStr">
        <is>
          <t>obs</t>
        </is>
      </c>
      <c r="AJ76" s="6" t="inlineStr">
        <is>
          <t xml:space="preserve"> Centro de custo não preenchido! (ACC03) Verificação d</t>
        </is>
      </c>
      <c r="AK76" s="6" t="inlineStr">
        <is>
          <t>KONTRIP</t>
        </is>
      </c>
      <c r="AL76" s="6" t="inlineStr">
        <is>
          <t>Centro de custo</t>
        </is>
      </c>
      <c r="AM76" s="6" t="inlineStr">
        <is>
          <t>Falta de informação Gerencial</t>
        </is>
      </c>
      <c r="AN76" s="6" t="inlineStr">
        <is>
          <t>Dados do Fornecedor</t>
        </is>
      </c>
      <c r="AO76" s="6" t="inlineStr">
        <is>
          <t>Qualidade dos dados</t>
        </is>
      </c>
      <c r="AP76" s="6" t="inlineStr">
        <is>
          <t>KONTRIP VIAGENS</t>
        </is>
      </c>
      <c r="AQ76" s="6" t="inlineStr">
        <is>
          <t>Operações - KONTRIP</t>
        </is>
      </c>
    </row>
    <row r="77">
      <c r="A77" s="6" t="n">
        <v>23298420</v>
      </c>
      <c r="B77" s="6" t="n">
        <v>24029353</v>
      </c>
      <c r="C77" s="6" t="inlineStr">
        <is>
          <t>ACC04</t>
        </is>
      </c>
      <c r="D77" s="58" t="n">
        <v>45971.86278935185</v>
      </c>
      <c r="E77" s="58" t="n">
        <v>45971.86398148148</v>
      </c>
      <c r="F77" s="6" t="inlineStr">
        <is>
          <t>09 a 15 dias</t>
        </is>
      </c>
      <c r="G77" s="6" t="inlineStr">
        <is>
          <t>09 a 15 dias</t>
        </is>
      </c>
      <c r="H77" s="6" t="inlineStr">
        <is>
          <t>FMGGRI</t>
        </is>
      </c>
      <c r="I77" s="6" t="inlineStr">
        <is>
          <t>EBOOKING</t>
        </is>
      </c>
      <c r="J77" s="6" t="inlineStr">
        <is>
          <t>Hasselmann/Bruna</t>
        </is>
      </c>
      <c r="K77" s="6" t="inlineStr">
        <is>
          <t>Kontrip</t>
        </is>
      </c>
      <c r="L77" s="6" t="inlineStr">
        <is>
          <t>Kontrip</t>
        </is>
      </c>
      <c r="M77" s="58" t="n">
        <v>45971.34375</v>
      </c>
      <c r="N77" s="6" t="inlineStr">
        <is>
          <t>-</t>
        </is>
      </c>
      <c r="O77" s="6" t="inlineStr">
        <is>
          <t>-</t>
        </is>
      </c>
      <c r="P77" s="6" t="inlineStr">
        <is>
          <t>OFF LINE</t>
        </is>
      </c>
      <c r="Q77" s="6" t="inlineStr">
        <is>
          <t>Cartão de crédito</t>
        </is>
      </c>
      <c r="R77" s="6" t="inlineStr">
        <is>
          <t>Cartão de crédito</t>
        </is>
      </c>
      <c r="S77" s="6" t="inlineStr">
        <is>
          <t>Aéreo</t>
        </is>
      </c>
      <c r="T77" s="6" t="inlineStr">
        <is>
          <t>N</t>
        </is>
      </c>
      <c r="U77" s="6" t="inlineStr">
        <is>
          <t>Grupo Mercurio York</t>
        </is>
      </c>
      <c r="V77" s="6" t="inlineStr">
        <is>
          <t>Agencia Mercurio York Viagens e Turismo Ltda</t>
        </is>
      </c>
      <c r="W77" s="6" t="inlineStr">
        <is>
          <t>-</t>
        </is>
      </c>
      <c r="X77" s="6" t="inlineStr">
        <is>
          <t>Gol Linhas Aereas</t>
        </is>
      </c>
      <c r="Y77" s="6" t="n">
        <v>2149207462</v>
      </c>
      <c r="Z77" s="6" t="inlineStr">
        <is>
          <t>KONTRIP</t>
        </is>
      </c>
      <c r="AA77" s="6" t="inlineStr">
        <is>
          <t>-</t>
        </is>
      </c>
      <c r="AB77" s="6" t="n">
        <v>421.7</v>
      </c>
      <c r="AC77" s="6" t="n">
        <v>52.72</v>
      </c>
      <c r="AD77" s="6" t="n">
        <v>0</v>
      </c>
      <c r="AE77" s="6" t="n">
        <v>0</v>
      </c>
      <c r="AF77" s="6" t="n">
        <v>0</v>
      </c>
      <c r="AG77" s="6" t="n">
        <v>0</v>
      </c>
      <c r="AH77" s="6" t="n">
        <v>0</v>
      </c>
      <c r="AI77" s="6" t="inlineStr">
        <is>
          <t>obs</t>
        </is>
      </c>
      <c r="AJ77" s="6" t="inlineStr">
        <is>
          <t xml:space="preserve"> Centro de custo não preenchido! (ACC03) Verificação d</t>
        </is>
      </c>
      <c r="AK77" s="6" t="inlineStr">
        <is>
          <t>KONTRIP</t>
        </is>
      </c>
      <c r="AL77" s="6" t="inlineStr">
        <is>
          <t>Centro de custo</t>
        </is>
      </c>
      <c r="AM77" s="6" t="inlineStr">
        <is>
          <t>Falta de informação Gerencial</t>
        </is>
      </c>
      <c r="AN77" s="6" t="inlineStr">
        <is>
          <t>Dados do Fornecedor</t>
        </is>
      </c>
      <c r="AO77" s="6" t="inlineStr">
        <is>
          <t>Qualidade dos dados</t>
        </is>
      </c>
      <c r="AP77" s="6" t="inlineStr">
        <is>
          <t>KONTRIP VIAGENS</t>
        </is>
      </c>
      <c r="AQ77" s="6" t="inlineStr">
        <is>
          <t>Operações - KONTRIP</t>
        </is>
      </c>
    </row>
    <row r="78">
      <c r="A78" s="6" t="n">
        <v>23298420</v>
      </c>
      <c r="B78" s="6" t="n">
        <v>24029354</v>
      </c>
      <c r="C78" s="6" t="inlineStr">
        <is>
          <t>ACC05</t>
        </is>
      </c>
      <c r="D78" s="58" t="n">
        <v>45971.86278935185</v>
      </c>
      <c r="E78" s="58" t="n">
        <v>45971.86398148148</v>
      </c>
      <c r="F78" s="6" t="inlineStr">
        <is>
          <t>09 a 15 dias</t>
        </is>
      </c>
      <c r="G78" s="6" t="inlineStr">
        <is>
          <t>09 a 15 dias</t>
        </is>
      </c>
      <c r="H78" s="6" t="inlineStr">
        <is>
          <t>FMGGRI</t>
        </is>
      </c>
      <c r="I78" s="6" t="inlineStr">
        <is>
          <t>EBOOKING</t>
        </is>
      </c>
      <c r="J78" s="6" t="inlineStr">
        <is>
          <t>Maciel/Marcela</t>
        </is>
      </c>
      <c r="K78" s="6" t="inlineStr">
        <is>
          <t>Kontrip</t>
        </is>
      </c>
      <c r="L78" s="6" t="inlineStr">
        <is>
          <t>Kontrip</t>
        </is>
      </c>
      <c r="M78" s="58" t="n">
        <v>45971.34375</v>
      </c>
      <c r="N78" s="6" t="inlineStr">
        <is>
          <t>-</t>
        </is>
      </c>
      <c r="O78" s="6" t="inlineStr">
        <is>
          <t>-</t>
        </is>
      </c>
      <c r="P78" s="6" t="inlineStr">
        <is>
          <t>OFF LINE</t>
        </is>
      </c>
      <c r="Q78" s="6" t="inlineStr">
        <is>
          <t>Cartão de crédito</t>
        </is>
      </c>
      <c r="R78" s="6" t="inlineStr">
        <is>
          <t>Cartão de crédito</t>
        </is>
      </c>
      <c r="S78" s="6" t="inlineStr">
        <is>
          <t>Aéreo</t>
        </is>
      </c>
      <c r="T78" s="6" t="inlineStr">
        <is>
          <t>N</t>
        </is>
      </c>
      <c r="U78" s="6" t="inlineStr">
        <is>
          <t>Grupo Mercurio York</t>
        </is>
      </c>
      <c r="V78" s="6" t="inlineStr">
        <is>
          <t>Agencia Mercurio York Viagens e Turismo Ltda</t>
        </is>
      </c>
      <c r="W78" s="6" t="inlineStr">
        <is>
          <t>-</t>
        </is>
      </c>
      <c r="X78" s="6" t="inlineStr">
        <is>
          <t>Gol Linhas Aereas</t>
        </is>
      </c>
      <c r="Y78" s="6" t="n">
        <v>2149207463</v>
      </c>
      <c r="Z78" s="6" t="inlineStr">
        <is>
          <t>KONTRIP</t>
        </is>
      </c>
      <c r="AA78" s="6" t="inlineStr">
        <is>
          <t>-</t>
        </is>
      </c>
      <c r="AB78" s="6" t="n">
        <v>421.7</v>
      </c>
      <c r="AC78" s="6" t="n">
        <v>52.72</v>
      </c>
      <c r="AD78" s="6" t="n">
        <v>0</v>
      </c>
      <c r="AE78" s="6" t="n">
        <v>0</v>
      </c>
      <c r="AF78" s="6" t="n">
        <v>0</v>
      </c>
      <c r="AG78" s="6" t="n">
        <v>0</v>
      </c>
      <c r="AH78" s="6" t="n">
        <v>0</v>
      </c>
      <c r="AI78" s="6" t="inlineStr">
        <is>
          <t>obs</t>
        </is>
      </c>
      <c r="AJ78" s="6" t="inlineStr">
        <is>
          <t xml:space="preserve"> Centro de custo não preenchido! (ACC03) Verificação d</t>
        </is>
      </c>
      <c r="AK78" s="6" t="inlineStr">
        <is>
          <t>KONTRIP</t>
        </is>
      </c>
      <c r="AL78" s="6" t="inlineStr">
        <is>
          <t>Centro de custo</t>
        </is>
      </c>
      <c r="AM78" s="6" t="inlineStr">
        <is>
          <t>Falta de informação Gerencial</t>
        </is>
      </c>
      <c r="AN78" s="6" t="inlineStr">
        <is>
          <t>Dados do Fornecedor</t>
        </is>
      </c>
      <c r="AO78" s="6" t="inlineStr">
        <is>
          <t>Qualidade dos dados</t>
        </is>
      </c>
      <c r="AP78" s="6" t="inlineStr">
        <is>
          <t>KONTRIP VIAGENS</t>
        </is>
      </c>
      <c r="AQ78" s="6" t="inlineStr">
        <is>
          <t>Operações - KONTRIP</t>
        </is>
      </c>
    </row>
    <row r="79">
      <c r="A79" s="6" t="n">
        <v>23298427</v>
      </c>
      <c r="B79" s="6" t="n">
        <v>24029364</v>
      </c>
      <c r="C79" s="6" t="inlineStr">
        <is>
          <t>ACC03</t>
        </is>
      </c>
      <c r="D79" s="58" t="n">
        <v>45971.86346064815</v>
      </c>
      <c r="E79" s="58" t="n">
        <v>45971.86513888889</v>
      </c>
      <c r="F79" s="6" t="inlineStr">
        <is>
          <t>09 a 15 dias</t>
        </is>
      </c>
      <c r="G79" s="6" t="inlineStr">
        <is>
          <t>09 a 15 dias</t>
        </is>
      </c>
      <c r="H79" s="6" t="inlineStr">
        <is>
          <t>IWCSOS</t>
        </is>
      </c>
      <c r="I79" s="6" t="inlineStr">
        <is>
          <t>EBOOKING</t>
        </is>
      </c>
      <c r="J79" s="6" t="inlineStr">
        <is>
          <t>OLIVEIRA/PRISCILA</t>
        </is>
      </c>
      <c r="K79" s="6" t="inlineStr">
        <is>
          <t>Kontrip</t>
        </is>
      </c>
      <c r="L79" s="6" t="inlineStr">
        <is>
          <t>Kontrip</t>
        </is>
      </c>
      <c r="M79" s="58" t="n">
        <v>45971.26180555556</v>
      </c>
      <c r="N79" s="6" t="inlineStr">
        <is>
          <t>-</t>
        </is>
      </c>
      <c r="O79" s="6" t="inlineStr">
        <is>
          <t>-</t>
        </is>
      </c>
      <c r="P79" s="6" t="inlineStr">
        <is>
          <t>OFF LINE</t>
        </is>
      </c>
      <c r="Q79" s="6" t="inlineStr">
        <is>
          <t>Cartão de crédito</t>
        </is>
      </c>
      <c r="R79" s="6" t="inlineStr">
        <is>
          <t>Cartão de crédito</t>
        </is>
      </c>
      <c r="S79" s="6" t="inlineStr">
        <is>
          <t>Aéreo</t>
        </is>
      </c>
      <c r="T79" s="6" t="inlineStr">
        <is>
          <t>N</t>
        </is>
      </c>
      <c r="U79" s="6" t="inlineStr">
        <is>
          <t>Grupo Mercurio York</t>
        </is>
      </c>
      <c r="V79" s="6" t="inlineStr">
        <is>
          <t>Agencia Mercurio York Viagens e Turismo Ltda</t>
        </is>
      </c>
      <c r="W79" s="6" t="inlineStr">
        <is>
          <t>-</t>
        </is>
      </c>
      <c r="X79" s="6" t="inlineStr">
        <is>
          <t>Gol Linhas Aereas</t>
        </is>
      </c>
      <c r="Y79" s="6" t="n">
        <v>2149207817</v>
      </c>
      <c r="Z79" s="6" t="inlineStr">
        <is>
          <t>KONTRIP</t>
        </is>
      </c>
      <c r="AA79" s="6" t="inlineStr">
        <is>
          <t>-</t>
        </is>
      </c>
      <c r="AB79" s="6" t="n">
        <v>421.7</v>
      </c>
      <c r="AC79" s="6" t="n">
        <v>52.72</v>
      </c>
      <c r="AD79" s="6" t="n">
        <v>0</v>
      </c>
      <c r="AE79" s="6" t="n">
        <v>0</v>
      </c>
      <c r="AF79" s="6" t="n">
        <v>0</v>
      </c>
      <c r="AG79" s="6" t="n">
        <v>0</v>
      </c>
      <c r="AH79" s="6" t="n">
        <v>0</v>
      </c>
      <c r="AI79" s="6" t="inlineStr">
        <is>
          <t>obs</t>
        </is>
      </c>
      <c r="AJ79" s="6" t="inlineStr">
        <is>
          <t xml:space="preserve"> Centro de custo não preenchido! (ACC03) Verificação d</t>
        </is>
      </c>
      <c r="AK79" s="6" t="inlineStr">
        <is>
          <t>KONTRIP</t>
        </is>
      </c>
      <c r="AL79" s="6" t="inlineStr">
        <is>
          <t>Centro de custo</t>
        </is>
      </c>
      <c r="AM79" s="6" t="inlineStr">
        <is>
          <t>Falta de informação Gerencial</t>
        </is>
      </c>
      <c r="AN79" s="6" t="inlineStr">
        <is>
          <t>Dados do Fornecedor</t>
        </is>
      </c>
      <c r="AO79" s="6" t="inlineStr">
        <is>
          <t>Qualidade dos dados</t>
        </is>
      </c>
      <c r="AP79" s="6" t="inlineStr">
        <is>
          <t>KONTRIP VIAGENS</t>
        </is>
      </c>
      <c r="AQ79" s="6" t="inlineStr">
        <is>
          <t>Operações - KONTRIP</t>
        </is>
      </c>
    </row>
    <row r="80">
      <c r="A80" s="6" t="n">
        <v>23298427</v>
      </c>
      <c r="B80" s="6" t="n">
        <v>24029365</v>
      </c>
      <c r="C80" s="6" t="inlineStr">
        <is>
          <t>ACC04</t>
        </is>
      </c>
      <c r="D80" s="58" t="n">
        <v>45971.86346064815</v>
      </c>
      <c r="E80" s="58" t="n">
        <v>45971.86513888889</v>
      </c>
      <c r="F80" s="6" t="inlineStr">
        <is>
          <t>09 a 15 dias</t>
        </is>
      </c>
      <c r="G80" s="6" t="inlineStr">
        <is>
          <t>09 a 15 dias</t>
        </is>
      </c>
      <c r="H80" s="6" t="inlineStr">
        <is>
          <t>IWCSOS</t>
        </is>
      </c>
      <c r="I80" s="6" t="inlineStr">
        <is>
          <t>EBOOKING</t>
        </is>
      </c>
      <c r="J80" s="6" t="inlineStr">
        <is>
          <t>Varjao/Lorena</t>
        </is>
      </c>
      <c r="K80" s="6" t="inlineStr">
        <is>
          <t>Kontrip</t>
        </is>
      </c>
      <c r="L80" s="6" t="inlineStr">
        <is>
          <t>Kontrip</t>
        </is>
      </c>
      <c r="M80" s="58" t="n">
        <v>45971.26180555556</v>
      </c>
      <c r="N80" s="6" t="inlineStr">
        <is>
          <t>-</t>
        </is>
      </c>
      <c r="O80" s="6" t="inlineStr">
        <is>
          <t>-</t>
        </is>
      </c>
      <c r="P80" s="6" t="inlineStr">
        <is>
          <t>OFF LINE</t>
        </is>
      </c>
      <c r="Q80" s="6" t="inlineStr">
        <is>
          <t>Cartão de crédito</t>
        </is>
      </c>
      <c r="R80" s="6" t="inlineStr">
        <is>
          <t>Cartão de crédito</t>
        </is>
      </c>
      <c r="S80" s="6" t="inlineStr">
        <is>
          <t>Aéreo</t>
        </is>
      </c>
      <c r="T80" s="6" t="inlineStr">
        <is>
          <t>N</t>
        </is>
      </c>
      <c r="U80" s="6" t="inlineStr">
        <is>
          <t>Grupo Mercurio York</t>
        </is>
      </c>
      <c r="V80" s="6" t="inlineStr">
        <is>
          <t>Agencia Mercurio York Viagens e Turismo Ltda</t>
        </is>
      </c>
      <c r="W80" s="6" t="inlineStr">
        <is>
          <t>-</t>
        </is>
      </c>
      <c r="X80" s="6" t="inlineStr">
        <is>
          <t>Gol Linhas Aereas</t>
        </is>
      </c>
      <c r="Y80" s="6" t="n">
        <v>2149207818</v>
      </c>
      <c r="Z80" s="6" t="inlineStr">
        <is>
          <t>KONTRIP</t>
        </is>
      </c>
      <c r="AA80" s="6" t="inlineStr">
        <is>
          <t>-</t>
        </is>
      </c>
      <c r="AB80" s="6" t="n">
        <v>421.7</v>
      </c>
      <c r="AC80" s="6" t="n">
        <v>52.72</v>
      </c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0</v>
      </c>
      <c r="AI80" s="6" t="inlineStr">
        <is>
          <t>obs</t>
        </is>
      </c>
      <c r="AJ80" s="6" t="inlineStr">
        <is>
          <t xml:space="preserve"> Centro de custo não preenchido! (ACC03) Verificação d</t>
        </is>
      </c>
      <c r="AK80" s="6" t="inlineStr">
        <is>
          <t>KONTRIP</t>
        </is>
      </c>
      <c r="AL80" s="6" t="inlineStr">
        <is>
          <t>Centro de custo</t>
        </is>
      </c>
      <c r="AM80" s="6" t="inlineStr">
        <is>
          <t>Falta de informação Gerencial</t>
        </is>
      </c>
      <c r="AN80" s="6" t="inlineStr">
        <is>
          <t>Dados do Fornecedor</t>
        </is>
      </c>
      <c r="AO80" s="6" t="inlineStr">
        <is>
          <t>Qualidade dos dados</t>
        </is>
      </c>
      <c r="AP80" s="6" t="inlineStr">
        <is>
          <t>KONTRIP VIAGENS</t>
        </is>
      </c>
      <c r="AQ80" s="6" t="inlineStr">
        <is>
          <t>Operações - KONTRIP</t>
        </is>
      </c>
    </row>
    <row r="81">
      <c r="A81" s="6" t="n">
        <v>23298427</v>
      </c>
      <c r="B81" s="6" t="n">
        <v>24029367</v>
      </c>
      <c r="C81" s="6" t="inlineStr">
        <is>
          <t>ACC05</t>
        </is>
      </c>
      <c r="D81" s="58" t="n">
        <v>45971.86346064815</v>
      </c>
      <c r="E81" s="58" t="n">
        <v>45971.86513888889</v>
      </c>
      <c r="F81" s="6" t="inlineStr">
        <is>
          <t>09 a 15 dias</t>
        </is>
      </c>
      <c r="G81" s="6" t="inlineStr">
        <is>
          <t>09 a 15 dias</t>
        </is>
      </c>
      <c r="H81" s="6" t="inlineStr">
        <is>
          <t>IWCSOS</t>
        </is>
      </c>
      <c r="I81" s="6" t="inlineStr">
        <is>
          <t>EBOOKING</t>
        </is>
      </c>
      <c r="J81" s="6" t="inlineStr">
        <is>
          <t>Faria/Catarina</t>
        </is>
      </c>
      <c r="K81" s="6" t="inlineStr">
        <is>
          <t>Kontrip</t>
        </is>
      </c>
      <c r="L81" s="6" t="inlineStr">
        <is>
          <t>Kontrip</t>
        </is>
      </c>
      <c r="M81" s="58" t="n">
        <v>45971.26180555556</v>
      </c>
      <c r="N81" s="6" t="inlineStr">
        <is>
          <t>-</t>
        </is>
      </c>
      <c r="O81" s="6" t="inlineStr">
        <is>
          <t>-</t>
        </is>
      </c>
      <c r="P81" s="6" t="inlineStr">
        <is>
          <t>OFF LINE</t>
        </is>
      </c>
      <c r="Q81" s="6" t="inlineStr">
        <is>
          <t>Cartão de crédito</t>
        </is>
      </c>
      <c r="R81" s="6" t="inlineStr">
        <is>
          <t>Cartão de crédito</t>
        </is>
      </c>
      <c r="S81" s="6" t="inlineStr">
        <is>
          <t>Aéreo</t>
        </is>
      </c>
      <c r="T81" s="6" t="inlineStr">
        <is>
          <t>N</t>
        </is>
      </c>
      <c r="U81" s="6" t="inlineStr">
        <is>
          <t>Grupo Mercurio York</t>
        </is>
      </c>
      <c r="V81" s="6" t="inlineStr">
        <is>
          <t>Agencia Mercurio York Viagens e Turismo Ltda</t>
        </is>
      </c>
      <c r="W81" s="6" t="inlineStr">
        <is>
          <t>-</t>
        </is>
      </c>
      <c r="X81" s="6" t="inlineStr">
        <is>
          <t>Gol Linhas Aereas</t>
        </is>
      </c>
      <c r="Y81" s="6" t="n">
        <v>2149207819</v>
      </c>
      <c r="Z81" s="6" t="inlineStr">
        <is>
          <t>KONTRIP</t>
        </is>
      </c>
      <c r="AA81" s="6" t="inlineStr">
        <is>
          <t>-</t>
        </is>
      </c>
      <c r="AB81" s="6" t="n">
        <v>421.7</v>
      </c>
      <c r="AC81" s="6" t="n">
        <v>52.72</v>
      </c>
      <c r="AD81" s="6" t="n">
        <v>0</v>
      </c>
      <c r="AE81" s="6" t="n">
        <v>0</v>
      </c>
      <c r="AF81" s="6" t="n">
        <v>0</v>
      </c>
      <c r="AG81" s="6" t="n">
        <v>0</v>
      </c>
      <c r="AH81" s="6" t="n">
        <v>0</v>
      </c>
      <c r="AI81" s="6" t="inlineStr">
        <is>
          <t>obs</t>
        </is>
      </c>
      <c r="AJ81" s="6" t="inlineStr">
        <is>
          <t xml:space="preserve"> Centro de custo não preenchido! (ACC03) Verificação d</t>
        </is>
      </c>
      <c r="AK81" s="6" t="inlineStr">
        <is>
          <t>KONTRIP</t>
        </is>
      </c>
      <c r="AL81" s="6" t="inlineStr">
        <is>
          <t>Centro de custo</t>
        </is>
      </c>
      <c r="AM81" s="6" t="inlineStr">
        <is>
          <t>Falta de informação Gerencial</t>
        </is>
      </c>
      <c r="AN81" s="6" t="inlineStr">
        <is>
          <t>Dados do Fornecedor</t>
        </is>
      </c>
      <c r="AO81" s="6" t="inlineStr">
        <is>
          <t>Qualidade dos dados</t>
        </is>
      </c>
      <c r="AP81" s="6" t="inlineStr">
        <is>
          <t>KONTRIP VIAGENS</t>
        </is>
      </c>
      <c r="AQ81" s="6" t="inlineStr">
        <is>
          <t>Operações - KONTRIP</t>
        </is>
      </c>
    </row>
    <row r="82">
      <c r="A82" s="6" t="n">
        <v>23365966</v>
      </c>
      <c r="B82" s="6" t="n">
        <v>24091974</v>
      </c>
      <c r="C82" s="6" t="inlineStr">
        <is>
          <t>ACC01</t>
        </is>
      </c>
      <c r="D82" s="58" t="n">
        <v>45982.58645833333</v>
      </c>
      <c r="E82" s="58" t="n">
        <v>45982.58785879629</v>
      </c>
      <c r="F82" s="6" t="inlineStr">
        <is>
          <t>03 a 05 dias</t>
        </is>
      </c>
      <c r="G82" s="6" t="inlineStr">
        <is>
          <t>03 a 05 dias</t>
        </is>
      </c>
      <c r="H82" s="6" t="inlineStr">
        <is>
          <t>JXYBHA</t>
        </is>
      </c>
      <c r="I82" s="6" t="inlineStr">
        <is>
          <t>EBOOKING</t>
        </is>
      </c>
      <c r="J82" s="6" t="inlineStr">
        <is>
          <t>PRISCILA DE OLIVEIRA/PAOLA</t>
        </is>
      </c>
      <c r="K82" s="6" t="inlineStr">
        <is>
          <t>Kontrip</t>
        </is>
      </c>
      <c r="L82" s="6" t="inlineStr">
        <is>
          <t>Kontrip</t>
        </is>
      </c>
      <c r="M82" s="58" t="n">
        <v>45982.49861111111</v>
      </c>
      <c r="N82" s="6" t="inlineStr">
        <is>
          <t>-</t>
        </is>
      </c>
      <c r="O82" s="6" t="inlineStr">
        <is>
          <t>-</t>
        </is>
      </c>
      <c r="P82" s="6" t="inlineStr">
        <is>
          <t>OFF LINE</t>
        </is>
      </c>
      <c r="Q82" s="6" t="inlineStr">
        <is>
          <t>Cartão de crédito</t>
        </is>
      </c>
      <c r="R82" s="6" t="inlineStr">
        <is>
          <t>Cartão de crédito</t>
        </is>
      </c>
      <c r="S82" s="6" t="inlineStr">
        <is>
          <t>Aéreo</t>
        </is>
      </c>
      <c r="T82" s="6" t="inlineStr">
        <is>
          <t>N</t>
        </is>
      </c>
      <c r="U82" s="6" t="inlineStr">
        <is>
          <t>Grupo Mercurio York</t>
        </is>
      </c>
      <c r="V82" s="6" t="inlineStr">
        <is>
          <t>Agencia Mercurio York Viagens e Turismo Ltda</t>
        </is>
      </c>
      <c r="W82" s="6" t="inlineStr">
        <is>
          <t>-</t>
        </is>
      </c>
      <c r="X82" s="6" t="inlineStr">
        <is>
          <t>Gol Linhas Aereas</t>
        </is>
      </c>
      <c r="Y82" s="6" t="n">
        <v>2149958810</v>
      </c>
      <c r="Z82" s="6" t="inlineStr">
        <is>
          <t>KONTRIP</t>
        </is>
      </c>
      <c r="AA82" s="6" t="inlineStr">
        <is>
          <t>-</t>
        </is>
      </c>
      <c r="AB82" s="6" t="n">
        <v>940.3200000000001</v>
      </c>
      <c r="AC82" s="6" t="n">
        <v>47.02</v>
      </c>
      <c r="AD82" s="6" t="n">
        <v>0</v>
      </c>
      <c r="AE82" s="6" t="n">
        <v>0</v>
      </c>
      <c r="AF82" s="6" t="n">
        <v>0</v>
      </c>
      <c r="AG82" s="6" t="n">
        <v>0</v>
      </c>
      <c r="AH82" s="6" t="n">
        <v>0</v>
      </c>
      <c r="AI82" s="6" t="inlineStr">
        <is>
          <t>obs</t>
        </is>
      </c>
      <c r="AJ82" s="6" t="inlineStr">
        <is>
          <t>Centro de custo não preenchido! (ACC01)</t>
        </is>
      </c>
      <c r="AK82" s="6" t="inlineStr">
        <is>
          <t>KONTRIP</t>
        </is>
      </c>
      <c r="AL82" s="6" t="inlineStr">
        <is>
          <t>Centro de custo</t>
        </is>
      </c>
      <c r="AM82" s="6" t="inlineStr">
        <is>
          <t>Falta de informação Gerencial</t>
        </is>
      </c>
      <c r="AN82" s="6" t="inlineStr">
        <is>
          <t>Dados do Fornecedor</t>
        </is>
      </c>
      <c r="AO82" s="6" t="inlineStr">
        <is>
          <t>Qualidade dos dados</t>
        </is>
      </c>
      <c r="AP82" s="6" t="inlineStr">
        <is>
          <t>KONTRIP VIAGENS</t>
        </is>
      </c>
      <c r="AQ82" s="6" t="inlineStr">
        <is>
          <t>Operações - KONTRIP</t>
        </is>
      </c>
    </row>
    <row r="83">
      <c r="A83" s="6" t="n">
        <v>23372676</v>
      </c>
      <c r="B83" s="6" t="n">
        <v>24097838</v>
      </c>
      <c r="C83" s="6" t="inlineStr">
        <is>
          <t>ACC01</t>
        </is>
      </c>
      <c r="D83" s="58" t="n">
        <v>45983.86002314815</v>
      </c>
      <c r="E83" s="58" t="n">
        <v>45983.86086805556</v>
      </c>
      <c r="F83" s="6" t="inlineStr">
        <is>
          <t>03 a 05 dias</t>
        </is>
      </c>
      <c r="G83" s="6" t="inlineStr">
        <is>
          <t>03 a 05 dias</t>
        </is>
      </c>
      <c r="H83" s="6" t="inlineStr">
        <is>
          <t>EENPBK</t>
        </is>
      </c>
      <c r="I83" s="6" t="inlineStr">
        <is>
          <t>EBOOKING</t>
        </is>
      </c>
      <c r="J83" s="6" t="inlineStr">
        <is>
          <t>ANGE ARAUJO/ENY</t>
        </is>
      </c>
      <c r="K83" s="6" t="inlineStr">
        <is>
          <t>Kontrip</t>
        </is>
      </c>
      <c r="L83" s="6" t="inlineStr">
        <is>
          <t>Kontrip</t>
        </is>
      </c>
      <c r="M83" s="58" t="n">
        <v>45981.31041666667</v>
      </c>
      <c r="N83" s="6" t="inlineStr">
        <is>
          <t>-</t>
        </is>
      </c>
      <c r="O83" s="6" t="inlineStr">
        <is>
          <t>-</t>
        </is>
      </c>
      <c r="P83" s="6" t="inlineStr">
        <is>
          <t>OFF LINE</t>
        </is>
      </c>
      <c r="Q83" s="6" t="inlineStr">
        <is>
          <t>Cartão de crédito</t>
        </is>
      </c>
      <c r="R83" s="6" t="inlineStr">
        <is>
          <t>Cartão de crédito</t>
        </is>
      </c>
      <c r="S83" s="6" t="inlineStr">
        <is>
          <t>Aéreo</t>
        </is>
      </c>
      <c r="T83" s="6" t="inlineStr">
        <is>
          <t>N</t>
        </is>
      </c>
      <c r="U83" s="6" t="inlineStr">
        <is>
          <t>Grupo Mercurio York</t>
        </is>
      </c>
      <c r="V83" s="6" t="inlineStr">
        <is>
          <t>Agencia Mercurio York Viagens e Turismo Ltda</t>
        </is>
      </c>
      <c r="W83" s="6" t="inlineStr">
        <is>
          <t>-</t>
        </is>
      </c>
      <c r="X83" s="6" t="inlineStr">
        <is>
          <t>Gol Linhas Aereas</t>
        </is>
      </c>
      <c r="Y83" s="6" t="n">
        <v>2150030508</v>
      </c>
      <c r="Z83" s="6" t="inlineStr">
        <is>
          <t>KONTRIP</t>
        </is>
      </c>
      <c r="AA83" s="6" t="inlineStr">
        <is>
          <t>-</t>
        </is>
      </c>
      <c r="AB83" s="6" t="n">
        <v>2278.57</v>
      </c>
      <c r="AC83" s="6" t="n">
        <v>52.72</v>
      </c>
      <c r="AD83" s="6" t="n">
        <v>0</v>
      </c>
      <c r="AE83" s="6" t="n">
        <v>0</v>
      </c>
      <c r="AF83" s="6" t="n">
        <v>0</v>
      </c>
      <c r="AG83" s="6" t="n">
        <v>0</v>
      </c>
      <c r="AH83" s="6" t="n">
        <v>0</v>
      </c>
      <c r="AI83" s="6" t="inlineStr">
        <is>
          <t>obs</t>
        </is>
      </c>
      <c r="AJ83" s="6" t="inlineStr">
        <is>
          <t>Centro de custo não preenchido! (ACC02)</t>
        </is>
      </c>
      <c r="AK83" s="6" t="inlineStr">
        <is>
          <t>KONTRIP</t>
        </is>
      </c>
      <c r="AL83" s="6" t="inlineStr">
        <is>
          <t>Centro de custo</t>
        </is>
      </c>
      <c r="AM83" s="6" t="inlineStr">
        <is>
          <t>Falta de informação Gerencial</t>
        </is>
      </c>
      <c r="AN83" s="6" t="inlineStr">
        <is>
          <t>Dados do Fornecedor</t>
        </is>
      </c>
      <c r="AO83" s="6" t="inlineStr">
        <is>
          <t>Qualidade dos dados</t>
        </is>
      </c>
      <c r="AP83" s="6" t="inlineStr">
        <is>
          <t>KONTRIP VIAGENS</t>
        </is>
      </c>
      <c r="AQ83" s="6" t="inlineStr">
        <is>
          <t>Operações - KONTRIP</t>
        </is>
      </c>
    </row>
    <row r="84">
      <c r="A84" s="6" t="n">
        <v>23372676</v>
      </c>
      <c r="B84" s="6" t="n">
        <v>24097839</v>
      </c>
      <c r="C84" s="6" t="inlineStr">
        <is>
          <t>ACC02</t>
        </is>
      </c>
      <c r="D84" s="58" t="n">
        <v>45983.86002314815</v>
      </c>
      <c r="E84" s="58" t="n">
        <v>45983.86086805556</v>
      </c>
      <c r="F84" s="6" t="inlineStr">
        <is>
          <t>03 a 05 dias</t>
        </is>
      </c>
      <c r="G84" s="6" t="inlineStr">
        <is>
          <t>03 a 05 dias</t>
        </is>
      </c>
      <c r="H84" s="6" t="inlineStr">
        <is>
          <t>EENPBK</t>
        </is>
      </c>
      <c r="I84" s="6" t="inlineStr">
        <is>
          <t>EBOOKING</t>
        </is>
      </c>
      <c r="J84" s="6" t="inlineStr">
        <is>
          <t>Dias/Eloa</t>
        </is>
      </c>
      <c r="K84" s="6" t="inlineStr">
        <is>
          <t>Kontrip</t>
        </is>
      </c>
      <c r="L84" s="6" t="inlineStr">
        <is>
          <t>Kontrip</t>
        </is>
      </c>
      <c r="M84" s="58" t="n">
        <v>45981.31041666667</v>
      </c>
      <c r="N84" s="6" t="inlineStr">
        <is>
          <t>-</t>
        </is>
      </c>
      <c r="O84" s="6" t="inlineStr">
        <is>
          <t>-</t>
        </is>
      </c>
      <c r="P84" s="6" t="inlineStr">
        <is>
          <t>OFF LINE</t>
        </is>
      </c>
      <c r="Q84" s="6" t="inlineStr">
        <is>
          <t>Cartão de crédito</t>
        </is>
      </c>
      <c r="R84" s="6" t="inlineStr">
        <is>
          <t>Cartão de crédito</t>
        </is>
      </c>
      <c r="S84" s="6" t="inlineStr">
        <is>
          <t>Aéreo</t>
        </is>
      </c>
      <c r="T84" s="6" t="inlineStr">
        <is>
          <t>N</t>
        </is>
      </c>
      <c r="U84" s="6" t="inlineStr">
        <is>
          <t>Grupo Mercurio York</t>
        </is>
      </c>
      <c r="V84" s="6" t="inlineStr">
        <is>
          <t>Agencia Mercurio York Viagens e Turismo Ltda</t>
        </is>
      </c>
      <c r="W84" s="6" t="inlineStr">
        <is>
          <t>-</t>
        </is>
      </c>
      <c r="X84" s="6" t="inlineStr">
        <is>
          <t>Gol Linhas Aereas</t>
        </is>
      </c>
      <c r="Y84" s="6" t="n">
        <v>2150030509</v>
      </c>
      <c r="Z84" s="6" t="inlineStr">
        <is>
          <t>KONTRIP</t>
        </is>
      </c>
      <c r="AA84" s="6" t="inlineStr">
        <is>
          <t>-</t>
        </is>
      </c>
      <c r="AB84" s="6" t="n">
        <v>2278.57</v>
      </c>
      <c r="AC84" s="6" t="n">
        <v>52.72</v>
      </c>
      <c r="AD84" s="6" t="n">
        <v>0</v>
      </c>
      <c r="AE84" s="6" t="n">
        <v>0</v>
      </c>
      <c r="AF84" s="6" t="n">
        <v>0</v>
      </c>
      <c r="AG84" s="6" t="n">
        <v>0</v>
      </c>
      <c r="AH84" s="6" t="n">
        <v>0</v>
      </c>
      <c r="AI84" s="6" t="inlineStr">
        <is>
          <t>obs</t>
        </is>
      </c>
      <c r="AJ84" s="6" t="inlineStr">
        <is>
          <t>Centro de custo não preenchido! (ACC02)</t>
        </is>
      </c>
      <c r="AK84" s="6" t="inlineStr">
        <is>
          <t>KONTRIP</t>
        </is>
      </c>
      <c r="AL84" s="6" t="inlineStr">
        <is>
          <t>Centro de custo</t>
        </is>
      </c>
      <c r="AM84" s="6" t="inlineStr">
        <is>
          <t>Falta de informação Gerencial</t>
        </is>
      </c>
      <c r="AN84" s="6" t="inlineStr">
        <is>
          <t>Dados do Fornecedor</t>
        </is>
      </c>
      <c r="AO84" s="6" t="inlineStr">
        <is>
          <t>Qualidade dos dados</t>
        </is>
      </c>
      <c r="AP84" s="6" t="inlineStr">
        <is>
          <t>KONTRIP VIAGENS</t>
        </is>
      </c>
      <c r="AQ84" s="6" t="inlineStr">
        <is>
          <t>Operações - KONTRIP</t>
        </is>
      </c>
    </row>
    <row r="85">
      <c r="A85" s="6" t="n">
        <v>23119164</v>
      </c>
      <c r="B85" s="6" t="n">
        <v>23866795</v>
      </c>
      <c r="C85" s="6" t="inlineStr">
        <is>
          <t>ACC01</t>
        </is>
      </c>
      <c r="D85" s="58" t="n">
        <v>45945.68766203704</v>
      </c>
      <c r="E85" s="58" t="n">
        <v>45972.32637731481</v>
      </c>
      <c r="F85" s="6" t="inlineStr">
        <is>
          <t>09 a 15 dias</t>
        </is>
      </c>
      <c r="G85" s="6" t="inlineStr">
        <is>
          <t>31 dias ou +</t>
        </is>
      </c>
      <c r="H85" s="6" t="inlineStr">
        <is>
          <t>LFHSLZ</t>
        </is>
      </c>
      <c r="I85" s="6" t="inlineStr">
        <is>
          <t>GOVER</t>
        </is>
      </c>
      <c r="J85" s="6" t="inlineStr">
        <is>
          <t>Luis Fernando Garisto Calejon</t>
        </is>
      </c>
      <c r="K85" s="6" t="inlineStr">
        <is>
          <t>Gover</t>
        </is>
      </c>
      <c r="L85" s="6" t="inlineStr">
        <is>
          <t>Gover</t>
        </is>
      </c>
      <c r="M85" s="58" t="n">
        <v>45945.67916666667</v>
      </c>
      <c r="N85" s="6" t="n">
        <v>4612456</v>
      </c>
      <c r="O85" s="6" t="inlineStr">
        <is>
          <t>-</t>
        </is>
      </c>
      <c r="P85" s="6" t="inlineStr">
        <is>
          <t>ON LINE</t>
        </is>
      </c>
      <c r="Q85" s="6" t="inlineStr">
        <is>
          <t>Invoice</t>
        </is>
      </c>
      <c r="R85" s="6" t="inlineStr">
        <is>
          <t>Cartão convênio</t>
        </is>
      </c>
      <c r="S85" s="6" t="inlineStr">
        <is>
          <t>Aéreo</t>
        </is>
      </c>
      <c r="T85" s="6" t="inlineStr">
        <is>
          <t>N</t>
        </is>
      </c>
      <c r="U85" s="6" t="inlineStr">
        <is>
          <t>Grupo Hypera</t>
        </is>
      </c>
      <c r="V85" s="6" t="inlineStr">
        <is>
          <t>Hypera S.a.</t>
        </is>
      </c>
      <c r="W85" s="6" t="inlineStr">
        <is>
          <t>-</t>
        </is>
      </c>
      <c r="X85" s="6" t="inlineStr">
        <is>
          <t>Latam Airlines Brasil</t>
        </is>
      </c>
      <c r="Y85" s="6" t="n">
        <v>2255087627</v>
      </c>
      <c r="Z85" s="6" t="inlineStr">
        <is>
          <t>KON-OPE-SAO-PVI-HYPERA</t>
        </is>
      </c>
      <c r="AA85" s="6" t="inlineStr">
        <is>
          <t>-</t>
        </is>
      </c>
      <c r="AB85" s="6" t="n">
        <v>383.5</v>
      </c>
      <c r="AC85" s="6" t="n">
        <v>95.20999999999999</v>
      </c>
      <c r="AD85" s="6" t="n">
        <v>0</v>
      </c>
      <c r="AE85" s="6" t="n">
        <v>0</v>
      </c>
      <c r="AF85" s="6" t="n">
        <v>0</v>
      </c>
      <c r="AG85" s="6" t="n">
        <v>0</v>
      </c>
      <c r="AH85" s="6" t="n">
        <v>0</v>
      </c>
      <c r="AI85" s="6" t="inlineStr">
        <is>
          <t>Reserva importada do sistema Gover. Id: 4612456</t>
        </is>
      </c>
      <c r="AJ85" s="6" t="inlineStr">
        <is>
          <t xml:space="preserve">Erro excluindo PNR: Não é possivel excluir a accounting de código: 25209820. A mesma está ligada a conciliação de cartão "ANTECIPAÇÃO REDE </t>
        </is>
      </c>
      <c r="AK85" s="6" t="inlineStr">
        <is>
          <t>GOVER</t>
        </is>
      </c>
      <c r="AL85" s="6" t="inlineStr">
        <is>
          <t>Conciliação de Cartão</t>
        </is>
      </c>
      <c r="AM85" s="6" t="inlineStr">
        <is>
          <t>Financeiro Conciliado</t>
        </is>
      </c>
      <c r="AN85" s="6" t="inlineStr">
        <is>
          <t>Edição não Permitida</t>
        </is>
      </c>
      <c r="AO85" s="6" t="inlineStr">
        <is>
          <t>Processo Operacional</t>
        </is>
      </c>
      <c r="AP85" s="6" t="inlineStr">
        <is>
          <t>GRUPO KONTIK</t>
        </is>
      </c>
      <c r="AQ85" s="6" t="inlineStr">
        <is>
          <t>Central de Emissão</t>
        </is>
      </c>
    </row>
    <row r="86">
      <c r="A86" s="6" t="n">
        <v>23133216</v>
      </c>
      <c r="B86" s="6" t="n">
        <v>23879711</v>
      </c>
      <c r="C86" s="6" t="inlineStr">
        <is>
          <t>ACC01</t>
        </is>
      </c>
      <c r="D86" s="58" t="n">
        <v>45947.66369212963</v>
      </c>
      <c r="E86" s="58" t="n">
        <v>45972.32711805555</v>
      </c>
      <c r="F86" s="6" t="inlineStr">
        <is>
          <t>09 a 15 dias</t>
        </is>
      </c>
      <c r="G86" s="6" t="inlineStr">
        <is>
          <t>31 dias ou +</t>
        </is>
      </c>
      <c r="H86" s="6" t="inlineStr">
        <is>
          <t>YQISLX</t>
        </is>
      </c>
      <c r="I86" s="6" t="inlineStr">
        <is>
          <t>GOVER</t>
        </is>
      </c>
      <c r="J86" s="6" t="inlineStr">
        <is>
          <t>Talita Da Trindade Reis</t>
        </is>
      </c>
      <c r="K86" s="6" t="inlineStr">
        <is>
          <t>Gover</t>
        </is>
      </c>
      <c r="L86" s="6" t="inlineStr">
        <is>
          <t>Gover</t>
        </is>
      </c>
      <c r="M86" s="58" t="n">
        <v>45947.65416666667</v>
      </c>
      <c r="N86" s="6" t="n">
        <v>4614960</v>
      </c>
      <c r="O86" s="6" t="inlineStr">
        <is>
          <t>-</t>
        </is>
      </c>
      <c r="P86" s="6" t="inlineStr">
        <is>
          <t>ON LINE</t>
        </is>
      </c>
      <c r="Q86" s="6" t="inlineStr">
        <is>
          <t>Invoice</t>
        </is>
      </c>
      <c r="R86" s="6" t="inlineStr">
        <is>
          <t>Cartão convênio</t>
        </is>
      </c>
      <c r="S86" s="6" t="inlineStr">
        <is>
          <t>Aéreo</t>
        </is>
      </c>
      <c r="T86" s="6" t="inlineStr">
        <is>
          <t>N</t>
        </is>
      </c>
      <c r="U86" s="6" t="inlineStr">
        <is>
          <t>Grupo Hypera</t>
        </is>
      </c>
      <c r="V86" s="6" t="inlineStr">
        <is>
          <t>Hypera S.a.</t>
        </is>
      </c>
      <c r="W86" s="6" t="inlineStr">
        <is>
          <t>-</t>
        </is>
      </c>
      <c r="X86" s="6" t="inlineStr">
        <is>
          <t>Latam Airlines Brasil</t>
        </is>
      </c>
      <c r="Y86" s="6" t="n">
        <v>2255422465</v>
      </c>
      <c r="Z86" s="6" t="inlineStr">
        <is>
          <t>KON-OPE-SAO-PVI-HYPERA</t>
        </is>
      </c>
      <c r="AA86" s="6" t="inlineStr">
        <is>
          <t>-</t>
        </is>
      </c>
      <c r="AB86" s="6" t="n">
        <v>703.8200000000001</v>
      </c>
      <c r="AC86" s="6" t="n">
        <v>191.2</v>
      </c>
      <c r="AD86" s="6" t="n">
        <v>0</v>
      </c>
      <c r="AE86" s="6" t="n">
        <v>0</v>
      </c>
      <c r="AF86" s="6" t="n">
        <v>0</v>
      </c>
      <c r="AG86" s="6" t="n">
        <v>0</v>
      </c>
      <c r="AH86" s="6" t="n">
        <v>0</v>
      </c>
      <c r="AI86" s="6" t="inlineStr">
        <is>
          <t>Reserva importada do sistema Gover. Id: 4614960</t>
        </is>
      </c>
      <c r="AJ86" s="6" t="inlineStr">
        <is>
          <t xml:space="preserve">Erro excluindo PNR: Não é possivel excluir a accounting de código: 25222646. A mesma está ligada a conciliação de cartão "ANTECIPAÇÃO REDE </t>
        </is>
      </c>
      <c r="AK86" s="6" t="inlineStr">
        <is>
          <t>GOVER</t>
        </is>
      </c>
      <c r="AL86" s="6" t="inlineStr">
        <is>
          <t>Conciliação de Cartão</t>
        </is>
      </c>
      <c r="AM86" s="6" t="inlineStr">
        <is>
          <t>Financeiro Conciliado</t>
        </is>
      </c>
      <c r="AN86" s="6" t="inlineStr">
        <is>
          <t>Edição não Permitida</t>
        </is>
      </c>
      <c r="AO86" s="6" t="inlineStr">
        <is>
          <t>Processo Operacional</t>
        </is>
      </c>
      <c r="AP86" s="6" t="inlineStr">
        <is>
          <t>GRUPO KONTIK</t>
        </is>
      </c>
      <c r="AQ86" s="6" t="inlineStr">
        <is>
          <t>Central de Emissão</t>
        </is>
      </c>
    </row>
    <row r="87">
      <c r="A87" s="6" t="n">
        <v>23200481</v>
      </c>
      <c r="B87" s="6" t="n">
        <v>23936672</v>
      </c>
      <c r="C87" s="6" t="inlineStr">
        <is>
          <t>ACC01</t>
        </is>
      </c>
      <c r="D87" s="58" t="n">
        <v>45957.37116898148</v>
      </c>
      <c r="E87" s="58" t="n">
        <v>45957.37273148148</v>
      </c>
      <c r="F87" s="59" t="inlineStr">
        <is>
          <t>24 a 31 dias</t>
        </is>
      </c>
      <c r="G87" s="59" t="inlineStr">
        <is>
          <t>24 a 31 dias</t>
        </is>
      </c>
      <c r="H87" s="6" t="n">
        <v>20574139</v>
      </c>
      <c r="I87" s="6" t="inlineStr">
        <is>
          <t>GOVER</t>
        </is>
      </c>
      <c r="J87" s="6" t="inlineStr">
        <is>
          <t>ANDRE HENRIQUE BATISTA DA SILVA</t>
        </is>
      </c>
      <c r="K87" s="6" t="inlineStr">
        <is>
          <t>Gover</t>
        </is>
      </c>
      <c r="L87" s="6" t="inlineStr">
        <is>
          <t>Gover</t>
        </is>
      </c>
      <c r="M87" s="58" t="n">
        <v>45951.72916666666</v>
      </c>
      <c r="N87" s="6" t="n">
        <v>4616918</v>
      </c>
      <c r="O87" s="6" t="inlineStr">
        <is>
          <t>-</t>
        </is>
      </c>
      <c r="P87" s="6" t="inlineStr">
        <is>
          <t>OFF LINE</t>
        </is>
      </c>
      <c r="Q87" s="6" t="inlineStr">
        <is>
          <t>Cartão de crédito</t>
        </is>
      </c>
      <c r="R87" s="6" t="inlineStr">
        <is>
          <t>Cartão de crédito</t>
        </is>
      </c>
      <c r="S87" s="6" t="inlineStr">
        <is>
          <t>Hotel</t>
        </is>
      </c>
      <c r="T87" s="6" t="inlineStr">
        <is>
          <t>N</t>
        </is>
      </c>
      <c r="U87" s="6" t="inlineStr">
        <is>
          <t>Grupo Hypera</t>
        </is>
      </c>
      <c r="V87" s="6" t="inlineStr">
        <is>
          <t>Hypera S.a.</t>
        </is>
      </c>
      <c r="W87" s="6" t="inlineStr">
        <is>
          <t>-</t>
        </is>
      </c>
      <c r="X87" s="6" t="inlineStr">
        <is>
          <t>-</t>
        </is>
      </c>
      <c r="Y87" s="6" t="inlineStr">
        <is>
          <t>-</t>
        </is>
      </c>
      <c r="Z87" s="6" t="inlineStr">
        <is>
          <t>KON-OPE-SAO-PVI-HYPERA</t>
        </is>
      </c>
      <c r="AA87" s="6" t="inlineStr">
        <is>
          <t>-</t>
        </is>
      </c>
      <c r="AB87" s="6" t="n">
        <v>267</v>
      </c>
      <c r="AC87" s="6" t="n">
        <v>0</v>
      </c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inlineStr">
        <is>
          <t>Reserva importada do sistema Gover. Id: 4616918</t>
        </is>
      </c>
      <c r="AJ87" s="6" t="inlineStr">
        <is>
          <t>Fornecedor não preenchido! (ACC01)</t>
        </is>
      </c>
      <c r="AK87" s="6" t="inlineStr">
        <is>
          <t>GOVER</t>
        </is>
      </c>
      <c r="AL87" s="6" t="inlineStr">
        <is>
          <t>Falta de Fornecedor</t>
        </is>
      </c>
      <c r="AM87" s="6" t="inlineStr">
        <is>
          <t>Campo Fornecedor</t>
        </is>
      </c>
      <c r="AN87" s="6" t="inlineStr">
        <is>
          <t>Dados do Fornecedor</t>
        </is>
      </c>
      <c r="AO87" s="6" t="inlineStr">
        <is>
          <t>Sistêmico</t>
        </is>
      </c>
      <c r="AP87" s="6" t="inlineStr">
        <is>
          <t>GRUPO KONTIK</t>
        </is>
      </c>
      <c r="AQ87" s="6" t="inlineStr">
        <is>
          <t>Suporte Benner</t>
        </is>
      </c>
    </row>
    <row r="88">
      <c r="A88" s="6" t="n">
        <v>23378929</v>
      </c>
      <c r="B88" s="6" t="n">
        <v>24102671</v>
      </c>
      <c r="C88" s="6" t="inlineStr">
        <is>
          <t>ACC01</t>
        </is>
      </c>
      <c r="D88" s="58" t="n">
        <v>45985.4958449074</v>
      </c>
      <c r="E88" s="58" t="n">
        <v>45985.49605324074</v>
      </c>
      <c r="F88" s="6" t="inlineStr">
        <is>
          <t>0 a 02 dias</t>
        </is>
      </c>
      <c r="G88" s="6" t="inlineStr">
        <is>
          <t>0 a 02 dias</t>
        </is>
      </c>
      <c r="H88" s="6" t="inlineStr">
        <is>
          <t>UISMWTT</t>
        </is>
      </c>
      <c r="I88" s="6" t="inlineStr">
        <is>
          <t>SABRE</t>
        </is>
      </c>
      <c r="J88" s="6" t="inlineStr">
        <is>
          <t>MACHADO GODINHO/FRANCINE APARECIDA</t>
        </is>
      </c>
      <c r="K88" s="6" t="inlineStr">
        <is>
          <t>Valeria Domingues Cavalcante</t>
        </is>
      </c>
      <c r="L88" s="6" t="inlineStr">
        <is>
          <t>Valeria Domingues Cavalcante</t>
        </is>
      </c>
      <c r="M88" s="58" t="n">
        <v>45985.35416666666</v>
      </c>
      <c r="N88" s="6" t="inlineStr">
        <is>
          <t>EMAIL</t>
        </is>
      </c>
      <c r="O88" s="6" t="inlineStr">
        <is>
          <t>-</t>
        </is>
      </c>
      <c r="P88" s="6" t="inlineStr">
        <is>
          <t>OFF LINE</t>
        </is>
      </c>
      <c r="Q88" s="6" t="inlineStr">
        <is>
          <t>Invoice</t>
        </is>
      </c>
      <c r="R88" s="6" t="inlineStr">
        <is>
          <t>Faturado</t>
        </is>
      </c>
      <c r="S88" s="6" t="inlineStr">
        <is>
          <t>Hotel</t>
        </is>
      </c>
      <c r="T88" s="6" t="inlineStr">
        <is>
          <t>N</t>
        </is>
      </c>
      <c r="U88" s="6" t="inlineStr">
        <is>
          <t>Grupo Bosch</t>
        </is>
      </c>
      <c r="V88" s="6" t="inlineStr">
        <is>
          <t>Johnson Controls Hitachi Ar Condicionado do Brasil Ltda</t>
        </is>
      </c>
      <c r="W88" s="6" t="inlineStr">
        <is>
          <t>-</t>
        </is>
      </c>
      <c r="X88" s="6" t="inlineStr">
        <is>
          <t>-</t>
        </is>
      </c>
      <c r="Y88" s="6" t="inlineStr">
        <is>
          <t>-</t>
        </is>
      </c>
      <c r="Z88" s="6" t="inlineStr">
        <is>
          <t>FCM-OPE-SAO-PVI-BOSCH</t>
        </is>
      </c>
      <c r="AA88" s="6" t="inlineStr">
        <is>
          <t>-</t>
        </is>
      </c>
      <c r="AB88" s="6" t="n">
        <v>1682.01</v>
      </c>
      <c r="AC88" s="6" t="n">
        <v>0</v>
      </c>
      <c r="AD88" s="6" t="n">
        <v>0</v>
      </c>
      <c r="AE88" s="6" t="n">
        <v>0</v>
      </c>
      <c r="AF88" s="6" t="n">
        <v>0</v>
      </c>
      <c r="AG88" s="6" t="n">
        <v>0</v>
      </c>
      <c r="AH88" s="6" t="n">
        <v>0</v>
      </c>
      <c r="AI88" s="6" t="inlineStr">
        <is>
          <t>Reserva importada por HubTravel</t>
        </is>
      </c>
      <c r="AJ88" s="6" t="inlineStr">
        <is>
          <t>Fornecedor não preenchido! (ACC01)</t>
        </is>
      </c>
      <c r="AK88" s="6" t="inlineStr">
        <is>
          <t>SABRE</t>
        </is>
      </c>
      <c r="AL88" s="6" t="inlineStr">
        <is>
          <t>Falta de Fornecedor</t>
        </is>
      </c>
      <c r="AM88" s="6" t="inlineStr">
        <is>
          <t>Campo Fornecedor</t>
        </is>
      </c>
      <c r="AN88" s="6" t="inlineStr">
        <is>
          <t>Dados do Fornecedor</t>
        </is>
      </c>
      <c r="AO88" s="6" t="inlineStr">
        <is>
          <t>Qualidade dos dados</t>
        </is>
      </c>
      <c r="AP88" s="6" t="inlineStr">
        <is>
          <t>KONTIK BUSINESS TRAVEL</t>
        </is>
      </c>
      <c r="AQ88" s="6" t="inlineStr">
        <is>
          <t>Suporte KCS</t>
        </is>
      </c>
    </row>
    <row r="89">
      <c r="A89" s="6" t="n">
        <v>23349294</v>
      </c>
      <c r="B89" s="6" t="n">
        <v>24076730</v>
      </c>
      <c r="C89" s="6" t="inlineStr">
        <is>
          <t>ACC01</t>
        </is>
      </c>
      <c r="D89" s="58" t="n">
        <v>45979.73356481481</v>
      </c>
      <c r="E89" s="58" t="n">
        <v>45979.73408564815</v>
      </c>
      <c r="F89" s="6" t="inlineStr">
        <is>
          <t>06 a 08 dias</t>
        </is>
      </c>
      <c r="G89" s="6" t="inlineStr">
        <is>
          <t>06 a 08 dias</t>
        </is>
      </c>
      <c r="H89" s="6" t="inlineStr">
        <is>
          <t>GWJOSXT</t>
        </is>
      </c>
      <c r="I89" s="6" t="inlineStr">
        <is>
          <t>SABRE</t>
        </is>
      </c>
      <c r="J89" s="6" t="inlineStr">
        <is>
          <t>APARECIDA DOS SANTOS/JAQUELINE</t>
        </is>
      </c>
      <c r="K89" s="6" t="inlineStr">
        <is>
          <t>Valeria Domingues Cavalcante</t>
        </is>
      </c>
      <c r="L89" s="6" t="inlineStr">
        <is>
          <t>Valeria Domingues Cavalcante</t>
        </is>
      </c>
      <c r="M89" s="58" t="n">
        <v>45979.60555555556</v>
      </c>
      <c r="N89" s="6" t="inlineStr">
        <is>
          <t>EMAIL</t>
        </is>
      </c>
      <c r="O89" s="6" t="inlineStr">
        <is>
          <t>-</t>
        </is>
      </c>
      <c r="P89" s="6" t="inlineStr">
        <is>
          <t>OFF LINE</t>
        </is>
      </c>
      <c r="Q89" s="6" t="inlineStr">
        <is>
          <t>Invoice</t>
        </is>
      </c>
      <c r="R89" s="6" t="inlineStr">
        <is>
          <t>Faturado</t>
        </is>
      </c>
      <c r="S89" s="6" t="inlineStr">
        <is>
          <t>Hotel</t>
        </is>
      </c>
      <c r="T89" s="6" t="inlineStr">
        <is>
          <t>N</t>
        </is>
      </c>
      <c r="U89" s="6" t="inlineStr">
        <is>
          <t>Grupo Bosch</t>
        </is>
      </c>
      <c r="V89" s="6" t="inlineStr">
        <is>
          <t>Johnson Controls Hitachi Ar Condicionado do Brasil Ltda</t>
        </is>
      </c>
      <c r="W89" s="6" t="inlineStr">
        <is>
          <t>-</t>
        </is>
      </c>
      <c r="X89" s="6" t="inlineStr">
        <is>
          <t>-</t>
        </is>
      </c>
      <c r="Y89" s="6" t="inlineStr">
        <is>
          <t>-</t>
        </is>
      </c>
      <c r="Z89" s="6" t="inlineStr">
        <is>
          <t>FCM-OPE-SAO-PVI-BOSCH</t>
        </is>
      </c>
      <c r="AA89" s="6" t="inlineStr">
        <is>
          <t>-</t>
        </is>
      </c>
      <c r="AB89" s="6" t="n">
        <v>4412.7</v>
      </c>
      <c r="AC89" s="6" t="n">
        <v>0</v>
      </c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0</v>
      </c>
      <c r="AI89" s="6" t="inlineStr">
        <is>
          <t>Reserva importada por HubTravel</t>
        </is>
      </c>
      <c r="AJ89" s="6" t="inlineStr">
        <is>
          <t>Fornecedor não preenchido! (ACC01)</t>
        </is>
      </c>
      <c r="AK89" s="6" t="inlineStr">
        <is>
          <t>SABRE</t>
        </is>
      </c>
      <c r="AL89" s="6" t="inlineStr">
        <is>
          <t>Falta de Fornecedor</t>
        </is>
      </c>
      <c r="AM89" s="6" t="inlineStr">
        <is>
          <t>Campo Fornecedor</t>
        </is>
      </c>
      <c r="AN89" s="6" t="inlineStr">
        <is>
          <t>Dados do Fornecedor</t>
        </is>
      </c>
      <c r="AO89" s="6" t="inlineStr">
        <is>
          <t>Qualidade dos dados</t>
        </is>
      </c>
      <c r="AP89" s="6" t="inlineStr">
        <is>
          <t>KONTIK BUSINESS TRAVEL</t>
        </is>
      </c>
      <c r="AQ89" s="6" t="inlineStr">
        <is>
          <t>Suporte KCS</t>
        </is>
      </c>
    </row>
    <row r="90">
      <c r="A90" s="6" t="n">
        <v>23328346</v>
      </c>
      <c r="B90" s="6" t="n">
        <v>24057897</v>
      </c>
      <c r="C90" s="6" t="inlineStr">
        <is>
          <t>ACC01</t>
        </is>
      </c>
      <c r="D90" s="58" t="n">
        <v>45975.87148148148</v>
      </c>
      <c r="E90" s="58" t="n">
        <v>45978.49737268518</v>
      </c>
      <c r="F90" s="6" t="inlineStr">
        <is>
          <t>06 a 08 dias</t>
        </is>
      </c>
      <c r="G90" s="6" t="inlineStr">
        <is>
          <t>09 a 15 dias</t>
        </is>
      </c>
      <c r="H90" s="6" t="inlineStr">
        <is>
          <t>ENLCWS</t>
        </is>
      </c>
      <c r="I90" s="6" t="inlineStr">
        <is>
          <t>SABRE</t>
        </is>
      </c>
      <c r="J90" s="6" t="inlineStr">
        <is>
          <t>HUELLER/ANDREAS</t>
        </is>
      </c>
      <c r="K90" s="6" t="inlineStr">
        <is>
          <t>Flavia Constanzi do Nascimento</t>
        </is>
      </c>
      <c r="L90" s="6" t="inlineStr">
        <is>
          <t>CT</t>
        </is>
      </c>
      <c r="M90" s="58" t="n">
        <v>45975</v>
      </c>
      <c r="N90" s="6" t="inlineStr">
        <is>
          <t>ENLCWS</t>
        </is>
      </c>
      <c r="O90" s="6" t="inlineStr">
        <is>
          <t>-</t>
        </is>
      </c>
      <c r="P90" s="6" t="inlineStr">
        <is>
          <t>ON LINE</t>
        </is>
      </c>
      <c r="Q90" s="6" t="inlineStr">
        <is>
          <t>Cartão de crédito</t>
        </is>
      </c>
      <c r="R90" s="6" t="inlineStr">
        <is>
          <t>Cartão AMEX</t>
        </is>
      </c>
      <c r="S90" s="6" t="inlineStr">
        <is>
          <t>Aéreo</t>
        </is>
      </c>
      <c r="T90" s="6" t="inlineStr">
        <is>
          <t>N</t>
        </is>
      </c>
      <c r="U90" s="6" t="inlineStr">
        <is>
          <t>Grupo Bosch</t>
        </is>
      </c>
      <c r="V90" s="6" t="inlineStr">
        <is>
          <t>Robert Bosch Limitada - 908a</t>
        </is>
      </c>
      <c r="W90" s="6" t="inlineStr">
        <is>
          <t>Cliente FEE no POS</t>
        </is>
      </c>
      <c r="X90" s="6" t="inlineStr">
        <is>
          <t>Lufthansa</t>
        </is>
      </c>
      <c r="Y90" s="6" t="n">
        <v>5580610877</v>
      </c>
      <c r="Z90" s="6" t="inlineStr">
        <is>
          <t>FCM-OPE-SAO-PVI-BOSCH</t>
        </is>
      </c>
      <c r="AA90" s="6" t="inlineStr">
        <is>
          <t>-</t>
        </is>
      </c>
      <c r="AB90" s="6" t="n">
        <v>5028.46</v>
      </c>
      <c r="AC90" s="6" t="n">
        <v>59.54</v>
      </c>
      <c r="AD90" s="6" t="n">
        <v>963.48</v>
      </c>
      <c r="AE90" s="6" t="n">
        <v>0</v>
      </c>
      <c r="AF90" s="6" t="n">
        <v>59.54</v>
      </c>
      <c r="AG90" s="6" t="n">
        <v>0</v>
      </c>
      <c r="AH90" s="6" t="n">
        <v>19.2</v>
      </c>
      <c r="AI90" s="6" t="inlineStr">
        <is>
          <t>Reserva importada por HubTravel</t>
        </is>
      </c>
      <c r="AJ90" s="6" t="inlineStr">
        <is>
          <t>9748659/6262832" possui uma transação de cartão efetivada</t>
        </is>
      </c>
      <c r="AK90" s="6" t="inlineStr">
        <is>
          <t>SABRE</t>
        </is>
      </c>
      <c r="AL90" s="6" t="inlineStr">
        <is>
          <t>Conciliação de Cartão</t>
        </is>
      </c>
      <c r="AM90" s="6" t="inlineStr">
        <is>
          <t>Financeiro Conciliado</t>
        </is>
      </c>
      <c r="AN90" s="6" t="inlineStr">
        <is>
          <t>Edição não Permitida</t>
        </is>
      </c>
      <c r="AO90" s="6" t="inlineStr">
        <is>
          <t>Qualidade dos dados</t>
        </is>
      </c>
      <c r="AP90" s="6" t="inlineStr">
        <is>
          <t>GRUPO KONTIK</t>
        </is>
      </c>
      <c r="AQ90" s="6" t="inlineStr">
        <is>
          <t>Central de Emissão</t>
        </is>
      </c>
    </row>
    <row r="91">
      <c r="A91" s="6" t="n">
        <v>23381457</v>
      </c>
      <c r="B91" s="6" t="n">
        <v>24105154</v>
      </c>
      <c r="C91" s="6" t="inlineStr">
        <is>
          <t>ACC01</t>
        </is>
      </c>
      <c r="D91" s="58" t="n">
        <v>45985.77424768519</v>
      </c>
      <c r="E91" s="58" t="n">
        <v>45985.77469907407</v>
      </c>
      <c r="F91" s="6" t="inlineStr">
        <is>
          <t>0 a 02 dias</t>
        </is>
      </c>
      <c r="G91" s="6" t="inlineStr">
        <is>
          <t>0 a 02 dias</t>
        </is>
      </c>
      <c r="H91" s="6" t="inlineStr">
        <is>
          <t>FECOJM</t>
        </is>
      </c>
      <c r="I91" s="6" t="inlineStr">
        <is>
          <t>SABRE</t>
        </is>
      </c>
      <c r="J91" s="6" t="inlineStr">
        <is>
          <t>PERATELLI/ANA CRISTINA</t>
        </is>
      </c>
      <c r="K91" s="6" t="inlineStr">
        <is>
          <t>WY</t>
        </is>
      </c>
      <c r="L91" s="6" t="inlineStr">
        <is>
          <t>WY</t>
        </is>
      </c>
      <c r="M91" s="58" t="n">
        <v>45985.59305555555</v>
      </c>
      <c r="N91" s="6" t="n">
        <v>4631489</v>
      </c>
      <c r="O91" s="6" t="inlineStr">
        <is>
          <t>-</t>
        </is>
      </c>
      <c r="P91" s="6" t="inlineStr">
        <is>
          <t>OFF LINE</t>
        </is>
      </c>
      <c r="Q91" s="6" t="inlineStr">
        <is>
          <t>Invoice</t>
        </is>
      </c>
      <c r="R91" s="6" t="inlineStr">
        <is>
          <t>Faturado</t>
        </is>
      </c>
      <c r="S91" s="6" t="inlineStr">
        <is>
          <t>Aéreo</t>
        </is>
      </c>
      <c r="T91" s="6" t="inlineStr">
        <is>
          <t>N</t>
        </is>
      </c>
      <c r="U91" s="6" t="inlineStr">
        <is>
          <t>Grupo Bosch</t>
        </is>
      </c>
      <c r="V91" s="6" t="inlineStr">
        <is>
          <t>Johnson Controls Hitachi Ar Condicionado do Brasil Ltda</t>
        </is>
      </c>
      <c r="W91" s="6" t="inlineStr">
        <is>
          <t>-</t>
        </is>
      </c>
      <c r="X91" s="6" t="inlineStr">
        <is>
          <t>Azul Linhas Aereas</t>
        </is>
      </c>
      <c r="Y91" s="6" t="n">
        <v>7700081351</v>
      </c>
      <c r="Z91" s="6" t="inlineStr">
        <is>
          <t>FCM-OPE-SAO-PVI-BOSCH</t>
        </is>
      </c>
      <c r="AA91" s="6" t="inlineStr">
        <is>
          <t>-</t>
        </is>
      </c>
      <c r="AB91" s="6" t="n">
        <v>0</v>
      </c>
      <c r="AC91" s="6" t="n">
        <v>0</v>
      </c>
      <c r="AD91" s="6" t="n">
        <v>0</v>
      </c>
      <c r="AE91" s="6" t="n">
        <v>0</v>
      </c>
      <c r="AF91" s="6" t="n">
        <v>0</v>
      </c>
      <c r="AG91" s="6" t="n">
        <v>0</v>
      </c>
      <c r="AH91" s="6" t="n">
        <v>0</v>
      </c>
      <c r="AI91" s="6" t="inlineStr">
        <is>
          <t>Reserva importada por HubTravel</t>
        </is>
      </c>
      <c r="AJ91" s="6" t="inlineStr">
        <is>
          <t>Tarifa mínima não preenchida! (ACC01)</t>
        </is>
      </c>
      <c r="AK91" s="6" t="inlineStr">
        <is>
          <t>SABRE</t>
        </is>
      </c>
      <c r="AL91" s="6" t="inlineStr">
        <is>
          <t>Tarifa mínima</t>
        </is>
      </c>
      <c r="AM91" s="6" t="inlineStr">
        <is>
          <t>Falta de informação Gerencial</t>
        </is>
      </c>
      <c r="AN91" s="6" t="inlineStr">
        <is>
          <t>Dados do Fornecedor</t>
        </is>
      </c>
      <c r="AO91" s="6" t="inlineStr">
        <is>
          <t>Qualidade dos dados</t>
        </is>
      </c>
      <c r="AP91" s="6" t="inlineStr">
        <is>
          <t>KONTIK BUSINESS TRAVEL</t>
        </is>
      </c>
      <c r="AQ91" s="6" t="inlineStr">
        <is>
          <t>Operações - FCM</t>
        </is>
      </c>
    </row>
    <row r="92">
      <c r="A92" s="6" t="n">
        <v>23381667</v>
      </c>
      <c r="B92" s="6" t="n">
        <v>24105347</v>
      </c>
      <c r="C92" s="6" t="inlineStr">
        <is>
          <t>ACC01</t>
        </is>
      </c>
      <c r="D92" s="58" t="n">
        <v>45985.81533564815</v>
      </c>
      <c r="E92" s="58" t="n">
        <v>45985.81649305556</v>
      </c>
      <c r="F92" s="6" t="inlineStr">
        <is>
          <t>0 a 02 dias</t>
        </is>
      </c>
      <c r="G92" s="6" t="inlineStr">
        <is>
          <t>0 a 02 dias</t>
        </is>
      </c>
      <c r="H92" s="6" t="inlineStr">
        <is>
          <t>ORNNWW</t>
        </is>
      </c>
      <c r="I92" s="6" t="inlineStr">
        <is>
          <t>SABRE</t>
        </is>
      </c>
      <c r="J92" s="6" t="inlineStr">
        <is>
          <t>ROBAINA/GERSON</t>
        </is>
      </c>
      <c r="K92" s="6" t="inlineStr">
        <is>
          <t>WY</t>
        </is>
      </c>
      <c r="L92" s="6" t="inlineStr">
        <is>
          <t>WY</t>
        </is>
      </c>
      <c r="M92" s="58" t="n">
        <v>45985.64027777778</v>
      </c>
      <c r="N92" s="6" t="inlineStr">
        <is>
          <t>EMAIL-4631548</t>
        </is>
      </c>
      <c r="O92" s="6" t="inlineStr">
        <is>
          <t>-</t>
        </is>
      </c>
      <c r="P92" s="6" t="inlineStr">
        <is>
          <t>OFF LINE</t>
        </is>
      </c>
      <c r="Q92" s="6" t="inlineStr">
        <is>
          <t>Invoice</t>
        </is>
      </c>
      <c r="R92" s="6" t="inlineStr">
        <is>
          <t>Faturado</t>
        </is>
      </c>
      <c r="S92" s="6" t="inlineStr">
        <is>
          <t>Aéreo</t>
        </is>
      </c>
      <c r="T92" s="6" t="inlineStr">
        <is>
          <t>N</t>
        </is>
      </c>
      <c r="U92" s="6" t="inlineStr">
        <is>
          <t>Grupo Bosch</t>
        </is>
      </c>
      <c r="V92" s="6" t="inlineStr">
        <is>
          <t>Johnson Controls Hitachi Ar Condicionado do Brasil Ltda</t>
        </is>
      </c>
      <c r="W92" s="6" t="inlineStr">
        <is>
          <t>-</t>
        </is>
      </c>
      <c r="X92" s="6" t="inlineStr">
        <is>
          <t>Azul Linhas Aereas</t>
        </is>
      </c>
      <c r="Y92" s="6" t="n">
        <v>7700081354</v>
      </c>
      <c r="Z92" s="6" t="inlineStr">
        <is>
          <t>FCM-OPE-SAO-PVI-BOSCH</t>
        </is>
      </c>
      <c r="AA92" s="6" t="inlineStr">
        <is>
          <t>-</t>
        </is>
      </c>
      <c r="AB92" s="6" t="n">
        <v>0</v>
      </c>
      <c r="AC92" s="6" t="n">
        <v>0</v>
      </c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0</v>
      </c>
      <c r="AI92" s="6" t="inlineStr">
        <is>
          <t>Reserva importada por HubTravel</t>
        </is>
      </c>
      <c r="AJ92" s="6" t="inlineStr">
        <is>
          <t>Tarifa mínima não preenchida! (ACC01)</t>
        </is>
      </c>
      <c r="AK92" s="6" t="inlineStr">
        <is>
          <t>SABRE</t>
        </is>
      </c>
      <c r="AL92" s="6" t="inlineStr">
        <is>
          <t>Tarifa mínima</t>
        </is>
      </c>
      <c r="AM92" s="6" t="inlineStr">
        <is>
          <t>Falta de informação Gerencial</t>
        </is>
      </c>
      <c r="AN92" s="6" t="inlineStr">
        <is>
          <t>Dados do Fornecedor</t>
        </is>
      </c>
      <c r="AO92" s="6" t="inlineStr">
        <is>
          <t>Qualidade dos dados</t>
        </is>
      </c>
      <c r="AP92" s="6" t="inlineStr">
        <is>
          <t>KONTIK BUSINESS TRAVEL</t>
        </is>
      </c>
      <c r="AQ92" s="6" t="inlineStr">
        <is>
          <t>Operações - FCM</t>
        </is>
      </c>
    </row>
    <row r="93">
      <c r="A93" s="6" t="n">
        <v>23381381</v>
      </c>
      <c r="B93" s="6" t="n">
        <v>24105085</v>
      </c>
      <c r="C93" s="6" t="inlineStr">
        <is>
          <t>ACC01</t>
        </is>
      </c>
      <c r="D93" s="58" t="n">
        <v>45985.7603125</v>
      </c>
      <c r="E93" s="58" t="n">
        <v>45985.76109953703</v>
      </c>
      <c r="F93" s="6" t="inlineStr">
        <is>
          <t>0 a 02 dias</t>
        </is>
      </c>
      <c r="G93" s="6" t="inlineStr">
        <is>
          <t>0 a 02 dias</t>
        </is>
      </c>
      <c r="H93" s="6" t="inlineStr">
        <is>
          <t>MKUTHR</t>
        </is>
      </c>
      <c r="I93" s="6" t="inlineStr">
        <is>
          <t>SABRE</t>
        </is>
      </c>
      <c r="J93" s="6" t="inlineStr">
        <is>
          <t>AKEMI SHINOZAKI/GISELLE</t>
        </is>
      </c>
      <c r="K93" s="6" t="inlineStr">
        <is>
          <t>WY</t>
        </is>
      </c>
      <c r="L93" s="6" t="inlineStr">
        <is>
          <t>WY</t>
        </is>
      </c>
      <c r="M93" s="58" t="n">
        <v>45985.58680555555</v>
      </c>
      <c r="N93" s="6" t="n">
        <v>4631482</v>
      </c>
      <c r="O93" s="6" t="inlineStr">
        <is>
          <t>-</t>
        </is>
      </c>
      <c r="P93" s="6" t="inlineStr">
        <is>
          <t>ON LINE</t>
        </is>
      </c>
      <c r="Q93" s="6" t="inlineStr">
        <is>
          <t>Invoice</t>
        </is>
      </c>
      <c r="R93" s="6" t="inlineStr">
        <is>
          <t>Faturado</t>
        </is>
      </c>
      <c r="S93" s="6" t="inlineStr">
        <is>
          <t>Aéreo</t>
        </is>
      </c>
      <c r="T93" s="6" t="inlineStr">
        <is>
          <t>N</t>
        </is>
      </c>
      <c r="U93" s="6" t="inlineStr">
        <is>
          <t>Grupo Bosch</t>
        </is>
      </c>
      <c r="V93" s="6" t="inlineStr">
        <is>
          <t>Johnson Controls Hitachi Ar Condicionado do Brasil Ltda</t>
        </is>
      </c>
      <c r="W93" s="6" t="inlineStr">
        <is>
          <t>-</t>
        </is>
      </c>
      <c r="X93" s="6" t="inlineStr">
        <is>
          <t>Azul Linhas Aereas</t>
        </is>
      </c>
      <c r="Y93" s="6" t="n">
        <v>7700081350</v>
      </c>
      <c r="Z93" s="6" t="inlineStr">
        <is>
          <t>FCM-OPE-SAO-PVI-BOSCH</t>
        </is>
      </c>
      <c r="AA93" s="6" t="inlineStr">
        <is>
          <t>-</t>
        </is>
      </c>
      <c r="AB93" s="6" t="n">
        <v>0</v>
      </c>
      <c r="AC93" s="6" t="n">
        <v>0</v>
      </c>
      <c r="AD93" s="6" t="n">
        <v>0</v>
      </c>
      <c r="AE93" s="6" t="n">
        <v>0</v>
      </c>
      <c r="AF93" s="6" t="n">
        <v>0</v>
      </c>
      <c r="AG93" s="6" t="n">
        <v>0</v>
      </c>
      <c r="AH93" s="6" t="n">
        <v>0</v>
      </c>
      <c r="AI93" s="6" t="inlineStr">
        <is>
          <t>Reserva importada por HubTravel</t>
        </is>
      </c>
      <c r="AJ93" s="6" t="inlineStr">
        <is>
          <t>Tarifa mínima não preenchida! (ACC01)</t>
        </is>
      </c>
      <c r="AK93" s="6" t="inlineStr">
        <is>
          <t>SABRE</t>
        </is>
      </c>
      <c r="AL93" s="6" t="inlineStr">
        <is>
          <t>Tarifa mínima</t>
        </is>
      </c>
      <c r="AM93" s="6" t="inlineStr">
        <is>
          <t>Falta de informação Gerencial</t>
        </is>
      </c>
      <c r="AN93" s="6" t="inlineStr">
        <is>
          <t>Dados do Fornecedor</t>
        </is>
      </c>
      <c r="AO93" s="6" t="inlineStr">
        <is>
          <t>Qualidade dos dados</t>
        </is>
      </c>
      <c r="AP93" s="6" t="inlineStr">
        <is>
          <t>KONTIK BUSINESS TRAVEL</t>
        </is>
      </c>
      <c r="AQ93" s="6" t="inlineStr">
        <is>
          <t>Operações - FCM</t>
        </is>
      </c>
    </row>
    <row r="94">
      <c r="A94" s="6" t="n">
        <v>23203709</v>
      </c>
      <c r="B94" s="6" t="n">
        <v>23939935</v>
      </c>
      <c r="C94" s="6" t="inlineStr">
        <is>
          <t>ACC01</t>
        </is>
      </c>
      <c r="D94" s="58" t="n">
        <v>45957.68391203704</v>
      </c>
      <c r="E94" s="58" t="n">
        <v>45957.6846412037</v>
      </c>
      <c r="F94" s="59" t="inlineStr">
        <is>
          <t>24 a 31 dias</t>
        </is>
      </c>
      <c r="G94" s="59" t="inlineStr">
        <is>
          <t>24 a 31 dias</t>
        </is>
      </c>
      <c r="H94" s="6" t="n">
        <v>20587875</v>
      </c>
      <c r="I94" s="6" t="inlineStr">
        <is>
          <t>GOVER</t>
        </is>
      </c>
      <c r="J94" s="6" t="inlineStr">
        <is>
          <t>Paulo Sergio Rodrigues</t>
        </is>
      </c>
      <c r="K94" s="6" t="inlineStr">
        <is>
          <t>RAYSSA MARTINS FERREIRA</t>
        </is>
      </c>
      <c r="L94" s="6" t="inlineStr">
        <is>
          <t>RAYSSA MARTINS FERREIRA</t>
        </is>
      </c>
      <c r="M94" s="58" t="n">
        <v>45957</v>
      </c>
      <c r="N94" s="6" t="n">
        <v>4619116</v>
      </c>
      <c r="O94" s="6" t="inlineStr">
        <is>
          <t>-</t>
        </is>
      </c>
      <c r="P94" s="6" t="inlineStr">
        <is>
          <t>OFF LINE</t>
        </is>
      </c>
      <c r="Q94" s="6" t="inlineStr">
        <is>
          <t>Cartão de crédito</t>
        </is>
      </c>
      <c r="R94" s="6" t="inlineStr">
        <is>
          <t>Cartão de crédito</t>
        </is>
      </c>
      <c r="S94" s="6" t="inlineStr">
        <is>
          <t>Hotel</t>
        </is>
      </c>
      <c r="T94" s="6" t="inlineStr">
        <is>
          <t>N</t>
        </is>
      </c>
      <c r="U94" s="6" t="inlineStr">
        <is>
          <t>Grupo Intercement</t>
        </is>
      </c>
      <c r="V94" s="6" t="inlineStr">
        <is>
          <t>Intercement Nacoes Unidas</t>
        </is>
      </c>
      <c r="W94" s="6" t="inlineStr">
        <is>
          <t>-</t>
        </is>
      </c>
      <c r="X94" s="6" t="inlineStr">
        <is>
          <t>-</t>
        </is>
      </c>
      <c r="Y94" s="6" t="inlineStr">
        <is>
          <t>-</t>
        </is>
      </c>
      <c r="Z94" s="6" t="inlineStr">
        <is>
          <t>KON-OPE-SAO-PVI-MOVER</t>
        </is>
      </c>
      <c r="AA94" s="6" t="inlineStr">
        <is>
          <t>-</t>
        </is>
      </c>
      <c r="AB94" s="6" t="n">
        <v>319</v>
      </c>
      <c r="AC94" s="6" t="n">
        <v>0</v>
      </c>
      <c r="AD94" s="6" t="n">
        <v>0</v>
      </c>
      <c r="AE94" s="6" t="n">
        <v>0</v>
      </c>
      <c r="AF94" s="6" t="n">
        <v>0</v>
      </c>
      <c r="AG94" s="6" t="n">
        <v>0</v>
      </c>
      <c r="AH94" s="6" t="n">
        <v>0</v>
      </c>
      <c r="AI94" s="6" t="inlineStr">
        <is>
          <t>Reserva importada do sistema Gover. Id: 4619116</t>
        </is>
      </c>
      <c r="AJ94" s="6" t="inlineStr">
        <is>
          <t>Fornecedor não preenchido! (ACC01)</t>
        </is>
      </c>
      <c r="AK94" s="6" t="inlineStr">
        <is>
          <t>GOVER</t>
        </is>
      </c>
      <c r="AL94" s="6" t="inlineStr">
        <is>
          <t>Falta de Fornecedor</t>
        </is>
      </c>
      <c r="AM94" s="6" t="inlineStr">
        <is>
          <t>Campo Fornecedor</t>
        </is>
      </c>
      <c r="AN94" s="6" t="inlineStr">
        <is>
          <t>Dados do Fornecedor</t>
        </is>
      </c>
      <c r="AO94" s="6" t="inlineStr">
        <is>
          <t>Sistêmico</t>
        </is>
      </c>
      <c r="AP94" s="6" t="inlineStr">
        <is>
          <t>GRUPO KONTIK</t>
        </is>
      </c>
      <c r="AQ94" s="6" t="inlineStr">
        <is>
          <t>Suporte Benner</t>
        </is>
      </c>
    </row>
    <row r="95">
      <c r="A95" s="6" t="n">
        <v>23338393</v>
      </c>
      <c r="B95" s="6" t="n">
        <v>24066186</v>
      </c>
      <c r="C95" s="6" t="inlineStr">
        <is>
          <t>ACC01</t>
        </is>
      </c>
      <c r="D95" s="58" t="n">
        <v>45978.39231481482</v>
      </c>
      <c r="E95" s="58" t="n">
        <v>45978.39337962963</v>
      </c>
      <c r="F95" s="6" t="inlineStr">
        <is>
          <t>06 a 08 dias</t>
        </is>
      </c>
      <c r="G95" s="6" t="inlineStr">
        <is>
          <t>06 a 08 dias</t>
        </is>
      </c>
      <c r="H95" s="6" t="n">
        <v>20859966</v>
      </c>
      <c r="I95" s="6" t="inlineStr">
        <is>
          <t>GOVER</t>
        </is>
      </c>
      <c r="J95" s="6" t="inlineStr">
        <is>
          <t>Ederson Belo da Silva</t>
        </is>
      </c>
      <c r="K95" s="6" t="inlineStr">
        <is>
          <t>Marcos de Oliveira Miklos</t>
        </is>
      </c>
      <c r="L95" s="6" t="inlineStr">
        <is>
          <t>Marcos de Oliveira Miklos</t>
        </is>
      </c>
      <c r="M95" s="58" t="n">
        <v>45976</v>
      </c>
      <c r="N95" s="6" t="n">
        <v>4628585</v>
      </c>
      <c r="O95" s="6" t="inlineStr">
        <is>
          <t>-</t>
        </is>
      </c>
      <c r="P95" s="6" t="inlineStr">
        <is>
          <t>OFF LINE</t>
        </is>
      </c>
      <c r="Q95" s="6" t="inlineStr">
        <is>
          <t>Cartão de crédito</t>
        </is>
      </c>
      <c r="R95" s="6" t="inlineStr">
        <is>
          <t>Cartão de crédito</t>
        </is>
      </c>
      <c r="S95" s="6" t="inlineStr">
        <is>
          <t>Hotel</t>
        </is>
      </c>
      <c r="T95" s="6" t="inlineStr">
        <is>
          <t>N</t>
        </is>
      </c>
      <c r="U95" s="6" t="inlineStr">
        <is>
          <t>Grupo Intercement</t>
        </is>
      </c>
      <c r="V95" s="6" t="inlineStr">
        <is>
          <t>Intercement Nacoes Unidas</t>
        </is>
      </c>
      <c r="W95" s="6" t="inlineStr">
        <is>
          <t>-</t>
        </is>
      </c>
      <c r="X95" s="6" t="inlineStr">
        <is>
          <t>-</t>
        </is>
      </c>
      <c r="Y95" s="6" t="inlineStr">
        <is>
          <t>-</t>
        </is>
      </c>
      <c r="Z95" s="6" t="inlineStr">
        <is>
          <t>KON-OPE-SAO-PVI-MOVER</t>
        </is>
      </c>
      <c r="AA95" s="6" t="inlineStr">
        <is>
          <t>-</t>
        </is>
      </c>
      <c r="AB95" s="6" t="n">
        <v>357.5</v>
      </c>
      <c r="AC95" s="6" t="n">
        <v>0</v>
      </c>
      <c r="AD95" s="6" t="n">
        <v>0</v>
      </c>
      <c r="AE95" s="6" t="n">
        <v>0</v>
      </c>
      <c r="AF95" s="6" t="n">
        <v>0</v>
      </c>
      <c r="AG95" s="6" t="n">
        <v>0</v>
      </c>
      <c r="AH95" s="6" t="n">
        <v>0</v>
      </c>
      <c r="AI95" s="6" t="inlineStr">
        <is>
          <t>Reserva importada do sistema Gover. Id: 4628585</t>
        </is>
      </c>
      <c r="AJ95" s="6" t="inlineStr">
        <is>
          <t>Fornecedor não preenchido! (ACC01)</t>
        </is>
      </c>
      <c r="AK95" s="6" t="inlineStr">
        <is>
          <t>GOVER</t>
        </is>
      </c>
      <c r="AL95" s="6" t="inlineStr">
        <is>
          <t>Falta de Fornecedor</t>
        </is>
      </c>
      <c r="AM95" s="6" t="inlineStr">
        <is>
          <t>Campo Fornecedor</t>
        </is>
      </c>
      <c r="AN95" s="6" t="inlineStr">
        <is>
          <t>Dados do Fornecedor</t>
        </is>
      </c>
      <c r="AO95" s="6" t="inlineStr">
        <is>
          <t>Sistêmico</t>
        </is>
      </c>
      <c r="AP95" s="6" t="inlineStr">
        <is>
          <t>GRUPO KONTIK</t>
        </is>
      </c>
      <c r="AQ95" s="6" t="inlineStr">
        <is>
          <t>Suporte Benner</t>
        </is>
      </c>
    </row>
    <row r="96">
      <c r="A96" s="6" t="n">
        <v>23346303</v>
      </c>
      <c r="B96" s="6" t="n">
        <v>24073606</v>
      </c>
      <c r="C96" s="6" t="inlineStr">
        <is>
          <t>ACC01</t>
        </is>
      </c>
      <c r="D96" s="58" t="n">
        <v>45979.45473379629</v>
      </c>
      <c r="E96" s="58" t="n">
        <v>45979.45494212963</v>
      </c>
      <c r="F96" s="6" t="inlineStr">
        <is>
          <t>06 a 08 dias</t>
        </is>
      </c>
      <c r="G96" s="6" t="inlineStr">
        <is>
          <t>06 a 08 dias</t>
        </is>
      </c>
      <c r="H96" s="6" t="n">
        <v>5192565</v>
      </c>
      <c r="I96" s="6" t="inlineStr">
        <is>
          <t>GOVER</t>
        </is>
      </c>
      <c r="J96" s="6" t="inlineStr">
        <is>
          <t>Wilson Perussi Okiyama</t>
        </is>
      </c>
      <c r="K96" s="6" t="inlineStr">
        <is>
          <t>Rafaela Leitao Oliveira</t>
        </is>
      </c>
      <c r="L96" s="6" t="inlineStr">
        <is>
          <t>Rafaela Leitao Oliveira</t>
        </is>
      </c>
      <c r="M96" s="58" t="n">
        <v>45979</v>
      </c>
      <c r="N96" s="6" t="n">
        <v>4627784</v>
      </c>
      <c r="O96" s="6" t="inlineStr">
        <is>
          <t>-</t>
        </is>
      </c>
      <c r="P96" s="6" t="inlineStr">
        <is>
          <t>OFF LINE</t>
        </is>
      </c>
      <c r="Q96" s="6" t="inlineStr">
        <is>
          <t>Invoice</t>
        </is>
      </c>
      <c r="R96" s="6" t="inlineStr">
        <is>
          <t>Faturado</t>
        </is>
      </c>
      <c r="S96" s="6" t="inlineStr">
        <is>
          <t>Hotel</t>
        </is>
      </c>
      <c r="T96" s="6" t="inlineStr">
        <is>
          <t>N</t>
        </is>
      </c>
      <c r="U96" s="6" t="inlineStr">
        <is>
          <t>Grupo Intercement</t>
        </is>
      </c>
      <c r="V96" s="6" t="inlineStr">
        <is>
          <t>Intercement Nacoes Unidas</t>
        </is>
      </c>
      <c r="W96" s="6" t="inlineStr">
        <is>
          <t>-</t>
        </is>
      </c>
      <c r="X96" s="6" t="inlineStr">
        <is>
          <t>-</t>
        </is>
      </c>
      <c r="Y96" s="6" t="inlineStr">
        <is>
          <t>-</t>
        </is>
      </c>
      <c r="Z96" s="6" t="inlineStr">
        <is>
          <t>KON-OPE-SAO-PVI-MOVER</t>
        </is>
      </c>
      <c r="AA96" s="6" t="inlineStr">
        <is>
          <t>-</t>
        </is>
      </c>
      <c r="AB96" s="6" t="n">
        <v>240</v>
      </c>
      <c r="AC96" s="6" t="n">
        <v>0</v>
      </c>
      <c r="AD96" s="6" t="n">
        <v>0</v>
      </c>
      <c r="AE96" s="6" t="n">
        <v>0</v>
      </c>
      <c r="AF96" s="6" t="n">
        <v>0</v>
      </c>
      <c r="AG96" s="6" t="n">
        <v>0</v>
      </c>
      <c r="AH96" s="6" t="n">
        <v>0</v>
      </c>
      <c r="AI96" s="6" t="inlineStr">
        <is>
          <t>Reserva importada do sistema Gover. Id: 4627784</t>
        </is>
      </c>
      <c r="AJ96" s="6" t="inlineStr">
        <is>
          <t>Fornecedor não preenchido! (ACC01)</t>
        </is>
      </c>
      <c r="AK96" s="6" t="inlineStr">
        <is>
          <t>GOVER</t>
        </is>
      </c>
      <c r="AL96" s="6" t="inlineStr">
        <is>
          <t>Falta de Fornecedor</t>
        </is>
      </c>
      <c r="AM96" s="6" t="inlineStr">
        <is>
          <t>Campo Fornecedor</t>
        </is>
      </c>
      <c r="AN96" s="6" t="inlineStr">
        <is>
          <t>Dados do Fornecedor</t>
        </is>
      </c>
      <c r="AO96" s="6" t="inlineStr">
        <is>
          <t>Sistêmico</t>
        </is>
      </c>
      <c r="AP96" s="6" t="inlineStr">
        <is>
          <t>GRUPO KONTIK</t>
        </is>
      </c>
      <c r="AQ96" s="6" t="inlineStr">
        <is>
          <t>Suporte Benner</t>
        </is>
      </c>
    </row>
    <row r="97">
      <c r="A97" s="6" t="n">
        <v>23263086</v>
      </c>
      <c r="B97" s="6" t="n">
        <v>23995554</v>
      </c>
      <c r="C97" s="6" t="inlineStr">
        <is>
          <t>ACC01</t>
        </is>
      </c>
      <c r="D97" s="58" t="n">
        <v>45966.62458333333</v>
      </c>
      <c r="E97" s="58" t="n">
        <v>45966.75438657407</v>
      </c>
      <c r="F97" s="59" t="inlineStr">
        <is>
          <t>16 a 23 dias</t>
        </is>
      </c>
      <c r="G97" s="59" t="inlineStr">
        <is>
          <t>16 a 23 dias</t>
        </is>
      </c>
      <c r="H97" s="6" t="n">
        <v>20713368</v>
      </c>
      <c r="I97" s="6" t="inlineStr">
        <is>
          <t>GOVER</t>
        </is>
      </c>
      <c r="J97" s="6" t="inlineStr">
        <is>
          <t>JEFFERSON ALVES DE CASTRO</t>
        </is>
      </c>
      <c r="K97" s="6" t="inlineStr">
        <is>
          <t>Gover</t>
        </is>
      </c>
      <c r="L97" s="6" t="inlineStr">
        <is>
          <t>Gover</t>
        </is>
      </c>
      <c r="M97" s="58" t="n">
        <v>45966.41458333333</v>
      </c>
      <c r="N97" s="6" t="n">
        <v>4623846</v>
      </c>
      <c r="O97" s="6" t="inlineStr">
        <is>
          <t>-</t>
        </is>
      </c>
      <c r="P97" s="6" t="inlineStr">
        <is>
          <t>ON LINE</t>
        </is>
      </c>
      <c r="Q97" s="6" t="inlineStr">
        <is>
          <t>Cartão de crédito</t>
        </is>
      </c>
      <c r="R97" s="6" t="inlineStr">
        <is>
          <t>Cartão de crédito</t>
        </is>
      </c>
      <c r="S97" s="6" t="inlineStr">
        <is>
          <t>Hotel</t>
        </is>
      </c>
      <c r="T97" s="6" t="inlineStr">
        <is>
          <t>N</t>
        </is>
      </c>
      <c r="U97" s="6" t="inlineStr">
        <is>
          <t>Grupo Intercement</t>
        </is>
      </c>
      <c r="V97" s="6" t="inlineStr">
        <is>
          <t>Intercement Nacoes Unidas</t>
        </is>
      </c>
      <c r="W97" s="6" t="inlineStr">
        <is>
          <t>-</t>
        </is>
      </c>
      <c r="X97" s="6" t="inlineStr">
        <is>
          <t>-</t>
        </is>
      </c>
      <c r="Y97" s="6" t="inlineStr">
        <is>
          <t>-</t>
        </is>
      </c>
      <c r="Z97" s="6" t="inlineStr">
        <is>
          <t>KON-OPE-SAO-PVI-MOVER</t>
        </is>
      </c>
      <c r="AA97" s="6" t="inlineStr">
        <is>
          <t>-</t>
        </is>
      </c>
      <c r="AB97" s="6" t="n">
        <v>598</v>
      </c>
      <c r="AC97" s="6" t="n">
        <v>0</v>
      </c>
      <c r="AD97" s="6" t="n">
        <v>0</v>
      </c>
      <c r="AE97" s="6" t="n">
        <v>0</v>
      </c>
      <c r="AF97" s="6" t="n">
        <v>0</v>
      </c>
      <c r="AG97" s="6" t="n">
        <v>0</v>
      </c>
      <c r="AH97" s="6" t="n">
        <v>0</v>
      </c>
      <c r="AI97" s="6" t="inlineStr">
        <is>
          <t>Reserva importada do sistema Gover. Id: 4623846</t>
        </is>
      </c>
      <c r="AJ97" s="6" t="inlineStr">
        <is>
          <t>Fornecedor não preenchido! (ACC01)</t>
        </is>
      </c>
      <c r="AK97" s="6" t="inlineStr">
        <is>
          <t>GOVER</t>
        </is>
      </c>
      <c r="AL97" s="6" t="inlineStr">
        <is>
          <t>Falta de Fornecedor</t>
        </is>
      </c>
      <c r="AM97" s="6" t="inlineStr">
        <is>
          <t>Campo Fornecedor</t>
        </is>
      </c>
      <c r="AN97" s="6" t="inlineStr">
        <is>
          <t>Dados do Fornecedor</t>
        </is>
      </c>
      <c r="AO97" s="6" t="inlineStr">
        <is>
          <t>Sistêmico</t>
        </is>
      </c>
      <c r="AP97" s="6" t="inlineStr">
        <is>
          <t>GRUPO KONTIK</t>
        </is>
      </c>
      <c r="AQ97" s="6" t="inlineStr">
        <is>
          <t>Suporte Benner</t>
        </is>
      </c>
    </row>
    <row r="98">
      <c r="A98" s="6" t="n">
        <v>23226223</v>
      </c>
      <c r="B98" s="6" t="n">
        <v>23961297</v>
      </c>
      <c r="C98" s="6" t="inlineStr">
        <is>
          <t>ACC01</t>
        </is>
      </c>
      <c r="D98" s="58" t="n">
        <v>45960.81622685185</v>
      </c>
      <c r="E98" s="58" t="n">
        <v>45960.81662037037</v>
      </c>
      <c r="F98" s="59" t="inlineStr">
        <is>
          <t>24 a 31 dias</t>
        </is>
      </c>
      <c r="G98" s="59" t="inlineStr">
        <is>
          <t>24 a 31 dias</t>
        </is>
      </c>
      <c r="H98" s="6" t="n">
        <v>20647077</v>
      </c>
      <c r="I98" s="6" t="inlineStr">
        <is>
          <t>GOVER</t>
        </is>
      </c>
      <c r="J98" s="6" t="inlineStr">
        <is>
          <t>Wilson Perussi  Okiyama</t>
        </is>
      </c>
      <c r="K98" s="6" t="inlineStr">
        <is>
          <t>Gover</t>
        </is>
      </c>
      <c r="L98" s="6" t="inlineStr">
        <is>
          <t>Gover</t>
        </is>
      </c>
      <c r="M98" s="58" t="n">
        <v>45960.74930555555</v>
      </c>
      <c r="N98" s="6" t="n">
        <v>4621398</v>
      </c>
      <c r="O98" s="6" t="inlineStr">
        <is>
          <t>-</t>
        </is>
      </c>
      <c r="P98" s="6" t="inlineStr">
        <is>
          <t>ON LINE</t>
        </is>
      </c>
      <c r="Q98" s="6" t="inlineStr">
        <is>
          <t>Cartão de crédito</t>
        </is>
      </c>
      <c r="R98" s="6" t="inlineStr">
        <is>
          <t>Cartão de crédito</t>
        </is>
      </c>
      <c r="S98" s="6" t="inlineStr">
        <is>
          <t>Hotel</t>
        </is>
      </c>
      <c r="T98" s="6" t="inlineStr">
        <is>
          <t>N</t>
        </is>
      </c>
      <c r="U98" s="6" t="inlineStr">
        <is>
          <t>Grupo Intercement</t>
        </is>
      </c>
      <c r="V98" s="6" t="inlineStr">
        <is>
          <t>Intercement Nacoes Unidas</t>
        </is>
      </c>
      <c r="W98" s="6" t="inlineStr">
        <is>
          <t>-</t>
        </is>
      </c>
      <c r="X98" s="6" t="inlineStr">
        <is>
          <t>-</t>
        </is>
      </c>
      <c r="Y98" s="6" t="inlineStr">
        <is>
          <t>-</t>
        </is>
      </c>
      <c r="Z98" s="6" t="inlineStr">
        <is>
          <t>KON-OPE-SAO-PVI-MOVER</t>
        </is>
      </c>
      <c r="AA98" s="6" t="inlineStr">
        <is>
          <t>-</t>
        </is>
      </c>
      <c r="AB98" s="6" t="n">
        <v>149.5</v>
      </c>
      <c r="AC98" s="6" t="n">
        <v>0</v>
      </c>
      <c r="AD98" s="6" t="n">
        <v>0</v>
      </c>
      <c r="AE98" s="6" t="n">
        <v>0</v>
      </c>
      <c r="AF98" s="6" t="n">
        <v>0</v>
      </c>
      <c r="AG98" s="6" t="n">
        <v>0</v>
      </c>
      <c r="AH98" s="6" t="n">
        <v>0</v>
      </c>
      <c r="AI98" s="6" t="inlineStr">
        <is>
          <t>Reserva importada do sistema Gover. Id: 4621398</t>
        </is>
      </c>
      <c r="AJ98" s="6" t="inlineStr">
        <is>
          <t>Fornecedor não preenchido! (ACC01)</t>
        </is>
      </c>
      <c r="AK98" s="6" t="inlineStr">
        <is>
          <t>GOVER</t>
        </is>
      </c>
      <c r="AL98" s="6" t="inlineStr">
        <is>
          <t>Falta de Fornecedor</t>
        </is>
      </c>
      <c r="AM98" s="6" t="inlineStr">
        <is>
          <t>Campo Fornecedor</t>
        </is>
      </c>
      <c r="AN98" s="6" t="inlineStr">
        <is>
          <t>Dados do Fornecedor</t>
        </is>
      </c>
      <c r="AO98" s="6" t="inlineStr">
        <is>
          <t>Sistêmico</t>
        </is>
      </c>
      <c r="AP98" s="6" t="inlineStr">
        <is>
          <t>GRUPO KONTIK</t>
        </is>
      </c>
      <c r="AQ98" s="6" t="inlineStr">
        <is>
          <t>Suporte Benner</t>
        </is>
      </c>
    </row>
    <row r="99">
      <c r="A99" s="6" t="n">
        <v>23226222</v>
      </c>
      <c r="B99" s="6" t="n">
        <v>23961296</v>
      </c>
      <c r="C99" s="6" t="inlineStr">
        <is>
          <t>ACC01</t>
        </is>
      </c>
      <c r="D99" s="58" t="n">
        <v>45960.81621527778</v>
      </c>
      <c r="E99" s="58" t="n">
        <v>45960.81662037037</v>
      </c>
      <c r="F99" s="59" t="inlineStr">
        <is>
          <t>24 a 31 dias</t>
        </is>
      </c>
      <c r="G99" s="59" t="inlineStr">
        <is>
          <t>24 a 31 dias</t>
        </is>
      </c>
      <c r="H99" s="6" t="n">
        <v>20647002</v>
      </c>
      <c r="I99" s="6" t="inlineStr">
        <is>
          <t>GOVER</t>
        </is>
      </c>
      <c r="J99" s="6" t="inlineStr">
        <is>
          <t>Wilson Perussi  Okiyama</t>
        </is>
      </c>
      <c r="K99" s="6" t="inlineStr">
        <is>
          <t>Gover</t>
        </is>
      </c>
      <c r="L99" s="6" t="inlineStr">
        <is>
          <t>Gover</t>
        </is>
      </c>
      <c r="M99" s="58" t="n">
        <v>45960.74722222222</v>
      </c>
      <c r="N99" s="6" t="n">
        <v>4621395</v>
      </c>
      <c r="O99" s="6" t="inlineStr">
        <is>
          <t>-</t>
        </is>
      </c>
      <c r="P99" s="6" t="inlineStr">
        <is>
          <t>ON LINE</t>
        </is>
      </c>
      <c r="Q99" s="6" t="inlineStr">
        <is>
          <t>Cartão de crédito</t>
        </is>
      </c>
      <c r="R99" s="6" t="inlineStr">
        <is>
          <t>Cartão de crédito</t>
        </is>
      </c>
      <c r="S99" s="6" t="inlineStr">
        <is>
          <t>Hotel</t>
        </is>
      </c>
      <c r="T99" s="6" t="inlineStr">
        <is>
          <t>N</t>
        </is>
      </c>
      <c r="U99" s="6" t="inlineStr">
        <is>
          <t>Grupo Intercement</t>
        </is>
      </c>
      <c r="V99" s="6" t="inlineStr">
        <is>
          <t>Intercement Nacoes Unidas</t>
        </is>
      </c>
      <c r="W99" s="6" t="inlineStr">
        <is>
          <t>-</t>
        </is>
      </c>
      <c r="X99" s="6" t="inlineStr">
        <is>
          <t>-</t>
        </is>
      </c>
      <c r="Y99" s="6" t="inlineStr">
        <is>
          <t>-</t>
        </is>
      </c>
      <c r="Z99" s="6" t="inlineStr">
        <is>
          <t>KON-OPE-SAO-PVI-MOVER</t>
        </is>
      </c>
      <c r="AA99" s="6" t="inlineStr">
        <is>
          <t>-</t>
        </is>
      </c>
      <c r="AB99" s="6" t="n">
        <v>690</v>
      </c>
      <c r="AC99" s="6" t="n">
        <v>34.5</v>
      </c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0</v>
      </c>
      <c r="AI99" s="6" t="inlineStr">
        <is>
          <t>Reserva importada do sistema Gover. Id: 4621395</t>
        </is>
      </c>
      <c r="AJ99" s="6" t="inlineStr">
        <is>
          <t>Fornecedor não preenchido! (ACC01)</t>
        </is>
      </c>
      <c r="AK99" s="6" t="inlineStr">
        <is>
          <t>GOVER</t>
        </is>
      </c>
      <c r="AL99" s="6" t="inlineStr">
        <is>
          <t>Falta de Fornecedor</t>
        </is>
      </c>
      <c r="AM99" s="6" t="inlineStr">
        <is>
          <t>Campo Fornecedor</t>
        </is>
      </c>
      <c r="AN99" s="6" t="inlineStr">
        <is>
          <t>Dados do Fornecedor</t>
        </is>
      </c>
      <c r="AO99" s="6" t="inlineStr">
        <is>
          <t>Sistêmico</t>
        </is>
      </c>
      <c r="AP99" s="6" t="inlineStr">
        <is>
          <t>GRUPO KONTIK</t>
        </is>
      </c>
      <c r="AQ99" s="6" t="inlineStr">
        <is>
          <t>Suporte Benner</t>
        </is>
      </c>
    </row>
    <row r="100">
      <c r="A100" s="6" t="n">
        <v>23204725</v>
      </c>
      <c r="B100" s="6" t="n">
        <v>23941038</v>
      </c>
      <c r="C100" s="6" t="inlineStr">
        <is>
          <t>ACC01</t>
        </is>
      </c>
      <c r="D100" s="58" t="n">
        <v>45957.80273148148</v>
      </c>
      <c r="E100" s="58" t="n">
        <v>45957.80670138889</v>
      </c>
      <c r="F100" s="59" t="inlineStr">
        <is>
          <t>24 a 31 dias</t>
        </is>
      </c>
      <c r="G100" s="59" t="inlineStr">
        <is>
          <t>24 a 31 dias</t>
        </is>
      </c>
      <c r="H100" s="6" t="n">
        <v>20575541</v>
      </c>
      <c r="I100" s="6" t="inlineStr">
        <is>
          <t>GOVER</t>
        </is>
      </c>
      <c r="J100" s="6" t="inlineStr">
        <is>
          <t>THALES HENRIQUE TORRES DE ALMEIDA</t>
        </is>
      </c>
      <c r="K100" s="6" t="inlineStr">
        <is>
          <t>Gover</t>
        </is>
      </c>
      <c r="L100" s="6" t="inlineStr">
        <is>
          <t>Gover</t>
        </is>
      </c>
      <c r="M100" s="58" t="n">
        <v>45957.40208333333</v>
      </c>
      <c r="N100" s="6" t="n">
        <v>4618951</v>
      </c>
      <c r="O100" s="6" t="inlineStr">
        <is>
          <t>-</t>
        </is>
      </c>
      <c r="P100" s="6" t="inlineStr">
        <is>
          <t>ON LINE</t>
        </is>
      </c>
      <c r="Q100" s="6" t="inlineStr">
        <is>
          <t>Cartão de crédito</t>
        </is>
      </c>
      <c r="R100" s="6" t="inlineStr">
        <is>
          <t>Cartão de crédito</t>
        </is>
      </c>
      <c r="S100" s="6" t="inlineStr">
        <is>
          <t>Hotel</t>
        </is>
      </c>
      <c r="T100" s="6" t="inlineStr">
        <is>
          <t>N</t>
        </is>
      </c>
      <c r="U100" s="6" t="inlineStr">
        <is>
          <t>Grupo Intercement</t>
        </is>
      </c>
      <c r="V100" s="6" t="inlineStr">
        <is>
          <t>Intercement Nacoes Unidas</t>
        </is>
      </c>
      <c r="W100" s="6" t="inlineStr">
        <is>
          <t>-</t>
        </is>
      </c>
      <c r="X100" s="6" t="inlineStr">
        <is>
          <t>-</t>
        </is>
      </c>
      <c r="Y100" s="6" t="inlineStr">
        <is>
          <t>-</t>
        </is>
      </c>
      <c r="Z100" s="6" t="inlineStr">
        <is>
          <t>KON-OPE-SAO-PVI-MOVER</t>
        </is>
      </c>
      <c r="AA100" s="6" t="inlineStr">
        <is>
          <t>-</t>
        </is>
      </c>
      <c r="AB100" s="6" t="n">
        <v>598</v>
      </c>
      <c r="AC100" s="6" t="n">
        <v>0</v>
      </c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0</v>
      </c>
      <c r="AI100" s="6" t="inlineStr">
        <is>
          <t>Reserva importada do sistema Gover. Id: 4618951</t>
        </is>
      </c>
      <c r="AJ100" s="6" t="inlineStr">
        <is>
          <t>Fornecedor não preenchido! (ACC01)</t>
        </is>
      </c>
      <c r="AK100" s="6" t="inlineStr">
        <is>
          <t>GOVER</t>
        </is>
      </c>
      <c r="AL100" s="6" t="inlineStr">
        <is>
          <t>Falta de Fornecedor</t>
        </is>
      </c>
      <c r="AM100" s="6" t="inlineStr">
        <is>
          <t>Campo Fornecedor</t>
        </is>
      </c>
      <c r="AN100" s="6" t="inlineStr">
        <is>
          <t>Dados do Fornecedor</t>
        </is>
      </c>
      <c r="AO100" s="6" t="inlineStr">
        <is>
          <t>Sistêmico</t>
        </is>
      </c>
      <c r="AP100" s="6" t="inlineStr">
        <is>
          <t>GRUPO KONTIK</t>
        </is>
      </c>
      <c r="AQ100" s="6" t="inlineStr">
        <is>
          <t>Suporte Benner</t>
        </is>
      </c>
    </row>
    <row r="101">
      <c r="A101" s="6" t="n">
        <v>23331587</v>
      </c>
      <c r="B101" s="6" t="n">
        <v>24060549</v>
      </c>
      <c r="C101" s="6" t="inlineStr">
        <is>
          <t>ACC01</t>
        </is>
      </c>
      <c r="D101" s="58" t="n">
        <v>45976.66255787037</v>
      </c>
      <c r="E101" s="58" t="n">
        <v>45976.67790509259</v>
      </c>
      <c r="F101" s="6" t="inlineStr">
        <is>
          <t>09 a 15 dias</t>
        </is>
      </c>
      <c r="G101" s="6" t="inlineStr">
        <is>
          <t>09 a 15 dias</t>
        </is>
      </c>
      <c r="H101" s="6" t="inlineStr">
        <is>
          <t>HFUTNY</t>
        </is>
      </c>
      <c r="I101" s="6" t="inlineStr">
        <is>
          <t>GOVER</t>
        </is>
      </c>
      <c r="J101" s="6" t="inlineStr">
        <is>
          <t>Ederson Belo da Silva</t>
        </is>
      </c>
      <c r="K101" s="6" t="inlineStr">
        <is>
          <t>Gover</t>
        </is>
      </c>
      <c r="L101" s="6" t="inlineStr">
        <is>
          <t>Gover</t>
        </is>
      </c>
      <c r="M101" s="58" t="n">
        <v>45976.34097222222</v>
      </c>
      <c r="N101" s="6" t="n">
        <v>4628581</v>
      </c>
      <c r="O101" s="6" t="inlineStr">
        <is>
          <t>-</t>
        </is>
      </c>
      <c r="P101" s="6" t="inlineStr">
        <is>
          <t>ON LINE</t>
        </is>
      </c>
      <c r="Q101" s="6" t="inlineStr">
        <is>
          <t>Cartão de crédito</t>
        </is>
      </c>
      <c r="R101" s="6" t="inlineStr">
        <is>
          <t>Cartão AMEX</t>
        </is>
      </c>
      <c r="S101" s="6" t="inlineStr">
        <is>
          <t>Aéreo</t>
        </is>
      </c>
      <c r="T101" s="6" t="inlineStr">
        <is>
          <t>N</t>
        </is>
      </c>
      <c r="U101" s="6" t="inlineStr">
        <is>
          <t>Grupo Intercement</t>
        </is>
      </c>
      <c r="V101" s="6" t="inlineStr">
        <is>
          <t>Intercement Nacoes Unidas</t>
        </is>
      </c>
      <c r="W101" s="6" t="inlineStr">
        <is>
          <t>-</t>
        </is>
      </c>
      <c r="X101" s="6" t="inlineStr">
        <is>
          <t>Azul Linhas Aereas</t>
        </is>
      </c>
      <c r="Y101" s="6" t="n">
        <v>3024060548</v>
      </c>
      <c r="Z101" s="6" t="inlineStr">
        <is>
          <t>-</t>
        </is>
      </c>
      <c r="AA101" s="6" t="inlineStr">
        <is>
          <t>-</t>
        </is>
      </c>
      <c r="AB101" s="6" t="n">
        <v>0</v>
      </c>
      <c r="AC101" s="6" t="n">
        <v>0</v>
      </c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0</v>
      </c>
      <c r="AI101" s="6" t="inlineStr">
        <is>
          <t>Reserva importada do sistema Gover. Id: 4628581</t>
        </is>
      </c>
      <c r="AJ101" s="6" t="inlineStr">
        <is>
          <t>Accouting aérea não possui trechos (Bilhete: 3024060548)</t>
        </is>
      </c>
      <c r="AK101" s="6" t="inlineStr">
        <is>
          <t>GOVER</t>
        </is>
      </c>
      <c r="AL101" s="6" t="inlineStr">
        <is>
          <t>Falta informação nos trechos</t>
        </is>
      </c>
      <c r="AM101" s="6" t="inlineStr">
        <is>
          <t>Atualização de Trechos</t>
        </is>
      </c>
      <c r="AN101" s="6" t="inlineStr">
        <is>
          <t>Dados do Fornecedor</t>
        </is>
      </c>
      <c r="AO101" s="6" t="inlineStr">
        <is>
          <t>Qualidade dos dados</t>
        </is>
      </c>
      <c r="AP101" s="6" t="inlineStr">
        <is>
          <t>KONTIK BUSINESS TRAVEL</t>
        </is>
      </c>
      <c r="AQ101" s="6" t="inlineStr">
        <is>
          <t>Suporte KCS</t>
        </is>
      </c>
    </row>
    <row r="102">
      <c r="A102" s="6" t="n">
        <v>23300751</v>
      </c>
      <c r="B102" s="6" t="n">
        <v>24031381</v>
      </c>
      <c r="C102" s="6" t="inlineStr">
        <is>
          <t>ACC01</t>
        </is>
      </c>
      <c r="D102" s="58" t="n">
        <v>45972.34356481482</v>
      </c>
      <c r="E102" s="58" t="n">
        <v>45972.34414351852</v>
      </c>
      <c r="F102" s="6" t="inlineStr">
        <is>
          <t>09 a 15 dias</t>
        </is>
      </c>
      <c r="G102" s="6" t="inlineStr">
        <is>
          <t>09 a 15 dias</t>
        </is>
      </c>
      <c r="H102" s="6" t="n">
        <v>20789396</v>
      </c>
      <c r="I102" s="6" t="inlineStr">
        <is>
          <t>GOVER</t>
        </is>
      </c>
      <c r="J102" s="6" t="inlineStr">
        <is>
          <t>Auro Augusto Baier</t>
        </is>
      </c>
      <c r="K102" s="6" t="inlineStr">
        <is>
          <t>Wilson Jose Araujo de Gusmao Junior</t>
        </is>
      </c>
      <c r="L102" s="6" t="inlineStr">
        <is>
          <t>Wilson Jose Araujo de Gusmao Junior</t>
        </is>
      </c>
      <c r="M102" s="58" t="n">
        <v>45972.34027777778</v>
      </c>
      <c r="N102" s="6" t="n">
        <v>4625715</v>
      </c>
      <c r="O102" s="6" t="inlineStr">
        <is>
          <t>-</t>
        </is>
      </c>
      <c r="P102" s="6" t="inlineStr">
        <is>
          <t>OFF LINE</t>
        </is>
      </c>
      <c r="Q102" s="6" t="inlineStr">
        <is>
          <t>Cartão de crédito</t>
        </is>
      </c>
      <c r="R102" s="6" t="inlineStr">
        <is>
          <t>Cartão de crédito</t>
        </is>
      </c>
      <c r="S102" s="6" t="inlineStr">
        <is>
          <t>Hotel</t>
        </is>
      </c>
      <c r="T102" s="6" t="inlineStr">
        <is>
          <t>N</t>
        </is>
      </c>
      <c r="U102" s="6" t="inlineStr">
        <is>
          <t>Grupo Intercement</t>
        </is>
      </c>
      <c r="V102" s="6" t="inlineStr">
        <is>
          <t>Intercement Nacoes Unidas</t>
        </is>
      </c>
      <c r="W102" s="6" t="inlineStr">
        <is>
          <t>-</t>
        </is>
      </c>
      <c r="X102" s="6" t="inlineStr">
        <is>
          <t>-</t>
        </is>
      </c>
      <c r="Y102" s="6" t="inlineStr">
        <is>
          <t>-</t>
        </is>
      </c>
      <c r="Z102" s="6" t="inlineStr">
        <is>
          <t>KON-OPE-SAO-PVI-MOVER</t>
        </is>
      </c>
      <c r="AA102" s="6" t="inlineStr">
        <is>
          <t>-</t>
        </is>
      </c>
      <c r="AB102" s="6" t="n">
        <v>460</v>
      </c>
      <c r="AC102" s="6" t="n">
        <v>13.8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inlineStr">
        <is>
          <t>Reserva importada do sistema Gover. Id: 4625715</t>
        </is>
      </c>
      <c r="AJ102" s="6" t="inlineStr">
        <is>
          <t>Fornecedor não preenchido! (ACC01)</t>
        </is>
      </c>
      <c r="AK102" s="6" t="inlineStr">
        <is>
          <t>GOVER</t>
        </is>
      </c>
      <c r="AL102" s="6" t="inlineStr">
        <is>
          <t>Falta de Fornecedor</t>
        </is>
      </c>
      <c r="AM102" s="6" t="inlineStr">
        <is>
          <t>Campo Fornecedor</t>
        </is>
      </c>
      <c r="AN102" s="6" t="inlineStr">
        <is>
          <t>Dados do Fornecedor</t>
        </is>
      </c>
      <c r="AO102" s="6" t="inlineStr">
        <is>
          <t>Sistêmico</t>
        </is>
      </c>
      <c r="AP102" s="6" t="inlineStr">
        <is>
          <t>GRUPO KONTIK</t>
        </is>
      </c>
      <c r="AQ102" s="6" t="inlineStr">
        <is>
          <t>Suporte Benner</t>
        </is>
      </c>
    </row>
    <row r="103">
      <c r="A103" s="6" t="n">
        <v>23331588</v>
      </c>
      <c r="B103" s="6" t="n">
        <v>24060550</v>
      </c>
      <c r="C103" s="6" t="inlineStr">
        <is>
          <t>ACC01</t>
        </is>
      </c>
      <c r="D103" s="58" t="n">
        <v>45976.66256944444</v>
      </c>
      <c r="E103" s="58" t="n">
        <v>45976.67791666667</v>
      </c>
      <c r="F103" s="6" t="inlineStr">
        <is>
          <t>09 a 15 dias</t>
        </is>
      </c>
      <c r="G103" s="6" t="inlineStr">
        <is>
          <t>09 a 15 dias</t>
        </is>
      </c>
      <c r="H103" s="6" t="inlineStr">
        <is>
          <t>VGYL6Y</t>
        </is>
      </c>
      <c r="I103" s="6" t="inlineStr">
        <is>
          <t>GOVER</t>
        </is>
      </c>
      <c r="J103" s="6" t="inlineStr">
        <is>
          <t>Antero  Alves Neto</t>
        </is>
      </c>
      <c r="K103" s="6" t="inlineStr">
        <is>
          <t>Gover</t>
        </is>
      </c>
      <c r="L103" s="6" t="inlineStr">
        <is>
          <t>Gover</t>
        </is>
      </c>
      <c r="M103" s="58" t="n">
        <v>45976.5125</v>
      </c>
      <c r="N103" s="6" t="n">
        <v>4628641</v>
      </c>
      <c r="O103" s="6" t="inlineStr">
        <is>
          <t>-</t>
        </is>
      </c>
      <c r="P103" s="6" t="inlineStr">
        <is>
          <t>ON LINE</t>
        </is>
      </c>
      <c r="Q103" s="6" t="inlineStr">
        <is>
          <t>Cartão de crédito</t>
        </is>
      </c>
      <c r="R103" s="6" t="inlineStr">
        <is>
          <t>Cartão AMEX</t>
        </is>
      </c>
      <c r="S103" s="6" t="inlineStr">
        <is>
          <t>Aéreo</t>
        </is>
      </c>
      <c r="T103" s="6" t="inlineStr">
        <is>
          <t>N</t>
        </is>
      </c>
      <c r="U103" s="6" t="inlineStr">
        <is>
          <t>Grupo Intercement</t>
        </is>
      </c>
      <c r="V103" s="6" t="inlineStr">
        <is>
          <t>Intercement Nacoes Unidas</t>
        </is>
      </c>
      <c r="W103" s="6" t="inlineStr">
        <is>
          <t>-</t>
        </is>
      </c>
      <c r="X103" s="6" t="inlineStr">
        <is>
          <t>Azul Linhas Aereas</t>
        </is>
      </c>
      <c r="Y103" s="6" t="n">
        <v>3024060549</v>
      </c>
      <c r="Z103" s="6" t="inlineStr">
        <is>
          <t>KON-OPE-SAO-PVI-MOVER</t>
        </is>
      </c>
      <c r="AA103" s="6" t="inlineStr">
        <is>
          <t>-</t>
        </is>
      </c>
      <c r="AB103" s="6" t="n">
        <v>0</v>
      </c>
      <c r="AC103" s="6" t="n">
        <v>0</v>
      </c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0</v>
      </c>
      <c r="AI103" s="6" t="inlineStr">
        <is>
          <t>Reserva importada do sistema Gover. Id: 4628641</t>
        </is>
      </c>
      <c r="AJ103" s="6" t="inlineStr">
        <is>
          <t>Accouting aérea não possui trechos (Bilhete: 3024060549)</t>
        </is>
      </c>
      <c r="AK103" s="6" t="inlineStr">
        <is>
          <t>GOVER</t>
        </is>
      </c>
      <c r="AL103" s="6" t="inlineStr">
        <is>
          <t>Falta informação nos trechos</t>
        </is>
      </c>
      <c r="AM103" s="6" t="inlineStr">
        <is>
          <t>Atualização de Trechos</t>
        </is>
      </c>
      <c r="AN103" s="6" t="inlineStr">
        <is>
          <t>Dados do Fornecedor</t>
        </is>
      </c>
      <c r="AO103" s="6" t="inlineStr">
        <is>
          <t>Qualidade dos dados</t>
        </is>
      </c>
      <c r="AP103" s="6" t="inlineStr">
        <is>
          <t>KONTIK BUSINESS TRAVEL</t>
        </is>
      </c>
      <c r="AQ103" s="6" t="inlineStr">
        <is>
          <t>Suporte KCS</t>
        </is>
      </c>
    </row>
    <row r="104">
      <c r="A104" s="6" t="n">
        <v>23381112</v>
      </c>
      <c r="B104" s="6" t="n">
        <v>24104830</v>
      </c>
      <c r="C104" s="6" t="inlineStr">
        <is>
          <t>ACC01</t>
        </is>
      </c>
      <c r="D104" s="58" t="n">
        <v>45985.72699074074</v>
      </c>
      <c r="E104" s="58" t="n">
        <v>45985.92761574074</v>
      </c>
      <c r="F104" s="6" t="inlineStr">
        <is>
          <t>0 a 02 dias</t>
        </is>
      </c>
      <c r="G104" s="6" t="inlineStr">
        <is>
          <t>0 a 02 dias</t>
        </is>
      </c>
      <c r="H104" s="6" t="inlineStr">
        <is>
          <t>5U3NIW</t>
        </is>
      </c>
      <c r="I104" s="6" t="inlineStr">
        <is>
          <t>TMS</t>
        </is>
      </c>
      <c r="J104" s="6" t="inlineStr">
        <is>
          <t>GUILHERME PIRES</t>
        </is>
      </c>
      <c r="K104" s="6" t="inlineStr">
        <is>
          <t>Tms</t>
        </is>
      </c>
      <c r="L104" s="6" t="inlineStr">
        <is>
          <t>Tms</t>
        </is>
      </c>
      <c r="M104" s="58" t="n">
        <v>45985.62916666667</v>
      </c>
      <c r="N104" s="6" t="n">
        <v>15133</v>
      </c>
      <c r="O104" s="6" t="inlineStr">
        <is>
          <t>Curitiba / CWB</t>
        </is>
      </c>
      <c r="P104" s="6" t="inlineStr">
        <is>
          <t>ON LINE</t>
        </is>
      </c>
      <c r="Q104" s="6" t="inlineStr">
        <is>
          <t>Invoice</t>
        </is>
      </c>
      <c r="R104" s="6" t="inlineStr">
        <is>
          <t>Faturado</t>
        </is>
      </c>
      <c r="S104" s="6" t="inlineStr">
        <is>
          <t>Carro</t>
        </is>
      </c>
      <c r="T104" s="6" t="inlineStr">
        <is>
          <t>N</t>
        </is>
      </c>
      <c r="U104" s="6" t="inlineStr">
        <is>
          <t>Grupo Braskem</t>
        </is>
      </c>
      <c r="V104" s="6" t="inlineStr">
        <is>
          <t>Braskem - Camacari</t>
        </is>
      </c>
      <c r="W104" s="6" t="inlineStr">
        <is>
          <t>-</t>
        </is>
      </c>
      <c r="X104" s="6" t="inlineStr">
        <is>
          <t>-</t>
        </is>
      </c>
      <c r="Y104" s="6" t="inlineStr">
        <is>
          <t>-</t>
        </is>
      </c>
      <c r="Z104" s="6" t="inlineStr">
        <is>
          <t>KON-OPE-SAO-PVI-BRASKEM</t>
        </is>
      </c>
      <c r="AA104" s="6" t="inlineStr">
        <is>
          <t>-</t>
        </is>
      </c>
      <c r="AB104" s="6" t="n">
        <v>177.11</v>
      </c>
      <c r="AC104" s="6" t="n">
        <v>0</v>
      </c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0</v>
      </c>
      <c r="AI104" s="6" t="inlineStr">
        <is>
          <t>Reserva importada do Sistema TMS. OS: 15133</t>
        </is>
      </c>
      <c r="AJ104" s="6" t="inlineStr">
        <is>
          <t>Fornecedor não preenchido! (ACC01)</t>
        </is>
      </c>
      <c r="AK104" s="6" t="inlineStr">
        <is>
          <t>ARGO(TMS)</t>
        </is>
      </c>
      <c r="AL104" s="6" t="inlineStr">
        <is>
          <t>Falta de Fornecedor</t>
        </is>
      </c>
      <c r="AM104" s="6" t="inlineStr">
        <is>
          <t>Campo Fornecedor</t>
        </is>
      </c>
      <c r="AN104" s="6" t="inlineStr">
        <is>
          <t>Dados do Fornecedor</t>
        </is>
      </c>
      <c r="AO104" s="6" t="inlineStr">
        <is>
          <t>Qualidade dos dados</t>
        </is>
      </c>
      <c r="AP104" s="6" t="inlineStr">
        <is>
          <t>KONTIK BUSINESS TRAVEL</t>
        </is>
      </c>
      <c r="AQ104" s="6" t="inlineStr">
        <is>
          <t>Suporte KCS</t>
        </is>
      </c>
    </row>
    <row r="105">
      <c r="A105" s="6" t="n">
        <v>23381113</v>
      </c>
      <c r="B105" s="6" t="n">
        <v>24104831</v>
      </c>
      <c r="C105" s="6" t="inlineStr">
        <is>
          <t>ACC01</t>
        </is>
      </c>
      <c r="D105" s="58" t="n">
        <v>45985.72701388889</v>
      </c>
      <c r="E105" s="58" t="n">
        <v>45985.81412037037</v>
      </c>
      <c r="F105" s="6" t="inlineStr">
        <is>
          <t>0 a 02 dias</t>
        </is>
      </c>
      <c r="G105" s="6" t="inlineStr">
        <is>
          <t>0 a 02 dias</t>
        </is>
      </c>
      <c r="H105" s="6" t="inlineStr">
        <is>
          <t>5URL8S</t>
        </is>
      </c>
      <c r="I105" s="6" t="inlineStr">
        <is>
          <t>TMS</t>
        </is>
      </c>
      <c r="J105" s="6" t="inlineStr">
        <is>
          <t>GUILHERME PIRES</t>
        </is>
      </c>
      <c r="K105" s="6" t="inlineStr">
        <is>
          <t>Tms</t>
        </is>
      </c>
      <c r="L105" s="6" t="inlineStr">
        <is>
          <t>Tms</t>
        </is>
      </c>
      <c r="M105" s="58" t="n">
        <v>45985.62638888889</v>
      </c>
      <c r="N105" s="6" t="n">
        <v>15132</v>
      </c>
      <c r="O105" s="6" t="inlineStr">
        <is>
          <t>Londrina / LDB</t>
        </is>
      </c>
      <c r="P105" s="6" t="inlineStr">
        <is>
          <t>ON LINE</t>
        </is>
      </c>
      <c r="Q105" s="6" t="inlineStr">
        <is>
          <t>Invoice</t>
        </is>
      </c>
      <c r="R105" s="6" t="inlineStr">
        <is>
          <t>Faturado</t>
        </is>
      </c>
      <c r="S105" s="6" t="inlineStr">
        <is>
          <t>Carro</t>
        </is>
      </c>
      <c r="T105" s="6" t="inlineStr">
        <is>
          <t>N</t>
        </is>
      </c>
      <c r="U105" s="6" t="inlineStr">
        <is>
          <t>Grupo Braskem</t>
        </is>
      </c>
      <c r="V105" s="6" t="inlineStr">
        <is>
          <t>Braskem - Camacari</t>
        </is>
      </c>
      <c r="W105" s="6" t="inlineStr">
        <is>
          <t>-</t>
        </is>
      </c>
      <c r="X105" s="6" t="inlineStr">
        <is>
          <t>-</t>
        </is>
      </c>
      <c r="Y105" s="6" t="inlineStr">
        <is>
          <t>-</t>
        </is>
      </c>
      <c r="Z105" s="6" t="inlineStr">
        <is>
          <t>KON-OPE-SAO-PVI-BRASKEM</t>
        </is>
      </c>
      <c r="AA105" s="6" t="inlineStr">
        <is>
          <t>-</t>
        </is>
      </c>
      <c r="AB105" s="6" t="n">
        <v>593.12</v>
      </c>
      <c r="AC105" s="6" t="n">
        <v>0</v>
      </c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inlineStr">
        <is>
          <t>Reserva importada do Sistema TMS. OS: 15132</t>
        </is>
      </c>
      <c r="AJ105" s="6" t="inlineStr">
        <is>
          <t>Fornecedor não preenchido! (ACC01)</t>
        </is>
      </c>
      <c r="AK105" s="6" t="inlineStr">
        <is>
          <t>ARGO(TMS)</t>
        </is>
      </c>
      <c r="AL105" s="6" t="inlineStr">
        <is>
          <t>Falta de Fornecedor</t>
        </is>
      </c>
      <c r="AM105" s="6" t="inlineStr">
        <is>
          <t>Campo Fornecedor</t>
        </is>
      </c>
      <c r="AN105" s="6" t="inlineStr">
        <is>
          <t>Dados do Fornecedor</t>
        </is>
      </c>
      <c r="AO105" s="6" t="inlineStr">
        <is>
          <t>Qualidade dos dados</t>
        </is>
      </c>
      <c r="AP105" s="6" t="inlineStr">
        <is>
          <t>KONTIK BUSINESS TRAVEL</t>
        </is>
      </c>
      <c r="AQ105" s="6" t="inlineStr">
        <is>
          <t>Suporte KCS</t>
        </is>
      </c>
    </row>
    <row r="106">
      <c r="A106" s="6" t="n">
        <v>23378671</v>
      </c>
      <c r="B106" s="6" t="n">
        <v>24102436</v>
      </c>
      <c r="C106" s="6" t="inlineStr">
        <is>
          <t>ACC01</t>
        </is>
      </c>
      <c r="D106" s="58" t="n">
        <v>45985.44898148148</v>
      </c>
      <c r="E106" s="58" t="n">
        <v>45985.92744212963</v>
      </c>
      <c r="F106" s="6" t="inlineStr">
        <is>
          <t>0 a 02 dias</t>
        </is>
      </c>
      <c r="G106" s="6" t="inlineStr">
        <is>
          <t>0 a 02 dias</t>
        </is>
      </c>
      <c r="H106" s="6" t="inlineStr">
        <is>
          <t>5UTMPX</t>
        </is>
      </c>
      <c r="I106" s="6" t="inlineStr">
        <is>
          <t>TMS</t>
        </is>
      </c>
      <c r="J106" s="6" t="inlineStr">
        <is>
          <t>VANESSA BOUZA</t>
        </is>
      </c>
      <c r="K106" s="6" t="inlineStr">
        <is>
          <t>Tms</t>
        </is>
      </c>
      <c r="L106" s="6" t="inlineStr">
        <is>
          <t>Tms</t>
        </is>
      </c>
      <c r="M106" s="58" t="n">
        <v>45985.37013888889</v>
      </c>
      <c r="N106" s="6" t="n">
        <v>15104</v>
      </c>
      <c r="O106" s="6" t="inlineStr">
        <is>
          <t>-</t>
        </is>
      </c>
      <c r="P106" s="6" t="inlineStr">
        <is>
          <t>ON LINE</t>
        </is>
      </c>
      <c r="Q106" s="6" t="inlineStr">
        <is>
          <t>Cartão de crédito</t>
        </is>
      </c>
      <c r="R106" s="6" t="inlineStr">
        <is>
          <t>Cartão de crédito</t>
        </is>
      </c>
      <c r="S106" s="6" t="inlineStr">
        <is>
          <t>Hotel</t>
        </is>
      </c>
      <c r="T106" s="6" t="inlineStr">
        <is>
          <t>N</t>
        </is>
      </c>
      <c r="U106" s="6" t="inlineStr">
        <is>
          <t>Grupo Braskem</t>
        </is>
      </c>
      <c r="V106" s="6" t="inlineStr">
        <is>
          <t>Braskem - Camacari</t>
        </is>
      </c>
      <c r="W106" s="6" t="inlineStr">
        <is>
          <t>-</t>
        </is>
      </c>
      <c r="X106" s="6" t="inlineStr">
        <is>
          <t>-</t>
        </is>
      </c>
      <c r="Y106" s="6" t="inlineStr">
        <is>
          <t>-</t>
        </is>
      </c>
      <c r="Z106" s="6" t="inlineStr">
        <is>
          <t>KON-OPE-SAO-PVI-BRASKEM</t>
        </is>
      </c>
      <c r="AA106" s="6" t="inlineStr">
        <is>
          <t>-</t>
        </is>
      </c>
      <c r="AB106" s="6" t="n">
        <v>457.79</v>
      </c>
      <c r="AC106" s="6" t="n">
        <v>0</v>
      </c>
      <c r="AD106" s="6" t="n">
        <v>0</v>
      </c>
      <c r="AE106" s="6" t="n">
        <v>0</v>
      </c>
      <c r="AF106" s="6" t="n">
        <v>0</v>
      </c>
      <c r="AG106" s="6" t="n">
        <v>22.89</v>
      </c>
      <c r="AH106" s="6" t="n">
        <v>0</v>
      </c>
      <c r="AI106" s="6" t="inlineStr">
        <is>
          <t>Reserva importada do Sistema TMS. OS: 15104</t>
        </is>
      </c>
      <c r="AJ106" s="6" t="inlineStr">
        <is>
          <t>Fornecedor não preenchido! (ACC01)</t>
        </is>
      </c>
      <c r="AK106" s="6" t="inlineStr">
        <is>
          <t>ARGO(TMS)</t>
        </is>
      </c>
      <c r="AL106" s="6" t="inlineStr">
        <is>
          <t>Falta de Fornecedor</t>
        </is>
      </c>
      <c r="AM106" s="6" t="inlineStr">
        <is>
          <t>Campo Fornecedor</t>
        </is>
      </c>
      <c r="AN106" s="6" t="inlineStr">
        <is>
          <t>Dados do Fornecedor</t>
        </is>
      </c>
      <c r="AO106" s="6" t="inlineStr">
        <is>
          <t>Sistêmico</t>
        </is>
      </c>
      <c r="AP106" s="6" t="inlineStr">
        <is>
          <t>GRUPO KONTIK</t>
        </is>
      </c>
      <c r="AQ106" s="6" t="inlineStr">
        <is>
          <t>Suporte Benner</t>
        </is>
      </c>
    </row>
    <row r="107">
      <c r="A107" s="6" t="n">
        <v>23358153</v>
      </c>
      <c r="B107" s="6" t="n">
        <v>24085165</v>
      </c>
      <c r="C107" s="6" t="inlineStr">
        <is>
          <t>ACC01</t>
        </is>
      </c>
      <c r="D107" s="58" t="n">
        <v>45980.91354166667</v>
      </c>
      <c r="E107" s="58" t="n">
        <v>45980.92898148148</v>
      </c>
      <c r="F107" s="6" t="inlineStr">
        <is>
          <t>06 a 08 dias</t>
        </is>
      </c>
      <c r="G107" s="6" t="inlineStr">
        <is>
          <t>06 a 08 dias</t>
        </is>
      </c>
      <c r="H107" s="6" t="inlineStr">
        <is>
          <t>ECCAAK</t>
        </is>
      </c>
      <c r="I107" s="6" t="inlineStr">
        <is>
          <t>TMS</t>
        </is>
      </c>
      <c r="J107" s="6" t="inlineStr">
        <is>
          <t>CLAUDIO SPERB</t>
        </is>
      </c>
      <c r="K107" s="6" t="inlineStr">
        <is>
          <t>Tms</t>
        </is>
      </c>
      <c r="L107" s="6" t="inlineStr">
        <is>
          <t>Tms</t>
        </is>
      </c>
      <c r="M107" s="58" t="n">
        <v>45980.71111111111</v>
      </c>
      <c r="N107" s="6" t="n">
        <v>15050</v>
      </c>
      <c r="O107" s="6" t="inlineStr">
        <is>
          <t>-</t>
        </is>
      </c>
      <c r="P107" s="6" t="inlineStr">
        <is>
          <t>ON LINE</t>
        </is>
      </c>
      <c r="Q107" s="6" t="inlineStr">
        <is>
          <t>Cartão de crédito</t>
        </is>
      </c>
      <c r="R107" s="6" t="inlineStr">
        <is>
          <t>Cartão AMEX</t>
        </is>
      </c>
      <c r="S107" s="6" t="inlineStr">
        <is>
          <t>Aéreo</t>
        </is>
      </c>
      <c r="T107" s="6" t="inlineStr">
        <is>
          <t>N</t>
        </is>
      </c>
      <c r="U107" s="6" t="inlineStr">
        <is>
          <t>Grupo Braskem</t>
        </is>
      </c>
      <c r="V107" s="6" t="inlineStr">
        <is>
          <t>Braskem - Camacari</t>
        </is>
      </c>
      <c r="W107" s="6" t="inlineStr">
        <is>
          <t>-</t>
        </is>
      </c>
      <c r="X107" s="6" t="inlineStr">
        <is>
          <t>Latam Airlines Brasil</t>
        </is>
      </c>
      <c r="Y107" s="6" t="n">
        <v>5580596440</v>
      </c>
      <c r="Z107" s="6" t="inlineStr">
        <is>
          <t>KON-OPE-SAO-PVI-BRASKEM</t>
        </is>
      </c>
      <c r="AA107" s="6" t="inlineStr">
        <is>
          <t>-</t>
        </is>
      </c>
      <c r="AB107" s="6" t="n">
        <v>796.45</v>
      </c>
      <c r="AC107" s="6" t="n">
        <v>60.62</v>
      </c>
      <c r="AD107" s="6" t="n">
        <v>0</v>
      </c>
      <c r="AE107" s="6" t="n">
        <v>0</v>
      </c>
      <c r="AF107" s="6" t="n">
        <v>0</v>
      </c>
      <c r="AG107" s="6" t="n">
        <v>0</v>
      </c>
      <c r="AH107" s="6" t="n">
        <v>0</v>
      </c>
      <c r="AI107" s="6" t="inlineStr">
        <is>
          <t>Reserva importada do Sistema TMS. OS: 15050</t>
        </is>
      </c>
      <c r="AJ107" s="6" t="inlineStr">
        <is>
          <t xml:space="preserve">23Ocorreu o erro 'The INSERT statement conflicted with the FOREIGN KEY constraint "FK_1416_10421". The conflict occurred in database "Corporativo", </t>
        </is>
      </c>
      <c r="AK107" s="6" t="inlineStr">
        <is>
          <t>ARGO(TMS)</t>
        </is>
      </c>
      <c r="AL107" s="6" t="inlineStr">
        <is>
          <t>Falta de informação Gerencial</t>
        </is>
      </c>
      <c r="AM107" s="6" t="inlineStr">
        <is>
          <t>Mais de um campo não preenchido</t>
        </is>
      </c>
      <c r="AN107" s="6" t="inlineStr">
        <is>
          <t>Dados do Fornecedor</t>
        </is>
      </c>
      <c r="AO107" s="6" t="inlineStr">
        <is>
          <t>Sistêmico</t>
        </is>
      </c>
      <c r="AP107" s="6" t="inlineStr">
        <is>
          <t>KONTIK BUSINESS TRAVEL</t>
        </is>
      </c>
      <c r="AQ107" s="6" t="inlineStr">
        <is>
          <t>Suporte KCS</t>
        </is>
      </c>
    </row>
    <row r="108">
      <c r="A108" s="6" t="n">
        <v>23358161</v>
      </c>
      <c r="B108" s="6" t="n">
        <v>24085173</v>
      </c>
      <c r="C108" s="6" t="inlineStr">
        <is>
          <t>ACC01</t>
        </is>
      </c>
      <c r="D108" s="58" t="n">
        <v>45980.91386574074</v>
      </c>
      <c r="E108" s="58" t="n">
        <v>45982.45964120371</v>
      </c>
      <c r="F108" s="6" t="inlineStr">
        <is>
          <t>03 a 05 dias</t>
        </is>
      </c>
      <c r="G108" s="6" t="inlineStr">
        <is>
          <t>06 a 08 dias</t>
        </is>
      </c>
      <c r="H108" s="6" t="inlineStr">
        <is>
          <t>5TIZ9O</t>
        </is>
      </c>
      <c r="I108" s="6" t="inlineStr">
        <is>
          <t>TMS</t>
        </is>
      </c>
      <c r="J108" s="6" t="inlineStr">
        <is>
          <t>HUGO ROCHA</t>
        </is>
      </c>
      <c r="K108" s="6" t="inlineStr">
        <is>
          <t>Tms</t>
        </is>
      </c>
      <c r="L108" s="6" t="inlineStr">
        <is>
          <t>Tms</t>
        </is>
      </c>
      <c r="M108" s="58" t="n">
        <v>45980.65694444445</v>
      </c>
      <c r="N108" s="6" t="n">
        <v>15041</v>
      </c>
      <c r="O108" s="6" t="inlineStr">
        <is>
          <t>Joinville / JOI</t>
        </is>
      </c>
      <c r="P108" s="6" t="inlineStr">
        <is>
          <t>ON LINE</t>
        </is>
      </c>
      <c r="Q108" s="6" t="inlineStr">
        <is>
          <t>Invoice</t>
        </is>
      </c>
      <c r="R108" s="6" t="inlineStr">
        <is>
          <t>Faturado</t>
        </is>
      </c>
      <c r="S108" s="6" t="inlineStr">
        <is>
          <t>Carro</t>
        </is>
      </c>
      <c r="T108" s="6" t="inlineStr">
        <is>
          <t>N</t>
        </is>
      </c>
      <c r="U108" s="6" t="inlineStr">
        <is>
          <t>Grupo Braskem</t>
        </is>
      </c>
      <c r="V108" s="6" t="inlineStr">
        <is>
          <t>Braskem - Camacari</t>
        </is>
      </c>
      <c r="W108" s="6" t="inlineStr">
        <is>
          <t>-</t>
        </is>
      </c>
      <c r="X108" s="6" t="inlineStr">
        <is>
          <t>Localiza - Br - Sc - Joinville - Aventureiro</t>
        </is>
      </c>
      <c r="Y108" s="6" t="inlineStr">
        <is>
          <t>-</t>
        </is>
      </c>
      <c r="Z108" s="6" t="inlineStr">
        <is>
          <t>KON-OPE-SAO-PVI-BRASKEM</t>
        </is>
      </c>
      <c r="AA108" s="6" t="inlineStr">
        <is>
          <t>-</t>
        </is>
      </c>
      <c r="AB108" s="6" t="n">
        <v>590.7888</v>
      </c>
      <c r="AC108" s="6" t="n">
        <v>0</v>
      </c>
      <c r="AD108" s="6" t="n">
        <v>0</v>
      </c>
      <c r="AE108" s="6" t="n">
        <v>0</v>
      </c>
      <c r="AF108" s="6" t="n">
        <v>0</v>
      </c>
      <c r="AG108" s="6" t="n">
        <v>0</v>
      </c>
      <c r="AH108" s="6" t="n">
        <v>0</v>
      </c>
      <c r="AI108" s="6" t="inlineStr">
        <is>
          <t>Reserva importada do Sistema TMS. OS: 15041</t>
        </is>
      </c>
      <c r="AJ108" s="6" t="inlineStr">
        <is>
          <t xml:space="preserve">23Ocorreu o erro 'The INSERT statement conflicted with the FOREIGN KEY constraint "FK_1416_10421". The conflict occurred in database "Corporativo", </t>
        </is>
      </c>
      <c r="AK108" s="6" t="inlineStr">
        <is>
          <t>ARGO(TMS)</t>
        </is>
      </c>
      <c r="AL108" s="6" t="inlineStr">
        <is>
          <t>Falta de informação Gerencial</t>
        </is>
      </c>
      <c r="AM108" s="6" t="inlineStr">
        <is>
          <t>Mais de um campo não preenchido</t>
        </is>
      </c>
      <c r="AN108" s="6" t="inlineStr">
        <is>
          <t>Dados do Fornecedor</t>
        </is>
      </c>
      <c r="AO108" s="6" t="inlineStr">
        <is>
          <t>Sistêmico</t>
        </is>
      </c>
      <c r="AP108" s="6" t="inlineStr">
        <is>
          <t>KONTIK BUSINESS TRAVEL</t>
        </is>
      </c>
      <c r="AQ108" s="6" t="inlineStr">
        <is>
          <t>Suporte KCS</t>
        </is>
      </c>
    </row>
    <row r="109">
      <c r="A109" s="6" t="n">
        <v>23358171</v>
      </c>
      <c r="B109" s="6" t="n">
        <v>24085183</v>
      </c>
      <c r="C109" s="6" t="inlineStr">
        <is>
          <t>ACC01</t>
        </is>
      </c>
      <c r="D109" s="58" t="n">
        <v>45980.91417824074</v>
      </c>
      <c r="E109" s="58" t="n">
        <v>45980.9879050926</v>
      </c>
      <c r="F109" s="6" t="inlineStr">
        <is>
          <t>06 a 08 dias</t>
        </is>
      </c>
      <c r="G109" s="6" t="inlineStr">
        <is>
          <t>06 a 08 dias</t>
        </is>
      </c>
      <c r="H109" s="6" t="inlineStr">
        <is>
          <t>5TXW9L</t>
        </is>
      </c>
      <c r="I109" s="6" t="inlineStr">
        <is>
          <t>TMS</t>
        </is>
      </c>
      <c r="J109" s="6" t="inlineStr">
        <is>
          <t>MARCELO BENINCA</t>
        </is>
      </c>
      <c r="K109" s="6" t="inlineStr">
        <is>
          <t>Carlos Henrique da Silva</t>
        </is>
      </c>
      <c r="L109" s="6" t="inlineStr">
        <is>
          <t>Carlos Henrique da Silva</t>
        </is>
      </c>
      <c r="M109" s="58" t="n">
        <v>45980.70694444444</v>
      </c>
      <c r="N109" s="6" t="n">
        <v>15014</v>
      </c>
      <c r="O109" s="6" t="inlineStr">
        <is>
          <t>-</t>
        </is>
      </c>
      <c r="P109" s="6" t="inlineStr">
        <is>
          <t>OFF LINE</t>
        </is>
      </c>
      <c r="Q109" s="6" t="inlineStr">
        <is>
          <t>Cartão de crédito</t>
        </is>
      </c>
      <c r="R109" s="6" t="inlineStr">
        <is>
          <t>Cartão de crédito</t>
        </is>
      </c>
      <c r="S109" s="6" t="inlineStr">
        <is>
          <t>Hotel</t>
        </is>
      </c>
      <c r="T109" s="6" t="inlineStr">
        <is>
          <t>N</t>
        </is>
      </c>
      <c r="U109" s="6" t="inlineStr">
        <is>
          <t>Grupo Braskem</t>
        </is>
      </c>
      <c r="V109" s="6" t="inlineStr">
        <is>
          <t>Braskem - Camacari</t>
        </is>
      </c>
      <c r="W109" s="6" t="inlineStr">
        <is>
          <t>-</t>
        </is>
      </c>
      <c r="X109" s="6" t="inlineStr">
        <is>
          <t>Slaviero Sao Paulo Ibirapuera</t>
        </is>
      </c>
      <c r="Y109" s="6" t="inlineStr">
        <is>
          <t>-</t>
        </is>
      </c>
      <c r="Z109" s="6" t="inlineStr">
        <is>
          <t>KON-OPE-SAO-PVI-BRASKEM</t>
        </is>
      </c>
      <c r="AA109" s="6" t="inlineStr">
        <is>
          <t>-</t>
        </is>
      </c>
      <c r="AB109" s="6" t="n">
        <v>450</v>
      </c>
      <c r="AC109" s="6" t="n">
        <v>0</v>
      </c>
      <c r="AD109" s="6" t="n">
        <v>0</v>
      </c>
      <c r="AE109" s="6" t="n">
        <v>0</v>
      </c>
      <c r="AF109" s="6" t="n">
        <v>0</v>
      </c>
      <c r="AG109" s="6" t="n">
        <v>0</v>
      </c>
      <c r="AH109" s="6" t="n">
        <v>0</v>
      </c>
      <c r="AI109" s="6" t="inlineStr">
        <is>
          <t>Reserva importada do Sistema TMS. OS: 15014</t>
        </is>
      </c>
      <c r="AJ109" s="6" t="inlineStr">
        <is>
          <t xml:space="preserve">23Ocorreu o erro 'The INSERT statement conflicted with the FOREIGN KEY constraint "FK_1416_10421". The conflict occurred in database "Corporativo", </t>
        </is>
      </c>
      <c r="AK109" s="6" t="inlineStr">
        <is>
          <t>ARGO(TMS)</t>
        </is>
      </c>
      <c r="AL109" s="6" t="inlineStr">
        <is>
          <t>Falta de informação Gerencial</t>
        </is>
      </c>
      <c r="AM109" s="6" t="inlineStr">
        <is>
          <t>Mais de um campo não preenchido</t>
        </is>
      </c>
      <c r="AN109" s="6" t="inlineStr">
        <is>
          <t>Dados do Fornecedor</t>
        </is>
      </c>
      <c r="AO109" s="6" t="inlineStr">
        <is>
          <t>Sistêmico</t>
        </is>
      </c>
      <c r="AP109" s="6" t="inlineStr">
        <is>
          <t>KONTIK BUSINESS TRAVEL</t>
        </is>
      </c>
      <c r="AQ109" s="6" t="inlineStr">
        <is>
          <t>Suporte KCS</t>
        </is>
      </c>
    </row>
    <row r="110">
      <c r="A110" s="6" t="n">
        <v>23383953</v>
      </c>
      <c r="B110" s="6" t="n">
        <v>24107411</v>
      </c>
      <c r="C110" s="6" t="inlineStr">
        <is>
          <t>ACC01</t>
        </is>
      </c>
      <c r="D110" s="58" t="n">
        <v>45986.22231481481</v>
      </c>
      <c r="E110" s="58" t="n">
        <v>45986.24050925926</v>
      </c>
      <c r="F110" s="6" t="inlineStr">
        <is>
          <t>0 a 02 dias</t>
        </is>
      </c>
      <c r="G110" s="6" t="inlineStr">
        <is>
          <t>0 a 02 dias</t>
        </is>
      </c>
      <c r="H110" s="6" t="inlineStr">
        <is>
          <t>5U7QH3</t>
        </is>
      </c>
      <c r="I110" s="6" t="inlineStr">
        <is>
          <t>TMS</t>
        </is>
      </c>
      <c r="J110" s="6" t="inlineStr">
        <is>
          <t>Rocha/Alvaro</t>
        </is>
      </c>
      <c r="K110" s="6" t="inlineStr">
        <is>
          <t>ADRIANA MIRANDA COUTINHO</t>
        </is>
      </c>
      <c r="L110" s="6" t="inlineStr">
        <is>
          <t>ADRIANA MIRANDA COUTINHO</t>
        </is>
      </c>
      <c r="M110" s="58" t="n">
        <v>45985.74930555555</v>
      </c>
      <c r="N110" s="6" t="n">
        <v>15118</v>
      </c>
      <c r="O110" s="6" t="inlineStr">
        <is>
          <t>-</t>
        </is>
      </c>
      <c r="P110" s="6" t="inlineStr">
        <is>
          <t>OFF LINE</t>
        </is>
      </c>
      <c r="Q110" s="6" t="inlineStr">
        <is>
          <t>Invoice</t>
        </is>
      </c>
      <c r="R110" s="6" t="inlineStr">
        <is>
          <t>Faturado</t>
        </is>
      </c>
      <c r="S110" s="6" t="inlineStr">
        <is>
          <t>Aéreo</t>
        </is>
      </c>
      <c r="T110" s="6" t="inlineStr">
        <is>
          <t>N</t>
        </is>
      </c>
      <c r="U110" s="6" t="inlineStr">
        <is>
          <t>Grupo Braskem</t>
        </is>
      </c>
      <c r="V110" s="6" t="inlineStr">
        <is>
          <t>Braskem - Camacari</t>
        </is>
      </c>
      <c r="W110" s="6" t="inlineStr">
        <is>
          <t>-</t>
        </is>
      </c>
      <c r="X110" s="6" t="inlineStr">
        <is>
          <t>Azul Linhas Aereas</t>
        </is>
      </c>
      <c r="Y110" s="6" t="n">
        <v>3024107411</v>
      </c>
      <c r="Z110" s="6" t="inlineStr">
        <is>
          <t>KON-OPE-SAO-PVI-BRASKEM</t>
        </is>
      </c>
      <c r="AA110" s="6" t="inlineStr">
        <is>
          <t>-</t>
        </is>
      </c>
      <c r="AB110" s="6" t="n">
        <v>0</v>
      </c>
      <c r="AC110" s="6" t="n">
        <v>350</v>
      </c>
      <c r="AD110" s="6" t="n">
        <v>0</v>
      </c>
      <c r="AE110" s="6" t="n">
        <v>0</v>
      </c>
      <c r="AF110" s="6" t="n">
        <v>0</v>
      </c>
      <c r="AG110" s="6" t="n">
        <v>0</v>
      </c>
      <c r="AH110" s="6" t="n">
        <v>0</v>
      </c>
      <c r="AI110" s="6" t="inlineStr">
        <is>
          <t>Reserva importada do Sistema TMS. OS: 15118</t>
        </is>
      </c>
      <c r="AJ110" s="6" t="inlineStr">
        <is>
          <t>Empenho/departamento não preenchido! (ACC01)</t>
        </is>
      </c>
      <c r="AK110" s="6" t="inlineStr">
        <is>
          <t>ARGO(TMS)</t>
        </is>
      </c>
      <c r="AL110" s="6" t="inlineStr">
        <is>
          <t>Empenho/departamento</t>
        </is>
      </c>
      <c r="AM110" s="6" t="inlineStr">
        <is>
          <t>Falta de informação Gerencial</t>
        </is>
      </c>
      <c r="AN110" s="6" t="inlineStr">
        <is>
          <t>Dados do Fornecedor</t>
        </is>
      </c>
      <c r="AO110" s="6" t="inlineStr">
        <is>
          <t>Qualidade dos dados</t>
        </is>
      </c>
      <c r="AP110" s="6" t="inlineStr">
        <is>
          <t>KONTIK BUSINESS TRAVEL</t>
        </is>
      </c>
      <c r="AQ110" s="6" t="inlineStr">
        <is>
          <t>Operações - CORP</t>
        </is>
      </c>
    </row>
    <row r="111">
      <c r="A111" s="6" t="n">
        <v>23325144</v>
      </c>
      <c r="B111" s="6" t="n">
        <v>24054619</v>
      </c>
      <c r="C111" s="6" t="inlineStr">
        <is>
          <t>ACC01</t>
        </is>
      </c>
      <c r="D111" s="58" t="n">
        <v>45975.59240740741</v>
      </c>
      <c r="E111" s="58" t="n">
        <v>45976.6844212963</v>
      </c>
      <c r="F111" s="6" t="inlineStr">
        <is>
          <t>09 a 15 dias</t>
        </is>
      </c>
      <c r="G111" s="6" t="inlineStr">
        <is>
          <t>09 a 15 dias</t>
        </is>
      </c>
      <c r="H111" s="6" t="inlineStr">
        <is>
          <t>CJLRBH1</t>
        </is>
      </c>
      <c r="I111" s="6" t="inlineStr">
        <is>
          <t>TMS</t>
        </is>
      </c>
      <c r="J111" s="6" t="inlineStr">
        <is>
          <t>GIORGIO FRANCESCHETTI</t>
        </is>
      </c>
      <c r="K111" s="6" t="inlineStr">
        <is>
          <t>Jose de Oliveira Cunha</t>
        </is>
      </c>
      <c r="L111" s="6" t="inlineStr">
        <is>
          <t>Jose de Oliveira Cunha</t>
        </is>
      </c>
      <c r="M111" s="58" t="n">
        <v>45975.47430555556</v>
      </c>
      <c r="N111" s="6" t="n">
        <v>14794</v>
      </c>
      <c r="O111" s="6" t="inlineStr">
        <is>
          <t>-</t>
        </is>
      </c>
      <c r="P111" s="6" t="inlineStr">
        <is>
          <t>OFF LINE</t>
        </is>
      </c>
      <c r="Q111" s="6" t="inlineStr">
        <is>
          <t>Invoice</t>
        </is>
      </c>
      <c r="R111" s="6" t="inlineStr">
        <is>
          <t>Cartão convênio</t>
        </is>
      </c>
      <c r="S111" s="6" t="inlineStr">
        <is>
          <t>Aéreo</t>
        </is>
      </c>
      <c r="T111" s="6" t="inlineStr">
        <is>
          <t>N</t>
        </is>
      </c>
      <c r="U111" s="6" t="inlineStr">
        <is>
          <t>Grupo Braskem</t>
        </is>
      </c>
      <c r="V111" s="6" t="inlineStr">
        <is>
          <t>Braskem - Camacari</t>
        </is>
      </c>
      <c r="W111" s="6" t="inlineStr">
        <is>
          <t>-</t>
        </is>
      </c>
      <c r="X111" s="6" t="inlineStr">
        <is>
          <t>Gol Linhas Aereas</t>
        </is>
      </c>
      <c r="Y111" s="6" t="n">
        <v>2149484073</v>
      </c>
      <c r="Z111" s="6" t="inlineStr">
        <is>
          <t>KON-OPE-SAO-PVI-BRASKEM</t>
        </is>
      </c>
      <c r="AA111" s="6" t="inlineStr">
        <is>
          <t>-</t>
        </is>
      </c>
      <c r="AB111" s="6" t="n">
        <v>953.72</v>
      </c>
      <c r="AC111" s="6" t="n">
        <v>0</v>
      </c>
      <c r="AD111" s="6" t="n">
        <v>0</v>
      </c>
      <c r="AE111" s="6" t="n">
        <v>0</v>
      </c>
      <c r="AF111" s="6" t="n">
        <v>0</v>
      </c>
      <c r="AG111" s="6" t="n">
        <v>0</v>
      </c>
      <c r="AH111" s="6" t="n">
        <v>0</v>
      </c>
      <c r="AI111" s="6" t="inlineStr">
        <is>
          <t>Reserva importada do Sistema TMS. OS: 14794</t>
        </is>
      </c>
      <c r="AJ111" s="6" t="inlineStr">
        <is>
          <t xml:space="preserve">23Ocorreu o erro 'The INSERT statement conflicted with the FOREIGN KEY constraint "FK_1416_10421". The conflict occurred in database "Corporativo", </t>
        </is>
      </c>
      <c r="AK111" s="6" t="inlineStr">
        <is>
          <t>ARGO(TMS)</t>
        </is>
      </c>
      <c r="AL111" s="6" t="inlineStr">
        <is>
          <t>Falta de informação Gerencial</t>
        </is>
      </c>
      <c r="AM111" s="6" t="inlineStr">
        <is>
          <t>Mais de um campo não preenchido</t>
        </is>
      </c>
      <c r="AN111" s="6" t="inlineStr">
        <is>
          <t>Dados do Fornecedor</t>
        </is>
      </c>
      <c r="AO111" s="6" t="inlineStr">
        <is>
          <t>Sistêmico</t>
        </is>
      </c>
      <c r="AP111" s="6" t="inlineStr">
        <is>
          <t>GRUPO KONTIK</t>
        </is>
      </c>
      <c r="AQ111" s="6" t="inlineStr">
        <is>
          <t>Central de Emissão</t>
        </is>
      </c>
    </row>
    <row r="112">
      <c r="A112" s="6" t="n">
        <v>23346972</v>
      </c>
      <c r="B112" s="6" t="n">
        <v>24074350</v>
      </c>
      <c r="C112" s="6" t="inlineStr">
        <is>
          <t>ACC01</t>
        </is>
      </c>
      <c r="D112" s="58" t="n">
        <v>45979.5290625</v>
      </c>
      <c r="E112" s="58" t="n">
        <v>45979.53868055555</v>
      </c>
      <c r="F112" s="6" t="inlineStr">
        <is>
          <t>06 a 08 dias</t>
        </is>
      </c>
      <c r="G112" s="6" t="inlineStr">
        <is>
          <t>06 a 08 dias</t>
        </is>
      </c>
      <c r="H112" s="6" t="inlineStr">
        <is>
          <t>YZMFWS</t>
        </is>
      </c>
      <c r="I112" s="6" t="inlineStr">
        <is>
          <t>SABRE</t>
        </is>
      </c>
      <c r="J112" s="6" t="inlineStr">
        <is>
          <t>FLAUSINO/KARINA</t>
        </is>
      </c>
      <c r="K112" s="6" t="inlineStr">
        <is>
          <t>Paulo Roberto Mendes da Silva</t>
        </is>
      </c>
      <c r="L112" s="6" t="inlineStr">
        <is>
          <t>Paulo Roberto Mendes da Silva</t>
        </is>
      </c>
      <c r="M112" s="58" t="n">
        <v>45979.32986111111</v>
      </c>
      <c r="N112" s="6" t="inlineStr">
        <is>
          <t>FUXFTN</t>
        </is>
      </c>
      <c r="O112" s="6" t="inlineStr">
        <is>
          <t>-</t>
        </is>
      </c>
      <c r="P112" s="6" t="inlineStr">
        <is>
          <t>OFF LINE</t>
        </is>
      </c>
      <c r="Q112" s="6" t="inlineStr">
        <is>
          <t>Cartão de crédito</t>
        </is>
      </c>
      <c r="R112" s="6" t="inlineStr">
        <is>
          <t>Cartão de crédito</t>
        </is>
      </c>
      <c r="S112" s="6" t="inlineStr">
        <is>
          <t>Aéreo</t>
        </is>
      </c>
      <c r="T112" s="6" t="inlineStr">
        <is>
          <t>N</t>
        </is>
      </c>
      <c r="U112" s="6" t="inlineStr">
        <is>
          <t>Grupo Parexel</t>
        </is>
      </c>
      <c r="V112" s="6" t="inlineStr">
        <is>
          <t>Parexel International Pesquisas Clinicas Ltda</t>
        </is>
      </c>
      <c r="W112" s="6" t="inlineStr">
        <is>
          <t>-</t>
        </is>
      </c>
      <c r="X112" s="6" t="inlineStr">
        <is>
          <t>Gol Linhas Aereas</t>
        </is>
      </c>
      <c r="Y112" s="6" t="n">
        <v>2149734876</v>
      </c>
      <c r="Z112" s="6" t="inlineStr">
        <is>
          <t>FCM-OPE-SAO-PVI-BTC-CONCUR</t>
        </is>
      </c>
      <c r="AA112" s="6" t="inlineStr">
        <is>
          <t>-</t>
        </is>
      </c>
      <c r="AB112" s="6" t="n">
        <v>958.13</v>
      </c>
      <c r="AC112" s="6" t="n">
        <v>52.72</v>
      </c>
      <c r="AD112" s="6" t="n">
        <v>0</v>
      </c>
      <c r="AE112" s="6" t="n">
        <v>0</v>
      </c>
      <c r="AF112" s="6" t="n">
        <v>0</v>
      </c>
      <c r="AG112" s="6" t="n">
        <v>0</v>
      </c>
      <c r="AH112" s="6" t="n">
        <v>0</v>
      </c>
      <c r="AI112" s="6" t="inlineStr">
        <is>
          <t>Reserva importada por HubTravel</t>
        </is>
      </c>
      <c r="AJ112" s="6" t="inlineStr">
        <is>
          <t>Matrícula não preenchida! (ACC01) Projeto não preenchido! (ACC01)</t>
        </is>
      </c>
      <c r="AK112" s="6" t="inlineStr">
        <is>
          <t>SABRE</t>
        </is>
      </c>
      <c r="AL112" s="6" t="inlineStr">
        <is>
          <t>Mais de um campo não preenchido</t>
        </is>
      </c>
      <c r="AM112" s="6" t="inlineStr">
        <is>
          <t>Falta de informação Gerencial</t>
        </is>
      </c>
      <c r="AN112" s="6" t="inlineStr">
        <is>
          <t>Dados do Fornecedor</t>
        </is>
      </c>
      <c r="AO112" s="6" t="inlineStr">
        <is>
          <t>Qualidade dos dados</t>
        </is>
      </c>
      <c r="AP112" s="6" t="inlineStr">
        <is>
          <t>KONTIK BUSINESS TRAVEL</t>
        </is>
      </c>
      <c r="AQ112" s="6" t="inlineStr">
        <is>
          <t>Operações - FCM</t>
        </is>
      </c>
    </row>
    <row r="113">
      <c r="A113" s="6" t="n">
        <v>23355683</v>
      </c>
      <c r="B113" s="6" t="n">
        <v>24082659</v>
      </c>
      <c r="C113" s="6" t="inlineStr">
        <is>
          <t>ACC01</t>
        </is>
      </c>
      <c r="D113" s="58" t="n">
        <v>45980.68910879629</v>
      </c>
      <c r="E113" s="58" t="n">
        <v>45980.70291666667</v>
      </c>
      <c r="F113" s="6" t="inlineStr">
        <is>
          <t>06 a 08 dias</t>
        </is>
      </c>
      <c r="G113" s="6" t="inlineStr">
        <is>
          <t>06 a 08 dias</t>
        </is>
      </c>
      <c r="H113" s="6" t="inlineStr">
        <is>
          <t>HGFPBF</t>
        </is>
      </c>
      <c r="I113" s="6" t="inlineStr">
        <is>
          <t>SABRE</t>
        </is>
      </c>
      <c r="J113" s="6" t="inlineStr">
        <is>
          <t>STRINGHINI/RENATA DO CARMO</t>
        </is>
      </c>
      <c r="K113" s="6" t="inlineStr">
        <is>
          <t>Paulo Roberto Mendes da Silva</t>
        </is>
      </c>
      <c r="L113" s="6" t="inlineStr">
        <is>
          <t>Paulo Roberto Mendes da Silva</t>
        </is>
      </c>
      <c r="M113" s="58" t="n">
        <v>45978.51111111111</v>
      </c>
      <c r="N113" s="6" t="inlineStr">
        <is>
          <t>FQHEAJ</t>
        </is>
      </c>
      <c r="O113" s="6" t="inlineStr">
        <is>
          <t>-</t>
        </is>
      </c>
      <c r="P113" s="6" t="inlineStr">
        <is>
          <t>OFF LINE</t>
        </is>
      </c>
      <c r="Q113" s="6" t="inlineStr">
        <is>
          <t>Cartão de crédito</t>
        </is>
      </c>
      <c r="R113" s="6" t="inlineStr">
        <is>
          <t>Cartão de crédito</t>
        </is>
      </c>
      <c r="S113" s="6" t="inlineStr">
        <is>
          <t>Aéreo</t>
        </is>
      </c>
      <c r="T113" s="6" t="inlineStr">
        <is>
          <t>N</t>
        </is>
      </c>
      <c r="U113" s="6" t="inlineStr">
        <is>
          <t>Grupo Parexel</t>
        </is>
      </c>
      <c r="V113" s="6" t="inlineStr">
        <is>
          <t>Parexel International Pesquisas Clinicas Ltda</t>
        </is>
      </c>
      <c r="W113" s="6" t="inlineStr">
        <is>
          <t>-</t>
        </is>
      </c>
      <c r="X113" s="6" t="inlineStr">
        <is>
          <t>Gol Linhas Aereas</t>
        </is>
      </c>
      <c r="Y113" s="6" t="n">
        <v>2149699956</v>
      </c>
      <c r="Z113" s="6" t="inlineStr">
        <is>
          <t>FCM-OPE-SAO-PVI-BTC-CONCUR</t>
        </is>
      </c>
      <c r="AA113" s="6" t="inlineStr">
        <is>
          <t>-</t>
        </is>
      </c>
      <c r="AB113" s="6" t="n">
        <v>2233.85</v>
      </c>
      <c r="AC113" s="6" t="n">
        <v>120.08</v>
      </c>
      <c r="AD113" s="6" t="n">
        <v>0</v>
      </c>
      <c r="AE113" s="6" t="n">
        <v>0</v>
      </c>
      <c r="AF113" s="6" t="n">
        <v>0</v>
      </c>
      <c r="AG113" s="6" t="n">
        <v>0</v>
      </c>
      <c r="AH113" s="6" t="n">
        <v>0</v>
      </c>
      <c r="AI113" s="6" t="inlineStr">
        <is>
          <t>Reserva importada por HubTravel</t>
        </is>
      </c>
      <c r="AJ113" s="6" t="inlineStr">
        <is>
          <t>Matrícula não preenchida! (ACC01) Projeto não preenchido! (ACC01)</t>
        </is>
      </c>
      <c r="AK113" s="6" t="inlineStr">
        <is>
          <t>SABRE</t>
        </is>
      </c>
      <c r="AL113" s="6" t="inlineStr">
        <is>
          <t>Mais de um campo não preenchido</t>
        </is>
      </c>
      <c r="AM113" s="6" t="inlineStr">
        <is>
          <t>Falta de informação Gerencial</t>
        </is>
      </c>
      <c r="AN113" s="6" t="inlineStr">
        <is>
          <t>Dados do Fornecedor</t>
        </is>
      </c>
      <c r="AO113" s="6" t="inlineStr">
        <is>
          <t>Qualidade dos dados</t>
        </is>
      </c>
      <c r="AP113" s="6" t="inlineStr">
        <is>
          <t>KONTIK BUSINESS TRAVEL</t>
        </is>
      </c>
      <c r="AQ113" s="6" t="inlineStr">
        <is>
          <t>Operações - FCM</t>
        </is>
      </c>
    </row>
    <row r="114">
      <c r="A114" s="6" t="n">
        <v>23318066</v>
      </c>
      <c r="B114" s="6" t="n">
        <v>24047709</v>
      </c>
      <c r="C114" s="6" t="inlineStr">
        <is>
          <t>ACC01</t>
        </is>
      </c>
      <c r="D114" s="58" t="n">
        <v>45974.66162037037</v>
      </c>
      <c r="E114" s="58" t="n">
        <v>45978.47962962963</v>
      </c>
      <c r="F114" s="6" t="inlineStr">
        <is>
          <t>06 a 08 dias</t>
        </is>
      </c>
      <c r="G114" s="6" t="inlineStr">
        <is>
          <t>09 a 15 dias</t>
        </is>
      </c>
      <c r="H114" s="6" t="inlineStr">
        <is>
          <t>WSIWOD</t>
        </is>
      </c>
      <c r="I114" s="6" t="inlineStr">
        <is>
          <t>SABRE</t>
        </is>
      </c>
      <c r="J114" s="6" t="inlineStr">
        <is>
          <t>MACHADO DA COSTA/JOAO PEDRO</t>
        </is>
      </c>
      <c r="K114" s="6" t="inlineStr">
        <is>
          <t>Clayton Alves de Rezende</t>
        </is>
      </c>
      <c r="L114" s="6" t="inlineStr">
        <is>
          <t>Paulo Roberto Mendes da Silva</t>
        </is>
      </c>
      <c r="M114" s="58" t="n">
        <v>45973.54375</v>
      </c>
      <c r="N114" s="6" t="inlineStr">
        <is>
          <t>WSIWOD</t>
        </is>
      </c>
      <c r="O114" s="6" t="inlineStr">
        <is>
          <t>-</t>
        </is>
      </c>
      <c r="P114" s="6" t="inlineStr">
        <is>
          <t>ON LINE</t>
        </is>
      </c>
      <c r="Q114" s="6" t="inlineStr">
        <is>
          <t>Cartão de crédito</t>
        </is>
      </c>
      <c r="R114" s="6" t="inlineStr">
        <is>
          <t>Cartão AMEX</t>
        </is>
      </c>
      <c r="S114" s="6" t="inlineStr">
        <is>
          <t>Aéreo</t>
        </is>
      </c>
      <c r="T114" s="6" t="inlineStr">
        <is>
          <t>N</t>
        </is>
      </c>
      <c r="U114" s="6" t="inlineStr">
        <is>
          <t>Grupo Wallenius</t>
        </is>
      </c>
      <c r="V114" s="6" t="inlineStr">
        <is>
          <t>Wallenius</t>
        </is>
      </c>
      <c r="W114" s="6" t="inlineStr">
        <is>
          <t>-</t>
        </is>
      </c>
      <c r="X114" s="6" t="inlineStr">
        <is>
          <t>Latam Airlines Brasil</t>
        </is>
      </c>
      <c r="Y114" s="6" t="n">
        <v>5580597973</v>
      </c>
      <c r="Z114" s="6" t="inlineStr">
        <is>
          <t>FCM-OPE-SAO-PVI-BTC</t>
        </is>
      </c>
      <c r="AA114" s="6" t="inlineStr">
        <is>
          <t>-</t>
        </is>
      </c>
      <c r="AB114" s="6" t="n">
        <v>1119.64</v>
      </c>
      <c r="AC114" s="6" t="n">
        <v>33.64</v>
      </c>
      <c r="AD114" s="6" t="n">
        <v>0</v>
      </c>
      <c r="AE114" s="6" t="n">
        <v>0</v>
      </c>
      <c r="AF114" s="6" t="n">
        <v>33.64</v>
      </c>
      <c r="AG114" s="6" t="n">
        <v>0</v>
      </c>
      <c r="AH114" s="6" t="n">
        <v>0</v>
      </c>
      <c r="AI114" s="6" t="inlineStr">
        <is>
          <t>Reserva importada por HubTravel</t>
        </is>
      </c>
      <c r="AJ114" s="6" t="inlineStr">
        <is>
          <t>Matrícula não preenchida! (ACC01)</t>
        </is>
      </c>
      <c r="AK114" s="6" t="inlineStr">
        <is>
          <t>SABRE</t>
        </is>
      </c>
      <c r="AL114" s="6" t="inlineStr">
        <is>
          <t>Matrícula</t>
        </is>
      </c>
      <c r="AM114" s="6" t="inlineStr">
        <is>
          <t>Falta de informação Gerencial</t>
        </is>
      </c>
      <c r="AN114" s="6" t="inlineStr">
        <is>
          <t>Dados do Fornecedor</t>
        </is>
      </c>
      <c r="AO114" s="6" t="inlineStr">
        <is>
          <t>Qualidade dos dados</t>
        </is>
      </c>
      <c r="AP114" s="6" t="inlineStr">
        <is>
          <t>GRUPO KONTIK</t>
        </is>
      </c>
      <c r="AQ114" s="6" t="inlineStr">
        <is>
          <t>Central de Emissão</t>
        </is>
      </c>
    </row>
    <row r="115">
      <c r="A115" s="6" t="n">
        <v>23294965</v>
      </c>
      <c r="B115" s="6" t="n">
        <v>24025861</v>
      </c>
      <c r="C115" s="6" t="inlineStr">
        <is>
          <t>ACC01</t>
        </is>
      </c>
      <c r="D115" s="58" t="n">
        <v>45971.5384375</v>
      </c>
      <c r="E115" s="58" t="n">
        <v>45971.54243055556</v>
      </c>
      <c r="F115" s="6" t="inlineStr">
        <is>
          <t>09 a 15 dias</t>
        </is>
      </c>
      <c r="G115" s="6" t="inlineStr">
        <is>
          <t>09 a 15 dias</t>
        </is>
      </c>
      <c r="H115" s="6" t="inlineStr">
        <is>
          <t>OXDYGJT</t>
        </is>
      </c>
      <c r="I115" s="6" t="inlineStr">
        <is>
          <t>SABRE</t>
        </is>
      </c>
      <c r="J115" s="6" t="inlineStr">
        <is>
          <t>LIBERATO/RAPHAEL HENRIQUE DE</t>
        </is>
      </c>
      <c r="K115" s="6" t="inlineStr">
        <is>
          <t>WS</t>
        </is>
      </c>
      <c r="L115" s="6" t="inlineStr">
        <is>
          <t>WS</t>
        </is>
      </c>
      <c r="M115" s="58" t="n">
        <v>45969.26319444444</v>
      </c>
      <c r="N115" s="6" t="inlineStr">
        <is>
          <t>OXDYGJ</t>
        </is>
      </c>
      <c r="O115" s="6" t="inlineStr">
        <is>
          <t>-</t>
        </is>
      </c>
      <c r="P115" s="6" t="inlineStr">
        <is>
          <t>ON LINE</t>
        </is>
      </c>
      <c r="Q115" s="6" t="inlineStr">
        <is>
          <t>Cartão de crédito</t>
        </is>
      </c>
      <c r="R115" s="6" t="inlineStr">
        <is>
          <t>Cartão de crédito</t>
        </is>
      </c>
      <c r="S115" s="6" t="inlineStr">
        <is>
          <t>Hotel</t>
        </is>
      </c>
      <c r="T115" s="6" t="inlineStr">
        <is>
          <t>N</t>
        </is>
      </c>
      <c r="U115" s="6" t="inlineStr">
        <is>
          <t>Grupo Wallenius</t>
        </is>
      </c>
      <c r="V115" s="6" t="inlineStr">
        <is>
          <t>Wallenius</t>
        </is>
      </c>
      <c r="W115" s="6" t="inlineStr">
        <is>
          <t>-</t>
        </is>
      </c>
      <c r="X115" s="6" t="inlineStr">
        <is>
          <t>-</t>
        </is>
      </c>
      <c r="Y115" s="6" t="inlineStr">
        <is>
          <t>-</t>
        </is>
      </c>
      <c r="Z115" s="6" t="inlineStr">
        <is>
          <t>FCM-OPE-SAO-PVI-BTC</t>
        </is>
      </c>
      <c r="AA115" s="6" t="inlineStr">
        <is>
          <t>-</t>
        </is>
      </c>
      <c r="AB115" s="6" t="n">
        <v>2516.2488</v>
      </c>
      <c r="AC115" s="6" t="n">
        <v>63.45</v>
      </c>
      <c r="AD115" s="6" t="n">
        <v>0</v>
      </c>
      <c r="AE115" s="6" t="n">
        <v>0</v>
      </c>
      <c r="AF115" s="6" t="n">
        <v>0</v>
      </c>
      <c r="AG115" s="6" t="n">
        <v>0</v>
      </c>
      <c r="AH115" s="6" t="n">
        <v>0</v>
      </c>
      <c r="AI115" s="6" t="inlineStr">
        <is>
          <t>Reserva importada por HubTravel</t>
        </is>
      </c>
      <c r="AJ115" s="6" t="inlineStr">
        <is>
          <t>Fornecedor não preenchido! (ACC01)</t>
        </is>
      </c>
      <c r="AK115" s="6" t="inlineStr">
        <is>
          <t>SABRE</t>
        </is>
      </c>
      <c r="AL115" s="6" t="inlineStr">
        <is>
          <t>Falta de Fornecedor</t>
        </is>
      </c>
      <c r="AM115" s="6" t="inlineStr">
        <is>
          <t>Campo Fornecedor</t>
        </is>
      </c>
      <c r="AN115" s="6" t="inlineStr">
        <is>
          <t>Dados do Fornecedor</t>
        </is>
      </c>
      <c r="AO115" s="6" t="inlineStr">
        <is>
          <t>Sistêmico</t>
        </is>
      </c>
      <c r="AP115" s="6" t="inlineStr">
        <is>
          <t>GRUPO KONTIK</t>
        </is>
      </c>
      <c r="AQ115" s="6" t="inlineStr">
        <is>
          <t>Suporte Benner</t>
        </is>
      </c>
    </row>
    <row r="116">
      <c r="A116" s="6" t="n">
        <v>23311039</v>
      </c>
      <c r="B116" s="6" t="n">
        <v>24041353</v>
      </c>
      <c r="C116" s="6" t="inlineStr">
        <is>
          <t>ACC01</t>
        </is>
      </c>
      <c r="D116" s="58" t="n">
        <v>45973.63447916666</v>
      </c>
      <c r="E116" s="58" t="n">
        <v>45973.63773148148</v>
      </c>
      <c r="F116" s="6" t="inlineStr">
        <is>
          <t>09 a 15 dias</t>
        </is>
      </c>
      <c r="G116" s="6" t="inlineStr">
        <is>
          <t>09 a 15 dias</t>
        </is>
      </c>
      <c r="H116" s="6" t="inlineStr">
        <is>
          <t>WLSFFPT</t>
        </is>
      </c>
      <c r="I116" s="6" t="inlineStr">
        <is>
          <t>SABRE</t>
        </is>
      </c>
      <c r="J116" s="6" t="inlineStr">
        <is>
          <t>PENAYO/OSCAR AUGUSTO JOSE MR</t>
        </is>
      </c>
      <c r="K116" s="6" t="inlineStr">
        <is>
          <t>WS</t>
        </is>
      </c>
      <c r="L116" s="6" t="inlineStr">
        <is>
          <t>WS</t>
        </is>
      </c>
      <c r="M116" s="58" t="n">
        <v>45972.28819444445</v>
      </c>
      <c r="N116" s="6" t="inlineStr">
        <is>
          <t>WLSFFP</t>
        </is>
      </c>
      <c r="O116" s="6" t="inlineStr">
        <is>
          <t>-</t>
        </is>
      </c>
      <c r="P116" s="6" t="inlineStr">
        <is>
          <t>ON LINE</t>
        </is>
      </c>
      <c r="Q116" s="6" t="inlineStr">
        <is>
          <t>Cartão de crédito</t>
        </is>
      </c>
      <c r="R116" s="6" t="inlineStr">
        <is>
          <t>Cartão de crédito</t>
        </is>
      </c>
      <c r="S116" s="6" t="inlineStr">
        <is>
          <t>Hotel</t>
        </is>
      </c>
      <c r="T116" s="6" t="inlineStr">
        <is>
          <t>N</t>
        </is>
      </c>
      <c r="U116" s="6" t="inlineStr">
        <is>
          <t>Grupo Vertex</t>
        </is>
      </c>
      <c r="V116" s="6" t="inlineStr">
        <is>
          <t>Vertex Farmaceutica do Brasil</t>
        </is>
      </c>
      <c r="W116" s="6" t="inlineStr">
        <is>
          <t>-</t>
        </is>
      </c>
      <c r="X116" s="6" t="inlineStr">
        <is>
          <t>-</t>
        </is>
      </c>
      <c r="Y116" s="6" t="inlineStr">
        <is>
          <t>-</t>
        </is>
      </c>
      <c r="Z116" s="6" t="inlineStr">
        <is>
          <t>FCM-OPE-SAO-PVI-BTC-CONCUR</t>
        </is>
      </c>
      <c r="AA116" s="6" t="inlineStr">
        <is>
          <t>-</t>
        </is>
      </c>
      <c r="AB116" s="6" t="n">
        <v>1295.3126</v>
      </c>
      <c r="AC116" s="6" t="n">
        <v>20.91</v>
      </c>
      <c r="AD116" s="6" t="n">
        <v>0</v>
      </c>
      <c r="AE116" s="6" t="n">
        <v>0</v>
      </c>
      <c r="AF116" s="6" t="n">
        <v>0</v>
      </c>
      <c r="AG116" s="6" t="n">
        <v>0</v>
      </c>
      <c r="AH116" s="6" t="n">
        <v>0</v>
      </c>
      <c r="AI116" s="6" t="inlineStr">
        <is>
          <t>Reserva importada por HubTravel</t>
        </is>
      </c>
      <c r="AJ116" s="6" t="inlineStr">
        <is>
          <t>Fornecedor não preenchido! (ACC01)</t>
        </is>
      </c>
      <c r="AK116" s="6" t="inlineStr">
        <is>
          <t>SABRE</t>
        </is>
      </c>
      <c r="AL116" s="6" t="inlineStr">
        <is>
          <t>Falta de Fornecedor</t>
        </is>
      </c>
      <c r="AM116" s="6" t="inlineStr">
        <is>
          <t>Campo Fornecedor</t>
        </is>
      </c>
      <c r="AN116" s="6" t="inlineStr">
        <is>
          <t>Dados do Fornecedor</t>
        </is>
      </c>
      <c r="AO116" s="6" t="inlineStr">
        <is>
          <t>Sistêmico</t>
        </is>
      </c>
      <c r="AP116" s="6" t="inlineStr">
        <is>
          <t>GRUPO KONTIK</t>
        </is>
      </c>
      <c r="AQ116" s="6" t="inlineStr">
        <is>
          <t>Suporte Benner</t>
        </is>
      </c>
    </row>
    <row r="117">
      <c r="A117" s="6" t="n">
        <v>23348220</v>
      </c>
      <c r="B117" s="6" t="n">
        <v>24075614</v>
      </c>
      <c r="C117" s="6" t="inlineStr">
        <is>
          <t>ACC01</t>
        </is>
      </c>
      <c r="D117" s="58" t="n">
        <v>45979.62622685185</v>
      </c>
      <c r="E117" s="58" t="n">
        <v>45980.69152777778</v>
      </c>
      <c r="F117" s="6" t="inlineStr">
        <is>
          <t>06 a 08 dias</t>
        </is>
      </c>
      <c r="G117" s="6" t="inlineStr">
        <is>
          <t>06 a 08 dias</t>
        </is>
      </c>
      <c r="H117" s="6" t="inlineStr">
        <is>
          <t>CBCICV</t>
        </is>
      </c>
      <c r="I117" s="6" t="inlineStr">
        <is>
          <t>SABRE</t>
        </is>
      </c>
      <c r="J117" s="6" t="inlineStr">
        <is>
          <t>MELO/RENATA FRANCO DE ALMEIDA MS</t>
        </is>
      </c>
      <c r="K117" s="6" t="inlineStr">
        <is>
          <t>Paulo Roberto Mendes da Silva</t>
        </is>
      </c>
      <c r="L117" s="6" t="inlineStr">
        <is>
          <t>Paulo Roberto Mendes da Silva</t>
        </is>
      </c>
      <c r="M117" s="58" t="n">
        <v>45978.67222222222</v>
      </c>
      <c r="N117" s="6" t="inlineStr">
        <is>
          <t>WMTPII</t>
        </is>
      </c>
      <c r="O117" s="6" t="inlineStr">
        <is>
          <t>-</t>
        </is>
      </c>
      <c r="P117" s="6" t="inlineStr">
        <is>
          <t>OFF LINE</t>
        </is>
      </c>
      <c r="Q117" s="6" t="inlineStr">
        <is>
          <t>Cartão de crédito</t>
        </is>
      </c>
      <c r="R117" s="6" t="inlineStr">
        <is>
          <t>Cartão de crédito</t>
        </is>
      </c>
      <c r="S117" s="6" t="inlineStr">
        <is>
          <t>Aéreo</t>
        </is>
      </c>
      <c r="T117" s="6" t="inlineStr">
        <is>
          <t>N</t>
        </is>
      </c>
      <c r="U117" s="6" t="inlineStr">
        <is>
          <t>Grupo Vertex</t>
        </is>
      </c>
      <c r="V117" s="6" t="inlineStr">
        <is>
          <t>Vertex Farmaceutica do Brasil</t>
        </is>
      </c>
      <c r="W117" s="6" t="inlineStr">
        <is>
          <t>-</t>
        </is>
      </c>
      <c r="X117" s="6" t="inlineStr">
        <is>
          <t>Gol Linhas Aereas</t>
        </is>
      </c>
      <c r="Y117" s="6" t="n">
        <v>2149697669</v>
      </c>
      <c r="Z117" s="6" t="inlineStr">
        <is>
          <t>FCM-OPE-SAO-PVI-BTC-CONCUR</t>
        </is>
      </c>
      <c r="AA117" s="6" t="inlineStr">
        <is>
          <t>-</t>
        </is>
      </c>
      <c r="AB117" s="6" t="n">
        <v>2503.31</v>
      </c>
      <c r="AC117" s="6" t="n">
        <v>60.62</v>
      </c>
      <c r="AD117" s="6" t="n">
        <v>0</v>
      </c>
      <c r="AE117" s="6" t="n">
        <v>0</v>
      </c>
      <c r="AF117" s="6" t="n">
        <v>0</v>
      </c>
      <c r="AG117" s="6" t="n">
        <v>0</v>
      </c>
      <c r="AH117" s="6" t="n">
        <v>0</v>
      </c>
      <c r="AI117" s="6" t="inlineStr">
        <is>
          <t>Reserva importada por HubTravel</t>
        </is>
      </c>
      <c r="AJ117" s="6" t="inlineStr">
        <is>
          <t>Empenho/departamento não preenchido! (ACC01) Finalidade não preenchida! (ACC01)</t>
        </is>
      </c>
      <c r="AK117" s="6" t="inlineStr">
        <is>
          <t>SABRE</t>
        </is>
      </c>
      <c r="AL117" s="6" t="inlineStr">
        <is>
          <t>Mais de um campo não preenchido</t>
        </is>
      </c>
      <c r="AM117" s="6" t="inlineStr">
        <is>
          <t>Falta de informação Gerencial</t>
        </is>
      </c>
      <c r="AN117" s="6" t="inlineStr">
        <is>
          <t>Dados do Fornecedor</t>
        </is>
      </c>
      <c r="AO117" s="6" t="inlineStr">
        <is>
          <t>Qualidade dos dados</t>
        </is>
      </c>
      <c r="AP117" s="6" t="inlineStr">
        <is>
          <t>KONTIK BUSINESS TRAVEL</t>
        </is>
      </c>
      <c r="AQ117" s="6" t="inlineStr">
        <is>
          <t>Operações - FCM</t>
        </is>
      </c>
    </row>
    <row r="118">
      <c r="A118" s="6" t="n">
        <v>23364936</v>
      </c>
      <c r="B118" s="6" t="n">
        <v>24090977</v>
      </c>
      <c r="C118" s="6" t="inlineStr">
        <is>
          <t>ACC01</t>
        </is>
      </c>
      <c r="D118" s="58" t="n">
        <v>45982.43163194445</v>
      </c>
      <c r="E118" s="58" t="n">
        <v>45982.46287037037</v>
      </c>
      <c r="F118" s="6" t="inlineStr">
        <is>
          <t>03 a 05 dias</t>
        </is>
      </c>
      <c r="G118" s="6" t="inlineStr">
        <is>
          <t>03 a 05 dias</t>
        </is>
      </c>
      <c r="H118" s="6" t="inlineStr">
        <is>
          <t>MSIENXT</t>
        </is>
      </c>
      <c r="I118" s="6" t="inlineStr">
        <is>
          <t>SABRE</t>
        </is>
      </c>
      <c r="J118" s="6" t="inlineStr">
        <is>
          <t>RODRIGUES ALVES/MATEUS</t>
        </is>
      </c>
      <c r="K118" s="6" t="inlineStr">
        <is>
          <t>Paulo Roberto Mendes da Silva</t>
        </is>
      </c>
      <c r="L118" s="6" t="inlineStr">
        <is>
          <t>Paulo Roberto Mendes da Silva</t>
        </is>
      </c>
      <c r="M118" s="58" t="n">
        <v>45982.26597222222</v>
      </c>
      <c r="N118" s="6" t="inlineStr">
        <is>
          <t>NUMBER</t>
        </is>
      </c>
      <c r="O118" s="6" t="inlineStr">
        <is>
          <t>-</t>
        </is>
      </c>
      <c r="P118" s="6" t="inlineStr">
        <is>
          <t>OFF LINE</t>
        </is>
      </c>
      <c r="Q118" s="6" t="inlineStr">
        <is>
          <t>Cartão de crédito</t>
        </is>
      </c>
      <c r="R118" s="6" t="inlineStr">
        <is>
          <t>Cartão de crédito</t>
        </is>
      </c>
      <c r="S118" s="6" t="inlineStr">
        <is>
          <t>Hotel</t>
        </is>
      </c>
      <c r="T118" s="6" t="inlineStr">
        <is>
          <t>N</t>
        </is>
      </c>
      <c r="U118" s="6" t="inlineStr">
        <is>
          <t>Grupo Vertex</t>
        </is>
      </c>
      <c r="V118" s="6" t="inlineStr">
        <is>
          <t>Vertex Farmaceutica do Brasil</t>
        </is>
      </c>
      <c r="W118" s="6" t="inlineStr">
        <is>
          <t>-</t>
        </is>
      </c>
      <c r="X118" s="6" t="inlineStr">
        <is>
          <t>-</t>
        </is>
      </c>
      <c r="Y118" s="6" t="inlineStr">
        <is>
          <t>-</t>
        </is>
      </c>
      <c r="Z118" s="6" t="inlineStr">
        <is>
          <t>FCM-OPE-SAO-PVI-BTC-CONCUR</t>
        </is>
      </c>
      <c r="AA118" s="6" t="inlineStr">
        <is>
          <t>-</t>
        </is>
      </c>
      <c r="AB118" s="6" t="n">
        <v>589</v>
      </c>
      <c r="AC118" s="6" t="n">
        <v>34.54</v>
      </c>
      <c r="AD118" s="6" t="n">
        <v>0</v>
      </c>
      <c r="AE118" s="6" t="n">
        <v>0</v>
      </c>
      <c r="AF118" s="6" t="n">
        <v>0</v>
      </c>
      <c r="AG118" s="6" t="n">
        <v>0</v>
      </c>
      <c r="AH118" s="6" t="n">
        <v>0</v>
      </c>
      <c r="AI118" s="6" t="inlineStr">
        <is>
          <t>Reserva importada por HubTravel</t>
        </is>
      </c>
      <c r="AJ118" s="6" t="inlineStr">
        <is>
          <t>Centro de custo não preenchido! (ACC01) Empenho/departamento não preenchido! (ACC01)</t>
        </is>
      </c>
      <c r="AK118" s="6" t="inlineStr">
        <is>
          <t>SABRE</t>
        </is>
      </c>
      <c r="AL118" s="6" t="inlineStr">
        <is>
          <t>Mais de um campo não preenchido</t>
        </is>
      </c>
      <c r="AM118" s="6" t="inlineStr">
        <is>
          <t>Falta de informação Gerencial</t>
        </is>
      </c>
      <c r="AN118" s="6" t="inlineStr">
        <is>
          <t>Dados do Fornecedor</t>
        </is>
      </c>
      <c r="AO118" s="6" t="inlineStr">
        <is>
          <t>Qualidade dos dados</t>
        </is>
      </c>
      <c r="AP118" s="6" t="inlineStr">
        <is>
          <t>KONTIK BUSINESS TRAVEL</t>
        </is>
      </c>
      <c r="AQ118" s="6" t="inlineStr">
        <is>
          <t>Operações - FCM</t>
        </is>
      </c>
    </row>
    <row r="119">
      <c r="A119" s="6" t="n">
        <v>23353275</v>
      </c>
      <c r="B119" s="6" t="n">
        <v>24080233</v>
      </c>
      <c r="C119" s="6" t="inlineStr">
        <is>
          <t>ACC01</t>
        </is>
      </c>
      <c r="D119" s="58" t="n">
        <v>45980.43315972222</v>
      </c>
      <c r="E119" s="58" t="n">
        <v>45980.43846064815</v>
      </c>
      <c r="F119" s="6" t="inlineStr">
        <is>
          <t>06 a 08 dias</t>
        </is>
      </c>
      <c r="G119" s="6" t="inlineStr">
        <is>
          <t>06 a 08 dias</t>
        </is>
      </c>
      <c r="H119" s="6" t="inlineStr">
        <is>
          <t>DGHNWAT</t>
        </is>
      </c>
      <c r="I119" s="6" t="inlineStr">
        <is>
          <t>SABRE</t>
        </is>
      </c>
      <c r="J119" s="6" t="inlineStr">
        <is>
          <t>FILHO/ROMEL TOLENTINO</t>
        </is>
      </c>
      <c r="K119" s="6" t="inlineStr">
        <is>
          <t>Paulo Roberto Mendes da Silva</t>
        </is>
      </c>
      <c r="L119" s="6" t="inlineStr">
        <is>
          <t>Paulo Roberto Mendes da Silva</t>
        </is>
      </c>
      <c r="M119" s="58" t="n">
        <v>45978.40277777778</v>
      </c>
      <c r="N119" s="6" t="inlineStr">
        <is>
          <t>DGHNWA</t>
        </is>
      </c>
      <c r="O119" s="6" t="inlineStr">
        <is>
          <t>-</t>
        </is>
      </c>
      <c r="P119" s="6" t="inlineStr">
        <is>
          <t>ON LINE</t>
        </is>
      </c>
      <c r="Q119" s="6" t="inlineStr">
        <is>
          <t>Cartão de crédito</t>
        </is>
      </c>
      <c r="R119" s="6" t="inlineStr">
        <is>
          <t>Cartão de crédito</t>
        </is>
      </c>
      <c r="S119" s="6" t="inlineStr">
        <is>
          <t>Hotel</t>
        </is>
      </c>
      <c r="T119" s="6" t="inlineStr">
        <is>
          <t>N</t>
        </is>
      </c>
      <c r="U119" s="6" t="inlineStr">
        <is>
          <t>Grupo Iron Mountain</t>
        </is>
      </c>
      <c r="V119" s="6" t="inlineStr">
        <is>
          <t>Iron Mountain</t>
        </is>
      </c>
      <c r="W119" s="6" t="inlineStr">
        <is>
          <t>-</t>
        </is>
      </c>
      <c r="X119" s="6" t="inlineStr">
        <is>
          <t>Sheraton Maria Isabel Hotel &amp; Towers</t>
        </is>
      </c>
      <c r="Y119" s="6" t="inlineStr">
        <is>
          <t>-</t>
        </is>
      </c>
      <c r="Z119" s="6" t="inlineStr">
        <is>
          <t xml:space="preserve">FCM-OPE-SAO-PVI-BTC-CONCUR-IRON </t>
        </is>
      </c>
      <c r="AA119" s="6" t="inlineStr">
        <is>
          <t>-</t>
        </is>
      </c>
      <c r="AB119" s="6" t="n">
        <v>12734.475</v>
      </c>
      <c r="AC119" s="6" t="n">
        <v>328.59</v>
      </c>
      <c r="AD119" s="6" t="n">
        <v>0</v>
      </c>
      <c r="AE119" s="6" t="n">
        <v>0</v>
      </c>
      <c r="AF119" s="6" t="n">
        <v>0</v>
      </c>
      <c r="AG119" s="6" t="n">
        <v>0</v>
      </c>
      <c r="AH119" s="6" t="n">
        <v>0</v>
      </c>
      <c r="AI119" s="6" t="inlineStr">
        <is>
          <t>Reserva importada por HubTravel</t>
        </is>
      </c>
      <c r="AJ119" s="6" t="inlineStr">
        <is>
          <t>Matrícula não preenchida! (ACC01)</t>
        </is>
      </c>
      <c r="AK119" s="6" t="inlineStr">
        <is>
          <t>SABRE</t>
        </is>
      </c>
      <c r="AL119" s="6" t="inlineStr">
        <is>
          <t>Matrícula</t>
        </is>
      </c>
      <c r="AM119" s="6" t="inlineStr">
        <is>
          <t>Falta de informação Gerencial</t>
        </is>
      </c>
      <c r="AN119" s="6" t="inlineStr">
        <is>
          <t>Dados do Fornecedor</t>
        </is>
      </c>
      <c r="AO119" s="6" t="inlineStr">
        <is>
          <t>Qualidade dos dados</t>
        </is>
      </c>
      <c r="AP119" s="6" t="inlineStr">
        <is>
          <t>KONTIK BUSINESS TRAVEL</t>
        </is>
      </c>
      <c r="AQ119" s="6" t="inlineStr">
        <is>
          <t>Operações - FCM</t>
        </is>
      </c>
    </row>
    <row r="120">
      <c r="A120" s="6" t="n">
        <v>23315306</v>
      </c>
      <c r="B120" s="6" t="n">
        <v>24045088</v>
      </c>
      <c r="C120" s="6" t="inlineStr">
        <is>
          <t>ACC01</t>
        </is>
      </c>
      <c r="D120" s="58" t="n">
        <v>45974.33071759259</v>
      </c>
      <c r="E120" s="58" t="n">
        <v>45974.33399305555</v>
      </c>
      <c r="F120" s="6" t="inlineStr">
        <is>
          <t>09 a 15 dias</t>
        </is>
      </c>
      <c r="G120" s="6" t="inlineStr">
        <is>
          <t>09 a 15 dias</t>
        </is>
      </c>
      <c r="H120" s="6" t="inlineStr">
        <is>
          <t>5TEQXS</t>
        </is>
      </c>
      <c r="I120" s="6" t="inlineStr">
        <is>
          <t>LEMONTECH</t>
        </is>
      </c>
      <c r="J120" s="6" t="inlineStr">
        <is>
          <t>BARBOSA/KARLA</t>
        </is>
      </c>
      <c r="K120" s="6" t="inlineStr">
        <is>
          <t>Danilo dos Santos Alves Cardoso</t>
        </is>
      </c>
      <c r="L120" s="6" t="inlineStr">
        <is>
          <t>Danilo dos Santos Alves Cardoso</t>
        </is>
      </c>
      <c r="M120" s="58" t="n">
        <v>45973.72916666666</v>
      </c>
      <c r="N120" s="6" t="n">
        <v>18019074</v>
      </c>
      <c r="O120" s="6" t="inlineStr">
        <is>
          <t>-</t>
        </is>
      </c>
      <c r="P120" s="6" t="inlineStr">
        <is>
          <t>OFF LINE</t>
        </is>
      </c>
      <c r="Q120" s="6" t="inlineStr">
        <is>
          <t>Invoice</t>
        </is>
      </c>
      <c r="R120" s="6" t="inlineStr">
        <is>
          <t>Faturado</t>
        </is>
      </c>
      <c r="S120" s="6" t="inlineStr">
        <is>
          <t>Serviço</t>
        </is>
      </c>
      <c r="T120" s="6" t="inlineStr">
        <is>
          <t>N</t>
        </is>
      </c>
      <c r="U120" s="6" t="inlineStr">
        <is>
          <t>Grupo Benner</t>
        </is>
      </c>
      <c r="V120" s="6" t="inlineStr">
        <is>
          <t>Benner Sistemas - Blumenau</t>
        </is>
      </c>
      <c r="W120" s="6" t="inlineStr">
        <is>
          <t>-</t>
        </is>
      </c>
      <c r="X120" s="6" t="inlineStr">
        <is>
          <t>Azul Linhas Aereas</t>
        </is>
      </c>
      <c r="Y120" s="6" t="inlineStr">
        <is>
          <t>-</t>
        </is>
      </c>
      <c r="Z120" s="6" t="inlineStr">
        <is>
          <t>EMERGENCIAL</t>
        </is>
      </c>
      <c r="AA120" s="6" t="inlineStr">
        <is>
          <t>-</t>
        </is>
      </c>
      <c r="AB120" s="6" t="n">
        <v>10</v>
      </c>
      <c r="AC120" s="6" t="n">
        <v>1</v>
      </c>
      <c r="AD120" s="6" t="n">
        <v>0</v>
      </c>
      <c r="AE120" s="6" t="n">
        <v>0</v>
      </c>
      <c r="AF120" s="6" t="n">
        <v>0</v>
      </c>
      <c r="AG120" s="6" t="n">
        <v>0</v>
      </c>
      <c r="AH120" s="6" t="n">
        <v>0</v>
      </c>
      <c r="AI120" s="6" t="inlineStr">
        <is>
          <t>Reserva importada do Sistema Lemontech. Solicitação: 18019074</t>
        </is>
      </c>
      <c r="AJ120" s="6" t="inlineStr">
        <is>
          <t>Empenho/departamento não preenchido! (ACC01)</t>
        </is>
      </c>
      <c r="AK120" s="6" t="inlineStr">
        <is>
          <t>LEMONTECH</t>
        </is>
      </c>
      <c r="AL120" s="6" t="inlineStr">
        <is>
          <t>Empenho/departamento</t>
        </is>
      </c>
      <c r="AM120" s="6" t="inlineStr">
        <is>
          <t>Falta de informação Gerencial</t>
        </is>
      </c>
      <c r="AN120" s="6" t="inlineStr">
        <is>
          <t>Dados do Fornecedor</t>
        </is>
      </c>
      <c r="AO120" s="6" t="inlineStr">
        <is>
          <t>Qualidade dos dados</t>
        </is>
      </c>
      <c r="AP120" s="6" t="inlineStr">
        <is>
          <t>KONTIK BUSINESS TRAVEL</t>
        </is>
      </c>
      <c r="AQ120" s="6" t="inlineStr">
        <is>
          <t>Operações - CORP</t>
        </is>
      </c>
    </row>
    <row r="121">
      <c r="A121" s="6" t="n">
        <v>23383778</v>
      </c>
      <c r="B121" s="6" t="n">
        <v>24107233</v>
      </c>
      <c r="C121" s="6" t="inlineStr">
        <is>
          <t>ACC01</t>
        </is>
      </c>
      <c r="D121" s="58" t="n">
        <v>45986.21349537037</v>
      </c>
      <c r="E121" s="58" t="n">
        <v>45986.2390625</v>
      </c>
      <c r="F121" s="6" t="inlineStr">
        <is>
          <t>0 a 02 dias</t>
        </is>
      </c>
      <c r="G121" s="6" t="inlineStr">
        <is>
          <t>0 a 02 dias</t>
        </is>
      </c>
      <c r="H121" s="6" t="inlineStr">
        <is>
          <t>5U1BGE</t>
        </is>
      </c>
      <c r="I121" s="6" t="inlineStr">
        <is>
          <t>TMS</t>
        </is>
      </c>
      <c r="J121" s="6" t="inlineStr">
        <is>
          <t>LUIZ SOUZA NETO</t>
        </is>
      </c>
      <c r="K121" s="6" t="inlineStr">
        <is>
          <t>Tms</t>
        </is>
      </c>
      <c r="L121" s="6" t="inlineStr">
        <is>
          <t>Tms</t>
        </is>
      </c>
      <c r="M121" s="58" t="n">
        <v>45985.72569444445</v>
      </c>
      <c r="N121" s="6" t="n">
        <v>18963</v>
      </c>
      <c r="O121" s="6" t="inlineStr">
        <is>
          <t>Natal / NAT</t>
        </is>
      </c>
      <c r="P121" s="6" t="inlineStr">
        <is>
          <t>ON LINE</t>
        </is>
      </c>
      <c r="Q121" s="6" t="inlineStr">
        <is>
          <t>Invoice</t>
        </is>
      </c>
      <c r="R121" s="6" t="inlineStr">
        <is>
          <t>Faturado</t>
        </is>
      </c>
      <c r="S121" s="6" t="inlineStr">
        <is>
          <t>Carro</t>
        </is>
      </c>
      <c r="T121" s="6" t="inlineStr">
        <is>
          <t>N</t>
        </is>
      </c>
      <c r="U121" s="6" t="inlineStr">
        <is>
          <t>Grupo Petroreconcavo</t>
        </is>
      </c>
      <c r="V121" s="6" t="inlineStr">
        <is>
          <t>Petroreconcavo</t>
        </is>
      </c>
      <c r="W121" s="6" t="inlineStr">
        <is>
          <t>-</t>
        </is>
      </c>
      <c r="X121" s="6" t="inlineStr">
        <is>
          <t>-</t>
        </is>
      </c>
      <c r="Y121" s="6" t="inlineStr">
        <is>
          <t>-</t>
        </is>
      </c>
      <c r="Z121" s="6" t="inlineStr">
        <is>
          <t>KON-OPE-RIO-PVI-BTC-PETRORECONCAVO</t>
        </is>
      </c>
      <c r="AA121" s="6" t="inlineStr">
        <is>
          <t>-</t>
        </is>
      </c>
      <c r="AB121" s="6" t="n">
        <v>1183.28</v>
      </c>
      <c r="AC121" s="6" t="n">
        <v>0</v>
      </c>
      <c r="AD121" s="6" t="n">
        <v>0</v>
      </c>
      <c r="AE121" s="6" t="n">
        <v>0</v>
      </c>
      <c r="AF121" s="6" t="n">
        <v>0</v>
      </c>
      <c r="AG121" s="6" t="n">
        <v>0</v>
      </c>
      <c r="AH121" s="6" t="n">
        <v>0</v>
      </c>
      <c r="AI121" s="6" t="inlineStr">
        <is>
          <t>Reserva importada do Sistema TMS. OS: 18963</t>
        </is>
      </c>
      <c r="AJ121" s="6" t="inlineStr">
        <is>
          <t>Fornecedor não preenchido! (ACC01)</t>
        </is>
      </c>
      <c r="AK121" s="6" t="inlineStr">
        <is>
          <t>ARGO(TMS)</t>
        </is>
      </c>
      <c r="AL121" s="6" t="inlineStr">
        <is>
          <t>Falta de Fornecedor</t>
        </is>
      </c>
      <c r="AM121" s="6" t="inlineStr">
        <is>
          <t>Campo Fornecedor</t>
        </is>
      </c>
      <c r="AN121" s="6" t="inlineStr">
        <is>
          <t>Dados do Fornecedor</t>
        </is>
      </c>
      <c r="AO121" s="6" t="inlineStr">
        <is>
          <t>Qualidade dos dados</t>
        </is>
      </c>
      <c r="AP121" s="6" t="inlineStr">
        <is>
          <t>KONTIK BUSINESS TRAVEL</t>
        </is>
      </c>
      <c r="AQ121" s="6" t="inlineStr">
        <is>
          <t>Suporte KCS</t>
        </is>
      </c>
    </row>
    <row r="122">
      <c r="A122" s="6" t="n">
        <v>23343359</v>
      </c>
      <c r="B122" s="6" t="n">
        <v>24071111</v>
      </c>
      <c r="C122" s="6" t="inlineStr">
        <is>
          <t>ACC01</t>
        </is>
      </c>
      <c r="D122" s="58" t="n">
        <v>45978.87065972222</v>
      </c>
      <c r="E122" s="58" t="n">
        <v>45978.91164351852</v>
      </c>
      <c r="F122" s="6" t="inlineStr">
        <is>
          <t>06 a 08 dias</t>
        </is>
      </c>
      <c r="G122" s="6" t="inlineStr">
        <is>
          <t>06 a 08 dias</t>
        </is>
      </c>
      <c r="H122" s="6" t="inlineStr">
        <is>
          <t>5TC67Y</t>
        </is>
      </c>
      <c r="I122" s="6" t="inlineStr">
        <is>
          <t>TMS</t>
        </is>
      </c>
      <c r="J122" s="6" t="inlineStr">
        <is>
          <t>DANIEL CAVALCANTE</t>
        </is>
      </c>
      <c r="K122" s="6" t="inlineStr">
        <is>
          <t>Deise Fernanda Franca de Souza</t>
        </is>
      </c>
      <c r="L122" s="6" t="inlineStr">
        <is>
          <t>Deise Fernanda Franca de Souza</t>
        </is>
      </c>
      <c r="M122" s="58" t="n">
        <v>45978.7125</v>
      </c>
      <c r="N122" s="6" t="n">
        <v>18880</v>
      </c>
      <c r="O122" s="6" t="inlineStr">
        <is>
          <t>-</t>
        </is>
      </c>
      <c r="P122" s="6" t="inlineStr">
        <is>
          <t>OFF LINE</t>
        </is>
      </c>
      <c r="Q122" s="6" t="inlineStr">
        <is>
          <t>Invoice</t>
        </is>
      </c>
      <c r="R122" s="6" t="inlineStr">
        <is>
          <t>Faturado</t>
        </is>
      </c>
      <c r="S122" s="6" t="inlineStr">
        <is>
          <t>Serviço</t>
        </is>
      </c>
      <c r="T122" s="6" t="inlineStr">
        <is>
          <t>N</t>
        </is>
      </c>
      <c r="U122" s="6" t="inlineStr">
        <is>
          <t>Grupo Petroreconcavo</t>
        </is>
      </c>
      <c r="V122" s="6" t="inlineStr">
        <is>
          <t>Petroreconcavo</t>
        </is>
      </c>
      <c r="W122" s="6" t="inlineStr">
        <is>
          <t>-</t>
        </is>
      </c>
      <c r="X122" s="6" t="inlineStr">
        <is>
          <t>-</t>
        </is>
      </c>
      <c r="Y122" s="6" t="inlineStr">
        <is>
          <t>-</t>
        </is>
      </c>
      <c r="Z122" s="6" t="inlineStr">
        <is>
          <t>KON-OPE-RIO-PVI-BTC-PETRORECONCAVO</t>
        </is>
      </c>
      <c r="AA122" s="6" t="inlineStr">
        <is>
          <t>-</t>
        </is>
      </c>
      <c r="AB122" s="6" t="n">
        <v>750</v>
      </c>
      <c r="AC122" s="6" t="n">
        <v>0</v>
      </c>
      <c r="AD122" s="6" t="n">
        <v>0</v>
      </c>
      <c r="AE122" s="6" t="n">
        <v>0</v>
      </c>
      <c r="AF122" s="6" t="n">
        <v>0</v>
      </c>
      <c r="AG122" s="6" t="n">
        <v>0</v>
      </c>
      <c r="AH122" s="6" t="n">
        <v>0</v>
      </c>
      <c r="AI122" s="6" t="inlineStr">
        <is>
          <t>Reserva importada do Sistema TMS. OS: 18880</t>
        </is>
      </c>
      <c r="AJ122" s="6" t="inlineStr">
        <is>
          <t>Fornecedor não preenchido! (ACC01)</t>
        </is>
      </c>
      <c r="AK122" s="6" t="inlineStr">
        <is>
          <t>ARGO(TMS)</t>
        </is>
      </c>
      <c r="AL122" s="6" t="inlineStr">
        <is>
          <t>Falta de Fornecedor</t>
        </is>
      </c>
      <c r="AM122" s="6" t="inlineStr">
        <is>
          <t>Campo Fornecedor</t>
        </is>
      </c>
      <c r="AN122" s="6" t="inlineStr">
        <is>
          <t>Dados do Fornecedor</t>
        </is>
      </c>
      <c r="AO122" s="6" t="inlineStr">
        <is>
          <t>Qualidade dos dados</t>
        </is>
      </c>
      <c r="AP122" s="6" t="inlineStr">
        <is>
          <t>KONTIK BUSINESS TRAVEL</t>
        </is>
      </c>
      <c r="AQ122" s="6" t="inlineStr">
        <is>
          <t>Suporte KCS</t>
        </is>
      </c>
    </row>
    <row r="123">
      <c r="A123" s="6" t="n">
        <v>23270939</v>
      </c>
      <c r="B123" s="6" t="n">
        <v>24003353</v>
      </c>
      <c r="C123" s="6" t="inlineStr">
        <is>
          <t>ACC01</t>
        </is>
      </c>
      <c r="D123" s="58" t="n">
        <v>45967.551875</v>
      </c>
      <c r="E123" s="58" t="n">
        <v>45967.55252314815</v>
      </c>
      <c r="F123" s="59" t="inlineStr">
        <is>
          <t>16 a 23 dias</t>
        </is>
      </c>
      <c r="G123" s="59" t="inlineStr">
        <is>
          <t>16 a 23 dias</t>
        </is>
      </c>
      <c r="H123" s="6" t="inlineStr">
        <is>
          <t>H20736308</t>
        </is>
      </c>
      <c r="I123" s="6" t="inlineStr">
        <is>
          <t>GOVER</t>
        </is>
      </c>
      <c r="J123" s="6" t="inlineStr">
        <is>
          <t>Luciano Russo Hoehne</t>
        </is>
      </c>
      <c r="K123" s="6" t="inlineStr">
        <is>
          <t>Emilia Alejandra Pacheco Maraboli</t>
        </is>
      </c>
      <c r="L123" s="6" t="inlineStr">
        <is>
          <t>Emilia Alejandra Pacheco Maraboli</t>
        </is>
      </c>
      <c r="M123" s="58" t="n">
        <v>45967.54166666666</v>
      </c>
      <c r="N123" s="6" t="n">
        <v>4624667</v>
      </c>
      <c r="O123" s="6" t="inlineStr">
        <is>
          <t>-</t>
        </is>
      </c>
      <c r="P123" s="6" t="inlineStr">
        <is>
          <t>OFF LINE</t>
        </is>
      </c>
      <c r="Q123" s="6" t="inlineStr">
        <is>
          <t>Pagamento direto</t>
        </is>
      </c>
      <c r="R123" s="6" t="inlineStr">
        <is>
          <t>Pagamento direto</t>
        </is>
      </c>
      <c r="S123" s="6" t="inlineStr">
        <is>
          <t>Hotel</t>
        </is>
      </c>
      <c r="T123" s="6" t="inlineStr">
        <is>
          <t>N</t>
        </is>
      </c>
      <c r="U123" s="6" t="inlineStr">
        <is>
          <t>Grupo Fm Global</t>
        </is>
      </c>
      <c r="V123" s="6" t="inlineStr">
        <is>
          <t>Fm Global - Servicos</t>
        </is>
      </c>
      <c r="W123" s="6" t="inlineStr">
        <is>
          <t>Cliente FEE no POS</t>
        </is>
      </c>
      <c r="X123" s="6" t="inlineStr">
        <is>
          <t>Ipe Hotel</t>
        </is>
      </c>
      <c r="Y123" s="6" t="inlineStr">
        <is>
          <t>-</t>
        </is>
      </c>
      <c r="Z123" s="6" t="inlineStr">
        <is>
          <t>FCM-OPE-SAO-PVI-BTC-FM GLOBAL</t>
        </is>
      </c>
      <c r="AA123" s="6" t="inlineStr">
        <is>
          <t>-</t>
        </is>
      </c>
      <c r="AB123" s="6" t="n">
        <v>290</v>
      </c>
      <c r="AC123" s="6" t="n">
        <v>0</v>
      </c>
      <c r="AD123" s="6" t="n">
        <v>0</v>
      </c>
      <c r="AE123" s="6" t="n">
        <v>0</v>
      </c>
      <c r="AF123" s="6" t="n">
        <v>0</v>
      </c>
      <c r="AG123" s="6" t="n">
        <v>0</v>
      </c>
      <c r="AH123" s="6" t="n">
        <v>0</v>
      </c>
      <c r="AI123" s="6" t="inlineStr">
        <is>
          <t>Reserva importada do sistema Gover. Id: 4624667</t>
        </is>
      </c>
      <c r="AJ123" s="6" t="inlineStr">
        <is>
          <t>Este cliente não possui permissão para usar este tipo de pagamento e recebimento para este produto.</t>
        </is>
      </c>
      <c r="AK123" s="6" t="inlineStr">
        <is>
          <t>GOVER</t>
        </is>
      </c>
      <c r="AL123" s="6" t="inlineStr">
        <is>
          <t>Pagamento não permitido para cobrança</t>
        </is>
      </c>
      <c r="AM123" s="6" t="inlineStr">
        <is>
          <t>Forma PG. e REC.</t>
        </is>
      </c>
      <c r="AN123" s="6" t="inlineStr">
        <is>
          <t>Dados do Fornecedor</t>
        </is>
      </c>
      <c r="AO123" s="6" t="inlineStr">
        <is>
          <t>Sistêmico</t>
        </is>
      </c>
      <c r="AP123" s="6" t="inlineStr">
        <is>
          <t>GRUPO KONTIK</t>
        </is>
      </c>
      <c r="AQ123" s="6" t="inlineStr">
        <is>
          <t>Suporte Benner</t>
        </is>
      </c>
    </row>
    <row r="124">
      <c r="A124" s="6" t="n">
        <v>23340862</v>
      </c>
      <c r="B124" s="6" t="n">
        <v>24068640</v>
      </c>
      <c r="C124" s="6" t="inlineStr">
        <is>
          <t>ACC01</t>
        </is>
      </c>
      <c r="D124" s="58" t="n">
        <v>45978.6291087963</v>
      </c>
      <c r="E124" s="58" t="n">
        <v>45978.635625</v>
      </c>
      <c r="F124" s="6" t="inlineStr">
        <is>
          <t>06 a 08 dias</t>
        </is>
      </c>
      <c r="G124" s="6" t="inlineStr">
        <is>
          <t>06 a 08 dias</t>
        </is>
      </c>
      <c r="H124" s="6" t="inlineStr">
        <is>
          <t>5T8CQ6</t>
        </is>
      </c>
      <c r="I124" s="6" t="inlineStr">
        <is>
          <t>MANUAL</t>
        </is>
      </c>
      <c r="J124" s="6" t="inlineStr">
        <is>
          <t>EVALDO ALVES DA SILVA JUNIOR</t>
        </is>
      </c>
      <c r="K124" s="6" t="inlineStr">
        <is>
          <t>Rafaela Leitao Oliveira</t>
        </is>
      </c>
      <c r="L124" s="6" t="inlineStr">
        <is>
          <t>Rafaela Leitao Oliveira</t>
        </is>
      </c>
      <c r="M124" s="58" t="n">
        <v>45978.62847222222</v>
      </c>
      <c r="N124" s="6" t="inlineStr">
        <is>
          <t>EMAIL</t>
        </is>
      </c>
      <c r="O124" s="6" t="inlineStr">
        <is>
          <t>-</t>
        </is>
      </c>
      <c r="P124" s="6" t="inlineStr">
        <is>
          <t>OFF LINE</t>
        </is>
      </c>
      <c r="Q124" s="6" t="inlineStr">
        <is>
          <t>Invoice</t>
        </is>
      </c>
      <c r="R124" s="6" t="inlineStr">
        <is>
          <t>Faturado</t>
        </is>
      </c>
      <c r="S124" s="6" t="inlineStr">
        <is>
          <t>Serviço</t>
        </is>
      </c>
      <c r="T124" s="6" t="inlineStr">
        <is>
          <t>N</t>
        </is>
      </c>
      <c r="U124" s="6" t="inlineStr">
        <is>
          <t>Grupo Falcon Active</t>
        </is>
      </c>
      <c r="V124" s="6" t="inlineStr">
        <is>
          <t>Falcon Goiania</t>
        </is>
      </c>
      <c r="W124" s="6" t="inlineStr">
        <is>
          <t>-</t>
        </is>
      </c>
      <c r="X124" s="6" t="inlineStr">
        <is>
          <t>Aguiar Locacao e Turismo</t>
        </is>
      </c>
      <c r="Y124" s="6" t="inlineStr">
        <is>
          <t>-</t>
        </is>
      </c>
      <c r="Z124" s="6" t="inlineStr">
        <is>
          <t>EMERGENCIAL</t>
        </is>
      </c>
      <c r="AA124" s="6" t="inlineStr">
        <is>
          <t>-</t>
        </is>
      </c>
      <c r="AB124" s="6" t="n">
        <v>331.2</v>
      </c>
      <c r="AC124" s="6" t="n">
        <v>10.95</v>
      </c>
      <c r="AD124" s="6" t="n">
        <v>0</v>
      </c>
      <c r="AE124" s="6" t="n">
        <v>0</v>
      </c>
      <c r="AF124" s="6" t="n">
        <v>0</v>
      </c>
      <c r="AG124" s="6" t="n">
        <v>0</v>
      </c>
      <c r="AH124" s="6" t="n">
        <v>0</v>
      </c>
      <c r="AI124" s="6" t="inlineStr">
        <is>
          <t>-</t>
        </is>
      </c>
      <c r="AJ124" s="6" t="inlineStr">
        <is>
          <t xml:space="preserve">Não foi possível encontrar um contrato válido para o fornecedor 391813 (Código fornecedor) </t>
        </is>
      </c>
      <c r="AK124" s="6" t="inlineStr">
        <is>
          <t>MANUAL</t>
        </is>
      </c>
      <c r="AL124" s="6" t="inlineStr">
        <is>
          <t>Contrato de fornecedor</t>
        </is>
      </c>
      <c r="AM124" s="6" t="inlineStr">
        <is>
          <t>Análise Cadastro</t>
        </is>
      </c>
      <c r="AN124" s="6" t="inlineStr">
        <is>
          <t>Dados do Fornecedor</t>
        </is>
      </c>
      <c r="AO124" s="6" t="inlineStr">
        <is>
          <t>Qualidade dos dados</t>
        </is>
      </c>
      <c r="AP124" s="6" t="inlineStr">
        <is>
          <t>KONTIK BUSINESS TRAVEL</t>
        </is>
      </c>
      <c r="AQ124" s="6" t="inlineStr">
        <is>
          <t>Operações - CORP</t>
        </is>
      </c>
    </row>
    <row r="125">
      <c r="A125" s="6" t="n">
        <v>23211265</v>
      </c>
      <c r="B125" s="6" t="n">
        <v>23947173</v>
      </c>
      <c r="C125" s="6" t="inlineStr">
        <is>
          <t>ACC01</t>
        </is>
      </c>
      <c r="D125" s="58" t="n">
        <v>45958.71207175926</v>
      </c>
      <c r="E125" s="58" t="n">
        <v>45972.33826388889</v>
      </c>
      <c r="F125" s="6" t="inlineStr">
        <is>
          <t>09 a 15 dias</t>
        </is>
      </c>
      <c r="G125" s="6" t="inlineStr">
        <is>
          <t>24 a 31 dias</t>
        </is>
      </c>
      <c r="H125" s="6" t="inlineStr">
        <is>
          <t>EPSYAF</t>
        </is>
      </c>
      <c r="I125" s="6" t="inlineStr">
        <is>
          <t>GOVER</t>
        </is>
      </c>
      <c r="J125" s="6" t="inlineStr">
        <is>
          <t>Willians Valter Fiori Da Cruz</t>
        </is>
      </c>
      <c r="K125" s="6" t="inlineStr">
        <is>
          <t>Gover</t>
        </is>
      </c>
      <c r="L125" s="6" t="inlineStr">
        <is>
          <t>Gover</t>
        </is>
      </c>
      <c r="M125" s="58" t="n">
        <v>45958.70208333333</v>
      </c>
      <c r="N125" s="6" t="n">
        <v>4619655</v>
      </c>
      <c r="O125" s="6" t="inlineStr">
        <is>
          <t>-</t>
        </is>
      </c>
      <c r="P125" s="6" t="inlineStr">
        <is>
          <t>ON LINE</t>
        </is>
      </c>
      <c r="Q125" s="6" t="inlineStr">
        <is>
          <t>Invoice</t>
        </is>
      </c>
      <c r="R125" s="6" t="inlineStr">
        <is>
          <t>Cartão convênio</t>
        </is>
      </c>
      <c r="S125" s="6" t="inlineStr">
        <is>
          <t>Aéreo</t>
        </is>
      </c>
      <c r="T125" s="6" t="inlineStr">
        <is>
          <t>N</t>
        </is>
      </c>
      <c r="U125" s="6" t="inlineStr">
        <is>
          <t>Grupo Falcon Active</t>
        </is>
      </c>
      <c r="V125" s="6" t="inlineStr">
        <is>
          <t>Falcon Goiania</t>
        </is>
      </c>
      <c r="W125" s="6" t="inlineStr">
        <is>
          <t>-</t>
        </is>
      </c>
      <c r="X125" s="6" t="inlineStr">
        <is>
          <t>Latam Airlines Brasil</t>
        </is>
      </c>
      <c r="Y125" s="6" t="n">
        <v>2256986008</v>
      </c>
      <c r="Z125" s="6" t="inlineStr">
        <is>
          <t>KON-OPE-RIO-PVI-BTC-FALCON ACTIVE</t>
        </is>
      </c>
      <c r="AA125" s="6" t="inlineStr">
        <is>
          <t>-</t>
        </is>
      </c>
      <c r="AB125" s="6" t="n">
        <v>1109.241</v>
      </c>
      <c r="AC125" s="6" t="n">
        <v>108.92</v>
      </c>
      <c r="AD125" s="6" t="n">
        <v>0</v>
      </c>
      <c r="AE125" s="6" t="n">
        <v>0</v>
      </c>
      <c r="AF125" s="6" t="n">
        <v>0</v>
      </c>
      <c r="AG125" s="6" t="n">
        <v>0</v>
      </c>
      <c r="AH125" s="6" t="n">
        <v>0</v>
      </c>
      <c r="AI125" s="6" t="inlineStr">
        <is>
          <t>Reserva importada do sistema Gover. Id: 4619655</t>
        </is>
      </c>
      <c r="AJ125" s="6" t="inlineStr">
        <is>
          <t>Erro excluindo PNR: Não é possivel excluir a accounting de código: 25283752. A mesma está ligada a conciliação de cartão "REDE 03.11.2025.xlsx"</t>
        </is>
      </c>
      <c r="AK125" s="6" t="inlineStr">
        <is>
          <t>GOVER</t>
        </is>
      </c>
      <c r="AL125" s="6" t="inlineStr">
        <is>
          <t>Conciliação de Cartão</t>
        </is>
      </c>
      <c r="AM125" s="6" t="inlineStr">
        <is>
          <t>Financeiro Conciliado</t>
        </is>
      </c>
      <c r="AN125" s="6" t="inlineStr">
        <is>
          <t>Edição não Permitida</t>
        </is>
      </c>
      <c r="AO125" s="6" t="inlineStr">
        <is>
          <t>Processo Operacional</t>
        </is>
      </c>
      <c r="AP125" s="6" t="inlineStr">
        <is>
          <t>GRUPO KONTIK</t>
        </is>
      </c>
      <c r="AQ125" s="6" t="inlineStr">
        <is>
          <t>Central de Emissão</t>
        </is>
      </c>
    </row>
    <row r="126">
      <c r="A126" s="6" t="n">
        <v>23277839</v>
      </c>
      <c r="B126" s="6" t="n">
        <v>24009990</v>
      </c>
      <c r="C126" s="6" t="inlineStr">
        <is>
          <t>ACC01</t>
        </is>
      </c>
      <c r="D126" s="58" t="n">
        <v>45968.46350694444</v>
      </c>
      <c r="E126" s="58" t="n">
        <v>45968.46578703704</v>
      </c>
      <c r="F126" s="59" t="inlineStr">
        <is>
          <t>16 a 23 dias</t>
        </is>
      </c>
      <c r="G126" s="59" t="inlineStr">
        <is>
          <t>16 a 23 dias</t>
        </is>
      </c>
      <c r="H126" s="6" t="n">
        <v>20607600</v>
      </c>
      <c r="I126" s="6" t="inlineStr">
        <is>
          <t>GOVER</t>
        </is>
      </c>
      <c r="J126" s="6" t="inlineStr">
        <is>
          <t>Renato Dhiego Vidal de Amorim</t>
        </is>
      </c>
      <c r="K126" s="6" t="inlineStr">
        <is>
          <t>Gover</t>
        </is>
      </c>
      <c r="L126" s="6" t="inlineStr">
        <is>
          <t>Gover</t>
        </is>
      </c>
      <c r="M126" s="58" t="n">
        <v>45958.66805555556</v>
      </c>
      <c r="N126" s="6" t="n">
        <v>4620205</v>
      </c>
      <c r="O126" s="6" t="inlineStr">
        <is>
          <t>-</t>
        </is>
      </c>
      <c r="P126" s="6" t="inlineStr">
        <is>
          <t>ON LINE</t>
        </is>
      </c>
      <c r="Q126" s="6" t="inlineStr">
        <is>
          <t>Cartão de crédito</t>
        </is>
      </c>
      <c r="R126" s="6" t="inlineStr">
        <is>
          <t>Cartão de crédito</t>
        </is>
      </c>
      <c r="S126" s="6" t="inlineStr">
        <is>
          <t>Hotel</t>
        </is>
      </c>
      <c r="T126" s="6" t="inlineStr">
        <is>
          <t>N</t>
        </is>
      </c>
      <c r="U126" s="6" t="inlineStr">
        <is>
          <t>Grupo Falcon Active</t>
        </is>
      </c>
      <c r="V126" s="6" t="inlineStr">
        <is>
          <t>Falcon Goiania</t>
        </is>
      </c>
      <c r="W126" s="6" t="inlineStr">
        <is>
          <t>-</t>
        </is>
      </c>
      <c r="X126" s="6" t="inlineStr">
        <is>
          <t>-</t>
        </is>
      </c>
      <c r="Y126" s="6" t="inlineStr">
        <is>
          <t>-</t>
        </is>
      </c>
      <c r="Z126" s="6" t="inlineStr">
        <is>
          <t>KON-OPE-RIO-PVI-BTC-FALCON ACTIVE</t>
        </is>
      </c>
      <c r="AA126" s="6" t="inlineStr">
        <is>
          <t>-</t>
        </is>
      </c>
      <c r="AB126" s="6" t="n">
        <v>152</v>
      </c>
      <c r="AC126" s="6" t="n">
        <v>0</v>
      </c>
      <c r="AD126" s="6" t="n">
        <v>0</v>
      </c>
      <c r="AE126" s="6" t="n">
        <v>0</v>
      </c>
      <c r="AF126" s="6" t="n">
        <v>0</v>
      </c>
      <c r="AG126" s="6" t="n">
        <v>0</v>
      </c>
      <c r="AH126" s="6" t="n">
        <v>0</v>
      </c>
      <c r="AI126" s="6" t="inlineStr">
        <is>
          <t>Reserva importada do sistema Gover. Id: 4620205</t>
        </is>
      </c>
      <c r="AJ126" s="6" t="inlineStr">
        <is>
          <t>Fornecedor não preenchido! (ACC01)</t>
        </is>
      </c>
      <c r="AK126" s="6" t="inlineStr">
        <is>
          <t>GOVER</t>
        </is>
      </c>
      <c r="AL126" s="6" t="inlineStr">
        <is>
          <t>Falta de Fornecedor</t>
        </is>
      </c>
      <c r="AM126" s="6" t="inlineStr">
        <is>
          <t>Campo Fornecedor</t>
        </is>
      </c>
      <c r="AN126" s="6" t="inlineStr">
        <is>
          <t>Dados do Fornecedor</t>
        </is>
      </c>
      <c r="AO126" s="6" t="inlineStr">
        <is>
          <t>Sistêmico</t>
        </is>
      </c>
      <c r="AP126" s="6" t="inlineStr">
        <is>
          <t>GRUPO KONTIK</t>
        </is>
      </c>
      <c r="AQ126" s="6" t="inlineStr">
        <is>
          <t>Suporte Benner</t>
        </is>
      </c>
    </row>
    <row r="127">
      <c r="A127" s="6" t="n">
        <v>23366752</v>
      </c>
      <c r="B127" s="6" t="n">
        <v>24092778</v>
      </c>
      <c r="C127" s="6" t="inlineStr">
        <is>
          <t>ACC01</t>
        </is>
      </c>
      <c r="D127" s="58" t="n">
        <v>45982.66349537037</v>
      </c>
      <c r="E127" s="58" t="n">
        <v>45986.09420138889</v>
      </c>
      <c r="F127" s="6" t="inlineStr">
        <is>
          <t>0 a 02 dias</t>
        </is>
      </c>
      <c r="G127" s="6" t="inlineStr">
        <is>
          <t>03 a 05 dias</t>
        </is>
      </c>
      <c r="H127" s="6" t="inlineStr">
        <is>
          <t>5U26UM</t>
        </is>
      </c>
      <c r="I127" s="6" t="inlineStr">
        <is>
          <t>TMS</t>
        </is>
      </c>
      <c r="J127" s="6" t="inlineStr">
        <is>
          <t>PRISCILA M DE SOUZA</t>
        </is>
      </c>
      <c r="K127" s="6" t="inlineStr">
        <is>
          <t>Tms</t>
        </is>
      </c>
      <c r="L127" s="6" t="inlineStr">
        <is>
          <t>Tms</t>
        </is>
      </c>
      <c r="M127" s="58" t="n">
        <v>45982.59236111111</v>
      </c>
      <c r="N127" s="6" t="n">
        <v>48000</v>
      </c>
      <c r="O127" s="6" t="inlineStr">
        <is>
          <t>-</t>
        </is>
      </c>
      <c r="P127" s="6" t="inlineStr">
        <is>
          <t>OFF LINE</t>
        </is>
      </c>
      <c r="Q127" s="6" t="inlineStr">
        <is>
          <t>Invoice</t>
        </is>
      </c>
      <c r="R127" s="6" t="inlineStr">
        <is>
          <t>Faturado</t>
        </is>
      </c>
      <c r="S127" s="6" t="inlineStr">
        <is>
          <t>Serviço</t>
        </is>
      </c>
      <c r="T127" s="6" t="inlineStr">
        <is>
          <t>N</t>
        </is>
      </c>
      <c r="U127" s="6" t="inlineStr">
        <is>
          <t>Grupo Htb</t>
        </is>
      </c>
      <c r="V127" s="6" t="inlineStr">
        <is>
          <t>Htb Engenharia e Construcao</t>
        </is>
      </c>
      <c r="W127" s="6" t="inlineStr">
        <is>
          <t>-</t>
        </is>
      </c>
      <c r="X127" s="6" t="inlineStr">
        <is>
          <t>-</t>
        </is>
      </c>
      <c r="Y127" s="6" t="inlineStr">
        <is>
          <t>-</t>
        </is>
      </c>
      <c r="Z127" s="6" t="inlineStr">
        <is>
          <t>KON-OPE-SAO-PVI-BTC-ARGO-HTB</t>
        </is>
      </c>
      <c r="AA127" s="6" t="inlineStr">
        <is>
          <t>-</t>
        </is>
      </c>
      <c r="AB127" s="6" t="n">
        <v>237.72</v>
      </c>
      <c r="AC127" s="6" t="n">
        <v>52.73</v>
      </c>
      <c r="AD127" s="6" t="n">
        <v>0</v>
      </c>
      <c r="AE127" s="6" t="n">
        <v>0</v>
      </c>
      <c r="AF127" s="6" t="n">
        <v>0</v>
      </c>
      <c r="AG127" s="6" t="n">
        <v>0</v>
      </c>
      <c r="AH127" s="6" t="n">
        <v>0</v>
      </c>
      <c r="AI127" s="6" t="inlineStr">
        <is>
          <t>Reserva importada do Sistema TMS. OS: 48000</t>
        </is>
      </c>
      <c r="AJ127" s="6" t="inlineStr">
        <is>
          <t>Fornecedor não preenchido! (ACC01)</t>
        </is>
      </c>
      <c r="AK127" s="6" t="inlineStr">
        <is>
          <t>ARGO(TMS)</t>
        </is>
      </c>
      <c r="AL127" s="6" t="inlineStr">
        <is>
          <t>Falta de Fornecedor</t>
        </is>
      </c>
      <c r="AM127" s="6" t="inlineStr">
        <is>
          <t>Campo Fornecedor</t>
        </is>
      </c>
      <c r="AN127" s="6" t="inlineStr">
        <is>
          <t>Dados do Fornecedor</t>
        </is>
      </c>
      <c r="AO127" s="6" t="inlineStr">
        <is>
          <t>Qualidade dos dados</t>
        </is>
      </c>
      <c r="AP127" s="6" t="inlineStr">
        <is>
          <t>KONTIK BUSINESS TRAVEL</t>
        </is>
      </c>
      <c r="AQ127" s="6" t="inlineStr">
        <is>
          <t>Suporte KCS</t>
        </is>
      </c>
    </row>
    <row r="128">
      <c r="A128" s="6" t="n">
        <v>23366753</v>
      </c>
      <c r="B128" s="6" t="n">
        <v>24092779</v>
      </c>
      <c r="C128" s="6" t="inlineStr">
        <is>
          <t>ACC01</t>
        </is>
      </c>
      <c r="D128" s="58" t="n">
        <v>45982.66353009259</v>
      </c>
      <c r="E128" s="58" t="n">
        <v>45986.09420138889</v>
      </c>
      <c r="F128" s="6" t="inlineStr">
        <is>
          <t>0 a 02 dias</t>
        </is>
      </c>
      <c r="G128" s="6" t="inlineStr">
        <is>
          <t>03 a 05 dias</t>
        </is>
      </c>
      <c r="H128" s="6" t="inlineStr">
        <is>
          <t>5UEHUM</t>
        </is>
      </c>
      <c r="I128" s="6" t="inlineStr">
        <is>
          <t>TMS</t>
        </is>
      </c>
      <c r="J128" s="6" t="inlineStr">
        <is>
          <t>DACILIA AQUIE M DE SOUZA</t>
        </is>
      </c>
      <c r="K128" s="6" t="inlineStr">
        <is>
          <t>Tms</t>
        </is>
      </c>
      <c r="L128" s="6" t="inlineStr">
        <is>
          <t>Tms</t>
        </is>
      </c>
      <c r="M128" s="58" t="n">
        <v>45982.58611111111</v>
      </c>
      <c r="N128" s="6" t="n">
        <v>47999</v>
      </c>
      <c r="O128" s="6" t="inlineStr">
        <is>
          <t>-</t>
        </is>
      </c>
      <c r="P128" s="6" t="inlineStr">
        <is>
          <t>OFF LINE</t>
        </is>
      </c>
      <c r="Q128" s="6" t="inlineStr">
        <is>
          <t>Invoice</t>
        </is>
      </c>
      <c r="R128" s="6" t="inlineStr">
        <is>
          <t>Faturado</t>
        </is>
      </c>
      <c r="S128" s="6" t="inlineStr">
        <is>
          <t>Serviço</t>
        </is>
      </c>
      <c r="T128" s="6" t="inlineStr">
        <is>
          <t>N</t>
        </is>
      </c>
      <c r="U128" s="6" t="inlineStr">
        <is>
          <t>Grupo Htb</t>
        </is>
      </c>
      <c r="V128" s="6" t="inlineStr">
        <is>
          <t>Htb Engenharia e Construcao</t>
        </is>
      </c>
      <c r="W128" s="6" t="inlineStr">
        <is>
          <t>-</t>
        </is>
      </c>
      <c r="X128" s="6" t="inlineStr">
        <is>
          <t>-</t>
        </is>
      </c>
      <c r="Y128" s="6" t="inlineStr">
        <is>
          <t>-</t>
        </is>
      </c>
      <c r="Z128" s="6" t="inlineStr">
        <is>
          <t>KON-OPE-SAO-PVI-BTC-ARGO-HTB</t>
        </is>
      </c>
      <c r="AA128" s="6" t="inlineStr">
        <is>
          <t>-</t>
        </is>
      </c>
      <c r="AB128" s="6" t="n">
        <v>237.72</v>
      </c>
      <c r="AC128" s="6" t="n">
        <v>52.73</v>
      </c>
      <c r="AD128" s="6" t="n">
        <v>0</v>
      </c>
      <c r="AE128" s="6" t="n">
        <v>0</v>
      </c>
      <c r="AF128" s="6" t="n">
        <v>0</v>
      </c>
      <c r="AG128" s="6" t="n">
        <v>0</v>
      </c>
      <c r="AH128" s="6" t="n">
        <v>0</v>
      </c>
      <c r="AI128" s="6" t="inlineStr">
        <is>
          <t>Reserva importada do Sistema TMS. OS: 47999</t>
        </is>
      </c>
      <c r="AJ128" s="6" t="inlineStr">
        <is>
          <t>Fornecedor não preenchido! (ACC01)</t>
        </is>
      </c>
      <c r="AK128" s="6" t="inlineStr">
        <is>
          <t>ARGO(TMS)</t>
        </is>
      </c>
      <c r="AL128" s="6" t="inlineStr">
        <is>
          <t>Falta de Fornecedor</t>
        </is>
      </c>
      <c r="AM128" s="6" t="inlineStr">
        <is>
          <t>Campo Fornecedor</t>
        </is>
      </c>
      <c r="AN128" s="6" t="inlineStr">
        <is>
          <t>Dados do Fornecedor</t>
        </is>
      </c>
      <c r="AO128" s="6" t="inlineStr">
        <is>
          <t>Qualidade dos dados</t>
        </is>
      </c>
      <c r="AP128" s="6" t="inlineStr">
        <is>
          <t>KONTIK BUSINESS TRAVEL</t>
        </is>
      </c>
      <c r="AQ128" s="6" t="inlineStr">
        <is>
          <t>Suporte KCS</t>
        </is>
      </c>
    </row>
    <row r="129">
      <c r="A129" s="6" t="n">
        <v>23380497</v>
      </c>
      <c r="B129" s="6" t="n">
        <v>24104183</v>
      </c>
      <c r="C129" s="6" t="inlineStr">
        <is>
          <t>ACC01</t>
        </is>
      </c>
      <c r="D129" s="58" t="n">
        <v>45985.70459490741</v>
      </c>
      <c r="E129" s="58" t="n">
        <v>45986.09427083333</v>
      </c>
      <c r="F129" s="6" t="inlineStr">
        <is>
          <t>0 a 02 dias</t>
        </is>
      </c>
      <c r="G129" s="6" t="inlineStr">
        <is>
          <t>0 a 02 dias</t>
        </is>
      </c>
      <c r="H129" s="6" t="inlineStr">
        <is>
          <t>5UGTGX</t>
        </is>
      </c>
      <c r="I129" s="6" t="inlineStr">
        <is>
          <t>TMS</t>
        </is>
      </c>
      <c r="J129" s="6" t="inlineStr">
        <is>
          <t>LISIANE MULLER TORRES</t>
        </is>
      </c>
      <c r="K129" s="6" t="inlineStr">
        <is>
          <t>Tms</t>
        </is>
      </c>
      <c r="L129" s="6" t="inlineStr">
        <is>
          <t>Tms</t>
        </is>
      </c>
      <c r="M129" s="58" t="n">
        <v>45985.64097222222</v>
      </c>
      <c r="N129" s="6" t="n">
        <v>48027</v>
      </c>
      <c r="O129" s="6" t="inlineStr">
        <is>
          <t>-</t>
        </is>
      </c>
      <c r="P129" s="6" t="inlineStr">
        <is>
          <t>OFF LINE</t>
        </is>
      </c>
      <c r="Q129" s="6" t="inlineStr">
        <is>
          <t>Invoice</t>
        </is>
      </c>
      <c r="R129" s="6" t="inlineStr">
        <is>
          <t>Faturado</t>
        </is>
      </c>
      <c r="S129" s="6" t="inlineStr">
        <is>
          <t>Serviço</t>
        </is>
      </c>
      <c r="T129" s="6" t="inlineStr">
        <is>
          <t>N</t>
        </is>
      </c>
      <c r="U129" s="6" t="inlineStr">
        <is>
          <t>Grupo Htb</t>
        </is>
      </c>
      <c r="V129" s="6" t="inlineStr">
        <is>
          <t>Tedesco</t>
        </is>
      </c>
      <c r="W129" s="6" t="inlineStr">
        <is>
          <t>-</t>
        </is>
      </c>
      <c r="X129" s="6" t="inlineStr">
        <is>
          <t>-</t>
        </is>
      </c>
      <c r="Y129" s="6" t="inlineStr">
        <is>
          <t>-</t>
        </is>
      </c>
      <c r="Z129" s="6" t="inlineStr">
        <is>
          <t>KON-OPE-SAO-PVI-BTC-ARGO-HTB</t>
        </is>
      </c>
      <c r="AA129" s="6" t="inlineStr">
        <is>
          <t>-</t>
        </is>
      </c>
      <c r="AB129" s="6" t="n">
        <v>339.99</v>
      </c>
      <c r="AC129" s="6" t="n">
        <v>54.4</v>
      </c>
      <c r="AD129" s="6" t="n">
        <v>0</v>
      </c>
      <c r="AE129" s="6" t="n">
        <v>0</v>
      </c>
      <c r="AF129" s="6" t="n">
        <v>0</v>
      </c>
      <c r="AG129" s="6" t="n">
        <v>0</v>
      </c>
      <c r="AH129" s="6" t="n">
        <v>0</v>
      </c>
      <c r="AI129" s="6" t="inlineStr">
        <is>
          <t>Reserva importada do Sistema TMS. OS: 48027</t>
        </is>
      </c>
      <c r="AJ129" s="6" t="inlineStr">
        <is>
          <t>Fornecedor não preenchido! (ACC01)</t>
        </is>
      </c>
      <c r="AK129" s="6" t="inlineStr">
        <is>
          <t>ARGO(TMS)</t>
        </is>
      </c>
      <c r="AL129" s="6" t="inlineStr">
        <is>
          <t>Falta de Fornecedor</t>
        </is>
      </c>
      <c r="AM129" s="6" t="inlineStr">
        <is>
          <t>Campo Fornecedor</t>
        </is>
      </c>
      <c r="AN129" s="6" t="inlineStr">
        <is>
          <t>Dados do Fornecedor</t>
        </is>
      </c>
      <c r="AO129" s="6" t="inlineStr">
        <is>
          <t>Qualidade dos dados</t>
        </is>
      </c>
      <c r="AP129" s="6" t="inlineStr">
        <is>
          <t>KONTIK BUSINESS TRAVEL</t>
        </is>
      </c>
      <c r="AQ129" s="6" t="inlineStr">
        <is>
          <t>Suporte KCS</t>
        </is>
      </c>
    </row>
    <row r="130">
      <c r="A130" s="6" t="n">
        <v>23361375</v>
      </c>
      <c r="B130" s="6" t="n">
        <v>24087947</v>
      </c>
      <c r="C130" s="6" t="inlineStr">
        <is>
          <t>ACC01</t>
        </is>
      </c>
      <c r="D130" s="58" t="n">
        <v>45981.63702546297</v>
      </c>
      <c r="E130" s="58" t="n">
        <v>45986.09064814815</v>
      </c>
      <c r="F130" s="6" t="inlineStr">
        <is>
          <t>0 a 02 dias</t>
        </is>
      </c>
      <c r="G130" s="6" t="inlineStr">
        <is>
          <t>03 a 05 dias</t>
        </is>
      </c>
      <c r="H130" s="6" t="inlineStr">
        <is>
          <t>5UN0BB</t>
        </is>
      </c>
      <c r="I130" s="6" t="inlineStr">
        <is>
          <t>TMS</t>
        </is>
      </c>
      <c r="J130" s="6" t="inlineStr">
        <is>
          <t>THIAGO COELHO SA</t>
        </is>
      </c>
      <c r="K130" s="6" t="inlineStr">
        <is>
          <t>Tms</t>
        </is>
      </c>
      <c r="L130" s="6" t="inlineStr">
        <is>
          <t>Tms</t>
        </is>
      </c>
      <c r="M130" s="58" t="n">
        <v>45981.60555555556</v>
      </c>
      <c r="N130" s="6" t="n">
        <v>47995</v>
      </c>
      <c r="O130" s="6" t="inlineStr">
        <is>
          <t>-</t>
        </is>
      </c>
      <c r="P130" s="6" t="inlineStr">
        <is>
          <t>OFF LINE</t>
        </is>
      </c>
      <c r="Q130" s="6" t="inlineStr">
        <is>
          <t>Invoice</t>
        </is>
      </c>
      <c r="R130" s="6" t="inlineStr">
        <is>
          <t>Faturado</t>
        </is>
      </c>
      <c r="S130" s="6" t="inlineStr">
        <is>
          <t>Serviço</t>
        </is>
      </c>
      <c r="T130" s="6" t="inlineStr">
        <is>
          <t>N</t>
        </is>
      </c>
      <c r="U130" s="6" t="inlineStr">
        <is>
          <t>Grupo Htb</t>
        </is>
      </c>
      <c r="V130" s="6" t="inlineStr">
        <is>
          <t>Htb Engenharia e Construcao</t>
        </is>
      </c>
      <c r="W130" s="6" t="inlineStr">
        <is>
          <t>-</t>
        </is>
      </c>
      <c r="X130" s="6" t="inlineStr">
        <is>
          <t>-</t>
        </is>
      </c>
      <c r="Y130" s="6" t="inlineStr">
        <is>
          <t>-</t>
        </is>
      </c>
      <c r="Z130" s="6" t="inlineStr">
        <is>
          <t>KON-OPE-SAO-PVI-BTC-ARGO-HTB</t>
        </is>
      </c>
      <c r="AA130" s="6" t="inlineStr">
        <is>
          <t>-</t>
        </is>
      </c>
      <c r="AB130" s="6" t="n">
        <v>205.2</v>
      </c>
      <c r="AC130" s="6" t="n">
        <v>47.88</v>
      </c>
      <c r="AD130" s="6" t="n">
        <v>0</v>
      </c>
      <c r="AE130" s="6" t="n">
        <v>0</v>
      </c>
      <c r="AF130" s="6" t="n">
        <v>0</v>
      </c>
      <c r="AG130" s="6" t="n">
        <v>0</v>
      </c>
      <c r="AH130" s="6" t="n">
        <v>0</v>
      </c>
      <c r="AI130" s="6" t="inlineStr">
        <is>
          <t>Reserva importada do Sistema TMS. OS: 47995</t>
        </is>
      </c>
      <c r="AJ130" s="6" t="inlineStr">
        <is>
          <t>Fornecedor não preenchido! (ACC01)</t>
        </is>
      </c>
      <c r="AK130" s="6" t="inlineStr">
        <is>
          <t>ARGO(TMS)</t>
        </is>
      </c>
      <c r="AL130" s="6" t="inlineStr">
        <is>
          <t>Falta de Fornecedor</t>
        </is>
      </c>
      <c r="AM130" s="6" t="inlineStr">
        <is>
          <t>Campo Fornecedor</t>
        </is>
      </c>
      <c r="AN130" s="6" t="inlineStr">
        <is>
          <t>Dados do Fornecedor</t>
        </is>
      </c>
      <c r="AO130" s="6" t="inlineStr">
        <is>
          <t>Qualidade dos dados</t>
        </is>
      </c>
      <c r="AP130" s="6" t="inlineStr">
        <is>
          <t>KONTIK BUSINESS TRAVEL</t>
        </is>
      </c>
      <c r="AQ130" s="6" t="inlineStr">
        <is>
          <t>Suporte KCS</t>
        </is>
      </c>
    </row>
    <row r="131">
      <c r="A131" s="6" t="n">
        <v>23338315</v>
      </c>
      <c r="B131" s="6" t="n">
        <v>24066135</v>
      </c>
      <c r="C131" s="6" t="inlineStr">
        <is>
          <t>ACC01</t>
        </is>
      </c>
      <c r="D131" s="58" t="n">
        <v>45978.38018518518</v>
      </c>
      <c r="E131" s="58" t="n">
        <v>45978.38576388889</v>
      </c>
      <c r="F131" s="6" t="inlineStr">
        <is>
          <t>06 a 08 dias</t>
        </is>
      </c>
      <c r="G131" s="6" t="inlineStr">
        <is>
          <t>06 a 08 dias</t>
        </is>
      </c>
      <c r="H131" s="6" t="n">
        <v>16658033</v>
      </c>
      <c r="I131" s="6" t="inlineStr">
        <is>
          <t>MANUAL</t>
        </is>
      </c>
      <c r="J131" s="6" t="inlineStr">
        <is>
          <t>EURICACIO EMANUEL OLIVEIRA DUARTE NUNES</t>
        </is>
      </c>
      <c r="K131" s="6" t="inlineStr">
        <is>
          <t>Cintya Cocco Figueiredo</t>
        </is>
      </c>
      <c r="L131" s="6" t="inlineStr">
        <is>
          <t>Cintya Cocco Figueiredo</t>
        </is>
      </c>
      <c r="M131" s="58" t="n">
        <v>45978.37986111111</v>
      </c>
      <c r="N131" s="6" t="n">
        <v>47265</v>
      </c>
      <c r="O131" s="6" t="inlineStr">
        <is>
          <t>-</t>
        </is>
      </c>
      <c r="P131" s="6" t="inlineStr">
        <is>
          <t>OFF LINE</t>
        </is>
      </c>
      <c r="Q131" s="6" t="inlineStr">
        <is>
          <t>Invoice</t>
        </is>
      </c>
      <c r="R131" s="6" t="inlineStr">
        <is>
          <t>Faturado</t>
        </is>
      </c>
      <c r="S131" s="6" t="inlineStr">
        <is>
          <t>Serviço</t>
        </is>
      </c>
      <c r="T131" s="6" t="inlineStr">
        <is>
          <t>N</t>
        </is>
      </c>
      <c r="U131" s="6" t="inlineStr">
        <is>
          <t>Grupo Htb</t>
        </is>
      </c>
      <c r="V131" s="6" t="inlineStr">
        <is>
          <t>Htb Construcoes</t>
        </is>
      </c>
      <c r="W131" s="6" t="inlineStr">
        <is>
          <t>-</t>
        </is>
      </c>
      <c r="X131" s="6" t="inlineStr">
        <is>
          <t>Real Expresso</t>
        </is>
      </c>
      <c r="Y131" s="6" t="inlineStr">
        <is>
          <t>-</t>
        </is>
      </c>
      <c r="Z131" s="6" t="inlineStr">
        <is>
          <t>KON-OPE-SAO-PVI-BTC-ARGO-HTB</t>
        </is>
      </c>
      <c r="AA131" s="6" t="inlineStr">
        <is>
          <t>-</t>
        </is>
      </c>
      <c r="AB131" s="6" t="n">
        <v>19.63</v>
      </c>
      <c r="AC131" s="6" t="n">
        <v>0</v>
      </c>
      <c r="AD131" s="6" t="n">
        <v>0</v>
      </c>
      <c r="AE131" s="6" t="n">
        <v>0</v>
      </c>
      <c r="AF131" s="6" t="n">
        <v>0</v>
      </c>
      <c r="AG131" s="6" t="n">
        <v>0</v>
      </c>
      <c r="AH131" s="6" t="n">
        <v>0</v>
      </c>
      <c r="AI131" s="6" t="inlineStr">
        <is>
          <t>-</t>
        </is>
      </c>
      <c r="AJ131" s="6" t="inlineStr">
        <is>
          <t xml:space="preserve">Não foi possível encontrar um contrato válido para o fornecedor 665136 (Código fornecedor) </t>
        </is>
      </c>
      <c r="AK131" s="6" t="inlineStr">
        <is>
          <t>MANUAL</t>
        </is>
      </c>
      <c r="AL131" s="6" t="inlineStr">
        <is>
          <t>Contrato de fornecedor</t>
        </is>
      </c>
      <c r="AM131" s="6" t="inlineStr">
        <is>
          <t>Análise Cadastro</t>
        </is>
      </c>
      <c r="AN131" s="6" t="inlineStr">
        <is>
          <t>Dados do Fornecedor</t>
        </is>
      </c>
      <c r="AO131" s="6" t="inlineStr">
        <is>
          <t>Qualidade dos dados</t>
        </is>
      </c>
      <c r="AP131" s="6" t="inlineStr">
        <is>
          <t>KONTIK BUSINESS TRAVEL</t>
        </is>
      </c>
      <c r="AQ131" s="6" t="inlineStr">
        <is>
          <t>Operações - CORP</t>
        </is>
      </c>
    </row>
    <row r="132">
      <c r="A132" s="6" t="n">
        <v>23383535</v>
      </c>
      <c r="B132" s="6" t="n">
        <v>24106999</v>
      </c>
      <c r="C132" s="6" t="inlineStr">
        <is>
          <t>ACC01</t>
        </is>
      </c>
      <c r="D132" s="58" t="n">
        <v>45986.20475694445</v>
      </c>
      <c r="E132" s="58" t="n">
        <v>45986.21790509259</v>
      </c>
      <c r="F132" s="6" t="inlineStr">
        <is>
          <t>0 a 02 dias</t>
        </is>
      </c>
      <c r="G132" s="6" t="inlineStr">
        <is>
          <t>0 a 02 dias</t>
        </is>
      </c>
      <c r="H132" s="6" t="inlineStr">
        <is>
          <t>5U9BR3</t>
        </is>
      </c>
      <c r="I132" s="6" t="inlineStr">
        <is>
          <t>TMS</t>
        </is>
      </c>
      <c r="J132" s="6" t="inlineStr">
        <is>
          <t>JOILSON FIGUEIREDO DOS SANTO</t>
        </is>
      </c>
      <c r="K132" s="6" t="inlineStr">
        <is>
          <t>Cintya Cocco Figueiredo</t>
        </is>
      </c>
      <c r="L132" s="6" t="inlineStr">
        <is>
          <t>Cintya Cocco Figueiredo</t>
        </is>
      </c>
      <c r="M132" s="58" t="n">
        <v>45985.775</v>
      </c>
      <c r="N132" s="6" t="n">
        <v>48039</v>
      </c>
      <c r="O132" s="6" t="inlineStr">
        <is>
          <t>-</t>
        </is>
      </c>
      <c r="P132" s="6" t="inlineStr">
        <is>
          <t>OFF LINE</t>
        </is>
      </c>
      <c r="Q132" s="6" t="inlineStr">
        <is>
          <t>Invoice</t>
        </is>
      </c>
      <c r="R132" s="6" t="inlineStr">
        <is>
          <t>Faturado</t>
        </is>
      </c>
      <c r="S132" s="6" t="inlineStr">
        <is>
          <t>Serviço</t>
        </is>
      </c>
      <c r="T132" s="6" t="inlineStr">
        <is>
          <t>N</t>
        </is>
      </c>
      <c r="U132" s="6" t="inlineStr">
        <is>
          <t>Grupo Htb</t>
        </is>
      </c>
      <c r="V132" s="6" t="inlineStr">
        <is>
          <t>Htb Construcoes</t>
        </is>
      </c>
      <c r="W132" s="6" t="inlineStr">
        <is>
          <t>-</t>
        </is>
      </c>
      <c r="X132" s="6" t="inlineStr">
        <is>
          <t>-</t>
        </is>
      </c>
      <c r="Y132" s="6" t="inlineStr">
        <is>
          <t>-</t>
        </is>
      </c>
      <c r="Z132" s="6" t="inlineStr">
        <is>
          <t>KON-OPE-SAO-PVI-BTC-ARGO-HTB</t>
        </is>
      </c>
      <c r="AA132" s="6" t="inlineStr">
        <is>
          <t>-</t>
        </is>
      </c>
      <c r="AB132" s="6" t="n">
        <v>476.68</v>
      </c>
      <c r="AC132" s="6" t="n">
        <v>11.95</v>
      </c>
      <c r="AD132" s="6" t="n">
        <v>0</v>
      </c>
      <c r="AE132" s="6" t="n">
        <v>0</v>
      </c>
      <c r="AF132" s="6" t="n">
        <v>0</v>
      </c>
      <c r="AG132" s="6" t="n">
        <v>0</v>
      </c>
      <c r="AH132" s="6" t="n">
        <v>0</v>
      </c>
      <c r="AI132" s="6" t="inlineStr">
        <is>
          <t>Reserva importada do Sistema TMS. OS: 48039</t>
        </is>
      </c>
      <c r="AJ132" s="6" t="inlineStr">
        <is>
          <t>Fornecedor não preenchido! (ACC01)</t>
        </is>
      </c>
      <c r="AK132" s="6" t="inlineStr">
        <is>
          <t>ARGO(TMS)</t>
        </is>
      </c>
      <c r="AL132" s="6" t="inlineStr">
        <is>
          <t>Falta de Fornecedor</t>
        </is>
      </c>
      <c r="AM132" s="6" t="inlineStr">
        <is>
          <t>Campo Fornecedor</t>
        </is>
      </c>
      <c r="AN132" s="6" t="inlineStr">
        <is>
          <t>Dados do Fornecedor</t>
        </is>
      </c>
      <c r="AO132" s="6" t="inlineStr">
        <is>
          <t>Qualidade dos dados</t>
        </is>
      </c>
      <c r="AP132" s="6" t="inlineStr">
        <is>
          <t>KONTIK BUSINESS TRAVEL</t>
        </is>
      </c>
      <c r="AQ132" s="6" t="inlineStr">
        <is>
          <t>Suporte KCS</t>
        </is>
      </c>
    </row>
    <row r="133">
      <c r="A133" s="6" t="n">
        <v>23383546</v>
      </c>
      <c r="B133" s="6" t="n">
        <v>24107010</v>
      </c>
      <c r="C133" s="6" t="inlineStr">
        <is>
          <t>ACC01</t>
        </is>
      </c>
      <c r="D133" s="58" t="n">
        <v>45986.20504629629</v>
      </c>
      <c r="E133" s="58" t="n">
        <v>45986.21219907407</v>
      </c>
      <c r="F133" s="6" t="inlineStr">
        <is>
          <t>0 a 02 dias</t>
        </is>
      </c>
      <c r="G133" s="6" t="inlineStr">
        <is>
          <t>0 a 02 dias</t>
        </is>
      </c>
      <c r="H133" s="6" t="inlineStr">
        <is>
          <t>5URA4E</t>
        </is>
      </c>
      <c r="I133" s="6" t="inlineStr">
        <is>
          <t>TMS</t>
        </is>
      </c>
      <c r="J133" s="6" t="inlineStr">
        <is>
          <t>IVAN SANTOS SOUSA/JOSE</t>
        </is>
      </c>
      <c r="K133" s="6" t="inlineStr">
        <is>
          <t>Cintya Cocco Figueiredo</t>
        </is>
      </c>
      <c r="L133" s="6" t="inlineStr">
        <is>
          <t>Cintya Cocco Figueiredo</t>
        </is>
      </c>
      <c r="M133" s="58" t="n">
        <v>45985.76944444444</v>
      </c>
      <c r="N133" s="6" t="n">
        <v>48026</v>
      </c>
      <c r="O133" s="6" t="inlineStr">
        <is>
          <t>-</t>
        </is>
      </c>
      <c r="P133" s="6" t="inlineStr">
        <is>
          <t>OFF LINE</t>
        </is>
      </c>
      <c r="Q133" s="6" t="inlineStr">
        <is>
          <t>Cartão de crédito</t>
        </is>
      </c>
      <c r="R133" s="6" t="inlineStr">
        <is>
          <t>Cartão AMEX</t>
        </is>
      </c>
      <c r="S133" s="6" t="inlineStr">
        <is>
          <t>Aéreo</t>
        </is>
      </c>
      <c r="T133" s="6" t="inlineStr">
        <is>
          <t>N</t>
        </is>
      </c>
      <c r="U133" s="6" t="inlineStr">
        <is>
          <t>Grupo Htb</t>
        </is>
      </c>
      <c r="V133" s="6" t="inlineStr">
        <is>
          <t>Htb Engenharia e Construcao</t>
        </is>
      </c>
      <c r="W133" s="6" t="inlineStr">
        <is>
          <t>-</t>
        </is>
      </c>
      <c r="X133" s="6" t="inlineStr">
        <is>
          <t>Latam Airlines Brasil</t>
        </is>
      </c>
      <c r="Y133" s="6" t="n">
        <v>1936174975</v>
      </c>
      <c r="Z133" s="6" t="inlineStr">
        <is>
          <t>KON-OPE-SAO-PVI-BTC-ARGO-HTB</t>
        </is>
      </c>
      <c r="AA133" s="6" t="inlineStr">
        <is>
          <t>-</t>
        </is>
      </c>
      <c r="AB133" s="6" t="n">
        <v>0</v>
      </c>
      <c r="AC133" s="6" t="n">
        <v>140</v>
      </c>
      <c r="AD133" s="6" t="n">
        <v>0</v>
      </c>
      <c r="AE133" s="6" t="n">
        <v>0</v>
      </c>
      <c r="AF133" s="6" t="n">
        <v>0</v>
      </c>
      <c r="AG133" s="6" t="n">
        <v>0</v>
      </c>
      <c r="AH133" s="6" t="n">
        <v>0</v>
      </c>
      <c r="AI133" s="6" t="inlineStr">
        <is>
          <t>Reserva importada do Sistema TMS. OS: 48026</t>
        </is>
      </c>
      <c r="AJ133" s="6" t="inlineStr">
        <is>
          <t>Tarifa mínima não preenchida! (ACC01)</t>
        </is>
      </c>
      <c r="AK133" s="6" t="inlineStr">
        <is>
          <t>ARGO(TMS)</t>
        </is>
      </c>
      <c r="AL133" s="6" t="inlineStr">
        <is>
          <t>Tarifa mínima</t>
        </is>
      </c>
      <c r="AM133" s="6" t="inlineStr">
        <is>
          <t>Falta de informação Gerencial</t>
        </is>
      </c>
      <c r="AN133" s="6" t="inlineStr">
        <is>
          <t>Dados do Fornecedor</t>
        </is>
      </c>
      <c r="AO133" s="6" t="inlineStr">
        <is>
          <t>Qualidade dos dados</t>
        </is>
      </c>
      <c r="AP133" s="6" t="inlineStr">
        <is>
          <t>KONTIK BUSINESS TRAVEL</t>
        </is>
      </c>
      <c r="AQ133" s="6" t="inlineStr">
        <is>
          <t>Operações - CORP</t>
        </is>
      </c>
    </row>
    <row r="134">
      <c r="A134" s="6" t="n">
        <v>23380274</v>
      </c>
      <c r="B134" s="6" t="n">
        <v>24103967</v>
      </c>
      <c r="C134" s="6" t="inlineStr">
        <is>
          <t>ACC01</t>
        </is>
      </c>
      <c r="D134" s="58" t="n">
        <v>45985.69710648148</v>
      </c>
      <c r="E134" s="58" t="n">
        <v>45985.7219675926</v>
      </c>
      <c r="F134" s="6" t="inlineStr">
        <is>
          <t>0 a 02 dias</t>
        </is>
      </c>
      <c r="G134" s="6" t="inlineStr">
        <is>
          <t>0 a 02 dias</t>
        </is>
      </c>
      <c r="H134" s="6" t="inlineStr">
        <is>
          <t>5U924X</t>
        </is>
      </c>
      <c r="I134" s="6" t="inlineStr">
        <is>
          <t>TMS</t>
        </is>
      </c>
      <c r="J134" s="6" t="inlineStr">
        <is>
          <t>WANESSA OLIVEIRA DE QUEIROZ</t>
        </is>
      </c>
      <c r="K134" s="6" t="inlineStr">
        <is>
          <t>Gabriela Duarte Lopes</t>
        </is>
      </c>
      <c r="L134" s="6" t="inlineStr">
        <is>
          <t>Gabriela Duarte Lopes</t>
        </is>
      </c>
      <c r="M134" s="58" t="n">
        <v>45985.57847222222</v>
      </c>
      <c r="N134" s="6" t="n">
        <v>107844</v>
      </c>
      <c r="O134" s="6" t="inlineStr">
        <is>
          <t>-</t>
        </is>
      </c>
      <c r="P134" s="6" t="inlineStr">
        <is>
          <t>OFF LINE</t>
        </is>
      </c>
      <c r="Q134" s="6" t="inlineStr">
        <is>
          <t>Invoice</t>
        </is>
      </c>
      <c r="R134" s="6" t="inlineStr">
        <is>
          <t>Faturado</t>
        </is>
      </c>
      <c r="S134" s="6" t="inlineStr">
        <is>
          <t>Hotel</t>
        </is>
      </c>
      <c r="T134" s="6" t="inlineStr">
        <is>
          <t>N</t>
        </is>
      </c>
      <c r="U134" s="6" t="inlineStr">
        <is>
          <t>Grupo Claro Sa</t>
        </is>
      </c>
      <c r="V134" s="6" t="inlineStr">
        <is>
          <t>Claro Sao Paulo (santo Amaro)</t>
        </is>
      </c>
      <c r="W134" s="6" t="inlineStr">
        <is>
          <t>-</t>
        </is>
      </c>
      <c r="X134" s="6" t="inlineStr">
        <is>
          <t>-</t>
        </is>
      </c>
      <c r="Y134" s="6" t="inlineStr">
        <is>
          <t>-</t>
        </is>
      </c>
      <c r="Z134" s="6" t="inlineStr">
        <is>
          <t>KON-OPE-SAO-POS-CLARO</t>
        </is>
      </c>
      <c r="AA134" s="6" t="inlineStr">
        <is>
          <t>-</t>
        </is>
      </c>
      <c r="AB134" s="6" t="n">
        <v>270</v>
      </c>
      <c r="AC134" s="6" t="n">
        <v>0</v>
      </c>
      <c r="AD134" s="6" t="n">
        <v>0</v>
      </c>
      <c r="AE134" s="6" t="n">
        <v>0</v>
      </c>
      <c r="AF134" s="6" t="n">
        <v>0</v>
      </c>
      <c r="AG134" s="6" t="n">
        <v>0</v>
      </c>
      <c r="AH134" s="6" t="n">
        <v>0</v>
      </c>
      <c r="AI134" s="6" t="inlineStr">
        <is>
          <t>Reserva importada do Sistema TMS. OS: 107844</t>
        </is>
      </c>
      <c r="AJ134" s="6" t="inlineStr">
        <is>
          <t>Fornecedor não preenchido! (ACC01)</t>
        </is>
      </c>
      <c r="AK134" s="6" t="inlineStr">
        <is>
          <t>ARGO(TMS)</t>
        </is>
      </c>
      <c r="AL134" s="6" t="inlineStr">
        <is>
          <t>Falta de Fornecedor</t>
        </is>
      </c>
      <c r="AM134" s="6" t="inlineStr">
        <is>
          <t>Campo Fornecedor</t>
        </is>
      </c>
      <c r="AN134" s="6" t="inlineStr">
        <is>
          <t>Dados do Fornecedor</t>
        </is>
      </c>
      <c r="AO134" s="6" t="inlineStr">
        <is>
          <t>Qualidade dos dados</t>
        </is>
      </c>
      <c r="AP134" s="6" t="inlineStr">
        <is>
          <t>KONTIK BUSINESS TRAVEL</t>
        </is>
      </c>
      <c r="AQ134" s="6" t="inlineStr">
        <is>
          <t>Suporte KCS</t>
        </is>
      </c>
    </row>
    <row r="135">
      <c r="A135" s="6" t="n">
        <v>23295473</v>
      </c>
      <c r="B135" s="6" t="n">
        <v>24026323</v>
      </c>
      <c r="C135" s="6" t="inlineStr">
        <is>
          <t>ACC01</t>
        </is>
      </c>
      <c r="D135" s="58" t="n">
        <v>45971.61844907407</v>
      </c>
      <c r="E135" s="58" t="n">
        <v>45971.62181712963</v>
      </c>
      <c r="F135" s="6" t="inlineStr">
        <is>
          <t>09 a 15 dias</t>
        </is>
      </c>
      <c r="G135" s="6" t="inlineStr">
        <is>
          <t>09 a 15 dias</t>
        </is>
      </c>
      <c r="H135" s="6" t="inlineStr">
        <is>
          <t xml:space="preserve">SPDL5K    </t>
        </is>
      </c>
      <c r="I135" s="6" t="inlineStr">
        <is>
          <t>MANUAL</t>
        </is>
      </c>
      <c r="J135" s="6" t="inlineStr">
        <is>
          <t>RAFAEL MORETTI ROHRER</t>
        </is>
      </c>
      <c r="K135" s="6" t="inlineStr">
        <is>
          <t>Juliana Cardoso</t>
        </is>
      </c>
      <c r="L135" s="6" t="inlineStr">
        <is>
          <t>Juliana Cardoso</t>
        </is>
      </c>
      <c r="M135" s="58" t="n">
        <v>45968.61805555555</v>
      </c>
      <c r="N135" s="6" t="inlineStr">
        <is>
          <t>-</t>
        </is>
      </c>
      <c r="O135" s="6" t="inlineStr">
        <is>
          <t>-</t>
        </is>
      </c>
      <c r="P135" s="6" t="inlineStr">
        <is>
          <t>OFF LINE</t>
        </is>
      </c>
      <c r="Q135" s="6" t="inlineStr">
        <is>
          <t>Cartão de crédito</t>
        </is>
      </c>
      <c r="R135" s="6" t="inlineStr">
        <is>
          <t>Cartão de crédito</t>
        </is>
      </c>
      <c r="S135" s="6" t="inlineStr">
        <is>
          <t>Aéreo</t>
        </is>
      </c>
      <c r="T135" s="6" t="inlineStr">
        <is>
          <t>N</t>
        </is>
      </c>
      <c r="U135" s="6" t="inlineStr">
        <is>
          <t>Grupo Kontrip</t>
        </is>
      </c>
      <c r="V135" s="6" t="inlineStr">
        <is>
          <t>Aceflex do Nordeste Contentores Flexiveis Ltda</t>
        </is>
      </c>
      <c r="W135" s="6" t="inlineStr">
        <is>
          <t>-</t>
        </is>
      </c>
      <c r="X135" s="6" t="inlineStr">
        <is>
          <t>Azul Linhas Aereas</t>
        </is>
      </c>
      <c r="Y135" s="6" t="n">
        <v>3024026322</v>
      </c>
      <c r="Z135" s="6" t="inlineStr">
        <is>
          <t>KONTRIP</t>
        </is>
      </c>
      <c r="AA135" s="6" t="inlineStr">
        <is>
          <t>-</t>
        </is>
      </c>
      <c r="AB135" s="6" t="n">
        <v>1117.17</v>
      </c>
      <c r="AC135" s="6" t="n">
        <v>84.66</v>
      </c>
      <c r="AD135" s="6" t="n">
        <v>0</v>
      </c>
      <c r="AE135" s="6" t="n">
        <v>0</v>
      </c>
      <c r="AF135" s="6" t="n">
        <v>0</v>
      </c>
      <c r="AG135" s="6" t="n">
        <v>0</v>
      </c>
      <c r="AH135" s="6" t="n">
        <v>402.18</v>
      </c>
      <c r="AI135" s="6" t="inlineStr">
        <is>
          <t>-</t>
        </is>
      </c>
      <c r="AJ135" s="6" t="inlineStr">
        <is>
          <t xml:space="preserve">35Ocorreu a seguinte exceção ao gerar a ordem de venda: Ocorreu a seguinte exceção ao inserir o item da ordem de venda:  Faltou informar rateio de </t>
        </is>
      </c>
      <c r="AK135" s="6" t="inlineStr">
        <is>
          <t>KONTRIP</t>
        </is>
      </c>
      <c r="AL135" s="6" t="inlineStr">
        <is>
          <t>Falta de informação Gerencial</t>
        </is>
      </c>
      <c r="AM135" s="6" t="inlineStr">
        <is>
          <t>Rateio de centro de custo/projeto</t>
        </is>
      </c>
      <c r="AN135" s="6" t="inlineStr">
        <is>
          <t>Dados Gerenciais</t>
        </is>
      </c>
      <c r="AO135" s="6" t="inlineStr">
        <is>
          <t>Qualidade dos dados</t>
        </is>
      </c>
      <c r="AP135" s="6" t="inlineStr">
        <is>
          <t>KONTRIP VIAGENS</t>
        </is>
      </c>
      <c r="AQ135" s="6" t="inlineStr">
        <is>
          <t>Operações - KONTRIP</t>
        </is>
      </c>
    </row>
    <row r="136">
      <c r="A136" s="6" t="n">
        <v>23295473</v>
      </c>
      <c r="B136" s="6" t="n">
        <v>24026336</v>
      </c>
      <c r="C136" s="6" t="inlineStr">
        <is>
          <t>ACC02</t>
        </is>
      </c>
      <c r="D136" s="58" t="n">
        <v>45971.61844907407</v>
      </c>
      <c r="E136" s="58" t="n">
        <v>45971.62181712963</v>
      </c>
      <c r="F136" s="6" t="inlineStr">
        <is>
          <t>09 a 15 dias</t>
        </is>
      </c>
      <c r="G136" s="6" t="inlineStr">
        <is>
          <t>09 a 15 dias</t>
        </is>
      </c>
      <c r="H136" s="6" t="inlineStr">
        <is>
          <t xml:space="preserve">SPDL5K    </t>
        </is>
      </c>
      <c r="I136" s="6" t="inlineStr">
        <is>
          <t>MANUAL</t>
        </is>
      </c>
      <c r="J136" s="6" t="inlineStr">
        <is>
          <t>RODRIGO AUGUSTO RISSO DE CASTRO</t>
        </is>
      </c>
      <c r="K136" s="6" t="inlineStr">
        <is>
          <t>Juliana Cardoso</t>
        </is>
      </c>
      <c r="L136" s="6" t="inlineStr">
        <is>
          <t>Juliana Cardoso</t>
        </is>
      </c>
      <c r="M136" s="58" t="n">
        <v>45968.61805555555</v>
      </c>
      <c r="N136" s="6" t="inlineStr">
        <is>
          <t>-</t>
        </is>
      </c>
      <c r="O136" s="6" t="inlineStr">
        <is>
          <t>-</t>
        </is>
      </c>
      <c r="P136" s="6" t="inlineStr">
        <is>
          <t>OFF LINE</t>
        </is>
      </c>
      <c r="Q136" s="6" t="inlineStr">
        <is>
          <t>Cartão de crédito</t>
        </is>
      </c>
      <c r="R136" s="6" t="inlineStr">
        <is>
          <t>Cartão de crédito</t>
        </is>
      </c>
      <c r="S136" s="6" t="inlineStr">
        <is>
          <t>Aéreo</t>
        </is>
      </c>
      <c r="T136" s="6" t="inlineStr">
        <is>
          <t>N</t>
        </is>
      </c>
      <c r="U136" s="6" t="inlineStr">
        <is>
          <t>Grupo Kontrip</t>
        </is>
      </c>
      <c r="V136" s="6" t="inlineStr">
        <is>
          <t>Aceflex do Nordeste Contentores Flexiveis Ltda</t>
        </is>
      </c>
      <c r="W136" s="6" t="inlineStr">
        <is>
          <t>-</t>
        </is>
      </c>
      <c r="X136" s="6" t="inlineStr">
        <is>
          <t>Azul Linhas Aereas</t>
        </is>
      </c>
      <c r="Y136" s="6" t="n">
        <v>3024026340</v>
      </c>
      <c r="Z136" s="6" t="inlineStr">
        <is>
          <t>KONTRIP</t>
        </is>
      </c>
      <c r="AA136" s="6" t="inlineStr">
        <is>
          <t>-</t>
        </is>
      </c>
      <c r="AB136" s="6" t="n">
        <v>1117.17</v>
      </c>
      <c r="AC136" s="6" t="n">
        <v>84.66</v>
      </c>
      <c r="AD136" s="6" t="n">
        <v>0</v>
      </c>
      <c r="AE136" s="6" t="n">
        <v>0</v>
      </c>
      <c r="AF136" s="6" t="n">
        <v>0</v>
      </c>
      <c r="AG136" s="6" t="n">
        <v>0</v>
      </c>
      <c r="AH136" s="6" t="n">
        <v>0</v>
      </c>
      <c r="AI136" s="6" t="inlineStr">
        <is>
          <t>-</t>
        </is>
      </c>
      <c r="AJ136" s="6" t="inlineStr">
        <is>
          <t xml:space="preserve">35Ocorreu a seguinte exceção ao gerar a ordem de venda: Ocorreu a seguinte exceção ao inserir o item da ordem de venda:  Faltou informar rateio de </t>
        </is>
      </c>
      <c r="AK136" s="6" t="inlineStr">
        <is>
          <t>KONTRIP</t>
        </is>
      </c>
      <c r="AL136" s="6" t="inlineStr">
        <is>
          <t>Falta de informação Gerencial</t>
        </is>
      </c>
      <c r="AM136" s="6" t="inlineStr">
        <is>
          <t>Rateio de centro de custo/projeto</t>
        </is>
      </c>
      <c r="AN136" s="6" t="inlineStr">
        <is>
          <t>Dados Gerenciais</t>
        </is>
      </c>
      <c r="AO136" s="6" t="inlineStr">
        <is>
          <t>Qualidade dos dados</t>
        </is>
      </c>
      <c r="AP136" s="6" t="inlineStr">
        <is>
          <t>KONTRIP VIAGENS</t>
        </is>
      </c>
      <c r="AQ136" s="6" t="inlineStr">
        <is>
          <t>Operações - KONTRIP</t>
        </is>
      </c>
    </row>
    <row r="137">
      <c r="A137" s="6" t="n">
        <v>23295473</v>
      </c>
      <c r="B137" s="6" t="n">
        <v>24026346</v>
      </c>
      <c r="C137" s="6" t="inlineStr">
        <is>
          <t>ACC03</t>
        </is>
      </c>
      <c r="D137" s="58" t="n">
        <v>45971.61844907407</v>
      </c>
      <c r="E137" s="58" t="n">
        <v>45971.62181712963</v>
      </c>
      <c r="F137" s="6" t="inlineStr">
        <is>
          <t>09 a 15 dias</t>
        </is>
      </c>
      <c r="G137" s="6" t="inlineStr">
        <is>
          <t>09 a 15 dias</t>
        </is>
      </c>
      <c r="H137" s="6" t="inlineStr">
        <is>
          <t xml:space="preserve">SPDL5K    </t>
        </is>
      </c>
      <c r="I137" s="6" t="inlineStr">
        <is>
          <t>MANUAL</t>
        </is>
      </c>
      <c r="J137" s="6" t="inlineStr">
        <is>
          <t>FELIPE GUSTAVO RIZZI</t>
        </is>
      </c>
      <c r="K137" s="6" t="inlineStr">
        <is>
          <t>Juliana Cardoso</t>
        </is>
      </c>
      <c r="L137" s="6" t="inlineStr">
        <is>
          <t>Juliana Cardoso</t>
        </is>
      </c>
      <c r="M137" s="58" t="n">
        <v>45968.61805555555</v>
      </c>
      <c r="N137" s="6" t="inlineStr">
        <is>
          <t>-</t>
        </is>
      </c>
      <c r="O137" s="6" t="inlineStr">
        <is>
          <t>-</t>
        </is>
      </c>
      <c r="P137" s="6" t="inlineStr">
        <is>
          <t>OFF LINE</t>
        </is>
      </c>
      <c r="Q137" s="6" t="inlineStr">
        <is>
          <t>Cartão de crédito</t>
        </is>
      </c>
      <c r="R137" s="6" t="inlineStr">
        <is>
          <t>Cartão de crédito</t>
        </is>
      </c>
      <c r="S137" s="6" t="inlineStr">
        <is>
          <t>Aéreo</t>
        </is>
      </c>
      <c r="T137" s="6" t="inlineStr">
        <is>
          <t>N</t>
        </is>
      </c>
      <c r="U137" s="6" t="inlineStr">
        <is>
          <t>Grupo Kontrip</t>
        </is>
      </c>
      <c r="V137" s="6" t="inlineStr">
        <is>
          <t>Aceflex do Nordeste Contentores Flexiveis Ltda</t>
        </is>
      </c>
      <c r="W137" s="6" t="inlineStr">
        <is>
          <t>-</t>
        </is>
      </c>
      <c r="X137" s="6" t="inlineStr">
        <is>
          <t>Azul Linhas Aereas</t>
        </is>
      </c>
      <c r="Y137" s="6" t="n">
        <v>3024026349</v>
      </c>
      <c r="Z137" s="6" t="inlineStr">
        <is>
          <t>KONTRIP</t>
        </is>
      </c>
      <c r="AA137" s="6" t="inlineStr">
        <is>
          <t>-</t>
        </is>
      </c>
      <c r="AB137" s="6" t="n">
        <v>1117.17</v>
      </c>
      <c r="AC137" s="6" t="n">
        <v>84.66</v>
      </c>
      <c r="AD137" s="6" t="n">
        <v>0</v>
      </c>
      <c r="AE137" s="6" t="n">
        <v>0</v>
      </c>
      <c r="AF137" s="6" t="n">
        <v>0</v>
      </c>
      <c r="AG137" s="6" t="n">
        <v>0</v>
      </c>
      <c r="AH137" s="6" t="n">
        <v>0</v>
      </c>
      <c r="AI137" s="6" t="inlineStr">
        <is>
          <t>-</t>
        </is>
      </c>
      <c r="AJ137" s="6" t="inlineStr">
        <is>
          <t xml:space="preserve">35Ocorreu a seguinte exceção ao gerar a ordem de venda: Ocorreu a seguinte exceção ao inserir o item da ordem de venda:  Faltou informar rateio de </t>
        </is>
      </c>
      <c r="AK137" s="6" t="inlineStr">
        <is>
          <t>KONTRIP</t>
        </is>
      </c>
      <c r="AL137" s="6" t="inlineStr">
        <is>
          <t>Falta de informação Gerencial</t>
        </is>
      </c>
      <c r="AM137" s="6" t="inlineStr">
        <is>
          <t>Rateio de centro de custo/projeto</t>
        </is>
      </c>
      <c r="AN137" s="6" t="inlineStr">
        <is>
          <t>Dados Gerenciais</t>
        </is>
      </c>
      <c r="AO137" s="6" t="inlineStr">
        <is>
          <t>Qualidade dos dados</t>
        </is>
      </c>
      <c r="AP137" s="6" t="inlineStr">
        <is>
          <t>KONTRIP VIAGENS</t>
        </is>
      </c>
      <c r="AQ137" s="6" t="inlineStr">
        <is>
          <t>Operações - KONTRIP</t>
        </is>
      </c>
    </row>
    <row r="138">
      <c r="A138" s="6" t="n">
        <v>23366691</v>
      </c>
      <c r="B138" s="6" t="n">
        <v>24092867</v>
      </c>
      <c r="C138" s="6" t="inlineStr">
        <is>
          <t>ACC01</t>
        </is>
      </c>
      <c r="D138" s="58" t="n">
        <v>45982.66150462963</v>
      </c>
      <c r="E138" s="58" t="n">
        <v>45985.53546296297</v>
      </c>
      <c r="F138" s="6" t="inlineStr">
        <is>
          <t>0 a 02 dias</t>
        </is>
      </c>
      <c r="G138" s="6" t="inlineStr">
        <is>
          <t>03 a 05 dias</t>
        </is>
      </c>
      <c r="H138" s="6" t="inlineStr">
        <is>
          <t>ESRENQ</t>
        </is>
      </c>
      <c r="I138" s="6" t="inlineStr">
        <is>
          <t>MANUAL</t>
        </is>
      </c>
      <c r="J138" s="6" t="inlineStr">
        <is>
          <t>GUSTAVO DE OLIVEIRA PINTO</t>
        </is>
      </c>
      <c r="K138" s="6" t="inlineStr">
        <is>
          <t>Juliana Cardoso</t>
        </is>
      </c>
      <c r="L138" s="6" t="inlineStr">
        <is>
          <t>Juliana Cardoso</t>
        </is>
      </c>
      <c r="M138" s="58" t="n">
        <v>45726.66111111111</v>
      </c>
      <c r="N138" s="6" t="inlineStr">
        <is>
          <t>-</t>
        </is>
      </c>
      <c r="O138" s="6" t="inlineStr">
        <is>
          <t>-</t>
        </is>
      </c>
      <c r="P138" s="6" t="inlineStr">
        <is>
          <t>OFF LINE</t>
        </is>
      </c>
      <c r="Q138" s="6" t="inlineStr">
        <is>
          <t>Invoice</t>
        </is>
      </c>
      <c r="R138" s="6" t="inlineStr">
        <is>
          <t>Cartão convênio</t>
        </is>
      </c>
      <c r="S138" s="6" t="inlineStr">
        <is>
          <t>Aéreo</t>
        </is>
      </c>
      <c r="T138" s="6" t="inlineStr">
        <is>
          <t>N</t>
        </is>
      </c>
      <c r="U138" s="6" t="inlineStr">
        <is>
          <t>Grupo Kontrip</t>
        </is>
      </c>
      <c r="V138" s="6" t="inlineStr">
        <is>
          <t>Smart Electric Engenharia e Sistemas Ltda</t>
        </is>
      </c>
      <c r="W138" s="6" t="inlineStr">
        <is>
          <t>-</t>
        </is>
      </c>
      <c r="X138" s="6" t="inlineStr">
        <is>
          <t>Gol Linhas Aereas</t>
        </is>
      </c>
      <c r="Y138" s="6" t="n">
        <v>2133181079</v>
      </c>
      <c r="Z138" s="6" t="inlineStr">
        <is>
          <t>KONTRIP</t>
        </is>
      </c>
      <c r="AA138" s="6" t="inlineStr">
        <is>
          <t>-</t>
        </is>
      </c>
      <c r="AB138" s="6" t="n">
        <v>729.24</v>
      </c>
      <c r="AC138" s="6" t="n">
        <v>0</v>
      </c>
      <c r="AD138" s="6" t="n">
        <v>0</v>
      </c>
      <c r="AE138" s="6" t="n">
        <v>0</v>
      </c>
      <c r="AF138" s="6" t="n">
        <v>0</v>
      </c>
      <c r="AG138" s="6" t="n">
        <v>0</v>
      </c>
      <c r="AH138" s="6" t="n">
        <v>0</v>
      </c>
      <c r="AI138" s="6" t="inlineStr">
        <is>
          <t>-</t>
        </is>
      </c>
      <c r="AJ138" s="6" t="inlineStr">
        <is>
          <t>Validação do documento: Documento está dentro de um período financeiro já fechado!</t>
        </is>
      </c>
      <c r="AK138" s="6" t="inlineStr">
        <is>
          <t>KONTRIP</t>
        </is>
      </c>
      <c r="AL138" s="6" t="inlineStr">
        <is>
          <t>Não identificado</t>
        </is>
      </c>
      <c r="AM138" s="6" t="inlineStr">
        <is>
          <t>Análise Benner</t>
        </is>
      </c>
      <c r="AN138" s="6" t="inlineStr">
        <is>
          <t>Sistema</t>
        </is>
      </c>
      <c r="AO138" s="6" t="inlineStr">
        <is>
          <t>Qualidade dos dados</t>
        </is>
      </c>
      <c r="AP138" s="6" t="inlineStr">
        <is>
          <t>KONTRIP VIAGENS</t>
        </is>
      </c>
      <c r="AQ138" s="6" t="inlineStr">
        <is>
          <t>Operações - KONTRIP</t>
        </is>
      </c>
    </row>
    <row r="139">
      <c r="A139" s="6" t="n">
        <v>23316551</v>
      </c>
      <c r="B139" s="6" t="n">
        <v>24046212</v>
      </c>
      <c r="C139" s="6" t="inlineStr">
        <is>
          <t>ACC01</t>
        </is>
      </c>
      <c r="D139" s="58" t="n">
        <v>45974.53074074074</v>
      </c>
      <c r="E139" s="58" t="n">
        <v>45974.53465277778</v>
      </c>
      <c r="F139" s="6" t="inlineStr">
        <is>
          <t>09 a 15 dias</t>
        </is>
      </c>
      <c r="G139" s="6" t="inlineStr">
        <is>
          <t>09 a 15 dias</t>
        </is>
      </c>
      <c r="H139" s="6" t="inlineStr">
        <is>
          <t>SHRJWVT</t>
        </is>
      </c>
      <c r="I139" s="6" t="inlineStr">
        <is>
          <t>SABRE</t>
        </is>
      </c>
      <c r="J139" s="6" t="inlineStr">
        <is>
          <t>DOURADO/JOANNA</t>
        </is>
      </c>
      <c r="K139" s="6" t="inlineStr">
        <is>
          <t>WS</t>
        </is>
      </c>
      <c r="L139" s="6" t="inlineStr">
        <is>
          <t>WS</t>
        </is>
      </c>
      <c r="M139" s="58" t="n">
        <v>45974.32222222222</v>
      </c>
      <c r="N139" s="6" t="inlineStr">
        <is>
          <t>SHRJWV</t>
        </is>
      </c>
      <c r="O139" s="6" t="inlineStr">
        <is>
          <t>-</t>
        </is>
      </c>
      <c r="P139" s="6" t="inlineStr">
        <is>
          <t>ON LINE</t>
        </is>
      </c>
      <c r="Q139" s="6" t="inlineStr">
        <is>
          <t>Cartão de crédito</t>
        </is>
      </c>
      <c r="R139" s="6" t="inlineStr">
        <is>
          <t>Cartão de crédito</t>
        </is>
      </c>
      <c r="S139" s="6" t="inlineStr">
        <is>
          <t>Hotel</t>
        </is>
      </c>
      <c r="T139" s="6" t="inlineStr">
        <is>
          <t>N</t>
        </is>
      </c>
      <c r="U139" s="6" t="inlineStr">
        <is>
          <t>Grupo Elanco</t>
        </is>
      </c>
      <c r="V139" s="6" t="inlineStr">
        <is>
          <t>Elanco - Morumbi</t>
        </is>
      </c>
      <c r="W139" s="6" t="inlineStr">
        <is>
          <t>-</t>
        </is>
      </c>
      <c r="X139" s="6" t="inlineStr">
        <is>
          <t>-</t>
        </is>
      </c>
      <c r="Y139" s="6" t="inlineStr">
        <is>
          <t>-</t>
        </is>
      </c>
      <c r="Z139" s="6" t="inlineStr">
        <is>
          <t>FCM-OPE-SAO-PVI-BTC-CONCUR</t>
        </is>
      </c>
      <c r="AA139" s="6" t="inlineStr">
        <is>
          <t>-</t>
        </is>
      </c>
      <c r="AB139" s="6" t="n">
        <v>860</v>
      </c>
      <c r="AC139" s="6" t="n">
        <v>43</v>
      </c>
      <c r="AD139" s="6" t="n">
        <v>0</v>
      </c>
      <c r="AE139" s="6" t="n">
        <v>0</v>
      </c>
      <c r="AF139" s="6" t="n">
        <v>0</v>
      </c>
      <c r="AG139" s="6" t="n">
        <v>0</v>
      </c>
      <c r="AH139" s="6" t="n">
        <v>0</v>
      </c>
      <c r="AI139" s="6" t="inlineStr">
        <is>
          <t>Reserva importada por HubTravel</t>
        </is>
      </c>
      <c r="AJ139" s="6" t="inlineStr">
        <is>
          <t>Fornecedor não preenchido! (ACC01)</t>
        </is>
      </c>
      <c r="AK139" s="6" t="inlineStr">
        <is>
          <t>SABRE</t>
        </is>
      </c>
      <c r="AL139" s="6" t="inlineStr">
        <is>
          <t>Falta de Fornecedor</t>
        </is>
      </c>
      <c r="AM139" s="6" t="inlineStr">
        <is>
          <t>Campo Fornecedor</t>
        </is>
      </c>
      <c r="AN139" s="6" t="inlineStr">
        <is>
          <t>Dados do Fornecedor</t>
        </is>
      </c>
      <c r="AO139" s="6" t="inlineStr">
        <is>
          <t>Sistêmico</t>
        </is>
      </c>
      <c r="AP139" s="6" t="inlineStr">
        <is>
          <t>GRUPO KONTIK</t>
        </is>
      </c>
      <c r="AQ139" s="6" t="inlineStr">
        <is>
          <t>Suporte Benner</t>
        </is>
      </c>
    </row>
    <row r="140">
      <c r="A140" s="6" t="n">
        <v>23308736</v>
      </c>
      <c r="B140" s="6" t="n">
        <v>24039008</v>
      </c>
      <c r="C140" s="6" t="inlineStr">
        <is>
          <t>ACC01</t>
        </is>
      </c>
      <c r="D140" s="58" t="n">
        <v>45973.39015046296</v>
      </c>
      <c r="E140" s="58" t="n">
        <v>45973.3928125</v>
      </c>
      <c r="F140" s="6" t="inlineStr">
        <is>
          <t>09 a 15 dias</t>
        </is>
      </c>
      <c r="G140" s="6" t="inlineStr">
        <is>
          <t>09 a 15 dias</t>
        </is>
      </c>
      <c r="H140" s="6" t="inlineStr">
        <is>
          <t>JYKWVQT</t>
        </is>
      </c>
      <c r="I140" s="6" t="inlineStr">
        <is>
          <t>SABRE</t>
        </is>
      </c>
      <c r="J140" s="6" t="inlineStr">
        <is>
          <t>EMERICH/EDUARDO FERRARI MR</t>
        </is>
      </c>
      <c r="K140" s="6" t="inlineStr">
        <is>
          <t>WS</t>
        </is>
      </c>
      <c r="L140" s="6" t="inlineStr">
        <is>
          <t>WS</t>
        </is>
      </c>
      <c r="M140" s="58" t="n">
        <v>45973.2375</v>
      </c>
      <c r="N140" s="6" t="inlineStr">
        <is>
          <t>JYKWVQ</t>
        </is>
      </c>
      <c r="O140" s="6" t="inlineStr">
        <is>
          <t>-</t>
        </is>
      </c>
      <c r="P140" s="6" t="inlineStr">
        <is>
          <t>ON LINE</t>
        </is>
      </c>
      <c r="Q140" s="6" t="inlineStr">
        <is>
          <t>Cartão de crédito</t>
        </is>
      </c>
      <c r="R140" s="6" t="inlineStr">
        <is>
          <t>Cartão de crédito</t>
        </is>
      </c>
      <c r="S140" s="6" t="inlineStr">
        <is>
          <t>Hotel</t>
        </is>
      </c>
      <c r="T140" s="6" t="inlineStr">
        <is>
          <t>N</t>
        </is>
      </c>
      <c r="U140" s="6" t="inlineStr">
        <is>
          <t>Grupo Elanco</t>
        </is>
      </c>
      <c r="V140" s="6" t="inlineStr">
        <is>
          <t>Elanco - Morumbi</t>
        </is>
      </c>
      <c r="W140" s="6" t="inlineStr">
        <is>
          <t>-</t>
        </is>
      </c>
      <c r="X140" s="6" t="inlineStr">
        <is>
          <t>-</t>
        </is>
      </c>
      <c r="Y140" s="6" t="inlineStr">
        <is>
          <t>-</t>
        </is>
      </c>
      <c r="Z140" s="6" t="inlineStr">
        <is>
          <t>FCM-OPE-SAO-PVI-BTC-CONCUR</t>
        </is>
      </c>
      <c r="AA140" s="6" t="inlineStr">
        <is>
          <t>-</t>
        </is>
      </c>
      <c r="AB140" s="6" t="n">
        <v>1426.2876</v>
      </c>
      <c r="AC140" s="6" t="n">
        <v>36.21</v>
      </c>
      <c r="AD140" s="6" t="n">
        <v>0</v>
      </c>
      <c r="AE140" s="6" t="n">
        <v>0</v>
      </c>
      <c r="AF140" s="6" t="n">
        <v>0</v>
      </c>
      <c r="AG140" s="6" t="n">
        <v>0</v>
      </c>
      <c r="AH140" s="6" t="n">
        <v>0</v>
      </c>
      <c r="AI140" s="6" t="inlineStr">
        <is>
          <t>Reserva importada por HubTravel</t>
        </is>
      </c>
      <c r="AJ140" s="6" t="inlineStr">
        <is>
          <t>Fornecedor não preenchido! (ACC01)</t>
        </is>
      </c>
      <c r="AK140" s="6" t="inlineStr">
        <is>
          <t>SABRE</t>
        </is>
      </c>
      <c r="AL140" s="6" t="inlineStr">
        <is>
          <t>Falta de Fornecedor</t>
        </is>
      </c>
      <c r="AM140" s="6" t="inlineStr">
        <is>
          <t>Campo Fornecedor</t>
        </is>
      </c>
      <c r="AN140" s="6" t="inlineStr">
        <is>
          <t>Dados do Fornecedor</t>
        </is>
      </c>
      <c r="AO140" s="6" t="inlineStr">
        <is>
          <t>Sistêmico</t>
        </is>
      </c>
      <c r="AP140" s="6" t="inlineStr">
        <is>
          <t>GRUPO KONTIK</t>
        </is>
      </c>
      <c r="AQ140" s="6" t="inlineStr">
        <is>
          <t>Suporte Benner</t>
        </is>
      </c>
    </row>
    <row r="141">
      <c r="A141" s="6" t="n">
        <v>23309353</v>
      </c>
      <c r="B141" s="6" t="n">
        <v>24039628</v>
      </c>
      <c r="C141" s="6" t="inlineStr">
        <is>
          <t>ACC01</t>
        </is>
      </c>
      <c r="D141" s="58" t="n">
        <v>45973.47353009259</v>
      </c>
      <c r="E141" s="58" t="n">
        <v>45973.47668981482</v>
      </c>
      <c r="F141" s="6" t="inlineStr">
        <is>
          <t>09 a 15 dias</t>
        </is>
      </c>
      <c r="G141" s="6" t="inlineStr">
        <is>
          <t>09 a 15 dias</t>
        </is>
      </c>
      <c r="H141" s="6" t="inlineStr">
        <is>
          <t>GYMMNWC</t>
        </is>
      </c>
      <c r="I141" s="6" t="inlineStr">
        <is>
          <t>SABRE</t>
        </is>
      </c>
      <c r="J141" s="6" t="inlineStr">
        <is>
          <t>EMERICH/EDUARDO FERRARI MR</t>
        </is>
      </c>
      <c r="K141" s="6" t="inlineStr">
        <is>
          <t>WS</t>
        </is>
      </c>
      <c r="L141" s="6" t="inlineStr">
        <is>
          <t>WS</t>
        </is>
      </c>
      <c r="M141" s="58" t="n">
        <v>45973.31319444445</v>
      </c>
      <c r="N141" s="6" t="inlineStr">
        <is>
          <t>GYMMNW</t>
        </is>
      </c>
      <c r="O141" s="6" t="inlineStr">
        <is>
          <t>MCI</t>
        </is>
      </c>
      <c r="P141" s="6" t="inlineStr">
        <is>
          <t>ON LINE</t>
        </is>
      </c>
      <c r="Q141" s="6" t="inlineStr">
        <is>
          <t>Invoice</t>
        </is>
      </c>
      <c r="R141" s="6" t="inlineStr">
        <is>
          <t>Faturado</t>
        </is>
      </c>
      <c r="S141" s="6" t="inlineStr">
        <is>
          <t>Carro</t>
        </is>
      </c>
      <c r="T141" s="6" t="inlineStr">
        <is>
          <t>N</t>
        </is>
      </c>
      <c r="U141" s="6" t="inlineStr">
        <is>
          <t>Grupo Elanco</t>
        </is>
      </c>
      <c r="V141" s="6" t="inlineStr">
        <is>
          <t>Elanco - Morumbi</t>
        </is>
      </c>
      <c r="W141" s="6" t="inlineStr">
        <is>
          <t>-</t>
        </is>
      </c>
      <c r="X141" s="6" t="inlineStr">
        <is>
          <t>-</t>
        </is>
      </c>
      <c r="Y141" s="6" t="inlineStr">
        <is>
          <t>-</t>
        </is>
      </c>
      <c r="Z141" s="6" t="inlineStr">
        <is>
          <t>FCM-OPE-SAO-PVI-BTC-CONCUR</t>
        </is>
      </c>
      <c r="AA141" s="6" t="inlineStr">
        <is>
          <t>-</t>
        </is>
      </c>
      <c r="AB141" s="6" t="n">
        <v>865.5</v>
      </c>
      <c r="AC141" s="6" t="n">
        <v>0</v>
      </c>
      <c r="AD141" s="6" t="n">
        <v>0</v>
      </c>
      <c r="AE141" s="6" t="n">
        <v>0</v>
      </c>
      <c r="AF141" s="6" t="n">
        <v>0</v>
      </c>
      <c r="AG141" s="6" t="n">
        <v>0</v>
      </c>
      <c r="AH141" s="6" t="n">
        <v>0</v>
      </c>
      <c r="AI141" s="6" t="inlineStr">
        <is>
          <t>Reserva importada por HubTravel</t>
        </is>
      </c>
      <c r="AJ141" s="6" t="inlineStr">
        <is>
          <t>Fornecedor não preenchido! (ACC01)</t>
        </is>
      </c>
      <c r="AK141" s="6" t="inlineStr">
        <is>
          <t>SABRE</t>
        </is>
      </c>
      <c r="AL141" s="6" t="inlineStr">
        <is>
          <t>Falta de Fornecedor</t>
        </is>
      </c>
      <c r="AM141" s="6" t="inlineStr">
        <is>
          <t>Campo Fornecedor</t>
        </is>
      </c>
      <c r="AN141" s="6" t="inlineStr">
        <is>
          <t>Dados do Fornecedor</t>
        </is>
      </c>
      <c r="AO141" s="6" t="inlineStr">
        <is>
          <t>Qualidade dos dados</t>
        </is>
      </c>
      <c r="AP141" s="6" t="inlineStr">
        <is>
          <t>KONTIK BUSINESS TRAVEL</t>
        </is>
      </c>
      <c r="AQ141" s="6" t="inlineStr">
        <is>
          <t>Suporte KCS</t>
        </is>
      </c>
    </row>
    <row r="142">
      <c r="A142" s="6" t="n">
        <v>23268877</v>
      </c>
      <c r="B142" s="6" t="n">
        <v>24001029</v>
      </c>
      <c r="C142" s="6" t="inlineStr">
        <is>
          <t>ACC01</t>
        </is>
      </c>
      <c r="D142" s="58" t="n">
        <v>45967.36956018519</v>
      </c>
      <c r="E142" s="58" t="n">
        <v>45967.371875</v>
      </c>
      <c r="F142" s="59" t="inlineStr">
        <is>
          <t>16 a 23 dias</t>
        </is>
      </c>
      <c r="G142" s="59" t="inlineStr">
        <is>
          <t>16 a 23 dias</t>
        </is>
      </c>
      <c r="H142" s="6" t="inlineStr">
        <is>
          <t>DKQKGDT</t>
        </is>
      </c>
      <c r="I142" s="6" t="inlineStr">
        <is>
          <t>SABRE</t>
        </is>
      </c>
      <c r="J142" s="6" t="inlineStr">
        <is>
          <t>VALARELLI/RODRIGO LECHUGO</t>
        </is>
      </c>
      <c r="K142" s="6" t="inlineStr">
        <is>
          <t>WS</t>
        </is>
      </c>
      <c r="L142" s="6" t="inlineStr">
        <is>
          <t>WS</t>
        </is>
      </c>
      <c r="M142" s="58" t="n">
        <v>45966.90833333333</v>
      </c>
      <c r="N142" s="6" t="inlineStr">
        <is>
          <t>DKQKGD</t>
        </is>
      </c>
      <c r="O142" s="6" t="inlineStr">
        <is>
          <t>-</t>
        </is>
      </c>
      <c r="P142" s="6" t="inlineStr">
        <is>
          <t>ON LINE</t>
        </is>
      </c>
      <c r="Q142" s="6" t="inlineStr">
        <is>
          <t>Cartão de crédito</t>
        </is>
      </c>
      <c r="R142" s="6" t="inlineStr">
        <is>
          <t>Cartão de crédito</t>
        </is>
      </c>
      <c r="S142" s="6" t="inlineStr">
        <is>
          <t>Hotel</t>
        </is>
      </c>
      <c r="T142" s="6" t="inlineStr">
        <is>
          <t>N</t>
        </is>
      </c>
      <c r="U142" s="6" t="inlineStr">
        <is>
          <t>Grupo Elanco</t>
        </is>
      </c>
      <c r="V142" s="6" t="inlineStr">
        <is>
          <t>Elanco - Morumbi</t>
        </is>
      </c>
      <c r="W142" s="6" t="inlineStr">
        <is>
          <t>-</t>
        </is>
      </c>
      <c r="X142" s="6" t="inlineStr">
        <is>
          <t>-</t>
        </is>
      </c>
      <c r="Y142" s="6" t="inlineStr">
        <is>
          <t>-</t>
        </is>
      </c>
      <c r="Z142" s="6" t="inlineStr">
        <is>
          <t>FCM-OPE-SAO-PVI-BTC-CONCUR</t>
        </is>
      </c>
      <c r="AA142" s="6" t="inlineStr">
        <is>
          <t>-</t>
        </is>
      </c>
      <c r="AB142" s="6" t="n">
        <v>1442.912</v>
      </c>
      <c r="AC142" s="6" t="n">
        <v>29.48</v>
      </c>
      <c r="AD142" s="6" t="n">
        <v>0</v>
      </c>
      <c r="AE142" s="6" t="n">
        <v>0</v>
      </c>
      <c r="AF142" s="6" t="n">
        <v>0</v>
      </c>
      <c r="AG142" s="6" t="n">
        <v>0</v>
      </c>
      <c r="AH142" s="6" t="n">
        <v>0</v>
      </c>
      <c r="AI142" s="6" t="inlineStr">
        <is>
          <t>Reserva importada por HubTravel</t>
        </is>
      </c>
      <c r="AJ142" s="6" t="inlineStr">
        <is>
          <t>Fornecedor não preenchido! (ACC01)</t>
        </is>
      </c>
      <c r="AK142" s="6" t="inlineStr">
        <is>
          <t>SABRE</t>
        </is>
      </c>
      <c r="AL142" s="6" t="inlineStr">
        <is>
          <t>Falta de Fornecedor</t>
        </is>
      </c>
      <c r="AM142" s="6" t="inlineStr">
        <is>
          <t>Campo Fornecedor</t>
        </is>
      </c>
      <c r="AN142" s="6" t="inlineStr">
        <is>
          <t>Dados do Fornecedor</t>
        </is>
      </c>
      <c r="AO142" s="6" t="inlineStr">
        <is>
          <t>Sistêmico</t>
        </is>
      </c>
      <c r="AP142" s="6" t="inlineStr">
        <is>
          <t>GRUPO KONTIK</t>
        </is>
      </c>
      <c r="AQ142" s="6" t="inlineStr">
        <is>
          <t>Suporte Benner</t>
        </is>
      </c>
    </row>
    <row r="143">
      <c r="A143" s="6" t="n">
        <v>23222311</v>
      </c>
      <c r="B143" s="6" t="n">
        <v>23957300</v>
      </c>
      <c r="C143" s="6" t="inlineStr">
        <is>
          <t>ACC01</t>
        </is>
      </c>
      <c r="D143" s="58" t="n">
        <v>45960.41280092593</v>
      </c>
      <c r="E143" s="58" t="n">
        <v>45960.41773148148</v>
      </c>
      <c r="F143" s="59" t="inlineStr">
        <is>
          <t>24 a 31 dias</t>
        </is>
      </c>
      <c r="G143" s="59" t="inlineStr">
        <is>
          <t>24 a 31 dias</t>
        </is>
      </c>
      <c r="H143" s="6" t="inlineStr">
        <is>
          <t>QOMJYZC</t>
        </is>
      </c>
      <c r="I143" s="6" t="inlineStr">
        <is>
          <t>SABRE</t>
        </is>
      </c>
      <c r="J143" s="6" t="inlineStr">
        <is>
          <t>VALARELLI/RODRIGO LECHUGO</t>
        </is>
      </c>
      <c r="K143" s="6" t="inlineStr">
        <is>
          <t>WS</t>
        </is>
      </c>
      <c r="L143" s="6" t="inlineStr">
        <is>
          <t>WS</t>
        </is>
      </c>
      <c r="M143" s="58" t="n">
        <v>45959.74166666667</v>
      </c>
      <c r="N143" s="6" t="inlineStr">
        <is>
          <t>QOMJYZ</t>
        </is>
      </c>
      <c r="O143" s="6" t="inlineStr">
        <is>
          <t>BZN</t>
        </is>
      </c>
      <c r="P143" s="6" t="inlineStr">
        <is>
          <t>ON LINE</t>
        </is>
      </c>
      <c r="Q143" s="6" t="inlineStr">
        <is>
          <t>Invoice</t>
        </is>
      </c>
      <c r="R143" s="6" t="inlineStr">
        <is>
          <t>Faturado</t>
        </is>
      </c>
      <c r="S143" s="6" t="inlineStr">
        <is>
          <t>Carro</t>
        </is>
      </c>
      <c r="T143" s="6" t="inlineStr">
        <is>
          <t>N</t>
        </is>
      </c>
      <c r="U143" s="6" t="inlineStr">
        <is>
          <t>Grupo Elanco</t>
        </is>
      </c>
      <c r="V143" s="6" t="inlineStr">
        <is>
          <t>Elanco - Morumbi</t>
        </is>
      </c>
      <c r="W143" s="6" t="inlineStr">
        <is>
          <t>-</t>
        </is>
      </c>
      <c r="X143" s="6" t="inlineStr">
        <is>
          <t>-</t>
        </is>
      </c>
      <c r="Y143" s="6" t="inlineStr">
        <is>
          <t>-</t>
        </is>
      </c>
      <c r="Z143" s="6" t="inlineStr">
        <is>
          <t>FCM-OPE-SAO-PVI-BTC-CONCUR</t>
        </is>
      </c>
      <c r="AA143" s="6" t="inlineStr">
        <is>
          <t>-</t>
        </is>
      </c>
      <c r="AB143" s="6" t="n">
        <v>528.1</v>
      </c>
      <c r="AC143" s="6" t="n">
        <v>98.89</v>
      </c>
      <c r="AD143" s="6" t="n">
        <v>0</v>
      </c>
      <c r="AE143" s="6" t="n">
        <v>0</v>
      </c>
      <c r="AF143" s="6" t="n">
        <v>0</v>
      </c>
      <c r="AG143" s="6" t="n">
        <v>0</v>
      </c>
      <c r="AH143" s="6" t="n">
        <v>0</v>
      </c>
      <c r="AI143" s="6" t="inlineStr">
        <is>
          <t>Reserva importada por HubTravel</t>
        </is>
      </c>
      <c r="AJ143" s="6" t="inlineStr">
        <is>
          <t>Fornecedor não preenchido! (ACC01)</t>
        </is>
      </c>
      <c r="AK143" s="6" t="inlineStr">
        <is>
          <t>SABRE</t>
        </is>
      </c>
      <c r="AL143" s="6" t="inlineStr">
        <is>
          <t>Falta de Fornecedor</t>
        </is>
      </c>
      <c r="AM143" s="6" t="inlineStr">
        <is>
          <t>Campo Fornecedor</t>
        </is>
      </c>
      <c r="AN143" s="6" t="inlineStr">
        <is>
          <t>Dados do Fornecedor</t>
        </is>
      </c>
      <c r="AO143" s="6" t="inlineStr">
        <is>
          <t>Qualidade dos dados</t>
        </is>
      </c>
      <c r="AP143" s="6" t="inlineStr">
        <is>
          <t>KONTIK BUSINESS TRAVEL</t>
        </is>
      </c>
      <c r="AQ143" s="6" t="inlineStr">
        <is>
          <t>Suporte KCS</t>
        </is>
      </c>
    </row>
    <row r="144">
      <c r="A144" s="6" t="n">
        <v>23157789</v>
      </c>
      <c r="B144" s="6" t="n">
        <v>23901852</v>
      </c>
      <c r="C144" s="6" t="inlineStr">
        <is>
          <t>ACC01</t>
        </is>
      </c>
      <c r="D144" s="58" t="n">
        <v>45951.62755787037</v>
      </c>
      <c r="E144" s="58" t="n">
        <v>45951.63077546296</v>
      </c>
      <c r="F144" s="59" t="inlineStr">
        <is>
          <t>31 dias ou +</t>
        </is>
      </c>
      <c r="G144" s="59" t="inlineStr">
        <is>
          <t>31 dias ou +</t>
        </is>
      </c>
      <c r="H144" s="6" t="inlineStr">
        <is>
          <t>WYTKJHT</t>
        </is>
      </c>
      <c r="I144" s="6" t="inlineStr">
        <is>
          <t>SABRE</t>
        </is>
      </c>
      <c r="J144" s="6" t="inlineStr">
        <is>
          <t>VALARELLI/RODRIGO LECHUGO</t>
        </is>
      </c>
      <c r="K144" s="6" t="inlineStr">
        <is>
          <t>WS</t>
        </is>
      </c>
      <c r="L144" s="6" t="inlineStr">
        <is>
          <t>WS</t>
        </is>
      </c>
      <c r="M144" s="58" t="n">
        <v>45951.38125</v>
      </c>
      <c r="N144" s="6" t="inlineStr">
        <is>
          <t>WYTKJH</t>
        </is>
      </c>
      <c r="O144" s="6" t="inlineStr">
        <is>
          <t>-</t>
        </is>
      </c>
      <c r="P144" s="6" t="inlineStr">
        <is>
          <t>ON LINE</t>
        </is>
      </c>
      <c r="Q144" s="6" t="inlineStr">
        <is>
          <t>Cartão de crédito</t>
        </is>
      </c>
      <c r="R144" s="6" t="inlineStr">
        <is>
          <t>Cartão de crédito</t>
        </is>
      </c>
      <c r="S144" s="6" t="inlineStr">
        <is>
          <t>Hotel</t>
        </is>
      </c>
      <c r="T144" s="6" t="inlineStr">
        <is>
          <t>N</t>
        </is>
      </c>
      <c r="U144" s="6" t="inlineStr">
        <is>
          <t>Grupo Elanco</t>
        </is>
      </c>
      <c r="V144" s="6" t="inlineStr">
        <is>
          <t>Elanco - Morumbi</t>
        </is>
      </c>
      <c r="W144" s="6" t="inlineStr">
        <is>
          <t>-</t>
        </is>
      </c>
      <c r="X144" s="6" t="inlineStr">
        <is>
          <t>-</t>
        </is>
      </c>
      <c r="Y144" s="6" t="inlineStr">
        <is>
          <t>-</t>
        </is>
      </c>
      <c r="Z144" s="6" t="inlineStr">
        <is>
          <t>FCM-OPE-SAO-PVI-BTC-CONCUR</t>
        </is>
      </c>
      <c r="AA144" s="6" t="inlineStr">
        <is>
          <t>-</t>
        </is>
      </c>
      <c r="AB144" s="6" t="n">
        <v>4927.734</v>
      </c>
      <c r="AC144" s="6" t="n">
        <v>70.48</v>
      </c>
      <c r="AD144" s="6" t="n">
        <v>0</v>
      </c>
      <c r="AE144" s="6" t="n">
        <v>0</v>
      </c>
      <c r="AF144" s="6" t="n">
        <v>0</v>
      </c>
      <c r="AG144" s="6" t="n">
        <v>0</v>
      </c>
      <c r="AH144" s="6" t="n">
        <v>0</v>
      </c>
      <c r="AI144" s="6" t="inlineStr">
        <is>
          <t>Reserva importada por HubTravel</t>
        </is>
      </c>
      <c r="AJ144" s="6" t="inlineStr">
        <is>
          <t>Fornecedor não preenchido! (ACC01)</t>
        </is>
      </c>
      <c r="AK144" s="6" t="inlineStr">
        <is>
          <t>SABRE</t>
        </is>
      </c>
      <c r="AL144" s="6" t="inlineStr">
        <is>
          <t>Falta de Fornecedor</t>
        </is>
      </c>
      <c r="AM144" s="6" t="inlineStr">
        <is>
          <t>Campo Fornecedor</t>
        </is>
      </c>
      <c r="AN144" s="6" t="inlineStr">
        <is>
          <t>Dados do Fornecedor</t>
        </is>
      </c>
      <c r="AO144" s="6" t="inlineStr">
        <is>
          <t>Sistêmico</t>
        </is>
      </c>
      <c r="AP144" s="6" t="inlineStr">
        <is>
          <t>GRUPO KONTIK</t>
        </is>
      </c>
      <c r="AQ144" s="6" t="inlineStr">
        <is>
          <t>Suporte Benner</t>
        </is>
      </c>
    </row>
    <row r="145">
      <c r="A145" s="6" t="n">
        <v>23252798</v>
      </c>
      <c r="B145" s="6" t="n">
        <v>23985459</v>
      </c>
      <c r="C145" s="6" t="inlineStr">
        <is>
          <t>ACC01</t>
        </is>
      </c>
      <c r="D145" s="58" t="n">
        <v>45965.38313657408</v>
      </c>
      <c r="E145" s="58" t="n">
        <v>45965.38379629629</v>
      </c>
      <c r="F145" s="59" t="inlineStr">
        <is>
          <t>16 a 23 dias</t>
        </is>
      </c>
      <c r="G145" s="59" t="inlineStr">
        <is>
          <t>16 a 23 dias</t>
        </is>
      </c>
      <c r="H145" s="6" t="inlineStr">
        <is>
          <t>GMKZKJT</t>
        </is>
      </c>
      <c r="I145" s="6" t="inlineStr">
        <is>
          <t>SABRE</t>
        </is>
      </c>
      <c r="J145" s="6" t="inlineStr">
        <is>
          <t>VALARELLI/RODRIGO LECHUGO</t>
        </is>
      </c>
      <c r="K145" s="6" t="inlineStr">
        <is>
          <t>WS</t>
        </is>
      </c>
      <c r="L145" s="6" t="inlineStr">
        <is>
          <t>WS</t>
        </is>
      </c>
      <c r="M145" s="58" t="n">
        <v>45964.84861111111</v>
      </c>
      <c r="N145" s="6" t="inlineStr">
        <is>
          <t>GMKZKJ</t>
        </is>
      </c>
      <c r="O145" s="6" t="inlineStr">
        <is>
          <t>-</t>
        </is>
      </c>
      <c r="P145" s="6" t="inlineStr">
        <is>
          <t>ON LINE</t>
        </is>
      </c>
      <c r="Q145" s="6" t="inlineStr">
        <is>
          <t>Cartão de crédito</t>
        </is>
      </c>
      <c r="R145" s="6" t="inlineStr">
        <is>
          <t>Cartão de crédito</t>
        </is>
      </c>
      <c r="S145" s="6" t="inlineStr">
        <is>
          <t>Hotel</t>
        </is>
      </c>
      <c r="T145" s="6" t="inlineStr">
        <is>
          <t>N</t>
        </is>
      </c>
      <c r="U145" s="6" t="inlineStr">
        <is>
          <t>Grupo Elanco</t>
        </is>
      </c>
      <c r="V145" s="6" t="inlineStr">
        <is>
          <t>Elanco - Morumbi</t>
        </is>
      </c>
      <c r="W145" s="6" t="inlineStr">
        <is>
          <t>-</t>
        </is>
      </c>
      <c r="X145" s="6" t="inlineStr">
        <is>
          <t>-</t>
        </is>
      </c>
      <c r="Y145" s="6" t="inlineStr">
        <is>
          <t>-</t>
        </is>
      </c>
      <c r="Z145" s="6" t="inlineStr">
        <is>
          <t>FCM-OPE-SAO-PVI-BTC-CONCUR</t>
        </is>
      </c>
      <c r="AA145" s="6" t="inlineStr">
        <is>
          <t>-</t>
        </is>
      </c>
      <c r="AB145" s="6" t="n">
        <v>1087.568</v>
      </c>
      <c r="AC145" s="6" t="n">
        <v>18.16</v>
      </c>
      <c r="AD145" s="6" t="n">
        <v>0</v>
      </c>
      <c r="AE145" s="6" t="n">
        <v>0</v>
      </c>
      <c r="AF145" s="6" t="n">
        <v>0</v>
      </c>
      <c r="AG145" s="6" t="n">
        <v>0</v>
      </c>
      <c r="AH145" s="6" t="n">
        <v>0</v>
      </c>
      <c r="AI145" s="6" t="inlineStr">
        <is>
          <t>Reserva importada por HubTravel</t>
        </is>
      </c>
      <c r="AJ145" s="6" t="inlineStr">
        <is>
          <t>Fornecedor não preenchido! (ACC01)</t>
        </is>
      </c>
      <c r="AK145" s="6" t="inlineStr">
        <is>
          <t>SABRE</t>
        </is>
      </c>
      <c r="AL145" s="6" t="inlineStr">
        <is>
          <t>Falta de Fornecedor</t>
        </is>
      </c>
      <c r="AM145" s="6" t="inlineStr">
        <is>
          <t>Campo Fornecedor</t>
        </is>
      </c>
      <c r="AN145" s="6" t="inlineStr">
        <is>
          <t>Dados do Fornecedor</t>
        </is>
      </c>
      <c r="AO145" s="6" t="inlineStr">
        <is>
          <t>Sistêmico</t>
        </is>
      </c>
      <c r="AP145" s="6" t="inlineStr">
        <is>
          <t>GRUPO KONTIK</t>
        </is>
      </c>
      <c r="AQ145" s="6" t="inlineStr">
        <is>
          <t>Suporte Benner</t>
        </is>
      </c>
    </row>
    <row r="146">
      <c r="A146" s="6" t="n">
        <v>23249504</v>
      </c>
      <c r="B146" s="6" t="n">
        <v>23982535</v>
      </c>
      <c r="C146" s="6" t="inlineStr">
        <is>
          <t>ACC01</t>
        </is>
      </c>
      <c r="D146" s="58" t="n">
        <v>45964.82716435185</v>
      </c>
      <c r="E146" s="58" t="n">
        <v>45964.82931712963</v>
      </c>
      <c r="F146" s="59" t="inlineStr">
        <is>
          <t>16 a 23 dias</t>
        </is>
      </c>
      <c r="G146" s="59" t="inlineStr">
        <is>
          <t>16 a 23 dias</t>
        </is>
      </c>
      <c r="H146" s="6" t="inlineStr">
        <is>
          <t>LXKHEET</t>
        </is>
      </c>
      <c r="I146" s="6" t="inlineStr">
        <is>
          <t>SABRE</t>
        </is>
      </c>
      <c r="J146" s="6" t="inlineStr">
        <is>
          <t>WAQUIL/VANESSA ALVES</t>
        </is>
      </c>
      <c r="K146" s="6" t="inlineStr">
        <is>
          <t>WS</t>
        </is>
      </c>
      <c r="L146" s="6" t="inlineStr">
        <is>
          <t>WS</t>
        </is>
      </c>
      <c r="M146" s="58" t="n">
        <v>45964.41597222222</v>
      </c>
      <c r="N146" s="6" t="inlineStr">
        <is>
          <t>LXKHEE</t>
        </is>
      </c>
      <c r="O146" s="6" t="inlineStr">
        <is>
          <t>-</t>
        </is>
      </c>
      <c r="P146" s="6" t="inlineStr">
        <is>
          <t>ON LINE</t>
        </is>
      </c>
      <c r="Q146" s="6" t="inlineStr">
        <is>
          <t>Cartão de crédito</t>
        </is>
      </c>
      <c r="R146" s="6" t="inlineStr">
        <is>
          <t>Cartão de crédito</t>
        </is>
      </c>
      <c r="S146" s="6" t="inlineStr">
        <is>
          <t>Hotel</t>
        </is>
      </c>
      <c r="T146" s="6" t="inlineStr">
        <is>
          <t>N</t>
        </is>
      </c>
      <c r="U146" s="6" t="inlineStr">
        <is>
          <t>Grupo Elanco</t>
        </is>
      </c>
      <c r="V146" s="6" t="inlineStr">
        <is>
          <t>Elanco - Morumbi</t>
        </is>
      </c>
      <c r="W146" s="6" t="inlineStr">
        <is>
          <t>-</t>
        </is>
      </c>
      <c r="X146" s="6" t="inlineStr">
        <is>
          <t>-</t>
        </is>
      </c>
      <c r="Y146" s="6" t="inlineStr">
        <is>
          <t>-</t>
        </is>
      </c>
      <c r="Z146" s="6" t="inlineStr">
        <is>
          <t>FCM-OPE-SAO-PVI-BTC-CONCUR</t>
        </is>
      </c>
      <c r="AA146" s="6" t="inlineStr">
        <is>
          <t>-</t>
        </is>
      </c>
      <c r="AB146" s="6" t="n">
        <v>2116.377</v>
      </c>
      <c r="AC146" s="6" t="n">
        <v>0</v>
      </c>
      <c r="AD146" s="6" t="n">
        <v>0</v>
      </c>
      <c r="AE146" s="6" t="n">
        <v>0</v>
      </c>
      <c r="AF146" s="6" t="n">
        <v>0</v>
      </c>
      <c r="AG146" s="6" t="n">
        <v>0</v>
      </c>
      <c r="AH146" s="6" t="n">
        <v>0</v>
      </c>
      <c r="AI146" s="6" t="inlineStr">
        <is>
          <t>Reserva importada por HubTravel</t>
        </is>
      </c>
      <c r="AJ146" s="6" t="inlineStr">
        <is>
          <t>Fornecedor não preenchido! (ACC01)</t>
        </is>
      </c>
      <c r="AK146" s="6" t="inlineStr">
        <is>
          <t>SABRE</t>
        </is>
      </c>
      <c r="AL146" s="6" t="inlineStr">
        <is>
          <t>Falta de Fornecedor</t>
        </is>
      </c>
      <c r="AM146" s="6" t="inlineStr">
        <is>
          <t>Campo Fornecedor</t>
        </is>
      </c>
      <c r="AN146" s="6" t="inlineStr">
        <is>
          <t>Dados do Fornecedor</t>
        </is>
      </c>
      <c r="AO146" s="6" t="inlineStr">
        <is>
          <t>Sistêmico</t>
        </is>
      </c>
      <c r="AP146" s="6" t="inlineStr">
        <is>
          <t>GRUPO KONTIK</t>
        </is>
      </c>
      <c r="AQ146" s="6" t="inlineStr">
        <is>
          <t>Suporte Benner</t>
        </is>
      </c>
    </row>
    <row r="147">
      <c r="A147" s="6" t="n">
        <v>23249504</v>
      </c>
      <c r="B147" s="6" t="n">
        <v>23982536</v>
      </c>
      <c r="C147" s="6" t="inlineStr">
        <is>
          <t>ACC02</t>
        </is>
      </c>
      <c r="D147" s="58" t="n">
        <v>45964.82716435185</v>
      </c>
      <c r="E147" s="58" t="n">
        <v>45964.82931712963</v>
      </c>
      <c r="F147" s="59" t="inlineStr">
        <is>
          <t>16 a 23 dias</t>
        </is>
      </c>
      <c r="G147" s="59" t="inlineStr">
        <is>
          <t>16 a 23 dias</t>
        </is>
      </c>
      <c r="H147" s="6" t="inlineStr">
        <is>
          <t>LXKHEET</t>
        </is>
      </c>
      <c r="I147" s="6" t="inlineStr">
        <is>
          <t>SABRE</t>
        </is>
      </c>
      <c r="J147" s="6" t="inlineStr">
        <is>
          <t>WAQUIL/VANESSA ALVES</t>
        </is>
      </c>
      <c r="K147" s="6" t="inlineStr">
        <is>
          <t>WS</t>
        </is>
      </c>
      <c r="L147" s="6" t="inlineStr">
        <is>
          <t>WS</t>
        </is>
      </c>
      <c r="M147" s="58" t="n">
        <v>45964.41597222222</v>
      </c>
      <c r="N147" s="6" t="inlineStr">
        <is>
          <t>LXKHEE</t>
        </is>
      </c>
      <c r="O147" s="6" t="inlineStr">
        <is>
          <t>-</t>
        </is>
      </c>
      <c r="P147" s="6" t="inlineStr">
        <is>
          <t>ON LINE</t>
        </is>
      </c>
      <c r="Q147" s="6" t="inlineStr">
        <is>
          <t>Cartão de crédito</t>
        </is>
      </c>
      <c r="R147" s="6" t="inlineStr">
        <is>
          <t>Cartão de crédito</t>
        </is>
      </c>
      <c r="S147" s="6" t="inlineStr">
        <is>
          <t>Hotel</t>
        </is>
      </c>
      <c r="T147" s="6" t="inlineStr">
        <is>
          <t>N</t>
        </is>
      </c>
      <c r="U147" s="6" t="inlineStr">
        <is>
          <t>Grupo Elanco</t>
        </is>
      </c>
      <c r="V147" s="6" t="inlineStr">
        <is>
          <t>Elanco - Morumbi</t>
        </is>
      </c>
      <c r="W147" s="6" t="inlineStr">
        <is>
          <t>-</t>
        </is>
      </c>
      <c r="X147" s="6" t="inlineStr">
        <is>
          <t>-</t>
        </is>
      </c>
      <c r="Y147" s="6" t="inlineStr">
        <is>
          <t>-</t>
        </is>
      </c>
      <c r="Z147" s="6" t="inlineStr">
        <is>
          <t>FCM-OPE-SAO-PVI-BTC-CONCUR</t>
        </is>
      </c>
      <c r="AA147" s="6" t="inlineStr">
        <is>
          <t>-</t>
        </is>
      </c>
      <c r="AB147" s="6" t="n">
        <v>993.1989</v>
      </c>
      <c r="AC147" s="6" t="n">
        <v>15.91</v>
      </c>
      <c r="AD147" s="6" t="n">
        <v>0</v>
      </c>
      <c r="AE147" s="6" t="n">
        <v>0</v>
      </c>
      <c r="AF147" s="6" t="n">
        <v>0</v>
      </c>
      <c r="AG147" s="6" t="n">
        <v>0</v>
      </c>
      <c r="AH147" s="6" t="n">
        <v>0</v>
      </c>
      <c r="AI147" s="6" t="inlineStr">
        <is>
          <t>Reserva importada por HubTravel</t>
        </is>
      </c>
      <c r="AJ147" s="6" t="inlineStr">
        <is>
          <t>Fornecedor não preenchido! (ACC01)</t>
        </is>
      </c>
      <c r="AK147" s="6" t="inlineStr">
        <is>
          <t>SABRE</t>
        </is>
      </c>
      <c r="AL147" s="6" t="inlineStr">
        <is>
          <t>Falta de Fornecedor</t>
        </is>
      </c>
      <c r="AM147" s="6" t="inlineStr">
        <is>
          <t>Campo Fornecedor</t>
        </is>
      </c>
      <c r="AN147" s="6" t="inlineStr">
        <is>
          <t>Dados do Fornecedor</t>
        </is>
      </c>
      <c r="AO147" s="6" t="inlineStr">
        <is>
          <t>Sistêmico</t>
        </is>
      </c>
      <c r="AP147" s="6" t="inlineStr">
        <is>
          <t>GRUPO KONTIK</t>
        </is>
      </c>
      <c r="AQ147" s="6" t="inlineStr">
        <is>
          <t>Suporte Benner</t>
        </is>
      </c>
    </row>
    <row r="148">
      <c r="A148" s="6" t="n">
        <v>23281044</v>
      </c>
      <c r="B148" s="6" t="n">
        <v>24013228</v>
      </c>
      <c r="C148" s="6" t="inlineStr">
        <is>
          <t>ACC01</t>
        </is>
      </c>
      <c r="D148" s="58" t="n">
        <v>45968.75833333333</v>
      </c>
      <c r="E148" s="58" t="n">
        <v>45978.47960648148</v>
      </c>
      <c r="F148" s="6" t="inlineStr">
        <is>
          <t>06 a 08 dias</t>
        </is>
      </c>
      <c r="G148" s="6" t="inlineStr">
        <is>
          <t>16 a 23 dias</t>
        </is>
      </c>
      <c r="H148" s="6" t="inlineStr">
        <is>
          <t>JRWMOT</t>
        </is>
      </c>
      <c r="I148" s="6" t="inlineStr">
        <is>
          <t>SABRE</t>
        </is>
      </c>
      <c r="J148" s="6" t="inlineStr">
        <is>
          <t>ANJO/CRISTIANO GIRALDES SANTO</t>
        </is>
      </c>
      <c r="K148" s="6" t="inlineStr">
        <is>
          <t>Itamar de Souza</t>
        </is>
      </c>
      <c r="L148" s="6" t="inlineStr">
        <is>
          <t>WS</t>
        </is>
      </c>
      <c r="M148" s="58" t="n">
        <v>45967</v>
      </c>
      <c r="N148" s="6" t="inlineStr">
        <is>
          <t>JRWMOT</t>
        </is>
      </c>
      <c r="O148" s="6" t="inlineStr">
        <is>
          <t>-</t>
        </is>
      </c>
      <c r="P148" s="6" t="inlineStr">
        <is>
          <t>ON LINE</t>
        </is>
      </c>
      <c r="Q148" s="6" t="inlineStr">
        <is>
          <t>?</t>
        </is>
      </c>
      <c r="R148" s="6" t="inlineStr">
        <is>
          <t>TKT</t>
        </is>
      </c>
      <c r="S148" s="6" t="inlineStr">
        <is>
          <t>Aéreo</t>
        </is>
      </c>
      <c r="T148" s="6" t="inlineStr">
        <is>
          <t>N</t>
        </is>
      </c>
      <c r="U148" s="6" t="inlineStr">
        <is>
          <t>Grupo Elanco</t>
        </is>
      </c>
      <c r="V148" s="6" t="inlineStr">
        <is>
          <t>Elanco - Morumbi</t>
        </is>
      </c>
      <c r="W148" s="6" t="inlineStr">
        <is>
          <t>-</t>
        </is>
      </c>
      <c r="X148" s="6" t="inlineStr">
        <is>
          <t>Latam Airlines Brasil</t>
        </is>
      </c>
      <c r="Y148" s="6" t="n">
        <v>5580558176</v>
      </c>
      <c r="Z148" s="6" t="inlineStr">
        <is>
          <t>FCM-OPE-SAO-PVI-BTC-CONCUR</t>
        </is>
      </c>
      <c r="AA148" s="6" t="inlineStr">
        <is>
          <t>-</t>
        </is>
      </c>
      <c r="AB148" s="6" t="n">
        <v>0</v>
      </c>
      <c r="AC148" s="6" t="n">
        <v>0</v>
      </c>
      <c r="AD148" s="6" t="n">
        <v>346.5</v>
      </c>
      <c r="AE148" s="6" t="n">
        <v>0</v>
      </c>
      <c r="AF148" s="6" t="n">
        <v>0</v>
      </c>
      <c r="AG148" s="6" t="n">
        <v>0</v>
      </c>
      <c r="AH148" s="6" t="n">
        <v>0</v>
      </c>
      <c r="AI148" s="6" t="inlineStr">
        <is>
          <t>Reserva importada por HubTravel</t>
        </is>
      </c>
      <c r="AJ148" s="6" t="inlineStr">
        <is>
          <t>Este cliente não possui permissão para usar este tipo de pagamento e recebimento para este produto.</t>
        </is>
      </c>
      <c r="AK148" s="6" t="inlineStr">
        <is>
          <t>SABRE</t>
        </is>
      </c>
      <c r="AL148" s="6" t="inlineStr">
        <is>
          <t>Pagamento não permitido para cobrança</t>
        </is>
      </c>
      <c r="AM148" s="6" t="inlineStr">
        <is>
          <t>Forma PG. e REC.</t>
        </is>
      </c>
      <c r="AN148" s="6" t="inlineStr">
        <is>
          <t>Dados do Fornecedor</t>
        </is>
      </c>
      <c r="AO148" s="6" t="inlineStr">
        <is>
          <t>Qualidade dos dados</t>
        </is>
      </c>
      <c r="AP148" s="6" t="inlineStr">
        <is>
          <t>GRUPO KONTIK</t>
        </is>
      </c>
      <c r="AQ148" s="6" t="inlineStr">
        <is>
          <t>Central de Emissão</t>
        </is>
      </c>
    </row>
    <row r="149">
      <c r="A149" s="6" t="n">
        <v>23180366</v>
      </c>
      <c r="B149" s="6" t="n">
        <v>23918648</v>
      </c>
      <c r="C149" s="6" t="inlineStr">
        <is>
          <t>ACC01</t>
        </is>
      </c>
      <c r="D149" s="58" t="n">
        <v>45953.75731481481</v>
      </c>
      <c r="E149" s="58" t="n">
        <v>45953.77153935185</v>
      </c>
      <c r="F149" s="59" t="inlineStr">
        <is>
          <t>31 dias ou +</t>
        </is>
      </c>
      <c r="G149" s="59" t="inlineStr">
        <is>
          <t>31 dias ou +</t>
        </is>
      </c>
      <c r="H149" s="6" t="inlineStr">
        <is>
          <t>5P56LI</t>
        </is>
      </c>
      <c r="I149" s="6" t="inlineStr">
        <is>
          <t>TMS</t>
        </is>
      </c>
      <c r="J149" s="6" t="inlineStr">
        <is>
          <t>BERNARDO NETO</t>
        </is>
      </c>
      <c r="K149" s="6" t="inlineStr">
        <is>
          <t>Viviane Novaes Araujo</t>
        </is>
      </c>
      <c r="L149" s="6" t="inlineStr">
        <is>
          <t>Viviane Novaes Araujo</t>
        </is>
      </c>
      <c r="M149" s="58" t="n">
        <v>45953.54652777778</v>
      </c>
      <c r="N149" s="6" t="n">
        <v>240862</v>
      </c>
      <c r="O149" s="6" t="inlineStr">
        <is>
          <t>-</t>
        </is>
      </c>
      <c r="P149" s="6" t="inlineStr">
        <is>
          <t>OFF LINE</t>
        </is>
      </c>
      <c r="Q149" s="6" t="inlineStr">
        <is>
          <t>Invoice</t>
        </is>
      </c>
      <c r="R149" s="6" t="inlineStr">
        <is>
          <t>Faturado</t>
        </is>
      </c>
      <c r="S149" s="6" t="inlineStr">
        <is>
          <t>Serviço</t>
        </is>
      </c>
      <c r="T149" s="6" t="inlineStr">
        <is>
          <t>N</t>
        </is>
      </c>
      <c r="U149" s="6" t="inlineStr">
        <is>
          <t>Grupo Kpmg</t>
        </is>
      </c>
      <c r="V149" s="6" t="inlineStr">
        <is>
          <t>Kpmg</t>
        </is>
      </c>
      <c r="W149" s="6" t="inlineStr">
        <is>
          <t>-</t>
        </is>
      </c>
      <c r="X149" s="6" t="inlineStr">
        <is>
          <t>-</t>
        </is>
      </c>
      <c r="Y149" s="6" t="inlineStr">
        <is>
          <t>-</t>
        </is>
      </c>
      <c r="Z149" s="6" t="inlineStr">
        <is>
          <t>KON-OPE-SAO-PVI-KPMG</t>
        </is>
      </c>
      <c r="AA149" s="6" t="inlineStr">
        <is>
          <t>-</t>
        </is>
      </c>
      <c r="AB149" s="6" t="n">
        <v>2978.33</v>
      </c>
      <c r="AC149" s="6" t="n">
        <v>0</v>
      </c>
      <c r="AD149" s="6" t="n">
        <v>0</v>
      </c>
      <c r="AE149" s="6" t="n">
        <v>0</v>
      </c>
      <c r="AF149" s="6" t="n">
        <v>0</v>
      </c>
      <c r="AG149" s="6" t="n">
        <v>0</v>
      </c>
      <c r="AH149" s="6" t="n">
        <v>0</v>
      </c>
      <c r="AI149" s="6" t="inlineStr">
        <is>
          <t>Reserva importada do Sistema TMS. OS: 240862</t>
        </is>
      </c>
      <c r="AJ149" s="6" t="inlineStr">
        <is>
          <t>Fornecedor não preenchido! (ACC01)</t>
        </is>
      </c>
      <c r="AK149" s="6" t="inlineStr">
        <is>
          <t>ARGO(TMS)</t>
        </is>
      </c>
      <c r="AL149" s="6" t="inlineStr">
        <is>
          <t>Falta de Fornecedor</t>
        </is>
      </c>
      <c r="AM149" s="6" t="inlineStr">
        <is>
          <t>Campo Fornecedor</t>
        </is>
      </c>
      <c r="AN149" s="6" t="inlineStr">
        <is>
          <t>Dados do Fornecedor</t>
        </is>
      </c>
      <c r="AO149" s="6" t="inlineStr">
        <is>
          <t>Qualidade dos dados</t>
        </is>
      </c>
      <c r="AP149" s="6" t="inlineStr">
        <is>
          <t>KONTIK BUSINESS TRAVEL</t>
        </is>
      </c>
      <c r="AQ149" s="6" t="inlineStr">
        <is>
          <t>Suporte KCS</t>
        </is>
      </c>
    </row>
    <row r="150">
      <c r="A150" s="6" t="n">
        <v>23255424</v>
      </c>
      <c r="B150" s="6" t="n">
        <v>23988076</v>
      </c>
      <c r="C150" s="6" t="inlineStr">
        <is>
          <t>ACC01</t>
        </is>
      </c>
      <c r="D150" s="58" t="n">
        <v>45965.67094907408</v>
      </c>
      <c r="E150" s="58" t="n">
        <v>45965.68480324074</v>
      </c>
      <c r="F150" s="59" t="inlineStr">
        <is>
          <t>16 a 23 dias</t>
        </is>
      </c>
      <c r="G150" s="59" t="inlineStr">
        <is>
          <t>16 a 23 dias</t>
        </is>
      </c>
      <c r="H150" s="6" t="inlineStr">
        <is>
          <t>5R46V1</t>
        </is>
      </c>
      <c r="I150" s="6" t="inlineStr">
        <is>
          <t>TMS</t>
        </is>
      </c>
      <c r="J150" s="6" t="inlineStr">
        <is>
          <t>JAMES JACKSON</t>
        </is>
      </c>
      <c r="K150" s="6" t="inlineStr">
        <is>
          <t>Viviane Novaes Araujo</t>
        </is>
      </c>
      <c r="L150" s="6" t="inlineStr">
        <is>
          <t>Viviane Novaes Araujo</t>
        </is>
      </c>
      <c r="M150" s="58" t="n">
        <v>45965.575</v>
      </c>
      <c r="N150" s="6" t="n">
        <v>242891</v>
      </c>
      <c r="O150" s="6" t="inlineStr">
        <is>
          <t>-</t>
        </is>
      </c>
      <c r="P150" s="6" t="inlineStr">
        <is>
          <t>OFF LINE</t>
        </is>
      </c>
      <c r="Q150" s="6" t="inlineStr">
        <is>
          <t>Cartão de crédito</t>
        </is>
      </c>
      <c r="R150" s="6" t="inlineStr">
        <is>
          <t>Cartão de crédito</t>
        </is>
      </c>
      <c r="S150" s="6" t="inlineStr">
        <is>
          <t>Hotel</t>
        </is>
      </c>
      <c r="T150" s="6" t="inlineStr">
        <is>
          <t>N</t>
        </is>
      </c>
      <c r="U150" s="6" t="inlineStr">
        <is>
          <t>Grupo Kpmg</t>
        </is>
      </c>
      <c r="V150" s="6" t="inlineStr">
        <is>
          <t>Kpmg Consultoria</t>
        </is>
      </c>
      <c r="W150" s="6" t="inlineStr">
        <is>
          <t>-</t>
        </is>
      </c>
      <c r="X150" s="6" t="inlineStr">
        <is>
          <t>-</t>
        </is>
      </c>
      <c r="Y150" s="6" t="inlineStr">
        <is>
          <t>-</t>
        </is>
      </c>
      <c r="Z150" s="6" t="inlineStr">
        <is>
          <t>KON-OPE-SAO-PVI-KPMG</t>
        </is>
      </c>
      <c r="AA150" s="6" t="inlineStr">
        <is>
          <t>-</t>
        </is>
      </c>
      <c r="AB150" s="6" t="n">
        <v>3540.8</v>
      </c>
      <c r="AC150" s="6" t="n">
        <v>0</v>
      </c>
      <c r="AD150" s="6" t="n">
        <v>0</v>
      </c>
      <c r="AE150" s="6" t="n">
        <v>0</v>
      </c>
      <c r="AF150" s="6" t="n">
        <v>0</v>
      </c>
      <c r="AG150" s="6" t="n">
        <v>172</v>
      </c>
      <c r="AH150" s="6" t="n">
        <v>0</v>
      </c>
      <c r="AI150" s="6" t="inlineStr">
        <is>
          <t>Reserva importada do Sistema TMS. OS: 242891</t>
        </is>
      </c>
      <c r="AJ150" s="6" t="inlineStr">
        <is>
          <t>Fornecedor não preenchido! (ACC01)</t>
        </is>
      </c>
      <c r="AK150" s="6" t="inlineStr">
        <is>
          <t>ARGO(TMS)</t>
        </is>
      </c>
      <c r="AL150" s="6" t="inlineStr">
        <is>
          <t>Falta de Fornecedor</t>
        </is>
      </c>
      <c r="AM150" s="6" t="inlineStr">
        <is>
          <t>Campo Fornecedor</t>
        </is>
      </c>
      <c r="AN150" s="6" t="inlineStr">
        <is>
          <t>Dados do Fornecedor</t>
        </is>
      </c>
      <c r="AO150" s="6" t="inlineStr">
        <is>
          <t>Qualidade dos dados</t>
        </is>
      </c>
      <c r="AP150" s="6" t="inlineStr">
        <is>
          <t>KONTIK BUSINESS TRAVEL</t>
        </is>
      </c>
      <c r="AQ150" s="6" t="inlineStr">
        <is>
          <t>Suporte KCS</t>
        </is>
      </c>
    </row>
    <row r="151">
      <c r="A151" s="6" t="n">
        <v>23324328</v>
      </c>
      <c r="B151" s="6" t="n">
        <v>24053803</v>
      </c>
      <c r="C151" s="6" t="inlineStr">
        <is>
          <t>ACC01</t>
        </is>
      </c>
      <c r="D151" s="58" t="n">
        <v>45975.55298611111</v>
      </c>
      <c r="E151" s="58" t="n">
        <v>45975.5568287037</v>
      </c>
      <c r="F151" s="6" t="inlineStr">
        <is>
          <t>09 a 15 dias</t>
        </is>
      </c>
      <c r="G151" s="6" t="inlineStr">
        <is>
          <t>09 a 15 dias</t>
        </is>
      </c>
      <c r="H151" s="6" t="inlineStr">
        <is>
          <t>5T7PLE</t>
        </is>
      </c>
      <c r="I151" s="6" t="inlineStr">
        <is>
          <t>TMS</t>
        </is>
      </c>
      <c r="J151" s="6" t="inlineStr">
        <is>
          <t>FELIPE WAKAMI</t>
        </is>
      </c>
      <c r="K151" s="6" t="inlineStr">
        <is>
          <t>Viviane Novaes Araujo</t>
        </is>
      </c>
      <c r="L151" s="6" t="inlineStr">
        <is>
          <t>Viviane Novaes Araujo</t>
        </is>
      </c>
      <c r="M151" s="58" t="n">
        <v>45975.47013888889</v>
      </c>
      <c r="N151" s="6" t="n">
        <v>246631</v>
      </c>
      <c r="O151" s="6" t="inlineStr">
        <is>
          <t>-</t>
        </is>
      </c>
      <c r="P151" s="6" t="inlineStr">
        <is>
          <t>OFF LINE</t>
        </is>
      </c>
      <c r="Q151" s="6" t="inlineStr">
        <is>
          <t>Cartão de crédito</t>
        </is>
      </c>
      <c r="R151" s="6" t="inlineStr">
        <is>
          <t>Cartão de crédito</t>
        </is>
      </c>
      <c r="S151" s="6" t="inlineStr">
        <is>
          <t>Hotel</t>
        </is>
      </c>
      <c r="T151" s="6" t="inlineStr">
        <is>
          <t>N</t>
        </is>
      </c>
      <c r="U151" s="6" t="inlineStr">
        <is>
          <t>Grupo Kpmg</t>
        </is>
      </c>
      <c r="V151" s="6" t="inlineStr">
        <is>
          <t>Kpmg Consultoria</t>
        </is>
      </c>
      <c r="W151" s="6" t="inlineStr">
        <is>
          <t>-</t>
        </is>
      </c>
      <c r="X151" s="6" t="inlineStr">
        <is>
          <t>-</t>
        </is>
      </c>
      <c r="Y151" s="6" t="inlineStr">
        <is>
          <t>-</t>
        </is>
      </c>
      <c r="Z151" s="6" t="inlineStr">
        <is>
          <t>KON-OPE-SAO-PVI-KPMG</t>
        </is>
      </c>
      <c r="AA151" s="6" t="inlineStr">
        <is>
          <t>-</t>
        </is>
      </c>
      <c r="AB151" s="6" t="n">
        <v>1262.39</v>
      </c>
      <c r="AC151" s="6" t="n">
        <v>0</v>
      </c>
      <c r="AD151" s="6" t="n">
        <v>0</v>
      </c>
      <c r="AE151" s="6" t="n">
        <v>0</v>
      </c>
      <c r="AF151" s="6" t="n">
        <v>0</v>
      </c>
      <c r="AG151" s="6" t="n">
        <v>239.75</v>
      </c>
      <c r="AH151" s="6" t="n">
        <v>0</v>
      </c>
      <c r="AI151" s="6" t="inlineStr">
        <is>
          <t>Reserva importada do Sistema TMS. OS: 246631</t>
        </is>
      </c>
      <c r="AJ151" s="6" t="inlineStr">
        <is>
          <t>Fornecedor não preenchido! (ACC01)</t>
        </is>
      </c>
      <c r="AK151" s="6" t="inlineStr">
        <is>
          <t>ARGO(TMS)</t>
        </is>
      </c>
      <c r="AL151" s="6" t="inlineStr">
        <is>
          <t>Falta de Fornecedor</t>
        </is>
      </c>
      <c r="AM151" s="6" t="inlineStr">
        <is>
          <t>Campo Fornecedor</t>
        </is>
      </c>
      <c r="AN151" s="6" t="inlineStr">
        <is>
          <t>Dados do Fornecedor</t>
        </is>
      </c>
      <c r="AO151" s="6" t="inlineStr">
        <is>
          <t>Qualidade dos dados</t>
        </is>
      </c>
      <c r="AP151" s="6" t="inlineStr">
        <is>
          <t>KONTIK BUSINESS TRAVEL</t>
        </is>
      </c>
      <c r="AQ151" s="6" t="inlineStr">
        <is>
          <t>Suporte KCS</t>
        </is>
      </c>
    </row>
    <row r="152">
      <c r="A152" s="6" t="n">
        <v>23309843</v>
      </c>
      <c r="B152" s="6" t="n">
        <v>24040141</v>
      </c>
      <c r="C152" s="6" t="inlineStr">
        <is>
          <t>ACC01</t>
        </is>
      </c>
      <c r="D152" s="58" t="n">
        <v>45973.52612268519</v>
      </c>
      <c r="E152" s="58" t="n">
        <v>45973.5352199074</v>
      </c>
      <c r="F152" s="6" t="inlineStr">
        <is>
          <t>09 a 15 dias</t>
        </is>
      </c>
      <c r="G152" s="6" t="inlineStr">
        <is>
          <t>09 a 15 dias</t>
        </is>
      </c>
      <c r="H152" s="6" t="inlineStr">
        <is>
          <t>5TFZOB</t>
        </is>
      </c>
      <c r="I152" s="6" t="inlineStr">
        <is>
          <t>TMS</t>
        </is>
      </c>
      <c r="J152" s="6" t="inlineStr">
        <is>
          <t>TAMARA AZEVEDO</t>
        </is>
      </c>
      <c r="K152" s="6" t="inlineStr">
        <is>
          <t>Viviane Novaes Araujo</t>
        </is>
      </c>
      <c r="L152" s="6" t="inlineStr">
        <is>
          <t>Viviane Novaes Araujo</t>
        </is>
      </c>
      <c r="M152" s="58" t="n">
        <v>45973.3375</v>
      </c>
      <c r="N152" s="6" t="n">
        <v>245708</v>
      </c>
      <c r="O152" s="6" t="inlineStr">
        <is>
          <t>-</t>
        </is>
      </c>
      <c r="P152" s="6" t="inlineStr">
        <is>
          <t>OFF LINE</t>
        </is>
      </c>
      <c r="Q152" s="6" t="inlineStr">
        <is>
          <t>Cartão de crédito</t>
        </is>
      </c>
      <c r="R152" s="6" t="inlineStr">
        <is>
          <t>Cartão de crédito</t>
        </is>
      </c>
      <c r="S152" s="6" t="inlineStr">
        <is>
          <t>Hotel</t>
        </is>
      </c>
      <c r="T152" s="6" t="inlineStr">
        <is>
          <t>N</t>
        </is>
      </c>
      <c r="U152" s="6" t="inlineStr">
        <is>
          <t>Grupo Kpmg</t>
        </is>
      </c>
      <c r="V152" s="6" t="inlineStr">
        <is>
          <t>Kpmg</t>
        </is>
      </c>
      <c r="W152" s="6" t="inlineStr">
        <is>
          <t>-</t>
        </is>
      </c>
      <c r="X152" s="6" t="inlineStr">
        <is>
          <t>-</t>
        </is>
      </c>
      <c r="Y152" s="6" t="inlineStr">
        <is>
          <t>-</t>
        </is>
      </c>
      <c r="Z152" s="6" t="inlineStr">
        <is>
          <t>KON-OPE-SAO-PVI-KPMG</t>
        </is>
      </c>
      <c r="AA152" s="6" t="inlineStr">
        <is>
          <t>-</t>
        </is>
      </c>
      <c r="AB152" s="6" t="n">
        <v>5666.85</v>
      </c>
      <c r="AC152" s="6" t="n">
        <v>0</v>
      </c>
      <c r="AD152" s="6" t="n">
        <v>0</v>
      </c>
      <c r="AE152" s="6" t="n">
        <v>0</v>
      </c>
      <c r="AF152" s="6" t="n">
        <v>0</v>
      </c>
      <c r="AG152" s="6" t="n">
        <v>0</v>
      </c>
      <c r="AH152" s="6" t="n">
        <v>0</v>
      </c>
      <c r="AI152" s="6" t="inlineStr">
        <is>
          <t>Reserva importada do Sistema TMS. OS: 245708</t>
        </is>
      </c>
      <c r="AJ152" s="6" t="inlineStr">
        <is>
          <t>Fornecedor não preenchido! (ACC01)</t>
        </is>
      </c>
      <c r="AK152" s="6" t="inlineStr">
        <is>
          <t>ARGO(TMS)</t>
        </is>
      </c>
      <c r="AL152" s="6" t="inlineStr">
        <is>
          <t>Falta de Fornecedor</t>
        </is>
      </c>
      <c r="AM152" s="6" t="inlineStr">
        <is>
          <t>Campo Fornecedor</t>
        </is>
      </c>
      <c r="AN152" s="6" t="inlineStr">
        <is>
          <t>Dados do Fornecedor</t>
        </is>
      </c>
      <c r="AO152" s="6" t="inlineStr">
        <is>
          <t>Qualidade dos dados</t>
        </is>
      </c>
      <c r="AP152" s="6" t="inlineStr">
        <is>
          <t>KONTIK BUSINESS TRAVEL</t>
        </is>
      </c>
      <c r="AQ152" s="6" t="inlineStr">
        <is>
          <t>Suporte KCS</t>
        </is>
      </c>
    </row>
    <row r="153">
      <c r="A153" s="6" t="n">
        <v>23304665</v>
      </c>
      <c r="B153" s="6" t="n">
        <v>24035315</v>
      </c>
      <c r="C153" s="6" t="inlineStr">
        <is>
          <t>ACC01</t>
        </is>
      </c>
      <c r="D153" s="58" t="n">
        <v>45972.76657407408</v>
      </c>
      <c r="E153" s="58" t="n">
        <v>45972.77587962963</v>
      </c>
      <c r="F153" s="6" t="inlineStr">
        <is>
          <t>09 a 15 dias</t>
        </is>
      </c>
      <c r="G153" s="6" t="inlineStr">
        <is>
          <t>09 a 15 dias</t>
        </is>
      </c>
      <c r="H153" s="6" t="inlineStr">
        <is>
          <t>5RLBNO</t>
        </is>
      </c>
      <c r="I153" s="6" t="inlineStr">
        <is>
          <t>TMS</t>
        </is>
      </c>
      <c r="J153" s="6" t="inlineStr">
        <is>
          <t>FABIAN SOUSA</t>
        </is>
      </c>
      <c r="K153" s="6" t="inlineStr">
        <is>
          <t>Viviane Novaes Araujo</t>
        </is>
      </c>
      <c r="L153" s="6" t="inlineStr">
        <is>
          <t>Viviane Novaes Araujo</t>
        </is>
      </c>
      <c r="M153" s="58" t="n">
        <v>45972.73680555556</v>
      </c>
      <c r="N153" s="6" t="n">
        <v>245710</v>
      </c>
      <c r="O153" s="6" t="inlineStr">
        <is>
          <t>-</t>
        </is>
      </c>
      <c r="P153" s="6" t="inlineStr">
        <is>
          <t>OFF LINE</t>
        </is>
      </c>
      <c r="Q153" s="6" t="inlineStr">
        <is>
          <t>Cartão de crédito</t>
        </is>
      </c>
      <c r="R153" s="6" t="inlineStr">
        <is>
          <t>Cartão de crédito</t>
        </is>
      </c>
      <c r="S153" s="6" t="inlineStr">
        <is>
          <t>Hotel</t>
        </is>
      </c>
      <c r="T153" s="6" t="inlineStr">
        <is>
          <t>N</t>
        </is>
      </c>
      <c r="U153" s="6" t="inlineStr">
        <is>
          <t>Grupo Kpmg</t>
        </is>
      </c>
      <c r="V153" s="6" t="inlineStr">
        <is>
          <t>Kpmg</t>
        </is>
      </c>
      <c r="W153" s="6" t="inlineStr">
        <is>
          <t>-</t>
        </is>
      </c>
      <c r="X153" s="6" t="inlineStr">
        <is>
          <t>-</t>
        </is>
      </c>
      <c r="Y153" s="6" t="inlineStr">
        <is>
          <t>-</t>
        </is>
      </c>
      <c r="Z153" s="6" t="inlineStr">
        <is>
          <t>KON-OPE-SAO-PVI-KPMG</t>
        </is>
      </c>
      <c r="AA153" s="6" t="inlineStr">
        <is>
          <t>-</t>
        </is>
      </c>
      <c r="AB153" s="6" t="n">
        <v>5243.97</v>
      </c>
      <c r="AC153" s="6" t="n">
        <v>0</v>
      </c>
      <c r="AD153" s="6" t="n">
        <v>0</v>
      </c>
      <c r="AE153" s="6" t="n">
        <v>0</v>
      </c>
      <c r="AF153" s="6" t="n">
        <v>0</v>
      </c>
      <c r="AG153" s="6" t="n">
        <v>0</v>
      </c>
      <c r="AH153" s="6" t="n">
        <v>0</v>
      </c>
      <c r="AI153" s="6" t="inlineStr">
        <is>
          <t>Reserva importada do Sistema TMS. OS: 245710</t>
        </is>
      </c>
      <c r="AJ153" s="6" t="inlineStr">
        <is>
          <t>Fornecedor não preenchido! (ACC01)</t>
        </is>
      </c>
      <c r="AK153" s="6" t="inlineStr">
        <is>
          <t>ARGO(TMS)</t>
        </is>
      </c>
      <c r="AL153" s="6" t="inlineStr">
        <is>
          <t>Falta de Fornecedor</t>
        </is>
      </c>
      <c r="AM153" s="6" t="inlineStr">
        <is>
          <t>Campo Fornecedor</t>
        </is>
      </c>
      <c r="AN153" s="6" t="inlineStr">
        <is>
          <t>Dados do Fornecedor</t>
        </is>
      </c>
      <c r="AO153" s="6" t="inlineStr">
        <is>
          <t>Qualidade dos dados</t>
        </is>
      </c>
      <c r="AP153" s="6" t="inlineStr">
        <is>
          <t>KONTIK BUSINESS TRAVEL</t>
        </is>
      </c>
      <c r="AQ153" s="6" t="inlineStr">
        <is>
          <t>Suporte KCS</t>
        </is>
      </c>
    </row>
    <row r="154">
      <c r="A154" s="6" t="n">
        <v>23304672</v>
      </c>
      <c r="B154" s="6" t="n">
        <v>24035319</v>
      </c>
      <c r="C154" s="6" t="inlineStr">
        <is>
          <t>ACC01</t>
        </is>
      </c>
      <c r="D154" s="58" t="n">
        <v>45972.76665509259</v>
      </c>
      <c r="E154" s="58" t="n">
        <v>45972.77605324074</v>
      </c>
      <c r="F154" s="6" t="inlineStr">
        <is>
          <t>09 a 15 dias</t>
        </is>
      </c>
      <c r="G154" s="6" t="inlineStr">
        <is>
          <t>09 a 15 dias</t>
        </is>
      </c>
      <c r="H154" s="6" t="inlineStr">
        <is>
          <t>5RZQ9O</t>
        </is>
      </c>
      <c r="I154" s="6" t="inlineStr">
        <is>
          <t>TMS</t>
        </is>
      </c>
      <c r="J154" s="6" t="inlineStr">
        <is>
          <t>RICARDO RIBEIRO</t>
        </is>
      </c>
      <c r="K154" s="6" t="inlineStr">
        <is>
          <t>Viviane Novaes Araujo</t>
        </is>
      </c>
      <c r="L154" s="6" t="inlineStr">
        <is>
          <t>Viviane Novaes Araujo</t>
        </is>
      </c>
      <c r="M154" s="58" t="n">
        <v>45972.73958333334</v>
      </c>
      <c r="N154" s="6" t="n">
        <v>245709</v>
      </c>
      <c r="O154" s="6" t="inlineStr">
        <is>
          <t>-</t>
        </is>
      </c>
      <c r="P154" s="6" t="inlineStr">
        <is>
          <t>OFF LINE</t>
        </is>
      </c>
      <c r="Q154" s="6" t="inlineStr">
        <is>
          <t>Cartão de crédito</t>
        </is>
      </c>
      <c r="R154" s="6" t="inlineStr">
        <is>
          <t>Cartão de crédito</t>
        </is>
      </c>
      <c r="S154" s="6" t="inlineStr">
        <is>
          <t>Hotel</t>
        </is>
      </c>
      <c r="T154" s="6" t="inlineStr">
        <is>
          <t>N</t>
        </is>
      </c>
      <c r="U154" s="6" t="inlineStr">
        <is>
          <t>Grupo Kpmg</t>
        </is>
      </c>
      <c r="V154" s="6" t="inlineStr">
        <is>
          <t>Kpmg</t>
        </is>
      </c>
      <c r="W154" s="6" t="inlineStr">
        <is>
          <t>-</t>
        </is>
      </c>
      <c r="X154" s="6" t="inlineStr">
        <is>
          <t>-</t>
        </is>
      </c>
      <c r="Y154" s="6" t="inlineStr">
        <is>
          <t>-</t>
        </is>
      </c>
      <c r="Z154" s="6" t="inlineStr">
        <is>
          <t>KON-OPE-SAO-PVI-KPMG</t>
        </is>
      </c>
      <c r="AA154" s="6" t="inlineStr">
        <is>
          <t>-</t>
        </is>
      </c>
      <c r="AB154" s="6" t="n">
        <v>5243.97</v>
      </c>
      <c r="AC154" s="6" t="n">
        <v>0</v>
      </c>
      <c r="AD154" s="6" t="n">
        <v>0</v>
      </c>
      <c r="AE154" s="6" t="n">
        <v>0</v>
      </c>
      <c r="AF154" s="6" t="n">
        <v>0</v>
      </c>
      <c r="AG154" s="6" t="n">
        <v>0</v>
      </c>
      <c r="AH154" s="6" t="n">
        <v>0</v>
      </c>
      <c r="AI154" s="6" t="inlineStr">
        <is>
          <t>Reserva importada do Sistema TMS. OS: 245709</t>
        </is>
      </c>
      <c r="AJ154" s="6" t="inlineStr">
        <is>
          <t>Fornecedor não preenchido! (ACC01)</t>
        </is>
      </c>
      <c r="AK154" s="6" t="inlineStr">
        <is>
          <t>ARGO(TMS)</t>
        </is>
      </c>
      <c r="AL154" s="6" t="inlineStr">
        <is>
          <t>Falta de Fornecedor</t>
        </is>
      </c>
      <c r="AM154" s="6" t="inlineStr">
        <is>
          <t>Campo Fornecedor</t>
        </is>
      </c>
      <c r="AN154" s="6" t="inlineStr">
        <is>
          <t>Dados do Fornecedor</t>
        </is>
      </c>
      <c r="AO154" s="6" t="inlineStr">
        <is>
          <t>Qualidade dos dados</t>
        </is>
      </c>
      <c r="AP154" s="6" t="inlineStr">
        <is>
          <t>KONTIK BUSINESS TRAVEL</t>
        </is>
      </c>
      <c r="AQ154" s="6" t="inlineStr">
        <is>
          <t>Suporte KCS</t>
        </is>
      </c>
    </row>
    <row r="155">
      <c r="A155" s="6" t="n">
        <v>23366442</v>
      </c>
      <c r="B155" s="6" t="n">
        <v>24092478</v>
      </c>
      <c r="C155" s="6" t="inlineStr">
        <is>
          <t>ACC01</t>
        </is>
      </c>
      <c r="D155" s="58" t="n">
        <v>45982.65268518519</v>
      </c>
      <c r="E155" s="58" t="n">
        <v>45982.67084490741</v>
      </c>
      <c r="F155" s="6" t="inlineStr">
        <is>
          <t>03 a 05 dias</t>
        </is>
      </c>
      <c r="G155" s="6" t="inlineStr">
        <is>
          <t>03 a 05 dias</t>
        </is>
      </c>
      <c r="H155" s="6" t="inlineStr">
        <is>
          <t>5UAZ6M</t>
        </is>
      </c>
      <c r="I155" s="6" t="inlineStr">
        <is>
          <t>TMS</t>
        </is>
      </c>
      <c r="J155" s="6" t="inlineStr">
        <is>
          <t>JOHN DEPMAN</t>
        </is>
      </c>
      <c r="K155" s="6" t="inlineStr">
        <is>
          <t>Viviane Novaes Araujo</t>
        </is>
      </c>
      <c r="L155" s="6" t="inlineStr">
        <is>
          <t>Viviane Novaes Araujo</t>
        </is>
      </c>
      <c r="M155" s="58" t="n">
        <v>45982.42083333333</v>
      </c>
      <c r="N155" s="6" t="n">
        <v>247990</v>
      </c>
      <c r="O155" s="6" t="inlineStr">
        <is>
          <t>-</t>
        </is>
      </c>
      <c r="P155" s="6" t="inlineStr">
        <is>
          <t>OFF LINE</t>
        </is>
      </c>
      <c r="Q155" s="6" t="inlineStr">
        <is>
          <t>Invoice</t>
        </is>
      </c>
      <c r="R155" s="6" t="inlineStr">
        <is>
          <t>Faturado</t>
        </is>
      </c>
      <c r="S155" s="6" t="inlineStr">
        <is>
          <t>Serviço</t>
        </is>
      </c>
      <c r="T155" s="6" t="inlineStr">
        <is>
          <t>N</t>
        </is>
      </c>
      <c r="U155" s="6" t="inlineStr">
        <is>
          <t>Grupo Kpmg</t>
        </is>
      </c>
      <c r="V155" s="6" t="inlineStr">
        <is>
          <t>Kpmg</t>
        </is>
      </c>
      <c r="W155" s="6" t="inlineStr">
        <is>
          <t>-</t>
        </is>
      </c>
      <c r="X155" s="6" t="inlineStr">
        <is>
          <t>-</t>
        </is>
      </c>
      <c r="Y155" s="6" t="inlineStr">
        <is>
          <t>-</t>
        </is>
      </c>
      <c r="Z155" s="6" t="inlineStr">
        <is>
          <t>KON-OPE-SAO-PVI-KPMG</t>
        </is>
      </c>
      <c r="AA155" s="6" t="inlineStr">
        <is>
          <t>-</t>
        </is>
      </c>
      <c r="AB155" s="6" t="n">
        <v>1337.7</v>
      </c>
      <c r="AC155" s="6" t="n">
        <v>0</v>
      </c>
      <c r="AD155" s="6" t="n">
        <v>0</v>
      </c>
      <c r="AE155" s="6" t="n">
        <v>0</v>
      </c>
      <c r="AF155" s="6" t="n">
        <v>0</v>
      </c>
      <c r="AG155" s="6" t="n">
        <v>0</v>
      </c>
      <c r="AH155" s="6" t="n">
        <v>0</v>
      </c>
      <c r="AI155" s="6" t="inlineStr">
        <is>
          <t>Reserva importada do Sistema TMS. OS: 247990</t>
        </is>
      </c>
      <c r="AJ155" s="6" t="inlineStr">
        <is>
          <t>Fornecedor não preenchido! (ACC01)</t>
        </is>
      </c>
      <c r="AK155" s="6" t="inlineStr">
        <is>
          <t>ARGO(TMS)</t>
        </is>
      </c>
      <c r="AL155" s="6" t="inlineStr">
        <is>
          <t>Falta de Fornecedor</t>
        </is>
      </c>
      <c r="AM155" s="6" t="inlineStr">
        <is>
          <t>Campo Fornecedor</t>
        </is>
      </c>
      <c r="AN155" s="6" t="inlineStr">
        <is>
          <t>Dados do Fornecedor</t>
        </is>
      </c>
      <c r="AO155" s="6" t="inlineStr">
        <is>
          <t>Qualidade dos dados</t>
        </is>
      </c>
      <c r="AP155" s="6" t="inlineStr">
        <is>
          <t>KONTIK BUSINESS TRAVEL</t>
        </is>
      </c>
      <c r="AQ155" s="6" t="inlineStr">
        <is>
          <t>Suporte KCS</t>
        </is>
      </c>
    </row>
    <row r="156">
      <c r="A156" s="6" t="n">
        <v>23282585</v>
      </c>
      <c r="B156" s="6" t="n">
        <v>24014942</v>
      </c>
      <c r="C156" s="6" t="inlineStr">
        <is>
          <t>ACC01</t>
        </is>
      </c>
      <c r="D156" s="58" t="n">
        <v>45968.9634375</v>
      </c>
      <c r="E156" s="58" t="n">
        <v>45968.96910879629</v>
      </c>
      <c r="F156" s="59" t="inlineStr">
        <is>
          <t>16 a 23 dias</t>
        </is>
      </c>
      <c r="G156" s="59" t="inlineStr">
        <is>
          <t>16 a 23 dias</t>
        </is>
      </c>
      <c r="H156" s="6" t="inlineStr">
        <is>
          <t>5RAXO6</t>
        </is>
      </c>
      <c r="I156" s="6" t="inlineStr">
        <is>
          <t>TMS</t>
        </is>
      </c>
      <c r="J156" s="6" t="inlineStr">
        <is>
          <t>ALEJANDRO BARRAN ZUBARAN</t>
        </is>
      </c>
      <c r="K156" s="6" t="inlineStr">
        <is>
          <t>Marcio Jose da Silva</t>
        </is>
      </c>
      <c r="L156" s="6" t="inlineStr">
        <is>
          <t>Marcio Jose da Silva</t>
        </is>
      </c>
      <c r="M156" s="58" t="n">
        <v>45968.80694444444</v>
      </c>
      <c r="N156" s="6" t="n">
        <v>244169</v>
      </c>
      <c r="O156" s="6" t="inlineStr">
        <is>
          <t>-</t>
        </is>
      </c>
      <c r="P156" s="6" t="inlineStr">
        <is>
          <t>OFF LINE</t>
        </is>
      </c>
      <c r="Q156" s="6" t="inlineStr">
        <is>
          <t>Cartão de crédito</t>
        </is>
      </c>
      <c r="R156" s="6" t="inlineStr">
        <is>
          <t>Cartão de crédito</t>
        </is>
      </c>
      <c r="S156" s="6" t="inlineStr">
        <is>
          <t>Hotel</t>
        </is>
      </c>
      <c r="T156" s="6" t="inlineStr">
        <is>
          <t>N</t>
        </is>
      </c>
      <c r="U156" s="6" t="inlineStr">
        <is>
          <t>Grupo Kpmg</t>
        </is>
      </c>
      <c r="V156" s="6" t="inlineStr">
        <is>
          <t>Kpmg Assessores</t>
        </is>
      </c>
      <c r="W156" s="6" t="inlineStr">
        <is>
          <t>-</t>
        </is>
      </c>
      <c r="X156" s="6" t="inlineStr">
        <is>
          <t>-</t>
        </is>
      </c>
      <c r="Y156" s="6" t="inlineStr">
        <is>
          <t>-</t>
        </is>
      </c>
      <c r="Z156" s="6" t="inlineStr">
        <is>
          <t>KON-OPE-SAO-PVI-KPMG</t>
        </is>
      </c>
      <c r="AA156" s="6" t="inlineStr">
        <is>
          <t>-</t>
        </is>
      </c>
      <c r="AB156" s="6" t="n">
        <v>462</v>
      </c>
      <c r="AC156" s="6" t="n">
        <v>0</v>
      </c>
      <c r="AD156" s="6" t="n">
        <v>0</v>
      </c>
      <c r="AE156" s="6" t="n">
        <v>0</v>
      </c>
      <c r="AF156" s="6" t="n">
        <v>0</v>
      </c>
      <c r="AG156" s="6" t="n">
        <v>311.64</v>
      </c>
      <c r="AH156" s="6" t="n">
        <v>0</v>
      </c>
      <c r="AI156" s="6" t="inlineStr">
        <is>
          <t>Reserva importada do Sistema TMS. OS: 244169</t>
        </is>
      </c>
      <c r="AJ156" s="6" t="inlineStr">
        <is>
          <t>Fornecedor não preenchido! (ACC01)</t>
        </is>
      </c>
      <c r="AK156" s="6" t="inlineStr">
        <is>
          <t>ARGO(TMS)</t>
        </is>
      </c>
      <c r="AL156" s="6" t="inlineStr">
        <is>
          <t>Falta de Fornecedor</t>
        </is>
      </c>
      <c r="AM156" s="6" t="inlineStr">
        <is>
          <t>Campo Fornecedor</t>
        </is>
      </c>
      <c r="AN156" s="6" t="inlineStr">
        <is>
          <t>Dados do Fornecedor</t>
        </is>
      </c>
      <c r="AO156" s="6" t="inlineStr">
        <is>
          <t>Qualidade dos dados</t>
        </is>
      </c>
      <c r="AP156" s="6" t="inlineStr">
        <is>
          <t>KONTIK BUSINESS TRAVEL</t>
        </is>
      </c>
      <c r="AQ156" s="6" t="inlineStr">
        <is>
          <t>Suporte KCS</t>
        </is>
      </c>
    </row>
    <row r="157">
      <c r="A157" s="6" t="n">
        <v>23255380</v>
      </c>
      <c r="B157" s="6" t="n">
        <v>23988033</v>
      </c>
      <c r="C157" s="6" t="inlineStr">
        <is>
          <t>ACC01</t>
        </is>
      </c>
      <c r="D157" s="58" t="n">
        <v>45965.67027777778</v>
      </c>
      <c r="E157" s="58" t="n">
        <v>45967.5525462963</v>
      </c>
      <c r="F157" s="59" t="inlineStr">
        <is>
          <t>16 a 23 dias</t>
        </is>
      </c>
      <c r="G157" s="59" t="inlineStr">
        <is>
          <t>16 a 23 dias</t>
        </is>
      </c>
      <c r="H157" s="6" t="inlineStr">
        <is>
          <t>5RPFFQ</t>
        </is>
      </c>
      <c r="I157" s="6" t="inlineStr">
        <is>
          <t>TMS</t>
        </is>
      </c>
      <c r="J157" s="6" t="inlineStr">
        <is>
          <t>SAMIA GIRAO</t>
        </is>
      </c>
      <c r="K157" s="6" t="inlineStr">
        <is>
          <t>Eduardo Vinicius Souto Longo</t>
        </is>
      </c>
      <c r="L157" s="6" t="inlineStr">
        <is>
          <t>Eduardo Vinicius Souto Longo</t>
        </is>
      </c>
      <c r="M157" s="58" t="n">
        <v>45965.66180555556</v>
      </c>
      <c r="N157" s="6" t="n">
        <v>243550</v>
      </c>
      <c r="O157" s="6" t="inlineStr">
        <is>
          <t>-</t>
        </is>
      </c>
      <c r="P157" s="6" t="inlineStr">
        <is>
          <t>OFF LINE</t>
        </is>
      </c>
      <c r="Q157" s="6" t="inlineStr">
        <is>
          <t>Cartão de crédito</t>
        </is>
      </c>
      <c r="R157" s="6" t="inlineStr">
        <is>
          <t>Cartão de crédito</t>
        </is>
      </c>
      <c r="S157" s="6" t="inlineStr">
        <is>
          <t>Hotel</t>
        </is>
      </c>
      <c r="T157" s="6" t="inlineStr">
        <is>
          <t>N</t>
        </is>
      </c>
      <c r="U157" s="6" t="inlineStr">
        <is>
          <t>Grupo Kpmg</t>
        </is>
      </c>
      <c r="V157" s="6" t="inlineStr">
        <is>
          <t>Kpmg Assessores</t>
        </is>
      </c>
      <c r="W157" s="6" t="inlineStr">
        <is>
          <t>-</t>
        </is>
      </c>
      <c r="X157" s="6" t="inlineStr">
        <is>
          <t>Blue Tree Premium Congonhas Inativo</t>
        </is>
      </c>
      <c r="Y157" s="6" t="inlineStr">
        <is>
          <t>-</t>
        </is>
      </c>
      <c r="Z157" s="6" t="inlineStr">
        <is>
          <t>KON-OPE-SAO-PVI-KPMG</t>
        </is>
      </c>
      <c r="AA157" s="6" t="inlineStr">
        <is>
          <t>-</t>
        </is>
      </c>
      <c r="AB157" s="6" t="n">
        <v>1185.76</v>
      </c>
      <c r="AC157" s="6" t="n">
        <v>0</v>
      </c>
      <c r="AD157" s="6" t="n">
        <v>0</v>
      </c>
      <c r="AE157" s="6" t="n">
        <v>0</v>
      </c>
      <c r="AF157" s="6" t="n">
        <v>0</v>
      </c>
      <c r="AG157" s="6" t="n">
        <v>0</v>
      </c>
      <c r="AH157" s="6" t="n">
        <v>0</v>
      </c>
      <c r="AI157" s="6" t="inlineStr">
        <is>
          <t>Reserva importada do Sistema TMS. OS: 243550</t>
        </is>
      </c>
      <c r="AJ157" s="6" t="inlineStr">
        <is>
          <t xml:space="preserve">Não foi possível encontrar um contrato válido para o fornecedor 27169 (Código fornecedor) </t>
        </is>
      </c>
      <c r="AK157" s="6" t="inlineStr">
        <is>
          <t>ARGO(TMS)</t>
        </is>
      </c>
      <c r="AL157" s="6" t="inlineStr">
        <is>
          <t>Contrato de fornecedor</t>
        </is>
      </c>
      <c r="AM157" s="6" t="inlineStr">
        <is>
          <t>Análise Cadastro</t>
        </is>
      </c>
      <c r="AN157" s="6" t="inlineStr">
        <is>
          <t>Dados do Fornecedor</t>
        </is>
      </c>
      <c r="AO157" s="6" t="inlineStr">
        <is>
          <t>Qualidade dos dados</t>
        </is>
      </c>
      <c r="AP157" s="6" t="inlineStr">
        <is>
          <t>KONTIK BUSINESS TRAVEL</t>
        </is>
      </c>
      <c r="AQ157" s="6" t="inlineStr">
        <is>
          <t>Suporte KCS</t>
        </is>
      </c>
    </row>
    <row r="158">
      <c r="A158" s="6" t="n">
        <v>23366488</v>
      </c>
      <c r="B158" s="6" t="n">
        <v>24092524</v>
      </c>
      <c r="C158" s="6" t="inlineStr">
        <is>
          <t>ACC01</t>
        </is>
      </c>
      <c r="D158" s="58" t="n">
        <v>45982.65378472222</v>
      </c>
      <c r="E158" s="58" t="n">
        <v>45982.67491898148</v>
      </c>
      <c r="F158" s="6" t="inlineStr">
        <is>
          <t>03 a 05 dias</t>
        </is>
      </c>
      <c r="G158" s="6" t="inlineStr">
        <is>
          <t>03 a 05 dias</t>
        </is>
      </c>
      <c r="H158" s="6" t="inlineStr">
        <is>
          <t>5UH3Y0</t>
        </is>
      </c>
      <c r="I158" s="6" t="inlineStr">
        <is>
          <t>TMS</t>
        </is>
      </c>
      <c r="J158" s="6" t="inlineStr">
        <is>
          <t>PAULO PEREIRA</t>
        </is>
      </c>
      <c r="K158" s="6" t="inlineStr">
        <is>
          <t>Eduardo Vinicius Souto Longo</t>
        </is>
      </c>
      <c r="L158" s="6" t="inlineStr">
        <is>
          <t>Eduardo Vinicius Souto Longo</t>
        </is>
      </c>
      <c r="M158" s="58" t="n">
        <v>45982.64583333334</v>
      </c>
      <c r="N158" s="6" t="n">
        <v>247108</v>
      </c>
      <c r="O158" s="6" t="inlineStr">
        <is>
          <t>-</t>
        </is>
      </c>
      <c r="P158" s="6" t="inlineStr">
        <is>
          <t>OFF LINE</t>
        </is>
      </c>
      <c r="Q158" s="6" t="inlineStr">
        <is>
          <t>Cartão de crédito</t>
        </is>
      </c>
      <c r="R158" s="6" t="inlineStr">
        <is>
          <t>Cartão de crédito</t>
        </is>
      </c>
      <c r="S158" s="6" t="inlineStr">
        <is>
          <t>Hotel</t>
        </is>
      </c>
      <c r="T158" s="6" t="inlineStr">
        <is>
          <t>N</t>
        </is>
      </c>
      <c r="U158" s="6" t="inlineStr">
        <is>
          <t>Grupo Kpmg</t>
        </is>
      </c>
      <c r="V158" s="6" t="inlineStr">
        <is>
          <t>Kpmg</t>
        </is>
      </c>
      <c r="W158" s="6" t="inlineStr">
        <is>
          <t>-</t>
        </is>
      </c>
      <c r="X158" s="6" t="inlineStr">
        <is>
          <t>-</t>
        </is>
      </c>
      <c r="Y158" s="6" t="inlineStr">
        <is>
          <t>-</t>
        </is>
      </c>
      <c r="Z158" s="6" t="inlineStr">
        <is>
          <t>KON-OPE-SAO-PVI-KPMG</t>
        </is>
      </c>
      <c r="AA158" s="6" t="inlineStr">
        <is>
          <t>-</t>
        </is>
      </c>
      <c r="AB158" s="6" t="n">
        <v>360</v>
      </c>
      <c r="AC158" s="6" t="n">
        <v>0</v>
      </c>
      <c r="AD158" s="6" t="n">
        <v>0</v>
      </c>
      <c r="AE158" s="6" t="n">
        <v>0</v>
      </c>
      <c r="AF158" s="6" t="n">
        <v>0</v>
      </c>
      <c r="AG158" s="6" t="n">
        <v>0</v>
      </c>
      <c r="AH158" s="6" t="n">
        <v>0</v>
      </c>
      <c r="AI158" s="6" t="inlineStr">
        <is>
          <t>Reserva importada do Sistema TMS. OS: 247108</t>
        </is>
      </c>
      <c r="AJ158" s="6" t="inlineStr">
        <is>
          <t>Fornecedor não preenchido! (ACC01)</t>
        </is>
      </c>
      <c r="AK158" s="6" t="inlineStr">
        <is>
          <t>ARGO(TMS)</t>
        </is>
      </c>
      <c r="AL158" s="6" t="inlineStr">
        <is>
          <t>Falta de Fornecedor</t>
        </is>
      </c>
      <c r="AM158" s="6" t="inlineStr">
        <is>
          <t>Campo Fornecedor</t>
        </is>
      </c>
      <c r="AN158" s="6" t="inlineStr">
        <is>
          <t>Dados do Fornecedor</t>
        </is>
      </c>
      <c r="AO158" s="6" t="inlineStr">
        <is>
          <t>Qualidade dos dados</t>
        </is>
      </c>
      <c r="AP158" s="6" t="inlineStr">
        <is>
          <t>KONTIK BUSINESS TRAVEL</t>
        </is>
      </c>
      <c r="AQ158" s="6" t="inlineStr">
        <is>
          <t>Suporte KCS</t>
        </is>
      </c>
    </row>
    <row r="159">
      <c r="A159" s="6" t="n">
        <v>23366495</v>
      </c>
      <c r="B159" s="6" t="n">
        <v>24092531</v>
      </c>
      <c r="C159" s="6" t="inlineStr">
        <is>
          <t>ACC01</t>
        </is>
      </c>
      <c r="D159" s="58" t="n">
        <v>45982.65403935185</v>
      </c>
      <c r="E159" s="58" t="n">
        <v>45982.67543981481</v>
      </c>
      <c r="F159" s="6" t="inlineStr">
        <is>
          <t>03 a 05 dias</t>
        </is>
      </c>
      <c r="G159" s="6" t="inlineStr">
        <is>
          <t>03 a 05 dias</t>
        </is>
      </c>
      <c r="H159" s="6" t="inlineStr">
        <is>
          <t>5UAFY0</t>
        </is>
      </c>
      <c r="I159" s="6" t="inlineStr">
        <is>
          <t>TMS</t>
        </is>
      </c>
      <c r="J159" s="6" t="inlineStr">
        <is>
          <t>LUIZ JUNIOR</t>
        </is>
      </c>
      <c r="K159" s="6" t="inlineStr">
        <is>
          <t>Eduardo Vinicius Souto Longo</t>
        </is>
      </c>
      <c r="L159" s="6" t="inlineStr">
        <is>
          <t>Eduardo Vinicius Souto Longo</t>
        </is>
      </c>
      <c r="M159" s="58" t="n">
        <v>45982.65069444444</v>
      </c>
      <c r="N159" s="6" t="n">
        <v>247919</v>
      </c>
      <c r="O159" s="6" t="inlineStr">
        <is>
          <t>-</t>
        </is>
      </c>
      <c r="P159" s="6" t="inlineStr">
        <is>
          <t>OFF LINE</t>
        </is>
      </c>
      <c r="Q159" s="6" t="inlineStr">
        <is>
          <t>Cartão de crédito</t>
        </is>
      </c>
      <c r="R159" s="6" t="inlineStr">
        <is>
          <t>Cartão de crédito</t>
        </is>
      </c>
      <c r="S159" s="6" t="inlineStr">
        <is>
          <t>Hotel</t>
        </is>
      </c>
      <c r="T159" s="6" t="inlineStr">
        <is>
          <t>N</t>
        </is>
      </c>
      <c r="U159" s="6" t="inlineStr">
        <is>
          <t>Grupo Kpmg</t>
        </is>
      </c>
      <c r="V159" s="6" t="inlineStr">
        <is>
          <t>Kpmg Consultoria</t>
        </is>
      </c>
      <c r="W159" s="6" t="inlineStr">
        <is>
          <t>-</t>
        </is>
      </c>
      <c r="X159" s="6" t="inlineStr">
        <is>
          <t>-</t>
        </is>
      </c>
      <c r="Y159" s="6" t="inlineStr">
        <is>
          <t>-</t>
        </is>
      </c>
      <c r="Z159" s="6" t="inlineStr">
        <is>
          <t>KON-OPE-SAO-PVI-KPMG</t>
        </is>
      </c>
      <c r="AA159" s="6" t="inlineStr">
        <is>
          <t>-</t>
        </is>
      </c>
      <c r="AB159" s="6" t="n">
        <v>120</v>
      </c>
      <c r="AC159" s="6" t="n">
        <v>0</v>
      </c>
      <c r="AD159" s="6" t="n">
        <v>0</v>
      </c>
      <c r="AE159" s="6" t="n">
        <v>0</v>
      </c>
      <c r="AF159" s="6" t="n">
        <v>0</v>
      </c>
      <c r="AG159" s="6" t="n">
        <v>0</v>
      </c>
      <c r="AH159" s="6" t="n">
        <v>0</v>
      </c>
      <c r="AI159" s="6" t="inlineStr">
        <is>
          <t>Reserva importada do Sistema TMS. OS: 247919</t>
        </is>
      </c>
      <c r="AJ159" s="6" t="inlineStr">
        <is>
          <t>Fornecedor não preenchido! (ACC01)</t>
        </is>
      </c>
      <c r="AK159" s="6" t="inlineStr">
        <is>
          <t>ARGO(TMS)</t>
        </is>
      </c>
      <c r="AL159" s="6" t="inlineStr">
        <is>
          <t>Falta de Fornecedor</t>
        </is>
      </c>
      <c r="AM159" s="6" t="inlineStr">
        <is>
          <t>Campo Fornecedor</t>
        </is>
      </c>
      <c r="AN159" s="6" t="inlineStr">
        <is>
          <t>Dados do Fornecedor</t>
        </is>
      </c>
      <c r="AO159" s="6" t="inlineStr">
        <is>
          <t>Qualidade dos dados</t>
        </is>
      </c>
      <c r="AP159" s="6" t="inlineStr">
        <is>
          <t>KONTIK BUSINESS TRAVEL</t>
        </is>
      </c>
      <c r="AQ159" s="6" t="inlineStr">
        <is>
          <t>Suporte KCS</t>
        </is>
      </c>
    </row>
    <row r="160">
      <c r="A160" s="6" t="n">
        <v>23368625</v>
      </c>
      <c r="B160" s="6" t="n">
        <v>24094578</v>
      </c>
      <c r="C160" s="6" t="inlineStr">
        <is>
          <t>ACC01</t>
        </is>
      </c>
      <c r="D160" s="58" t="n">
        <v>45982.906875</v>
      </c>
      <c r="E160" s="58" t="n">
        <v>45982.921875</v>
      </c>
      <c r="F160" s="6" t="inlineStr">
        <is>
          <t>03 a 05 dias</t>
        </is>
      </c>
      <c r="G160" s="6" t="inlineStr">
        <is>
          <t>03 a 05 dias</t>
        </is>
      </c>
      <c r="H160" s="6" t="inlineStr">
        <is>
          <t>5UI5SZ</t>
        </is>
      </c>
      <c r="I160" s="6" t="inlineStr">
        <is>
          <t>TMS</t>
        </is>
      </c>
      <c r="J160" s="6" t="inlineStr">
        <is>
          <t>RODRIGO MONTEIRO</t>
        </is>
      </c>
      <c r="K160" s="6" t="inlineStr">
        <is>
          <t>Eduardo Vinicius Souto Longo</t>
        </is>
      </c>
      <c r="L160" s="6" t="inlineStr">
        <is>
          <t>Eduardo Vinicius Souto Longo</t>
        </is>
      </c>
      <c r="M160" s="58" t="n">
        <v>45982.69722222222</v>
      </c>
      <c r="N160" s="6" t="n">
        <v>247940</v>
      </c>
      <c r="O160" s="6" t="inlineStr">
        <is>
          <t>-</t>
        </is>
      </c>
      <c r="P160" s="6" t="inlineStr">
        <is>
          <t>OFF LINE</t>
        </is>
      </c>
      <c r="Q160" s="6" t="inlineStr">
        <is>
          <t>Cartão de crédito</t>
        </is>
      </c>
      <c r="R160" s="6" t="inlineStr">
        <is>
          <t>Cartão de crédito</t>
        </is>
      </c>
      <c r="S160" s="6" t="inlineStr">
        <is>
          <t>Hotel</t>
        </is>
      </c>
      <c r="T160" s="6" t="inlineStr">
        <is>
          <t>N</t>
        </is>
      </c>
      <c r="U160" s="6" t="inlineStr">
        <is>
          <t>Grupo Kpmg</t>
        </is>
      </c>
      <c r="V160" s="6" t="inlineStr">
        <is>
          <t>Kpmg Consultoria</t>
        </is>
      </c>
      <c r="W160" s="6" t="inlineStr">
        <is>
          <t>-</t>
        </is>
      </c>
      <c r="X160" s="6" t="inlineStr">
        <is>
          <t>-</t>
        </is>
      </c>
      <c r="Y160" s="6" t="inlineStr">
        <is>
          <t>-</t>
        </is>
      </c>
      <c r="Z160" s="6" t="inlineStr">
        <is>
          <t>KON-OPE-SAO-PVI-KPMG</t>
        </is>
      </c>
      <c r="AA160" s="6" t="inlineStr">
        <is>
          <t>-</t>
        </is>
      </c>
      <c r="AB160" s="6" t="n">
        <v>219</v>
      </c>
      <c r="AC160" s="6" t="n">
        <v>0</v>
      </c>
      <c r="AD160" s="6" t="n">
        <v>0</v>
      </c>
      <c r="AE160" s="6" t="n">
        <v>0</v>
      </c>
      <c r="AF160" s="6" t="n">
        <v>0</v>
      </c>
      <c r="AG160" s="6" t="n">
        <v>0</v>
      </c>
      <c r="AH160" s="6" t="n">
        <v>0</v>
      </c>
      <c r="AI160" s="6" t="inlineStr">
        <is>
          <t>Reserva importada do Sistema TMS. OS: 247940</t>
        </is>
      </c>
      <c r="AJ160" s="6" t="inlineStr">
        <is>
          <t>Fornecedor não preenchido! (ACC01)</t>
        </is>
      </c>
      <c r="AK160" s="6" t="inlineStr">
        <is>
          <t>ARGO(TMS)</t>
        </is>
      </c>
      <c r="AL160" s="6" t="inlineStr">
        <is>
          <t>Falta de Fornecedor</t>
        </is>
      </c>
      <c r="AM160" s="6" t="inlineStr">
        <is>
          <t>Campo Fornecedor</t>
        </is>
      </c>
      <c r="AN160" s="6" t="inlineStr">
        <is>
          <t>Dados do Fornecedor</t>
        </is>
      </c>
      <c r="AO160" s="6" t="inlineStr">
        <is>
          <t>Qualidade dos dados</t>
        </is>
      </c>
      <c r="AP160" s="6" t="inlineStr">
        <is>
          <t>KONTIK BUSINESS TRAVEL</t>
        </is>
      </c>
      <c r="AQ160" s="6" t="inlineStr">
        <is>
          <t>Suporte KCS</t>
        </is>
      </c>
    </row>
    <row r="161">
      <c r="A161" s="6" t="n">
        <v>23380144</v>
      </c>
      <c r="B161" s="6" t="n">
        <v>24103836</v>
      </c>
      <c r="C161" s="6" t="inlineStr">
        <is>
          <t>ACC01</t>
        </is>
      </c>
      <c r="D161" s="58" t="n">
        <v>45985.69336805555</v>
      </c>
      <c r="E161" s="58" t="n">
        <v>45985.7055787037</v>
      </c>
      <c r="F161" s="6" t="inlineStr">
        <is>
          <t>0 a 02 dias</t>
        </is>
      </c>
      <c r="G161" s="6" t="inlineStr">
        <is>
          <t>0 a 02 dias</t>
        </is>
      </c>
      <c r="H161" s="6" t="inlineStr">
        <is>
          <t>5UFGCX</t>
        </is>
      </c>
      <c r="I161" s="6" t="inlineStr">
        <is>
          <t>TMS</t>
        </is>
      </c>
      <c r="J161" s="6" t="inlineStr">
        <is>
          <t>JOAO ARAUJO</t>
        </is>
      </c>
      <c r="K161" s="6" t="inlineStr">
        <is>
          <t>Tms</t>
        </is>
      </c>
      <c r="L161" s="6" t="inlineStr">
        <is>
          <t>Tms</t>
        </is>
      </c>
      <c r="M161" s="58" t="n">
        <v>45985.61041666667</v>
      </c>
      <c r="N161" s="6" t="n">
        <v>248820</v>
      </c>
      <c r="O161" s="6" t="inlineStr">
        <is>
          <t>Curitiba / CWB</t>
        </is>
      </c>
      <c r="P161" s="6" t="inlineStr">
        <is>
          <t>ON LINE</t>
        </is>
      </c>
      <c r="Q161" s="6" t="inlineStr">
        <is>
          <t>Invoice</t>
        </is>
      </c>
      <c r="R161" s="6" t="inlineStr">
        <is>
          <t>Faturado</t>
        </is>
      </c>
      <c r="S161" s="6" t="inlineStr">
        <is>
          <t>Carro</t>
        </is>
      </c>
      <c r="T161" s="6" t="inlineStr">
        <is>
          <t>N</t>
        </is>
      </c>
      <c r="U161" s="6" t="inlineStr">
        <is>
          <t>Grupo Kpmg</t>
        </is>
      </c>
      <c r="V161" s="6" t="inlineStr">
        <is>
          <t>Kpmg</t>
        </is>
      </c>
      <c r="W161" s="6" t="inlineStr">
        <is>
          <t>-</t>
        </is>
      </c>
      <c r="X161" s="6" t="inlineStr">
        <is>
          <t>-</t>
        </is>
      </c>
      <c r="Y161" s="6" t="inlineStr">
        <is>
          <t>-</t>
        </is>
      </c>
      <c r="Z161" s="6" t="inlineStr">
        <is>
          <t>KON-OPE-SAO-PVI-KPMG</t>
        </is>
      </c>
      <c r="AA161" s="6" t="inlineStr">
        <is>
          <t>-</t>
        </is>
      </c>
      <c r="AB161" s="6" t="n">
        <v>300.61</v>
      </c>
      <c r="AC161" s="6" t="n">
        <v>0</v>
      </c>
      <c r="AD161" s="6" t="n">
        <v>0</v>
      </c>
      <c r="AE161" s="6" t="n">
        <v>0</v>
      </c>
      <c r="AF161" s="6" t="n">
        <v>0</v>
      </c>
      <c r="AG161" s="6" t="n">
        <v>0</v>
      </c>
      <c r="AH161" s="6" t="n">
        <v>0</v>
      </c>
      <c r="AI161" s="6" t="inlineStr">
        <is>
          <t>Reserva importada do Sistema TMS. OS: 248820</t>
        </is>
      </c>
      <c r="AJ161" s="6" t="inlineStr">
        <is>
          <t>Fornecedor não preenchido! (ACC01)</t>
        </is>
      </c>
      <c r="AK161" s="6" t="inlineStr">
        <is>
          <t>ARGO(TMS)</t>
        </is>
      </c>
      <c r="AL161" s="6" t="inlineStr">
        <is>
          <t>Falta de Fornecedor</t>
        </is>
      </c>
      <c r="AM161" s="6" t="inlineStr">
        <is>
          <t>Campo Fornecedor</t>
        </is>
      </c>
      <c r="AN161" s="6" t="inlineStr">
        <is>
          <t>Dados do Fornecedor</t>
        </is>
      </c>
      <c r="AO161" s="6" t="inlineStr">
        <is>
          <t>Qualidade dos dados</t>
        </is>
      </c>
      <c r="AP161" s="6" t="inlineStr">
        <is>
          <t>KONTIK BUSINESS TRAVEL</t>
        </is>
      </c>
      <c r="AQ161" s="6" t="inlineStr">
        <is>
          <t>Suporte KCS</t>
        </is>
      </c>
    </row>
    <row r="162">
      <c r="A162" s="6" t="n">
        <v>23380142</v>
      </c>
      <c r="B162" s="6" t="n">
        <v>24103832</v>
      </c>
      <c r="C162" s="6" t="inlineStr">
        <is>
          <t>ACC01</t>
        </is>
      </c>
      <c r="D162" s="58" t="n">
        <v>45985.69333333334</v>
      </c>
      <c r="E162" s="58" t="n">
        <v>45985.70556712963</v>
      </c>
      <c r="F162" s="6" t="inlineStr">
        <is>
          <t>0 a 02 dias</t>
        </is>
      </c>
      <c r="G162" s="6" t="inlineStr">
        <is>
          <t>0 a 02 dias</t>
        </is>
      </c>
      <c r="H162" s="6" t="inlineStr">
        <is>
          <t>5U25C2</t>
        </is>
      </c>
      <c r="I162" s="6" t="inlineStr">
        <is>
          <t>TMS</t>
        </is>
      </c>
      <c r="J162" s="6" t="inlineStr">
        <is>
          <t>RICARDO CAMILLO</t>
        </is>
      </c>
      <c r="K162" s="6" t="inlineStr">
        <is>
          <t>Tms</t>
        </is>
      </c>
      <c r="L162" s="6" t="inlineStr">
        <is>
          <t>Tms</t>
        </is>
      </c>
      <c r="M162" s="58" t="n">
        <v>45985.52916666667</v>
      </c>
      <c r="N162" s="6" t="n">
        <v>248824</v>
      </c>
      <c r="O162" s="6" t="inlineStr">
        <is>
          <t>Uberlândia / UDI</t>
        </is>
      </c>
      <c r="P162" s="6" t="inlineStr">
        <is>
          <t>ON LINE</t>
        </is>
      </c>
      <c r="Q162" s="6" t="inlineStr">
        <is>
          <t>Invoice</t>
        </is>
      </c>
      <c r="R162" s="6" t="inlineStr">
        <is>
          <t>Faturado</t>
        </is>
      </c>
      <c r="S162" s="6" t="inlineStr">
        <is>
          <t>Carro</t>
        </is>
      </c>
      <c r="T162" s="6" t="inlineStr">
        <is>
          <t>N</t>
        </is>
      </c>
      <c r="U162" s="6" t="inlineStr">
        <is>
          <t>Grupo Kpmg</t>
        </is>
      </c>
      <c r="V162" s="6" t="inlineStr">
        <is>
          <t>Kpmg Consultoria</t>
        </is>
      </c>
      <c r="W162" s="6" t="inlineStr">
        <is>
          <t>-</t>
        </is>
      </c>
      <c r="X162" s="6" t="inlineStr">
        <is>
          <t>-</t>
        </is>
      </c>
      <c r="Y162" s="6" t="inlineStr">
        <is>
          <t>-</t>
        </is>
      </c>
      <c r="Z162" s="6" t="inlineStr">
        <is>
          <t>KON-OPE-SAO-PVI-KPMG</t>
        </is>
      </c>
      <c r="AA162" s="6" t="inlineStr">
        <is>
          <t>-</t>
        </is>
      </c>
      <c r="AB162" s="6" t="n">
        <v>546.89</v>
      </c>
      <c r="AC162" s="6" t="n">
        <v>0</v>
      </c>
      <c r="AD162" s="6" t="n">
        <v>0</v>
      </c>
      <c r="AE162" s="6" t="n">
        <v>0</v>
      </c>
      <c r="AF162" s="6" t="n">
        <v>0</v>
      </c>
      <c r="AG162" s="6" t="n">
        <v>0</v>
      </c>
      <c r="AH162" s="6" t="n">
        <v>0</v>
      </c>
      <c r="AI162" s="6" t="inlineStr">
        <is>
          <t>Reserva importada do Sistema TMS. OS: 248824</t>
        </is>
      </c>
      <c r="AJ162" s="6" t="inlineStr">
        <is>
          <t>Fornecedor não preenchido! (ACC01)</t>
        </is>
      </c>
      <c r="AK162" s="6" t="inlineStr">
        <is>
          <t>ARGO(TMS)</t>
        </is>
      </c>
      <c r="AL162" s="6" t="inlineStr">
        <is>
          <t>Falta de Fornecedor</t>
        </is>
      </c>
      <c r="AM162" s="6" t="inlineStr">
        <is>
          <t>Campo Fornecedor</t>
        </is>
      </c>
      <c r="AN162" s="6" t="inlineStr">
        <is>
          <t>Dados do Fornecedor</t>
        </is>
      </c>
      <c r="AO162" s="6" t="inlineStr">
        <is>
          <t>Qualidade dos dados</t>
        </is>
      </c>
      <c r="AP162" s="6" t="inlineStr">
        <is>
          <t>KONTIK BUSINESS TRAVEL</t>
        </is>
      </c>
      <c r="AQ162" s="6" t="inlineStr">
        <is>
          <t>Suporte KCS</t>
        </is>
      </c>
    </row>
    <row r="163">
      <c r="A163" s="6" t="n">
        <v>23380151</v>
      </c>
      <c r="B163" s="6" t="n">
        <v>24103842</v>
      </c>
      <c r="C163" s="6" t="inlineStr">
        <is>
          <t>ACC01</t>
        </is>
      </c>
      <c r="D163" s="58" t="n">
        <v>45985.6934837963</v>
      </c>
      <c r="E163" s="58" t="n">
        <v>45985.70592592593</v>
      </c>
      <c r="F163" s="6" t="inlineStr">
        <is>
          <t>0 a 02 dias</t>
        </is>
      </c>
      <c r="G163" s="6" t="inlineStr">
        <is>
          <t>0 a 02 dias</t>
        </is>
      </c>
      <c r="H163" s="6" t="inlineStr">
        <is>
          <t>5U9TDW</t>
        </is>
      </c>
      <c r="I163" s="6" t="inlineStr">
        <is>
          <t>TMS</t>
        </is>
      </c>
      <c r="J163" s="6" t="inlineStr">
        <is>
          <t>ESDRAS LACERDA</t>
        </is>
      </c>
      <c r="K163" s="6" t="inlineStr">
        <is>
          <t>Tms</t>
        </is>
      </c>
      <c r="L163" s="6" t="inlineStr">
        <is>
          <t>Tms</t>
        </is>
      </c>
      <c r="M163" s="58" t="n">
        <v>45985.47708333333</v>
      </c>
      <c r="N163" s="6" t="n">
        <v>248796</v>
      </c>
      <c r="O163" s="6" t="inlineStr">
        <is>
          <t>Uberlândia / UDI</t>
        </is>
      </c>
      <c r="P163" s="6" t="inlineStr">
        <is>
          <t>ON LINE</t>
        </is>
      </c>
      <c r="Q163" s="6" t="inlineStr">
        <is>
          <t>Invoice</t>
        </is>
      </c>
      <c r="R163" s="6" t="inlineStr">
        <is>
          <t>Faturado</t>
        </is>
      </c>
      <c r="S163" s="6" t="inlineStr">
        <is>
          <t>Carro</t>
        </is>
      </c>
      <c r="T163" s="6" t="inlineStr">
        <is>
          <t>N</t>
        </is>
      </c>
      <c r="U163" s="6" t="inlineStr">
        <is>
          <t>Grupo Kpmg</t>
        </is>
      </c>
      <c r="V163" s="6" t="inlineStr">
        <is>
          <t>Kpmg Consultoria</t>
        </is>
      </c>
      <c r="W163" s="6" t="inlineStr">
        <is>
          <t>-</t>
        </is>
      </c>
      <c r="X163" s="6" t="inlineStr">
        <is>
          <t>-</t>
        </is>
      </c>
      <c r="Y163" s="6" t="inlineStr">
        <is>
          <t>-</t>
        </is>
      </c>
      <c r="Z163" s="6" t="inlineStr">
        <is>
          <t>KON-OPE-SAO-PVI-KPMG</t>
        </is>
      </c>
      <c r="AA163" s="6" t="inlineStr">
        <is>
          <t>-</t>
        </is>
      </c>
      <c r="AB163" s="6" t="n">
        <v>546.89</v>
      </c>
      <c r="AC163" s="6" t="n">
        <v>0</v>
      </c>
      <c r="AD163" s="6" t="n">
        <v>0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 t="inlineStr">
        <is>
          <t>Reserva importada do Sistema TMS. OS: 248796</t>
        </is>
      </c>
      <c r="AJ163" s="6" t="inlineStr">
        <is>
          <t>Fornecedor não preenchido! (ACC01)</t>
        </is>
      </c>
      <c r="AK163" s="6" t="inlineStr">
        <is>
          <t>ARGO(TMS)</t>
        </is>
      </c>
      <c r="AL163" s="6" t="inlineStr">
        <is>
          <t>Falta de Fornecedor</t>
        </is>
      </c>
      <c r="AM163" s="6" t="inlineStr">
        <is>
          <t>Campo Fornecedor</t>
        </is>
      </c>
      <c r="AN163" s="6" t="inlineStr">
        <is>
          <t>Dados do Fornecedor</t>
        </is>
      </c>
      <c r="AO163" s="6" t="inlineStr">
        <is>
          <t>Qualidade dos dados</t>
        </is>
      </c>
      <c r="AP163" s="6" t="inlineStr">
        <is>
          <t>KONTIK BUSINESS TRAVEL</t>
        </is>
      </c>
      <c r="AQ163" s="6" t="inlineStr">
        <is>
          <t>Suporte KCS</t>
        </is>
      </c>
    </row>
    <row r="164">
      <c r="A164" s="6" t="n">
        <v>23380153</v>
      </c>
      <c r="B164" s="6" t="n">
        <v>24103844</v>
      </c>
      <c r="C164" s="6" t="inlineStr">
        <is>
          <t>ACC01</t>
        </is>
      </c>
      <c r="D164" s="58" t="n">
        <v>45985.69351851852</v>
      </c>
      <c r="E164" s="58" t="n">
        <v>45985.70608796296</v>
      </c>
      <c r="F164" s="6" t="inlineStr">
        <is>
          <t>0 a 02 dias</t>
        </is>
      </c>
      <c r="G164" s="6" t="inlineStr">
        <is>
          <t>0 a 02 dias</t>
        </is>
      </c>
      <c r="H164" s="6" t="inlineStr">
        <is>
          <t>5UZ63S</t>
        </is>
      </c>
      <c r="I164" s="6" t="inlineStr">
        <is>
          <t>TMS</t>
        </is>
      </c>
      <c r="J164" s="6" t="inlineStr">
        <is>
          <t>VICTOR COSTA</t>
        </is>
      </c>
      <c r="K164" s="6" t="inlineStr">
        <is>
          <t>Tms</t>
        </is>
      </c>
      <c r="L164" s="6" t="inlineStr">
        <is>
          <t>Tms</t>
        </is>
      </c>
      <c r="M164" s="58" t="n">
        <v>45985.47013888889</v>
      </c>
      <c r="N164" s="6" t="n">
        <v>248792</v>
      </c>
      <c r="O164" s="6" t="inlineStr">
        <is>
          <t>Uberlândia / UDI</t>
        </is>
      </c>
      <c r="P164" s="6" t="inlineStr">
        <is>
          <t>ON LINE</t>
        </is>
      </c>
      <c r="Q164" s="6" t="inlineStr">
        <is>
          <t>Invoice</t>
        </is>
      </c>
      <c r="R164" s="6" t="inlineStr">
        <is>
          <t>Faturado</t>
        </is>
      </c>
      <c r="S164" s="6" t="inlineStr">
        <is>
          <t>Carro</t>
        </is>
      </c>
      <c r="T164" s="6" t="inlineStr">
        <is>
          <t>N</t>
        </is>
      </c>
      <c r="U164" s="6" t="inlineStr">
        <is>
          <t>Grupo Kpmg</t>
        </is>
      </c>
      <c r="V164" s="6" t="inlineStr">
        <is>
          <t>Kpmg Consultoria</t>
        </is>
      </c>
      <c r="W164" s="6" t="inlineStr">
        <is>
          <t>-</t>
        </is>
      </c>
      <c r="X164" s="6" t="inlineStr">
        <is>
          <t>-</t>
        </is>
      </c>
      <c r="Y164" s="6" t="inlineStr">
        <is>
          <t>-</t>
        </is>
      </c>
      <c r="Z164" s="6" t="inlineStr">
        <is>
          <t>KON-OPE-SAO-PVI-KPMG</t>
        </is>
      </c>
      <c r="AA164" s="6" t="inlineStr">
        <is>
          <t>-</t>
        </is>
      </c>
      <c r="AB164" s="6" t="n">
        <v>718.2</v>
      </c>
      <c r="AC164" s="6" t="n">
        <v>0</v>
      </c>
      <c r="AD164" s="6" t="n">
        <v>0</v>
      </c>
      <c r="AE164" s="6" t="n">
        <v>0</v>
      </c>
      <c r="AF164" s="6" t="n">
        <v>0</v>
      </c>
      <c r="AG164" s="6" t="n">
        <v>0</v>
      </c>
      <c r="AH164" s="6" t="n">
        <v>0</v>
      </c>
      <c r="AI164" s="6" t="inlineStr">
        <is>
          <t>Reserva importada do Sistema TMS. OS: 248792</t>
        </is>
      </c>
      <c r="AJ164" s="6" t="inlineStr">
        <is>
          <t>Fornecedor não preenchido! (ACC01)</t>
        </is>
      </c>
      <c r="AK164" s="6" t="inlineStr">
        <is>
          <t>ARGO(TMS)</t>
        </is>
      </c>
      <c r="AL164" s="6" t="inlineStr">
        <is>
          <t>Falta de Fornecedor</t>
        </is>
      </c>
      <c r="AM164" s="6" t="inlineStr">
        <is>
          <t>Campo Fornecedor</t>
        </is>
      </c>
      <c r="AN164" s="6" t="inlineStr">
        <is>
          <t>Dados do Fornecedor</t>
        </is>
      </c>
      <c r="AO164" s="6" t="inlineStr">
        <is>
          <t>Qualidade dos dados</t>
        </is>
      </c>
      <c r="AP164" s="6" t="inlineStr">
        <is>
          <t>KONTIK BUSINESS TRAVEL</t>
        </is>
      </c>
      <c r="AQ164" s="6" t="inlineStr">
        <is>
          <t>Suporte KCS</t>
        </is>
      </c>
    </row>
    <row r="165">
      <c r="A165" s="6" t="n">
        <v>23382357</v>
      </c>
      <c r="B165" s="6" t="n">
        <v>24106056</v>
      </c>
      <c r="C165" s="6" t="inlineStr">
        <is>
          <t>ACC01</t>
        </is>
      </c>
      <c r="D165" s="58" t="n">
        <v>45985.94505787037</v>
      </c>
      <c r="E165" s="58" t="n">
        <v>45985.94836805556</v>
      </c>
      <c r="F165" s="6" t="inlineStr">
        <is>
          <t>0 a 02 dias</t>
        </is>
      </c>
      <c r="G165" s="6" t="inlineStr">
        <is>
          <t>0 a 02 dias</t>
        </is>
      </c>
      <c r="H165" s="6" t="inlineStr">
        <is>
          <t>5UHUOW</t>
        </is>
      </c>
      <c r="I165" s="6" t="inlineStr">
        <is>
          <t>TMS</t>
        </is>
      </c>
      <c r="J165" s="6" t="inlineStr">
        <is>
          <t>LEONARDO LIMA</t>
        </is>
      </c>
      <c r="K165" s="6" t="inlineStr">
        <is>
          <t>Tms</t>
        </is>
      </c>
      <c r="L165" s="6" t="inlineStr">
        <is>
          <t>Tms</t>
        </is>
      </c>
      <c r="M165" s="58" t="n">
        <v>45985.81458333333</v>
      </c>
      <c r="N165" s="6" t="n">
        <v>249008</v>
      </c>
      <c r="O165" s="6" t="inlineStr">
        <is>
          <t>Uberlândia / UDI</t>
        </is>
      </c>
      <c r="P165" s="6" t="inlineStr">
        <is>
          <t>ON LINE</t>
        </is>
      </c>
      <c r="Q165" s="6" t="inlineStr">
        <is>
          <t>Invoice</t>
        </is>
      </c>
      <c r="R165" s="6" t="inlineStr">
        <is>
          <t>Faturado</t>
        </is>
      </c>
      <c r="S165" s="6" t="inlineStr">
        <is>
          <t>Carro</t>
        </is>
      </c>
      <c r="T165" s="6" t="inlineStr">
        <is>
          <t>N</t>
        </is>
      </c>
      <c r="U165" s="6" t="inlineStr">
        <is>
          <t>Grupo Kpmg</t>
        </is>
      </c>
      <c r="V165" s="6" t="inlineStr">
        <is>
          <t>Kpmg</t>
        </is>
      </c>
      <c r="W165" s="6" t="inlineStr">
        <is>
          <t>-</t>
        </is>
      </c>
      <c r="X165" s="6" t="inlineStr">
        <is>
          <t>-</t>
        </is>
      </c>
      <c r="Y165" s="6" t="inlineStr">
        <is>
          <t>-</t>
        </is>
      </c>
      <c r="Z165" s="6" t="inlineStr">
        <is>
          <t>KON-OPE-SAO-PVI-KPMG</t>
        </is>
      </c>
      <c r="AA165" s="6" t="inlineStr">
        <is>
          <t>-</t>
        </is>
      </c>
      <c r="AB165" s="6" t="n">
        <v>174.56</v>
      </c>
      <c r="AC165" s="6" t="n">
        <v>0</v>
      </c>
      <c r="AD165" s="6" t="n">
        <v>0</v>
      </c>
      <c r="AE165" s="6" t="n">
        <v>0</v>
      </c>
      <c r="AF165" s="6" t="n">
        <v>0</v>
      </c>
      <c r="AG165" s="6" t="n">
        <v>0</v>
      </c>
      <c r="AH165" s="6" t="n">
        <v>0</v>
      </c>
      <c r="AI165" s="6" t="inlineStr">
        <is>
          <t>Reserva importada do Sistema TMS. OS: 249008</t>
        </is>
      </c>
      <c r="AJ165" s="6" t="inlineStr">
        <is>
          <t>Fornecedor não preenchido! (ACC01)</t>
        </is>
      </c>
      <c r="AK165" s="6" t="inlineStr">
        <is>
          <t>ARGO(TMS)</t>
        </is>
      </c>
      <c r="AL165" s="6" t="inlineStr">
        <is>
          <t>Falta de Fornecedor</t>
        </is>
      </c>
      <c r="AM165" s="6" t="inlineStr">
        <is>
          <t>Campo Fornecedor</t>
        </is>
      </c>
      <c r="AN165" s="6" t="inlineStr">
        <is>
          <t>Dados do Fornecedor</t>
        </is>
      </c>
      <c r="AO165" s="6" t="inlineStr">
        <is>
          <t>Qualidade dos dados</t>
        </is>
      </c>
      <c r="AP165" s="6" t="inlineStr">
        <is>
          <t>KONTIK BUSINESS TRAVEL</t>
        </is>
      </c>
      <c r="AQ165" s="6" t="inlineStr">
        <is>
          <t>Suporte KCS</t>
        </is>
      </c>
    </row>
    <row r="166">
      <c r="A166" s="6" t="n">
        <v>23382358</v>
      </c>
      <c r="B166" s="6" t="n">
        <v>24106057</v>
      </c>
      <c r="C166" s="6" t="inlineStr">
        <is>
          <t>ACC01</t>
        </is>
      </c>
      <c r="D166" s="58" t="n">
        <v>45985.94508101852</v>
      </c>
      <c r="E166" s="58" t="n">
        <v>45985.94836805556</v>
      </c>
      <c r="F166" s="6" t="inlineStr">
        <is>
          <t>0 a 02 dias</t>
        </is>
      </c>
      <c r="G166" s="6" t="inlineStr">
        <is>
          <t>0 a 02 dias</t>
        </is>
      </c>
      <c r="H166" s="6" t="inlineStr">
        <is>
          <t>5UUJOW</t>
        </is>
      </c>
      <c r="I166" s="6" t="inlineStr">
        <is>
          <t>TMS</t>
        </is>
      </c>
      <c r="J166" s="6" t="inlineStr">
        <is>
          <t>LOUIS LANGE</t>
        </is>
      </c>
      <c r="K166" s="6" t="inlineStr">
        <is>
          <t>Tms</t>
        </is>
      </c>
      <c r="L166" s="6" t="inlineStr">
        <is>
          <t>Tms</t>
        </is>
      </c>
      <c r="M166" s="58" t="n">
        <v>45985.78888888889</v>
      </c>
      <c r="N166" s="6" t="n">
        <v>248996</v>
      </c>
      <c r="O166" s="6" t="inlineStr">
        <is>
          <t>Guarapuava / GPB</t>
        </is>
      </c>
      <c r="P166" s="6" t="inlineStr">
        <is>
          <t>ON LINE</t>
        </is>
      </c>
      <c r="Q166" s="6" t="inlineStr">
        <is>
          <t>Invoice</t>
        </is>
      </c>
      <c r="R166" s="6" t="inlineStr">
        <is>
          <t>Faturado</t>
        </is>
      </c>
      <c r="S166" s="6" t="inlineStr">
        <is>
          <t>Carro</t>
        </is>
      </c>
      <c r="T166" s="6" t="inlineStr">
        <is>
          <t>N</t>
        </is>
      </c>
      <c r="U166" s="6" t="inlineStr">
        <is>
          <t>Grupo Kpmg</t>
        </is>
      </c>
      <c r="V166" s="6" t="inlineStr">
        <is>
          <t>Kpmg</t>
        </is>
      </c>
      <c r="W166" s="6" t="inlineStr">
        <is>
          <t>-</t>
        </is>
      </c>
      <c r="X166" s="6" t="inlineStr">
        <is>
          <t>-</t>
        </is>
      </c>
      <c r="Y166" s="6" t="inlineStr">
        <is>
          <t>-</t>
        </is>
      </c>
      <c r="Z166" s="6" t="inlineStr">
        <is>
          <t>KON-OPE-SAO-PVI-KPMG</t>
        </is>
      </c>
      <c r="AA166" s="6" t="inlineStr">
        <is>
          <t>-</t>
        </is>
      </c>
      <c r="AB166" s="6" t="n">
        <v>166.71</v>
      </c>
      <c r="AC166" s="6" t="n">
        <v>0</v>
      </c>
      <c r="AD166" s="6" t="n">
        <v>0</v>
      </c>
      <c r="AE166" s="6" t="n">
        <v>0</v>
      </c>
      <c r="AF166" s="6" t="n">
        <v>0</v>
      </c>
      <c r="AG166" s="6" t="n">
        <v>0</v>
      </c>
      <c r="AH166" s="6" t="n">
        <v>0</v>
      </c>
      <c r="AI166" s="6" t="inlineStr">
        <is>
          <t>Reserva importada do Sistema TMS. OS: 248996</t>
        </is>
      </c>
      <c r="AJ166" s="6" t="inlineStr">
        <is>
          <t>Fornecedor não preenchido! (ACC01)</t>
        </is>
      </c>
      <c r="AK166" s="6" t="inlineStr">
        <is>
          <t>ARGO(TMS)</t>
        </is>
      </c>
      <c r="AL166" s="6" t="inlineStr">
        <is>
          <t>Falta de Fornecedor</t>
        </is>
      </c>
      <c r="AM166" s="6" t="inlineStr">
        <is>
          <t>Campo Fornecedor</t>
        </is>
      </c>
      <c r="AN166" s="6" t="inlineStr">
        <is>
          <t>Dados do Fornecedor</t>
        </is>
      </c>
      <c r="AO166" s="6" t="inlineStr">
        <is>
          <t>Qualidade dos dados</t>
        </is>
      </c>
      <c r="AP166" s="6" t="inlineStr">
        <is>
          <t>KONTIK BUSINESS TRAVEL</t>
        </is>
      </c>
      <c r="AQ166" s="6" t="inlineStr">
        <is>
          <t>Suporte KCS</t>
        </is>
      </c>
    </row>
    <row r="167">
      <c r="A167" s="6" t="n">
        <v>23382374</v>
      </c>
      <c r="B167" s="6" t="n">
        <v>24106077</v>
      </c>
      <c r="C167" s="6" t="inlineStr">
        <is>
          <t>ACC01</t>
        </is>
      </c>
      <c r="D167" s="58" t="n">
        <v>45985.94543981482</v>
      </c>
      <c r="E167" s="58" t="n">
        <v>45985.94895833333</v>
      </c>
      <c r="F167" s="6" t="inlineStr">
        <is>
          <t>0 a 02 dias</t>
        </is>
      </c>
      <c r="G167" s="6" t="inlineStr">
        <is>
          <t>0 a 02 dias</t>
        </is>
      </c>
      <c r="H167" s="6" t="inlineStr">
        <is>
          <t>5UQ8OS</t>
        </is>
      </c>
      <c r="I167" s="6" t="inlineStr">
        <is>
          <t>TMS</t>
        </is>
      </c>
      <c r="J167" s="6" t="inlineStr">
        <is>
          <t>LUCIANO JUNIOR</t>
        </is>
      </c>
      <c r="K167" s="6" t="inlineStr">
        <is>
          <t>Tms</t>
        </is>
      </c>
      <c r="L167" s="6" t="inlineStr">
        <is>
          <t>Tms</t>
        </is>
      </c>
      <c r="M167" s="58" t="n">
        <v>45985.73958333334</v>
      </c>
      <c r="N167" s="6" t="n">
        <v>248761</v>
      </c>
      <c r="O167" s="6" t="inlineStr">
        <is>
          <t>Londrina / LDB</t>
        </is>
      </c>
      <c r="P167" s="6" t="inlineStr">
        <is>
          <t>ON LINE</t>
        </is>
      </c>
      <c r="Q167" s="6" t="inlineStr">
        <is>
          <t>Invoice</t>
        </is>
      </c>
      <c r="R167" s="6" t="inlineStr">
        <is>
          <t>Faturado</t>
        </is>
      </c>
      <c r="S167" s="6" t="inlineStr">
        <is>
          <t>Carro</t>
        </is>
      </c>
      <c r="T167" s="6" t="inlineStr">
        <is>
          <t>N</t>
        </is>
      </c>
      <c r="U167" s="6" t="inlineStr">
        <is>
          <t>Grupo Kpmg</t>
        </is>
      </c>
      <c r="V167" s="6" t="inlineStr">
        <is>
          <t>Kpmg</t>
        </is>
      </c>
      <c r="W167" s="6" t="inlineStr">
        <is>
          <t>-</t>
        </is>
      </c>
      <c r="X167" s="6" t="inlineStr">
        <is>
          <t>-</t>
        </is>
      </c>
      <c r="Y167" s="6" t="inlineStr">
        <is>
          <t>-</t>
        </is>
      </c>
      <c r="Z167" s="6" t="inlineStr">
        <is>
          <t>KON-OPE-SAO-PVI-KPMG</t>
        </is>
      </c>
      <c r="AA167" s="6" t="inlineStr">
        <is>
          <t>-</t>
        </is>
      </c>
      <c r="AB167" s="6" t="n">
        <v>341.85</v>
      </c>
      <c r="AC167" s="6" t="n">
        <v>0</v>
      </c>
      <c r="AD167" s="6" t="n">
        <v>0</v>
      </c>
      <c r="AE167" s="6" t="n">
        <v>0</v>
      </c>
      <c r="AF167" s="6" t="n">
        <v>0</v>
      </c>
      <c r="AG167" s="6" t="n">
        <v>0</v>
      </c>
      <c r="AH167" s="6" t="n">
        <v>0</v>
      </c>
      <c r="AI167" s="6" t="inlineStr">
        <is>
          <t>Reserva importada do Sistema TMS. OS: 248761</t>
        </is>
      </c>
      <c r="AJ167" s="6" t="inlineStr">
        <is>
          <t>Fornecedor não preenchido! (ACC01)</t>
        </is>
      </c>
      <c r="AK167" s="6" t="inlineStr">
        <is>
          <t>ARGO(TMS)</t>
        </is>
      </c>
      <c r="AL167" s="6" t="inlineStr">
        <is>
          <t>Falta de Fornecedor</t>
        </is>
      </c>
      <c r="AM167" s="6" t="inlineStr">
        <is>
          <t>Campo Fornecedor</t>
        </is>
      </c>
      <c r="AN167" s="6" t="inlineStr">
        <is>
          <t>Dados do Fornecedor</t>
        </is>
      </c>
      <c r="AO167" s="6" t="inlineStr">
        <is>
          <t>Qualidade dos dados</t>
        </is>
      </c>
      <c r="AP167" s="6" t="inlineStr">
        <is>
          <t>KONTIK BUSINESS TRAVEL</t>
        </is>
      </c>
      <c r="AQ167" s="6" t="inlineStr">
        <is>
          <t>Suporte KCS</t>
        </is>
      </c>
    </row>
    <row r="168">
      <c r="A168" s="6" t="n">
        <v>23382390</v>
      </c>
      <c r="B168" s="6" t="n">
        <v>24106093</v>
      </c>
      <c r="C168" s="6" t="inlineStr">
        <is>
          <t>ACC01</t>
        </is>
      </c>
      <c r="D168" s="58" t="n">
        <v>45985.94578703704</v>
      </c>
      <c r="E168" s="58" t="n">
        <v>45985.94962962963</v>
      </c>
      <c r="F168" s="6" t="inlineStr">
        <is>
          <t>0 a 02 dias</t>
        </is>
      </c>
      <c r="G168" s="6" t="inlineStr">
        <is>
          <t>0 a 02 dias</t>
        </is>
      </c>
      <c r="H168" s="6" t="inlineStr">
        <is>
          <t>5USOLX</t>
        </is>
      </c>
      <c r="I168" s="6" t="inlineStr">
        <is>
          <t>TMS</t>
        </is>
      </c>
      <c r="J168" s="6" t="inlineStr">
        <is>
          <t>GUILHERME ASSIS</t>
        </is>
      </c>
      <c r="K168" s="6" t="inlineStr">
        <is>
          <t>Tuane Cristina Alves de Oliveira</t>
        </is>
      </c>
      <c r="L168" s="6" t="inlineStr">
        <is>
          <t>Tuane Cristina Alves de Oliveira</t>
        </is>
      </c>
      <c r="M168" s="58" t="n">
        <v>45985.90555555555</v>
      </c>
      <c r="N168" s="6" t="n">
        <v>247793</v>
      </c>
      <c r="O168" s="6" t="inlineStr">
        <is>
          <t>Campo Grande / MS, Brasil (CGR)</t>
        </is>
      </c>
      <c r="P168" s="6" t="inlineStr">
        <is>
          <t>OFF LINE</t>
        </is>
      </c>
      <c r="Q168" s="6" t="inlineStr">
        <is>
          <t>Invoice</t>
        </is>
      </c>
      <c r="R168" s="6" t="inlineStr">
        <is>
          <t>Faturado</t>
        </is>
      </c>
      <c r="S168" s="6" t="inlineStr">
        <is>
          <t>Carro</t>
        </is>
      </c>
      <c r="T168" s="6" t="inlineStr">
        <is>
          <t>N</t>
        </is>
      </c>
      <c r="U168" s="6" t="inlineStr">
        <is>
          <t>Grupo Kpmg</t>
        </is>
      </c>
      <c r="V168" s="6" t="inlineStr">
        <is>
          <t>Kpmg Consultoria</t>
        </is>
      </c>
      <c r="W168" s="6" t="inlineStr">
        <is>
          <t>-</t>
        </is>
      </c>
      <c r="X168" s="6" t="inlineStr">
        <is>
          <t>-</t>
        </is>
      </c>
      <c r="Y168" s="6" t="inlineStr">
        <is>
          <t>-</t>
        </is>
      </c>
      <c r="Z168" s="6" t="inlineStr">
        <is>
          <t>KON-OPE-SAO-PVI-KPMG</t>
        </is>
      </c>
      <c r="AA168" s="6" t="inlineStr">
        <is>
          <t>-</t>
        </is>
      </c>
      <c r="AB168" s="6" t="n">
        <v>3134.88</v>
      </c>
      <c r="AC168" s="6" t="n">
        <v>0</v>
      </c>
      <c r="AD168" s="6" t="n">
        <v>0</v>
      </c>
      <c r="AE168" s="6" t="n">
        <v>0</v>
      </c>
      <c r="AF168" s="6" t="n">
        <v>0</v>
      </c>
      <c r="AG168" s="6" t="n">
        <v>0</v>
      </c>
      <c r="AH168" s="6" t="n">
        <v>0</v>
      </c>
      <c r="AI168" s="6" t="inlineStr">
        <is>
          <t>Reserva importada do Sistema TMS. OS: 247793</t>
        </is>
      </c>
      <c r="AJ168" s="6" t="inlineStr">
        <is>
          <t>Fornecedor não preenchido! (ACC01)</t>
        </is>
      </c>
      <c r="AK168" s="6" t="inlineStr">
        <is>
          <t>ARGO(TMS)</t>
        </is>
      </c>
      <c r="AL168" s="6" t="inlineStr">
        <is>
          <t>Falta de Fornecedor</t>
        </is>
      </c>
      <c r="AM168" s="6" t="inlineStr">
        <is>
          <t>Campo Fornecedor</t>
        </is>
      </c>
      <c r="AN168" s="6" t="inlineStr">
        <is>
          <t>Dados do Fornecedor</t>
        </is>
      </c>
      <c r="AO168" s="6" t="inlineStr">
        <is>
          <t>Qualidade dos dados</t>
        </is>
      </c>
      <c r="AP168" s="6" t="inlineStr">
        <is>
          <t>KONTIK BUSINESS TRAVEL</t>
        </is>
      </c>
      <c r="AQ168" s="6" t="inlineStr">
        <is>
          <t>Operações - CORP</t>
        </is>
      </c>
    </row>
    <row r="169">
      <c r="A169" s="6" t="n">
        <v>23312351</v>
      </c>
      <c r="B169" s="6" t="n">
        <v>24042662</v>
      </c>
      <c r="C169" s="6" t="inlineStr">
        <is>
          <t>ACC01</t>
        </is>
      </c>
      <c r="D169" s="58" t="n">
        <v>45973.7821412037</v>
      </c>
      <c r="E169" s="58" t="n">
        <v>45980.54756944445</v>
      </c>
      <c r="F169" s="6" t="inlineStr">
        <is>
          <t>06 a 08 dias</t>
        </is>
      </c>
      <c r="G169" s="6" t="inlineStr">
        <is>
          <t>09 a 15 dias</t>
        </is>
      </c>
      <c r="H169" s="6" t="inlineStr">
        <is>
          <t>5T5QTA</t>
        </is>
      </c>
      <c r="I169" s="6" t="inlineStr">
        <is>
          <t>TMS</t>
        </is>
      </c>
      <c r="J169" s="6" t="inlineStr">
        <is>
          <t>RODRIGO MONTEIRO</t>
        </is>
      </c>
      <c r="K169" s="6" t="inlineStr">
        <is>
          <t>Tuane Cristina Alves de Oliveira</t>
        </is>
      </c>
      <c r="L169" s="6" t="inlineStr">
        <is>
          <t>Tuane Cristina Alves de Oliveira</t>
        </is>
      </c>
      <c r="M169" s="58" t="n">
        <v>45973.6375</v>
      </c>
      <c r="N169" s="6" t="n">
        <v>245258</v>
      </c>
      <c r="O169" s="6" t="inlineStr">
        <is>
          <t>-</t>
        </is>
      </c>
      <c r="P169" s="6" t="inlineStr">
        <is>
          <t>OFF LINE</t>
        </is>
      </c>
      <c r="Q169" s="6" t="inlineStr">
        <is>
          <t>Cartão de crédito</t>
        </is>
      </c>
      <c r="R169" s="6" t="inlineStr">
        <is>
          <t>Cartão de crédito</t>
        </is>
      </c>
      <c r="S169" s="6" t="inlineStr">
        <is>
          <t>Hotel</t>
        </is>
      </c>
      <c r="T169" s="6" t="inlineStr">
        <is>
          <t>N</t>
        </is>
      </c>
      <c r="U169" s="6" t="inlineStr">
        <is>
          <t>Grupo Kpmg</t>
        </is>
      </c>
      <c r="V169" s="6" t="inlineStr">
        <is>
          <t>Kpmg Consultoria</t>
        </is>
      </c>
      <c r="W169" s="6" t="inlineStr">
        <is>
          <t>-</t>
        </is>
      </c>
      <c r="X169" s="6" t="inlineStr">
        <is>
          <t>Hotel Express Confort - Inativo</t>
        </is>
      </c>
      <c r="Y169" s="6" t="inlineStr">
        <is>
          <t>-</t>
        </is>
      </c>
      <c r="Z169" s="6" t="inlineStr">
        <is>
          <t>KON-OPE-SAO-PVI-KPMG</t>
        </is>
      </c>
      <c r="AA169" s="6" t="inlineStr">
        <is>
          <t>-</t>
        </is>
      </c>
      <c r="AB169" s="6" t="n">
        <v>1173</v>
      </c>
      <c r="AC169" s="6" t="n">
        <v>0</v>
      </c>
      <c r="AD169" s="6" t="n">
        <v>0</v>
      </c>
      <c r="AE169" s="6" t="n">
        <v>0</v>
      </c>
      <c r="AF169" s="6" t="n">
        <v>0</v>
      </c>
      <c r="AG169" s="6" t="n">
        <v>0</v>
      </c>
      <c r="AH169" s="6" t="n">
        <v>0</v>
      </c>
      <c r="AI169" s="6" t="inlineStr">
        <is>
          <t>Reserva importada do Sistema TMS. OS: 245258</t>
        </is>
      </c>
      <c r="AJ169" s="6" t="inlineStr">
        <is>
          <t xml:space="preserve">Não foi possível encontrar um contrato válido para o fornecedor 7907 (Código fornecedor) </t>
        </is>
      </c>
      <c r="AK169" s="6" t="inlineStr">
        <is>
          <t>ARGO(TMS)</t>
        </is>
      </c>
      <c r="AL169" s="6" t="inlineStr">
        <is>
          <t>Contrato de fornecedor</t>
        </is>
      </c>
      <c r="AM169" s="6" t="inlineStr">
        <is>
          <t>Análise Cadastro</t>
        </is>
      </c>
      <c r="AN169" s="6" t="inlineStr">
        <is>
          <t>Dados do Fornecedor</t>
        </is>
      </c>
      <c r="AO169" s="6" t="inlineStr">
        <is>
          <t>Qualidade dos dados</t>
        </is>
      </c>
      <c r="AP169" s="6" t="inlineStr">
        <is>
          <t>KONTIK BUSINESS TRAVEL</t>
        </is>
      </c>
      <c r="AQ169" s="6" t="inlineStr">
        <is>
          <t>Suporte KCS</t>
        </is>
      </c>
    </row>
    <row r="170">
      <c r="A170" s="6" t="n">
        <v>23312366</v>
      </c>
      <c r="B170" s="6" t="n">
        <v>24042679</v>
      </c>
      <c r="C170" s="6" t="inlineStr">
        <is>
          <t>ACC01</t>
        </is>
      </c>
      <c r="D170" s="58" t="n">
        <v>45973.78255787037</v>
      </c>
      <c r="E170" s="58" t="n">
        <v>45973.79979166666</v>
      </c>
      <c r="F170" s="6" t="inlineStr">
        <is>
          <t>09 a 15 dias</t>
        </is>
      </c>
      <c r="G170" s="6" t="inlineStr">
        <is>
          <t>09 a 15 dias</t>
        </is>
      </c>
      <c r="H170" s="6" t="inlineStr">
        <is>
          <t>5TM3TQ</t>
        </is>
      </c>
      <c r="I170" s="6" t="inlineStr">
        <is>
          <t>TMS</t>
        </is>
      </c>
      <c r="J170" s="6" t="inlineStr">
        <is>
          <t>RICARDO LOCKS</t>
        </is>
      </c>
      <c r="K170" s="6" t="inlineStr">
        <is>
          <t>Tuane Cristina Alves de Oliveira</t>
        </is>
      </c>
      <c r="L170" s="6" t="inlineStr">
        <is>
          <t>Tuane Cristina Alves de Oliveira</t>
        </is>
      </c>
      <c r="M170" s="58" t="n">
        <v>45973.71666666667</v>
      </c>
      <c r="N170" s="6" t="n">
        <v>244889</v>
      </c>
      <c r="O170" s="6" t="inlineStr">
        <is>
          <t>-</t>
        </is>
      </c>
      <c r="P170" s="6" t="inlineStr">
        <is>
          <t>OFF LINE</t>
        </is>
      </c>
      <c r="Q170" s="6" t="inlineStr">
        <is>
          <t>Cartão de crédito</t>
        </is>
      </c>
      <c r="R170" s="6" t="inlineStr">
        <is>
          <t>Cartão de crédito</t>
        </is>
      </c>
      <c r="S170" s="6" t="inlineStr">
        <is>
          <t>Hotel</t>
        </is>
      </c>
      <c r="T170" s="6" t="inlineStr">
        <is>
          <t>N</t>
        </is>
      </c>
      <c r="U170" s="6" t="inlineStr">
        <is>
          <t>Grupo Kpmg</t>
        </is>
      </c>
      <c r="V170" s="6" t="inlineStr">
        <is>
          <t>Kpmg</t>
        </is>
      </c>
      <c r="W170" s="6" t="inlineStr">
        <is>
          <t>-</t>
        </is>
      </c>
      <c r="X170" s="6" t="inlineStr">
        <is>
          <t>-</t>
        </is>
      </c>
      <c r="Y170" s="6" t="inlineStr">
        <is>
          <t>-</t>
        </is>
      </c>
      <c r="Z170" s="6" t="inlineStr">
        <is>
          <t>KON-OPE-SAO-PVI-KPMG</t>
        </is>
      </c>
      <c r="AA170" s="6" t="inlineStr">
        <is>
          <t>-</t>
        </is>
      </c>
      <c r="AB170" s="6" t="n">
        <v>330</v>
      </c>
      <c r="AC170" s="6" t="n">
        <v>0</v>
      </c>
      <c r="AD170" s="6" t="n">
        <v>0</v>
      </c>
      <c r="AE170" s="6" t="n">
        <v>0</v>
      </c>
      <c r="AF170" s="6" t="n">
        <v>0</v>
      </c>
      <c r="AG170" s="6" t="n">
        <v>0</v>
      </c>
      <c r="AH170" s="6" t="n">
        <v>0</v>
      </c>
      <c r="AI170" s="6" t="inlineStr">
        <is>
          <t>Reserva importada do Sistema TMS. OS: 244889</t>
        </is>
      </c>
      <c r="AJ170" s="6" t="inlineStr">
        <is>
          <t>Fornecedor não preenchido! (ACC01)</t>
        </is>
      </c>
      <c r="AK170" s="6" t="inlineStr">
        <is>
          <t>ARGO(TMS)</t>
        </is>
      </c>
      <c r="AL170" s="6" t="inlineStr">
        <is>
          <t>Falta de Fornecedor</t>
        </is>
      </c>
      <c r="AM170" s="6" t="inlineStr">
        <is>
          <t>Campo Fornecedor</t>
        </is>
      </c>
      <c r="AN170" s="6" t="inlineStr">
        <is>
          <t>Dados do Fornecedor</t>
        </is>
      </c>
      <c r="AO170" s="6" t="inlineStr">
        <is>
          <t>Qualidade dos dados</t>
        </is>
      </c>
      <c r="AP170" s="6" t="inlineStr">
        <is>
          <t>KONTIK BUSINESS TRAVEL</t>
        </is>
      </c>
      <c r="AQ170" s="6" t="inlineStr">
        <is>
          <t>Suporte KCS</t>
        </is>
      </c>
    </row>
    <row r="171">
      <c r="A171" s="6" t="n">
        <v>23088209</v>
      </c>
      <c r="B171" s="6" t="n">
        <v>23838794</v>
      </c>
      <c r="C171" s="6" t="inlineStr">
        <is>
          <t>ACC01</t>
        </is>
      </c>
      <c r="D171" s="58" t="n">
        <v>45940.82796296296</v>
      </c>
      <c r="E171" s="58" t="n">
        <v>45940.83457175926</v>
      </c>
      <c r="F171" s="59" t="inlineStr">
        <is>
          <t>31 dias ou +</t>
        </is>
      </c>
      <c r="G171" s="59" t="inlineStr">
        <is>
          <t>31 dias ou +</t>
        </is>
      </c>
      <c r="H171" s="6" t="inlineStr">
        <is>
          <t>5OTOC3</t>
        </is>
      </c>
      <c r="I171" s="6" t="inlineStr">
        <is>
          <t>TMS</t>
        </is>
      </c>
      <c r="J171" s="6" t="inlineStr">
        <is>
          <t>BERTIE WALKER</t>
        </is>
      </c>
      <c r="K171" s="6" t="inlineStr">
        <is>
          <t>Tuane Cristina Alves de Oliveira</t>
        </is>
      </c>
      <c r="L171" s="6" t="inlineStr">
        <is>
          <t>Tuane Cristina Alves de Oliveira</t>
        </is>
      </c>
      <c r="M171" s="58" t="n">
        <v>45940.725</v>
      </c>
      <c r="N171" s="6" t="n">
        <v>237877</v>
      </c>
      <c r="O171" s="6" t="inlineStr">
        <is>
          <t>-</t>
        </is>
      </c>
      <c r="P171" s="6" t="inlineStr">
        <is>
          <t>OFF LINE</t>
        </is>
      </c>
      <c r="Q171" s="6" t="inlineStr">
        <is>
          <t>Cartão de crédito</t>
        </is>
      </c>
      <c r="R171" s="6" t="inlineStr">
        <is>
          <t>Cartão de crédito</t>
        </is>
      </c>
      <c r="S171" s="6" t="inlineStr">
        <is>
          <t>Hotel</t>
        </is>
      </c>
      <c r="T171" s="6" t="inlineStr">
        <is>
          <t>N</t>
        </is>
      </c>
      <c r="U171" s="6" t="inlineStr">
        <is>
          <t>Grupo Kpmg</t>
        </is>
      </c>
      <c r="V171" s="6" t="inlineStr">
        <is>
          <t>Kpmg Assessores</t>
        </is>
      </c>
      <c r="W171" s="6" t="inlineStr">
        <is>
          <t>-</t>
        </is>
      </c>
      <c r="X171" s="6" t="inlineStr">
        <is>
          <t>-</t>
        </is>
      </c>
      <c r="Y171" s="6" t="inlineStr">
        <is>
          <t>-</t>
        </is>
      </c>
      <c r="Z171" s="6" t="inlineStr">
        <is>
          <t>KON-OPE-SAO-PVI-KPMG</t>
        </is>
      </c>
      <c r="AA171" s="6" t="inlineStr">
        <is>
          <t>-</t>
        </is>
      </c>
      <c r="AB171" s="6" t="n">
        <v>4277.84</v>
      </c>
      <c r="AC171" s="6" t="n">
        <v>0</v>
      </c>
      <c r="AD171" s="6" t="n">
        <v>0</v>
      </c>
      <c r="AE171" s="6" t="n">
        <v>0</v>
      </c>
      <c r="AF171" s="6" t="n">
        <v>0</v>
      </c>
      <c r="AG171" s="6" t="n">
        <v>0</v>
      </c>
      <c r="AH171" s="6" t="n">
        <v>0</v>
      </c>
      <c r="AI171" s="6" t="inlineStr">
        <is>
          <t>Reserva importada do Sistema TMS. OS: 237877</t>
        </is>
      </c>
      <c r="AJ171" s="6" t="inlineStr">
        <is>
          <t>Fornecedor não preenchido! (ACC01)</t>
        </is>
      </c>
      <c r="AK171" s="6" t="inlineStr">
        <is>
          <t>ARGO(TMS)</t>
        </is>
      </c>
      <c r="AL171" s="6" t="inlineStr">
        <is>
          <t>Falta de Fornecedor</t>
        </is>
      </c>
      <c r="AM171" s="6" t="inlineStr">
        <is>
          <t>Campo Fornecedor</t>
        </is>
      </c>
      <c r="AN171" s="6" t="inlineStr">
        <is>
          <t>Dados do Fornecedor</t>
        </is>
      </c>
      <c r="AO171" s="6" t="inlineStr">
        <is>
          <t>Qualidade dos dados</t>
        </is>
      </c>
      <c r="AP171" s="6" t="inlineStr">
        <is>
          <t>KONTIK BUSINESS TRAVEL</t>
        </is>
      </c>
      <c r="AQ171" s="6" t="inlineStr">
        <is>
          <t>Suporte KCS</t>
        </is>
      </c>
    </row>
    <row r="172">
      <c r="A172" s="6" t="n">
        <v>23088212</v>
      </c>
      <c r="B172" s="6" t="n">
        <v>23838797</v>
      </c>
      <c r="C172" s="6" t="inlineStr">
        <is>
          <t>ACC01</t>
        </is>
      </c>
      <c r="D172" s="58" t="n">
        <v>45940.82803240741</v>
      </c>
      <c r="E172" s="58" t="n">
        <v>45940.83493055555</v>
      </c>
      <c r="F172" s="59" t="inlineStr">
        <is>
          <t>31 dias ou +</t>
        </is>
      </c>
      <c r="G172" s="59" t="inlineStr">
        <is>
          <t>31 dias ou +</t>
        </is>
      </c>
      <c r="H172" s="6" t="inlineStr">
        <is>
          <t>5O8O33</t>
        </is>
      </c>
      <c r="I172" s="6" t="inlineStr">
        <is>
          <t>TMS</t>
        </is>
      </c>
      <c r="J172" s="6" t="inlineStr">
        <is>
          <t>JOHN MCCALLALEACY</t>
        </is>
      </c>
      <c r="K172" s="6" t="inlineStr">
        <is>
          <t>Tuane Cristina Alves de Oliveira</t>
        </is>
      </c>
      <c r="L172" s="6" t="inlineStr">
        <is>
          <t>Tuane Cristina Alves de Oliveira</t>
        </is>
      </c>
      <c r="M172" s="58" t="n">
        <v>45940.72361111111</v>
      </c>
      <c r="N172" s="6" t="n">
        <v>237876</v>
      </c>
      <c r="O172" s="6" t="inlineStr">
        <is>
          <t>-</t>
        </is>
      </c>
      <c r="P172" s="6" t="inlineStr">
        <is>
          <t>OFF LINE</t>
        </is>
      </c>
      <c r="Q172" s="6" t="inlineStr">
        <is>
          <t>Cartão de crédito</t>
        </is>
      </c>
      <c r="R172" s="6" t="inlineStr">
        <is>
          <t>Cartão de crédito</t>
        </is>
      </c>
      <c r="S172" s="6" t="inlineStr">
        <is>
          <t>Hotel</t>
        </is>
      </c>
      <c r="T172" s="6" t="inlineStr">
        <is>
          <t>N</t>
        </is>
      </c>
      <c r="U172" s="6" t="inlineStr">
        <is>
          <t>Grupo Kpmg</t>
        </is>
      </c>
      <c r="V172" s="6" t="inlineStr">
        <is>
          <t>Kpmg Assessores</t>
        </is>
      </c>
      <c r="W172" s="6" t="inlineStr">
        <is>
          <t>-</t>
        </is>
      </c>
      <c r="X172" s="6" t="inlineStr">
        <is>
          <t>-</t>
        </is>
      </c>
      <c r="Y172" s="6" t="inlineStr">
        <is>
          <t>-</t>
        </is>
      </c>
      <c r="Z172" s="6" t="inlineStr">
        <is>
          <t>KON-OPE-SAO-PVI-KPMG</t>
        </is>
      </c>
      <c r="AA172" s="6" t="inlineStr">
        <is>
          <t>-</t>
        </is>
      </c>
      <c r="AB172" s="6" t="n">
        <v>4277.84</v>
      </c>
      <c r="AC172" s="6" t="n">
        <v>0</v>
      </c>
      <c r="AD172" s="6" t="n">
        <v>0</v>
      </c>
      <c r="AE172" s="6" t="n">
        <v>0</v>
      </c>
      <c r="AF172" s="6" t="n">
        <v>0</v>
      </c>
      <c r="AG172" s="6" t="n">
        <v>0</v>
      </c>
      <c r="AH172" s="6" t="n">
        <v>0</v>
      </c>
      <c r="AI172" s="6" t="inlineStr">
        <is>
          <t>Reserva importada do Sistema TMS. OS: 237876</t>
        </is>
      </c>
      <c r="AJ172" s="6" t="inlineStr">
        <is>
          <t>Fornecedor não preenchido! (ACC01)</t>
        </is>
      </c>
      <c r="AK172" s="6" t="inlineStr">
        <is>
          <t>ARGO(TMS)</t>
        </is>
      </c>
      <c r="AL172" s="6" t="inlineStr">
        <is>
          <t>Falta de Fornecedor</t>
        </is>
      </c>
      <c r="AM172" s="6" t="inlineStr">
        <is>
          <t>Campo Fornecedor</t>
        </is>
      </c>
      <c r="AN172" s="6" t="inlineStr">
        <is>
          <t>Dados do Fornecedor</t>
        </is>
      </c>
      <c r="AO172" s="6" t="inlineStr">
        <is>
          <t>Qualidade dos dados</t>
        </is>
      </c>
      <c r="AP172" s="6" t="inlineStr">
        <is>
          <t>KONTIK BUSINESS TRAVEL</t>
        </is>
      </c>
      <c r="AQ172" s="6" t="inlineStr">
        <is>
          <t>Suporte KCS</t>
        </is>
      </c>
    </row>
    <row r="173">
      <c r="A173" s="6" t="n">
        <v>23088216</v>
      </c>
      <c r="B173" s="6" t="n">
        <v>23838801</v>
      </c>
      <c r="C173" s="6" t="inlineStr">
        <is>
          <t>ACC01</t>
        </is>
      </c>
      <c r="D173" s="58" t="n">
        <v>45940.82811342592</v>
      </c>
      <c r="E173" s="58" t="n">
        <v>45940.83548611111</v>
      </c>
      <c r="F173" s="59" t="inlineStr">
        <is>
          <t>31 dias ou +</t>
        </is>
      </c>
      <c r="G173" s="59" t="inlineStr">
        <is>
          <t>31 dias ou +</t>
        </is>
      </c>
      <c r="H173" s="6" t="inlineStr">
        <is>
          <t>5OQBVC</t>
        </is>
      </c>
      <c r="I173" s="6" t="inlineStr">
        <is>
          <t>TMS</t>
        </is>
      </c>
      <c r="J173" s="6" t="inlineStr">
        <is>
          <t>NADIA MONTOTO</t>
        </is>
      </c>
      <c r="K173" s="6" t="inlineStr">
        <is>
          <t>Tuane Cristina Alves de Oliveira</t>
        </is>
      </c>
      <c r="L173" s="6" t="inlineStr">
        <is>
          <t>Tuane Cristina Alves de Oliveira</t>
        </is>
      </c>
      <c r="M173" s="58" t="n">
        <v>45940.72291666667</v>
      </c>
      <c r="N173" s="6" t="n">
        <v>237874</v>
      </c>
      <c r="O173" s="6" t="inlineStr">
        <is>
          <t>-</t>
        </is>
      </c>
      <c r="P173" s="6" t="inlineStr">
        <is>
          <t>OFF LINE</t>
        </is>
      </c>
      <c r="Q173" s="6" t="inlineStr">
        <is>
          <t>Cartão de crédito</t>
        </is>
      </c>
      <c r="R173" s="6" t="inlineStr">
        <is>
          <t>Cartão de crédito</t>
        </is>
      </c>
      <c r="S173" s="6" t="inlineStr">
        <is>
          <t>Hotel</t>
        </is>
      </c>
      <c r="T173" s="6" t="inlineStr">
        <is>
          <t>N</t>
        </is>
      </c>
      <c r="U173" s="6" t="inlineStr">
        <is>
          <t>Grupo Kpmg</t>
        </is>
      </c>
      <c r="V173" s="6" t="inlineStr">
        <is>
          <t>Kpmg Assessores</t>
        </is>
      </c>
      <c r="W173" s="6" t="inlineStr">
        <is>
          <t>-</t>
        </is>
      </c>
      <c r="X173" s="6" t="inlineStr">
        <is>
          <t>-</t>
        </is>
      </c>
      <c r="Y173" s="6" t="inlineStr">
        <is>
          <t>-</t>
        </is>
      </c>
      <c r="Z173" s="6" t="inlineStr">
        <is>
          <t>KON-OPE-SAO-PVI-KPMG</t>
        </is>
      </c>
      <c r="AA173" s="6" t="inlineStr">
        <is>
          <t>-</t>
        </is>
      </c>
      <c r="AB173" s="6" t="n">
        <v>8299.139999999999</v>
      </c>
      <c r="AC173" s="6" t="n">
        <v>0</v>
      </c>
      <c r="AD173" s="6" t="n">
        <v>0</v>
      </c>
      <c r="AE173" s="6" t="n">
        <v>0</v>
      </c>
      <c r="AF173" s="6" t="n">
        <v>0</v>
      </c>
      <c r="AG173" s="6" t="n">
        <v>0</v>
      </c>
      <c r="AH173" s="6" t="n">
        <v>0</v>
      </c>
      <c r="AI173" s="6" t="inlineStr">
        <is>
          <t>Reserva importada do Sistema TMS. OS: 237874</t>
        </is>
      </c>
      <c r="AJ173" s="6" t="inlineStr">
        <is>
          <t>Fornecedor não preenchido! (ACC01)</t>
        </is>
      </c>
      <c r="AK173" s="6" t="inlineStr">
        <is>
          <t>ARGO(TMS)</t>
        </is>
      </c>
      <c r="AL173" s="6" t="inlineStr">
        <is>
          <t>Falta de Fornecedor</t>
        </is>
      </c>
      <c r="AM173" s="6" t="inlineStr">
        <is>
          <t>Campo Fornecedor</t>
        </is>
      </c>
      <c r="AN173" s="6" t="inlineStr">
        <is>
          <t>Dados do Fornecedor</t>
        </is>
      </c>
      <c r="AO173" s="6" t="inlineStr">
        <is>
          <t>Qualidade dos dados</t>
        </is>
      </c>
      <c r="AP173" s="6" t="inlineStr">
        <is>
          <t>KONTIK BUSINESS TRAVEL</t>
        </is>
      </c>
      <c r="AQ173" s="6" t="inlineStr">
        <is>
          <t>Suporte KCS</t>
        </is>
      </c>
    </row>
    <row r="174">
      <c r="A174" s="6" t="n">
        <v>23153469</v>
      </c>
      <c r="B174" s="6" t="n">
        <v>23898056</v>
      </c>
      <c r="C174" s="6" t="inlineStr">
        <is>
          <t>ACC01</t>
        </is>
      </c>
      <c r="D174" s="58" t="n">
        <v>45950.96623842593</v>
      </c>
      <c r="E174" s="58" t="n">
        <v>45950.96957175926</v>
      </c>
      <c r="F174" s="59" t="inlineStr">
        <is>
          <t>31 dias ou +</t>
        </is>
      </c>
      <c r="G174" s="59" t="inlineStr">
        <is>
          <t>31 dias ou +</t>
        </is>
      </c>
      <c r="H174" s="6" t="inlineStr">
        <is>
          <t>5PDXH4</t>
        </is>
      </c>
      <c r="I174" s="6" t="inlineStr">
        <is>
          <t>TMS</t>
        </is>
      </c>
      <c r="J174" s="6" t="inlineStr">
        <is>
          <t>OSCAR ADORNO</t>
        </is>
      </c>
      <c r="K174" s="6" t="inlineStr">
        <is>
          <t>Tuane Cristina Alves de Oliveira</t>
        </is>
      </c>
      <c r="L174" s="6" t="inlineStr">
        <is>
          <t>Tuane Cristina Alves de Oliveira</t>
        </is>
      </c>
      <c r="M174" s="58" t="n">
        <v>45950.82569444444</v>
      </c>
      <c r="N174" s="6" t="n">
        <v>239454</v>
      </c>
      <c r="O174" s="6" t="inlineStr">
        <is>
          <t>-</t>
        </is>
      </c>
      <c r="P174" s="6" t="inlineStr">
        <is>
          <t>OFF LINE</t>
        </is>
      </c>
      <c r="Q174" s="6" t="inlineStr">
        <is>
          <t>Invoice</t>
        </is>
      </c>
      <c r="R174" s="6" t="inlineStr">
        <is>
          <t>Faturado</t>
        </is>
      </c>
      <c r="S174" s="6" t="inlineStr">
        <is>
          <t>Serviço</t>
        </is>
      </c>
      <c r="T174" s="6" t="inlineStr">
        <is>
          <t>N</t>
        </is>
      </c>
      <c r="U174" s="6" t="inlineStr">
        <is>
          <t>Grupo Kpmg</t>
        </is>
      </c>
      <c r="V174" s="6" t="inlineStr">
        <is>
          <t>Kpmg Consultoria</t>
        </is>
      </c>
      <c r="W174" s="6" t="inlineStr">
        <is>
          <t>-</t>
        </is>
      </c>
      <c r="X174" s="6" t="inlineStr">
        <is>
          <t>-</t>
        </is>
      </c>
      <c r="Y174" s="6" t="inlineStr">
        <is>
          <t>-</t>
        </is>
      </c>
      <c r="Z174" s="6" t="inlineStr">
        <is>
          <t>KON-OPE-SAO-PVI-KPMG</t>
        </is>
      </c>
      <c r="AA174" s="6" t="inlineStr">
        <is>
          <t>-</t>
        </is>
      </c>
      <c r="AB174" s="6" t="n">
        <v>3295.95</v>
      </c>
      <c r="AC174" s="6" t="n">
        <v>0</v>
      </c>
      <c r="AD174" s="6" t="n">
        <v>0</v>
      </c>
      <c r="AE174" s="6" t="n">
        <v>0</v>
      </c>
      <c r="AF174" s="6" t="n">
        <v>0</v>
      </c>
      <c r="AG174" s="6" t="n">
        <v>0</v>
      </c>
      <c r="AH174" s="6" t="n">
        <v>0</v>
      </c>
      <c r="AI174" s="6" t="inlineStr">
        <is>
          <t>Reserva importada do Sistema TMS. OS: 239454</t>
        </is>
      </c>
      <c r="AJ174" s="6" t="inlineStr">
        <is>
          <t>Fornecedor não preenchido! (ACC01)</t>
        </is>
      </c>
      <c r="AK174" s="6" t="inlineStr">
        <is>
          <t>ARGO(TMS)</t>
        </is>
      </c>
      <c r="AL174" s="6" t="inlineStr">
        <is>
          <t>Falta de Fornecedor</t>
        </is>
      </c>
      <c r="AM174" s="6" t="inlineStr">
        <is>
          <t>Campo Fornecedor</t>
        </is>
      </c>
      <c r="AN174" s="6" t="inlineStr">
        <is>
          <t>Dados do Fornecedor</t>
        </is>
      </c>
      <c r="AO174" s="6" t="inlineStr">
        <is>
          <t>Qualidade dos dados</t>
        </is>
      </c>
      <c r="AP174" s="6" t="inlineStr">
        <is>
          <t>KONTIK BUSINESS TRAVEL</t>
        </is>
      </c>
      <c r="AQ174" s="6" t="inlineStr">
        <is>
          <t>Suporte KCS</t>
        </is>
      </c>
    </row>
    <row r="175">
      <c r="A175" s="6" t="n">
        <v>23366446</v>
      </c>
      <c r="B175" s="6" t="n">
        <v>24092482</v>
      </c>
      <c r="C175" s="6" t="inlineStr">
        <is>
          <t>ACC01</t>
        </is>
      </c>
      <c r="D175" s="58" t="n">
        <v>45982.65280092593</v>
      </c>
      <c r="E175" s="58" t="n">
        <v>45982.67112268518</v>
      </c>
      <c r="F175" s="6" t="inlineStr">
        <is>
          <t>03 a 05 dias</t>
        </is>
      </c>
      <c r="G175" s="6" t="inlineStr">
        <is>
          <t>03 a 05 dias</t>
        </is>
      </c>
      <c r="H175" s="6" t="inlineStr">
        <is>
          <t>5UFZ60</t>
        </is>
      </c>
      <c r="I175" s="6" t="inlineStr">
        <is>
          <t>TMS</t>
        </is>
      </c>
      <c r="J175" s="6" t="inlineStr">
        <is>
          <t>RODRIGO MONTEIRO</t>
        </is>
      </c>
      <c r="K175" s="6" t="inlineStr">
        <is>
          <t>Valeria Bottino da Silva</t>
        </is>
      </c>
      <c r="L175" s="6" t="inlineStr">
        <is>
          <t>Valeria Bottino da Silva</t>
        </is>
      </c>
      <c r="M175" s="58" t="n">
        <v>45982.42916666667</v>
      </c>
      <c r="N175" s="6" t="n">
        <v>247938</v>
      </c>
      <c r="O175" s="6" t="inlineStr">
        <is>
          <t>-</t>
        </is>
      </c>
      <c r="P175" s="6" t="inlineStr">
        <is>
          <t>OFF LINE</t>
        </is>
      </c>
      <c r="Q175" s="6" t="inlineStr">
        <is>
          <t>Cartão de crédito</t>
        </is>
      </c>
      <c r="R175" s="6" t="inlineStr">
        <is>
          <t>Cartão de crédito</t>
        </is>
      </c>
      <c r="S175" s="6" t="inlineStr">
        <is>
          <t>Hotel</t>
        </is>
      </c>
      <c r="T175" s="6" t="inlineStr">
        <is>
          <t>N</t>
        </is>
      </c>
      <c r="U175" s="6" t="inlineStr">
        <is>
          <t>Grupo Kpmg</t>
        </is>
      </c>
      <c r="V175" s="6" t="inlineStr">
        <is>
          <t>Kpmg Consultoria</t>
        </is>
      </c>
      <c r="W175" s="6" t="inlineStr">
        <is>
          <t>-</t>
        </is>
      </c>
      <c r="X175" s="6" t="inlineStr">
        <is>
          <t>-</t>
        </is>
      </c>
      <c r="Y175" s="6" t="inlineStr">
        <is>
          <t>-</t>
        </is>
      </c>
      <c r="Z175" s="6" t="inlineStr">
        <is>
          <t>KON-OPE-SAO-PVI-KPMG</t>
        </is>
      </c>
      <c r="AA175" s="6" t="inlineStr">
        <is>
          <t>-</t>
        </is>
      </c>
      <c r="AB175" s="6" t="n">
        <v>600</v>
      </c>
      <c r="AC175" s="6" t="n">
        <v>0</v>
      </c>
      <c r="AD175" s="6" t="n">
        <v>0</v>
      </c>
      <c r="AE175" s="6" t="n">
        <v>0</v>
      </c>
      <c r="AF175" s="6" t="n">
        <v>0</v>
      </c>
      <c r="AG175" s="6" t="n">
        <v>0</v>
      </c>
      <c r="AH175" s="6" t="n">
        <v>0</v>
      </c>
      <c r="AI175" s="6" t="inlineStr">
        <is>
          <t>Reserva importada do Sistema TMS. OS: 247938</t>
        </is>
      </c>
      <c r="AJ175" s="6" t="inlineStr">
        <is>
          <t>Fornecedor não preenchido! (ACC01)</t>
        </is>
      </c>
      <c r="AK175" s="6" t="inlineStr">
        <is>
          <t>ARGO(TMS)</t>
        </is>
      </c>
      <c r="AL175" s="6" t="inlineStr">
        <is>
          <t>Falta de Fornecedor</t>
        </is>
      </c>
      <c r="AM175" s="6" t="inlineStr">
        <is>
          <t>Campo Fornecedor</t>
        </is>
      </c>
      <c r="AN175" s="6" t="inlineStr">
        <is>
          <t>Dados do Fornecedor</t>
        </is>
      </c>
      <c r="AO175" s="6" t="inlineStr">
        <is>
          <t>Qualidade dos dados</t>
        </is>
      </c>
      <c r="AP175" s="6" t="inlineStr">
        <is>
          <t>KONTIK BUSINESS TRAVEL</t>
        </is>
      </c>
      <c r="AQ175" s="6" t="inlineStr">
        <is>
          <t>Suporte KCS</t>
        </is>
      </c>
    </row>
    <row r="176">
      <c r="A176" s="6" t="n">
        <v>23304762</v>
      </c>
      <c r="B176" s="6" t="n">
        <v>24035410</v>
      </c>
      <c r="C176" s="6" t="inlineStr">
        <is>
          <t>ACC01</t>
        </is>
      </c>
      <c r="D176" s="58" t="n">
        <v>45972.76844907407</v>
      </c>
      <c r="E176" s="58" t="n">
        <v>45972.7884837963</v>
      </c>
      <c r="F176" s="6" t="inlineStr">
        <is>
          <t>09 a 15 dias</t>
        </is>
      </c>
      <c r="G176" s="6" t="inlineStr">
        <is>
          <t>09 a 15 dias</t>
        </is>
      </c>
      <c r="H176" s="6" t="inlineStr">
        <is>
          <t>5R27O9</t>
        </is>
      </c>
      <c r="I176" s="6" t="inlineStr">
        <is>
          <t>TMS</t>
        </is>
      </c>
      <c r="J176" s="6" t="inlineStr">
        <is>
          <t>ULYSSES PEREIRA</t>
        </is>
      </c>
      <c r="K176" s="6" t="inlineStr">
        <is>
          <t>Valeria Bottino da Silva</t>
        </is>
      </c>
      <c r="L176" s="6" t="inlineStr">
        <is>
          <t>Valeria Bottino da Silva</t>
        </is>
      </c>
      <c r="M176" s="58" t="n">
        <v>45972.71388888889</v>
      </c>
      <c r="N176" s="6" t="n">
        <v>245251</v>
      </c>
      <c r="O176" s="6" t="inlineStr">
        <is>
          <t>-</t>
        </is>
      </c>
      <c r="P176" s="6" t="inlineStr">
        <is>
          <t>OFF LINE</t>
        </is>
      </c>
      <c r="Q176" s="6" t="inlineStr">
        <is>
          <t>Cartão de crédito</t>
        </is>
      </c>
      <c r="R176" s="6" t="inlineStr">
        <is>
          <t>Cartão de crédito</t>
        </is>
      </c>
      <c r="S176" s="6" t="inlineStr">
        <is>
          <t>Hotel</t>
        </is>
      </c>
      <c r="T176" s="6" t="inlineStr">
        <is>
          <t>N</t>
        </is>
      </c>
      <c r="U176" s="6" t="inlineStr">
        <is>
          <t>Grupo Kpmg</t>
        </is>
      </c>
      <c r="V176" s="6" t="inlineStr">
        <is>
          <t>Kpmg Consultoria</t>
        </is>
      </c>
      <c r="W176" s="6" t="inlineStr">
        <is>
          <t>-</t>
        </is>
      </c>
      <c r="X176" s="6" t="inlineStr">
        <is>
          <t>-</t>
        </is>
      </c>
      <c r="Y176" s="6" t="inlineStr">
        <is>
          <t>-</t>
        </is>
      </c>
      <c r="Z176" s="6" t="inlineStr">
        <is>
          <t>KON-OPE-SAO-PVI-KPMG</t>
        </is>
      </c>
      <c r="AA176" s="6" t="inlineStr">
        <is>
          <t>-</t>
        </is>
      </c>
      <c r="AB176" s="6" t="n">
        <v>100</v>
      </c>
      <c r="AC176" s="6" t="n">
        <v>0</v>
      </c>
      <c r="AD176" s="6" t="n">
        <v>0</v>
      </c>
      <c r="AE176" s="6" t="n">
        <v>0</v>
      </c>
      <c r="AF176" s="6" t="n">
        <v>0</v>
      </c>
      <c r="AG176" s="6" t="n">
        <v>0</v>
      </c>
      <c r="AH176" s="6" t="n">
        <v>0</v>
      </c>
      <c r="AI176" s="6" t="inlineStr">
        <is>
          <t>Reserva importada do Sistema TMS. OS: 245251</t>
        </is>
      </c>
      <c r="AJ176" s="6" t="inlineStr">
        <is>
          <t>Fornecedor não preenchido! (ACC01)</t>
        </is>
      </c>
      <c r="AK176" s="6" t="inlineStr">
        <is>
          <t>ARGO(TMS)</t>
        </is>
      </c>
      <c r="AL176" s="6" t="inlineStr">
        <is>
          <t>Falta de Fornecedor</t>
        </is>
      </c>
      <c r="AM176" s="6" t="inlineStr">
        <is>
          <t>Campo Fornecedor</t>
        </is>
      </c>
      <c r="AN176" s="6" t="inlineStr">
        <is>
          <t>Dados do Fornecedor</t>
        </is>
      </c>
      <c r="AO176" s="6" t="inlineStr">
        <is>
          <t>Qualidade dos dados</t>
        </is>
      </c>
      <c r="AP176" s="6" t="inlineStr">
        <is>
          <t>KONTIK BUSINESS TRAVEL</t>
        </is>
      </c>
      <c r="AQ176" s="6" t="inlineStr">
        <is>
          <t>Suporte KCS</t>
        </is>
      </c>
    </row>
    <row r="177">
      <c r="A177" s="6" t="n">
        <v>23273640</v>
      </c>
      <c r="B177" s="6" t="n">
        <v>24006302</v>
      </c>
      <c r="C177" s="6" t="inlineStr">
        <is>
          <t>ACC01</t>
        </is>
      </c>
      <c r="D177" s="58" t="n">
        <v>45967.73784722222</v>
      </c>
      <c r="E177" s="58" t="n">
        <v>45980.54679398148</v>
      </c>
      <c r="F177" s="6" t="inlineStr">
        <is>
          <t>06 a 08 dias</t>
        </is>
      </c>
      <c r="G177" s="6" t="inlineStr">
        <is>
          <t>16 a 23 dias</t>
        </is>
      </c>
      <c r="H177" s="6" t="inlineStr">
        <is>
          <t>5R6OQT</t>
        </is>
      </c>
      <c r="I177" s="6" t="inlineStr">
        <is>
          <t>TMS</t>
        </is>
      </c>
      <c r="J177" s="6" t="inlineStr">
        <is>
          <t>RODRIGO MONTEIRO</t>
        </is>
      </c>
      <c r="K177" s="6" t="inlineStr">
        <is>
          <t>Valeria Bottino da Silva</t>
        </is>
      </c>
      <c r="L177" s="6" t="inlineStr">
        <is>
          <t>Valeria Bottino da Silva</t>
        </is>
      </c>
      <c r="M177" s="58" t="n">
        <v>45967.70138888889</v>
      </c>
      <c r="N177" s="6" t="n">
        <v>244439</v>
      </c>
      <c r="O177" s="6" t="inlineStr">
        <is>
          <t>-</t>
        </is>
      </c>
      <c r="P177" s="6" t="inlineStr">
        <is>
          <t>OFF LINE</t>
        </is>
      </c>
      <c r="Q177" s="6" t="inlineStr">
        <is>
          <t>Cartão de crédito</t>
        </is>
      </c>
      <c r="R177" s="6" t="inlineStr">
        <is>
          <t>Cartão de crédito</t>
        </is>
      </c>
      <c r="S177" s="6" t="inlineStr">
        <is>
          <t>Hotel</t>
        </is>
      </c>
      <c r="T177" s="6" t="inlineStr">
        <is>
          <t>N</t>
        </is>
      </c>
      <c r="U177" s="6" t="inlineStr">
        <is>
          <t>Grupo Kpmg</t>
        </is>
      </c>
      <c r="V177" s="6" t="inlineStr">
        <is>
          <t>Kpmg Consultoria</t>
        </is>
      </c>
      <c r="W177" s="6" t="inlineStr">
        <is>
          <t>-</t>
        </is>
      </c>
      <c r="X177" s="6" t="inlineStr">
        <is>
          <t>Hotel Express Confort - Inativo</t>
        </is>
      </c>
      <c r="Y177" s="6" t="inlineStr">
        <is>
          <t>-</t>
        </is>
      </c>
      <c r="Z177" s="6" t="inlineStr">
        <is>
          <t>KON-OPE-SAO-PVI-KPMG</t>
        </is>
      </c>
      <c r="AA177" s="6" t="inlineStr">
        <is>
          <t>-</t>
        </is>
      </c>
      <c r="AB177" s="6" t="n">
        <v>391</v>
      </c>
      <c r="AC177" s="6" t="n">
        <v>0</v>
      </c>
      <c r="AD177" s="6" t="n">
        <v>0</v>
      </c>
      <c r="AE177" s="6" t="n">
        <v>0</v>
      </c>
      <c r="AF177" s="6" t="n">
        <v>0</v>
      </c>
      <c r="AG177" s="6" t="n">
        <v>0</v>
      </c>
      <c r="AH177" s="6" t="n">
        <v>0</v>
      </c>
      <c r="AI177" s="6" t="inlineStr">
        <is>
          <t>Reserva importada do Sistema TMS. OS: 244439</t>
        </is>
      </c>
      <c r="AJ177" s="6" t="inlineStr">
        <is>
          <t xml:space="preserve">Não foi possível encontrar um contrato válido para o fornecedor 7907 (Código fornecedor) </t>
        </is>
      </c>
      <c r="AK177" s="6" t="inlineStr">
        <is>
          <t>ARGO(TMS)</t>
        </is>
      </c>
      <c r="AL177" s="6" t="inlineStr">
        <is>
          <t>Contrato de fornecedor</t>
        </is>
      </c>
      <c r="AM177" s="6" t="inlineStr">
        <is>
          <t>Análise Cadastro</t>
        </is>
      </c>
      <c r="AN177" s="6" t="inlineStr">
        <is>
          <t>Dados do Fornecedor</t>
        </is>
      </c>
      <c r="AO177" s="6" t="inlineStr">
        <is>
          <t>Qualidade dos dados</t>
        </is>
      </c>
      <c r="AP177" s="6" t="inlineStr">
        <is>
          <t>KONTIK BUSINESS TRAVEL</t>
        </is>
      </c>
      <c r="AQ177" s="6" t="inlineStr">
        <is>
          <t>Suporte KCS</t>
        </is>
      </c>
    </row>
    <row r="178">
      <c r="A178" s="6" t="n">
        <v>23282572</v>
      </c>
      <c r="B178" s="6" t="n">
        <v>24014929</v>
      </c>
      <c r="C178" s="6" t="inlineStr">
        <is>
          <t>ACC01</t>
        </is>
      </c>
      <c r="D178" s="58" t="n">
        <v>45968.96309027778</v>
      </c>
      <c r="E178" s="58" t="n">
        <v>45968.96665509259</v>
      </c>
      <c r="F178" s="59" t="inlineStr">
        <is>
          <t>16 a 23 dias</t>
        </is>
      </c>
      <c r="G178" s="59" t="inlineStr">
        <is>
          <t>16 a 23 dias</t>
        </is>
      </c>
      <c r="H178" s="6" t="inlineStr">
        <is>
          <t>5RQQ96</t>
        </is>
      </c>
      <c r="I178" s="6" t="inlineStr">
        <is>
          <t>TMS</t>
        </is>
      </c>
      <c r="J178" s="6" t="inlineStr">
        <is>
          <t>ULYSSES PEREIRA</t>
        </is>
      </c>
      <c r="K178" s="6" t="inlineStr">
        <is>
          <t>Valeria Bottino da Silva</t>
        </is>
      </c>
      <c r="L178" s="6" t="inlineStr">
        <is>
          <t>Valeria Bottino da Silva</t>
        </is>
      </c>
      <c r="M178" s="58" t="n">
        <v>45968.76041666666</v>
      </c>
      <c r="N178" s="6" t="n">
        <v>244641</v>
      </c>
      <c r="O178" s="6" t="inlineStr">
        <is>
          <t>-</t>
        </is>
      </c>
      <c r="P178" s="6" t="inlineStr">
        <is>
          <t>OFF LINE</t>
        </is>
      </c>
      <c r="Q178" s="6" t="inlineStr">
        <is>
          <t>Cartão de crédito</t>
        </is>
      </c>
      <c r="R178" s="6" t="inlineStr">
        <is>
          <t>Cartão de crédito</t>
        </is>
      </c>
      <c r="S178" s="6" t="inlineStr">
        <is>
          <t>Hotel</t>
        </is>
      </c>
      <c r="T178" s="6" t="inlineStr">
        <is>
          <t>N</t>
        </is>
      </c>
      <c r="U178" s="6" t="inlineStr">
        <is>
          <t>Grupo Kpmg</t>
        </is>
      </c>
      <c r="V178" s="6" t="inlineStr">
        <is>
          <t>Kpmg Consultoria</t>
        </is>
      </c>
      <c r="W178" s="6" t="inlineStr">
        <is>
          <t>-</t>
        </is>
      </c>
      <c r="X178" s="6" t="inlineStr">
        <is>
          <t>-</t>
        </is>
      </c>
      <c r="Y178" s="6" t="inlineStr">
        <is>
          <t>-</t>
        </is>
      </c>
      <c r="Z178" s="6" t="inlineStr">
        <is>
          <t>KON-OPE-SAO-PVI-KPMG</t>
        </is>
      </c>
      <c r="AA178" s="6" t="inlineStr">
        <is>
          <t>-</t>
        </is>
      </c>
      <c r="AB178" s="6" t="n">
        <v>120</v>
      </c>
      <c r="AC178" s="6" t="n">
        <v>0</v>
      </c>
      <c r="AD178" s="6" t="n">
        <v>0</v>
      </c>
      <c r="AE178" s="6" t="n">
        <v>0</v>
      </c>
      <c r="AF178" s="6" t="n">
        <v>0</v>
      </c>
      <c r="AG178" s="6" t="n">
        <v>0</v>
      </c>
      <c r="AH178" s="6" t="n">
        <v>0</v>
      </c>
      <c r="AI178" s="6" t="inlineStr">
        <is>
          <t>Reserva importada do Sistema TMS. OS: 244641</t>
        </is>
      </c>
      <c r="AJ178" s="6" t="inlineStr">
        <is>
          <t>Fornecedor não preenchido! (ACC01)</t>
        </is>
      </c>
      <c r="AK178" s="6" t="inlineStr">
        <is>
          <t>ARGO(TMS)</t>
        </is>
      </c>
      <c r="AL178" s="6" t="inlineStr">
        <is>
          <t>Falta de Fornecedor</t>
        </is>
      </c>
      <c r="AM178" s="6" t="inlineStr">
        <is>
          <t>Campo Fornecedor</t>
        </is>
      </c>
      <c r="AN178" s="6" t="inlineStr">
        <is>
          <t>Dados do Fornecedor</t>
        </is>
      </c>
      <c r="AO178" s="6" t="inlineStr">
        <is>
          <t>Qualidade dos dados</t>
        </is>
      </c>
      <c r="AP178" s="6" t="inlineStr">
        <is>
          <t>KONTIK BUSINESS TRAVEL</t>
        </is>
      </c>
      <c r="AQ178" s="6" t="inlineStr">
        <is>
          <t>Suporte KCS</t>
        </is>
      </c>
    </row>
    <row r="179">
      <c r="A179" s="6" t="n">
        <v>23340738</v>
      </c>
      <c r="B179" s="6" t="n">
        <v>24068497</v>
      </c>
      <c r="C179" s="6" t="inlineStr">
        <is>
          <t>ACC01</t>
        </is>
      </c>
      <c r="D179" s="58" t="n">
        <v>45978.62575231482</v>
      </c>
      <c r="E179" s="58" t="n">
        <v>45978.69307870371</v>
      </c>
      <c r="F179" s="6" t="inlineStr">
        <is>
          <t>06 a 08 dias</t>
        </is>
      </c>
      <c r="G179" s="6" t="inlineStr">
        <is>
          <t>06 a 08 dias</t>
        </is>
      </c>
      <c r="H179" s="6" t="inlineStr">
        <is>
          <t>5TQOPH</t>
        </is>
      </c>
      <c r="I179" s="6" t="inlineStr">
        <is>
          <t>TMS</t>
        </is>
      </c>
      <c r="J179" s="6" t="inlineStr">
        <is>
          <t>MANUEL SOUSA</t>
        </is>
      </c>
      <c r="K179" s="6" t="inlineStr">
        <is>
          <t>Donizete Alves de Souza</t>
        </is>
      </c>
      <c r="L179" s="6" t="inlineStr">
        <is>
          <t>Donizete Alves de Souza</t>
        </is>
      </c>
      <c r="M179" s="58" t="n">
        <v>45978.62222222222</v>
      </c>
      <c r="N179" s="6" t="n">
        <v>247092</v>
      </c>
      <c r="O179" s="6" t="inlineStr">
        <is>
          <t>-</t>
        </is>
      </c>
      <c r="P179" s="6" t="inlineStr">
        <is>
          <t>OFF LINE</t>
        </is>
      </c>
      <c r="Q179" s="6" t="inlineStr">
        <is>
          <t>Cartão de crédito</t>
        </is>
      </c>
      <c r="R179" s="6" t="inlineStr">
        <is>
          <t>Cartão de crédito</t>
        </is>
      </c>
      <c r="S179" s="6" t="inlineStr">
        <is>
          <t>Hotel</t>
        </is>
      </c>
      <c r="T179" s="6" t="inlineStr">
        <is>
          <t>N</t>
        </is>
      </c>
      <c r="U179" s="6" t="inlineStr">
        <is>
          <t>Grupo Kpmg</t>
        </is>
      </c>
      <c r="V179" s="6" t="inlineStr">
        <is>
          <t>Kpmg Consultoria</t>
        </is>
      </c>
      <c r="W179" s="6" t="inlineStr">
        <is>
          <t>-</t>
        </is>
      </c>
      <c r="X179" s="6" t="inlineStr">
        <is>
          <t>-</t>
        </is>
      </c>
      <c r="Y179" s="6" t="inlineStr">
        <is>
          <t>-</t>
        </is>
      </c>
      <c r="Z179" s="6" t="inlineStr">
        <is>
          <t>KON-OPE-SAO-PVI-KPMG</t>
        </is>
      </c>
      <c r="AA179" s="6" t="inlineStr">
        <is>
          <t>-</t>
        </is>
      </c>
      <c r="AB179" s="6" t="n">
        <v>2565.54</v>
      </c>
      <c r="AC179" s="6" t="n">
        <v>0</v>
      </c>
      <c r="AD179" s="6" t="n">
        <v>0</v>
      </c>
      <c r="AE179" s="6" t="n">
        <v>0</v>
      </c>
      <c r="AF179" s="6" t="n">
        <v>0</v>
      </c>
      <c r="AG179" s="6" t="n">
        <v>0</v>
      </c>
      <c r="AH179" s="6" t="n">
        <v>0</v>
      </c>
      <c r="AI179" s="6" t="inlineStr">
        <is>
          <t>Reserva importada do Sistema TMS. OS: 247092</t>
        </is>
      </c>
      <c r="AJ179" s="6" t="inlineStr">
        <is>
          <t>Fornecedor não preenchido! (ACC01)</t>
        </is>
      </c>
      <c r="AK179" s="6" t="inlineStr">
        <is>
          <t>ARGO(TMS)</t>
        </is>
      </c>
      <c r="AL179" s="6" t="inlineStr">
        <is>
          <t>Falta de Fornecedor</t>
        </is>
      </c>
      <c r="AM179" s="6" t="inlineStr">
        <is>
          <t>Campo Fornecedor</t>
        </is>
      </c>
      <c r="AN179" s="6" t="inlineStr">
        <is>
          <t>Dados do Fornecedor</t>
        </is>
      </c>
      <c r="AO179" s="6" t="inlineStr">
        <is>
          <t>Qualidade dos dados</t>
        </is>
      </c>
      <c r="AP179" s="6" t="inlineStr">
        <is>
          <t>KONTIK BUSINESS TRAVEL</t>
        </is>
      </c>
      <c r="AQ179" s="6" t="inlineStr">
        <is>
          <t>Suporte KCS</t>
        </is>
      </c>
    </row>
    <row r="180">
      <c r="A180" s="6" t="n">
        <v>23297825</v>
      </c>
      <c r="B180" s="6" t="n">
        <v>24028685</v>
      </c>
      <c r="C180" s="6" t="inlineStr">
        <is>
          <t>ACC01</t>
        </is>
      </c>
      <c r="D180" s="58" t="n">
        <v>45971.79047453704</v>
      </c>
      <c r="E180" s="58" t="n">
        <v>45971.85688657407</v>
      </c>
      <c r="F180" s="6" t="inlineStr">
        <is>
          <t>09 a 15 dias</t>
        </is>
      </c>
      <c r="G180" s="6" t="inlineStr">
        <is>
          <t>09 a 15 dias</t>
        </is>
      </c>
      <c r="H180" s="6" t="inlineStr">
        <is>
          <t>5R8LTK</t>
        </is>
      </c>
      <c r="I180" s="6" t="inlineStr">
        <is>
          <t>TMS</t>
        </is>
      </c>
      <c r="J180" s="6" t="inlineStr">
        <is>
          <t>FABRICIO ROYER</t>
        </is>
      </c>
      <c r="K180" s="6" t="inlineStr">
        <is>
          <t>Donizete Alves de Souza</t>
        </is>
      </c>
      <c r="L180" s="6" t="inlineStr">
        <is>
          <t>Donizete Alves de Souza</t>
        </is>
      </c>
      <c r="M180" s="58" t="n">
        <v>45971.78194444445</v>
      </c>
      <c r="N180" s="6" t="n">
        <v>245339</v>
      </c>
      <c r="O180" s="6" t="inlineStr">
        <is>
          <t>-</t>
        </is>
      </c>
      <c r="P180" s="6" t="inlineStr">
        <is>
          <t>OFF LINE</t>
        </is>
      </c>
      <c r="Q180" s="6" t="inlineStr">
        <is>
          <t>Cartão de crédito</t>
        </is>
      </c>
      <c r="R180" s="6" t="inlineStr">
        <is>
          <t>Cartão de crédito</t>
        </is>
      </c>
      <c r="S180" s="6" t="inlineStr">
        <is>
          <t>Hotel</t>
        </is>
      </c>
      <c r="T180" s="6" t="inlineStr">
        <is>
          <t>N</t>
        </is>
      </c>
      <c r="U180" s="6" t="inlineStr">
        <is>
          <t>Grupo Kpmg</t>
        </is>
      </c>
      <c r="V180" s="6" t="inlineStr">
        <is>
          <t>Kpmg Consultoria</t>
        </is>
      </c>
      <c r="W180" s="6" t="inlineStr">
        <is>
          <t>-</t>
        </is>
      </c>
      <c r="X180" s="6" t="inlineStr">
        <is>
          <t>-</t>
        </is>
      </c>
      <c r="Y180" s="6" t="inlineStr">
        <is>
          <t>-</t>
        </is>
      </c>
      <c r="Z180" s="6" t="inlineStr">
        <is>
          <t>KON-OPE-SAO-PVI-KPMG</t>
        </is>
      </c>
      <c r="AA180" s="6" t="inlineStr">
        <is>
          <t>-</t>
        </is>
      </c>
      <c r="AB180" s="6" t="n">
        <v>20757.4</v>
      </c>
      <c r="AC180" s="6" t="n">
        <v>0</v>
      </c>
      <c r="AD180" s="6" t="n">
        <v>0</v>
      </c>
      <c r="AE180" s="6" t="n">
        <v>0</v>
      </c>
      <c r="AF180" s="6" t="n">
        <v>0</v>
      </c>
      <c r="AG180" s="6" t="n">
        <v>0</v>
      </c>
      <c r="AH180" s="6" t="n">
        <v>0</v>
      </c>
      <c r="AI180" s="6" t="inlineStr">
        <is>
          <t>Reserva importada do Sistema TMS. OS: 245339</t>
        </is>
      </c>
      <c r="AJ180" s="6" t="inlineStr">
        <is>
          <t>Fornecedor não preenchido! (ACC01)</t>
        </is>
      </c>
      <c r="AK180" s="6" t="inlineStr">
        <is>
          <t>ARGO(TMS)</t>
        </is>
      </c>
      <c r="AL180" s="6" t="inlineStr">
        <is>
          <t>Falta de Fornecedor</t>
        </is>
      </c>
      <c r="AM180" s="6" t="inlineStr">
        <is>
          <t>Campo Fornecedor</t>
        </is>
      </c>
      <c r="AN180" s="6" t="inlineStr">
        <is>
          <t>Dados do Fornecedor</t>
        </is>
      </c>
      <c r="AO180" s="6" t="inlineStr">
        <is>
          <t>Qualidade dos dados</t>
        </is>
      </c>
      <c r="AP180" s="6" t="inlineStr">
        <is>
          <t>KONTIK BUSINESS TRAVEL</t>
        </is>
      </c>
      <c r="AQ180" s="6" t="inlineStr">
        <is>
          <t>Suporte KCS</t>
        </is>
      </c>
    </row>
    <row r="181">
      <c r="A181" s="6" t="n">
        <v>23297826</v>
      </c>
      <c r="B181" s="6" t="n">
        <v>24028686</v>
      </c>
      <c r="C181" s="6" t="inlineStr">
        <is>
          <t>ACC01</t>
        </is>
      </c>
      <c r="D181" s="58" t="n">
        <v>45971.79054398148</v>
      </c>
      <c r="E181" s="58" t="n">
        <v>45971.85792824074</v>
      </c>
      <c r="F181" s="6" t="inlineStr">
        <is>
          <t>09 a 15 dias</t>
        </is>
      </c>
      <c r="G181" s="6" t="inlineStr">
        <is>
          <t>09 a 15 dias</t>
        </is>
      </c>
      <c r="H181" s="6" t="inlineStr">
        <is>
          <t>5ROOGI</t>
        </is>
      </c>
      <c r="I181" s="6" t="inlineStr">
        <is>
          <t>TMS</t>
        </is>
      </c>
      <c r="J181" s="6" t="inlineStr">
        <is>
          <t>RICARDO FILHO</t>
        </is>
      </c>
      <c r="K181" s="6" t="inlineStr">
        <is>
          <t>Donizete Alves de Souza</t>
        </is>
      </c>
      <c r="L181" s="6" t="inlineStr">
        <is>
          <t>Donizete Alves de Souza</t>
        </is>
      </c>
      <c r="M181" s="58" t="n">
        <v>45971.78472222222</v>
      </c>
      <c r="N181" s="6" t="n">
        <v>245338</v>
      </c>
      <c r="O181" s="6" t="inlineStr">
        <is>
          <t>-</t>
        </is>
      </c>
      <c r="P181" s="6" t="inlineStr">
        <is>
          <t>OFF LINE</t>
        </is>
      </c>
      <c r="Q181" s="6" t="inlineStr">
        <is>
          <t>Cartão de crédito</t>
        </is>
      </c>
      <c r="R181" s="6" t="inlineStr">
        <is>
          <t>Cartão de crédito</t>
        </is>
      </c>
      <c r="S181" s="6" t="inlineStr">
        <is>
          <t>Hotel</t>
        </is>
      </c>
      <c r="T181" s="6" t="inlineStr">
        <is>
          <t>N</t>
        </is>
      </c>
      <c r="U181" s="6" t="inlineStr">
        <is>
          <t>Grupo Kpmg</t>
        </is>
      </c>
      <c r="V181" s="6" t="inlineStr">
        <is>
          <t>Kpmg Consultoria</t>
        </is>
      </c>
      <c r="W181" s="6" t="inlineStr">
        <is>
          <t>-</t>
        </is>
      </c>
      <c r="X181" s="6" t="inlineStr">
        <is>
          <t>-</t>
        </is>
      </c>
      <c r="Y181" s="6" t="inlineStr">
        <is>
          <t>-</t>
        </is>
      </c>
      <c r="Z181" s="6" t="inlineStr">
        <is>
          <t>KON-OPE-SAO-PVI-KPMG</t>
        </is>
      </c>
      <c r="AA181" s="6" t="inlineStr">
        <is>
          <t>-</t>
        </is>
      </c>
      <c r="AB181" s="6" t="n">
        <v>20757.4</v>
      </c>
      <c r="AC181" s="6" t="n">
        <v>0</v>
      </c>
      <c r="AD181" s="6" t="n">
        <v>0</v>
      </c>
      <c r="AE181" s="6" t="n">
        <v>0</v>
      </c>
      <c r="AF181" s="6" t="n">
        <v>0</v>
      </c>
      <c r="AG181" s="6" t="n">
        <v>0</v>
      </c>
      <c r="AH181" s="6" t="n">
        <v>0</v>
      </c>
      <c r="AI181" s="6" t="inlineStr">
        <is>
          <t>Reserva importada do Sistema TMS. OS: 245338</t>
        </is>
      </c>
      <c r="AJ181" s="6" t="inlineStr">
        <is>
          <t>Fornecedor não preenchido! (ACC01)</t>
        </is>
      </c>
      <c r="AK181" s="6" t="inlineStr">
        <is>
          <t>ARGO(TMS)</t>
        </is>
      </c>
      <c r="AL181" s="6" t="inlineStr">
        <is>
          <t>Falta de Fornecedor</t>
        </is>
      </c>
      <c r="AM181" s="6" t="inlineStr">
        <is>
          <t>Campo Fornecedor</t>
        </is>
      </c>
      <c r="AN181" s="6" t="inlineStr">
        <is>
          <t>Dados do Fornecedor</t>
        </is>
      </c>
      <c r="AO181" s="6" t="inlineStr">
        <is>
          <t>Qualidade dos dados</t>
        </is>
      </c>
      <c r="AP181" s="6" t="inlineStr">
        <is>
          <t>KONTIK BUSINESS TRAVEL</t>
        </is>
      </c>
      <c r="AQ181" s="6" t="inlineStr">
        <is>
          <t>Suporte KCS</t>
        </is>
      </c>
    </row>
    <row r="182">
      <c r="A182" s="6" t="n">
        <v>23380112</v>
      </c>
      <c r="B182" s="6" t="n">
        <v>24103797</v>
      </c>
      <c r="C182" s="6" t="inlineStr">
        <is>
          <t>ACC01</t>
        </is>
      </c>
      <c r="D182" s="58" t="n">
        <v>45985.69276620371</v>
      </c>
      <c r="E182" s="58" t="n">
        <v>45985.69871527778</v>
      </c>
      <c r="F182" s="6" t="inlineStr">
        <is>
          <t>0 a 02 dias</t>
        </is>
      </c>
      <c r="G182" s="6" t="inlineStr">
        <is>
          <t>0 a 02 dias</t>
        </is>
      </c>
      <c r="H182" s="6" t="inlineStr">
        <is>
          <t>5U323W</t>
        </is>
      </c>
      <c r="I182" s="6" t="inlineStr">
        <is>
          <t>TMS</t>
        </is>
      </c>
      <c r="J182" s="6" t="inlineStr">
        <is>
          <t>RICARDO PEDRON</t>
        </is>
      </c>
      <c r="K182" s="6" t="inlineStr">
        <is>
          <t>Tms</t>
        </is>
      </c>
      <c r="L182" s="6" t="inlineStr">
        <is>
          <t>Tms</t>
        </is>
      </c>
      <c r="M182" s="58" t="n">
        <v>45985.57222222222</v>
      </c>
      <c r="N182" s="6" t="n">
        <v>248862</v>
      </c>
      <c r="O182" s="6" t="inlineStr">
        <is>
          <t>Uberlândia / UDI</t>
        </is>
      </c>
      <c r="P182" s="6" t="inlineStr">
        <is>
          <t>ON LINE</t>
        </is>
      </c>
      <c r="Q182" s="6" t="inlineStr">
        <is>
          <t>Invoice</t>
        </is>
      </c>
      <c r="R182" s="6" t="inlineStr">
        <is>
          <t>Faturado</t>
        </is>
      </c>
      <c r="S182" s="6" t="inlineStr">
        <is>
          <t>Carro</t>
        </is>
      </c>
      <c r="T182" s="6" t="inlineStr">
        <is>
          <t>N</t>
        </is>
      </c>
      <c r="U182" s="6" t="inlineStr">
        <is>
          <t>Grupo Kpmg</t>
        </is>
      </c>
      <c r="V182" s="6" t="inlineStr">
        <is>
          <t>Kpmg Consultoria</t>
        </is>
      </c>
      <c r="W182" s="6" t="inlineStr">
        <is>
          <t>-</t>
        </is>
      </c>
      <c r="X182" s="6" t="inlineStr">
        <is>
          <t>-</t>
        </is>
      </c>
      <c r="Y182" s="6" t="inlineStr">
        <is>
          <t>-</t>
        </is>
      </c>
      <c r="Z182" s="6" t="inlineStr">
        <is>
          <t>KON-OPE-SAO-PVI-KPMG</t>
        </is>
      </c>
      <c r="AA182" s="6" t="inlineStr">
        <is>
          <t>-</t>
        </is>
      </c>
      <c r="AB182" s="6" t="n">
        <v>718.2</v>
      </c>
      <c r="AC182" s="6" t="n">
        <v>0</v>
      </c>
      <c r="AD182" s="6" t="n">
        <v>0</v>
      </c>
      <c r="AE182" s="6" t="n">
        <v>0</v>
      </c>
      <c r="AF182" s="6" t="n">
        <v>0</v>
      </c>
      <c r="AG182" s="6" t="n">
        <v>0</v>
      </c>
      <c r="AH182" s="6" t="n">
        <v>0</v>
      </c>
      <c r="AI182" s="6" t="inlineStr">
        <is>
          <t>Reserva importada do Sistema TMS. OS: 248862</t>
        </is>
      </c>
      <c r="AJ182" s="6" t="inlineStr">
        <is>
          <t>Fornecedor não preenchido! (ACC01)</t>
        </is>
      </c>
      <c r="AK182" s="6" t="inlineStr">
        <is>
          <t>ARGO(TMS)</t>
        </is>
      </c>
      <c r="AL182" s="6" t="inlineStr">
        <is>
          <t>Falta de Fornecedor</t>
        </is>
      </c>
      <c r="AM182" s="6" t="inlineStr">
        <is>
          <t>Campo Fornecedor</t>
        </is>
      </c>
      <c r="AN182" s="6" t="inlineStr">
        <is>
          <t>Dados do Fornecedor</t>
        </is>
      </c>
      <c r="AO182" s="6" t="inlineStr">
        <is>
          <t>Qualidade dos dados</t>
        </is>
      </c>
      <c r="AP182" s="6" t="inlineStr">
        <is>
          <t>KONTIK BUSINESS TRAVEL</t>
        </is>
      </c>
      <c r="AQ182" s="6" t="inlineStr">
        <is>
          <t>Suporte KCS</t>
        </is>
      </c>
    </row>
    <row r="183">
      <c r="A183" s="6" t="n">
        <v>23380119</v>
      </c>
      <c r="B183" s="6" t="n">
        <v>24103809</v>
      </c>
      <c r="C183" s="6" t="inlineStr">
        <is>
          <t>ACC01</t>
        </is>
      </c>
      <c r="D183" s="58" t="n">
        <v>45985.69288194444</v>
      </c>
      <c r="E183" s="58" t="n">
        <v>45985.69890046296</v>
      </c>
      <c r="F183" s="6" t="inlineStr">
        <is>
          <t>0 a 02 dias</t>
        </is>
      </c>
      <c r="G183" s="6" t="inlineStr">
        <is>
          <t>0 a 02 dias</t>
        </is>
      </c>
      <c r="H183" s="6" t="inlineStr">
        <is>
          <t>5UNSDW</t>
        </is>
      </c>
      <c r="I183" s="6" t="inlineStr">
        <is>
          <t>TMS</t>
        </is>
      </c>
      <c r="J183" s="6" t="inlineStr">
        <is>
          <t>RICARDO CAMILLO</t>
        </is>
      </c>
      <c r="K183" s="6" t="inlineStr">
        <is>
          <t>Tms</t>
        </is>
      </c>
      <c r="L183" s="6" t="inlineStr">
        <is>
          <t>Tms</t>
        </is>
      </c>
      <c r="M183" s="58" t="n">
        <v>45985.56388888889</v>
      </c>
      <c r="N183" s="6" t="n">
        <v>248851</v>
      </c>
      <c r="O183" s="6" t="inlineStr">
        <is>
          <t>Uberlândia / UDI</t>
        </is>
      </c>
      <c r="P183" s="6" t="inlineStr">
        <is>
          <t>ON LINE</t>
        </is>
      </c>
      <c r="Q183" s="6" t="inlineStr">
        <is>
          <t>Invoice</t>
        </is>
      </c>
      <c r="R183" s="6" t="inlineStr">
        <is>
          <t>Faturado</t>
        </is>
      </c>
      <c r="S183" s="6" t="inlineStr">
        <is>
          <t>Carro</t>
        </is>
      </c>
      <c r="T183" s="6" t="inlineStr">
        <is>
          <t>N</t>
        </is>
      </c>
      <c r="U183" s="6" t="inlineStr">
        <is>
          <t>Grupo Kpmg</t>
        </is>
      </c>
      <c r="V183" s="6" t="inlineStr">
        <is>
          <t>Kpmg Consultoria</t>
        </is>
      </c>
      <c r="W183" s="6" t="inlineStr">
        <is>
          <t>-</t>
        </is>
      </c>
      <c r="X183" s="6" t="inlineStr">
        <is>
          <t>-</t>
        </is>
      </c>
      <c r="Y183" s="6" t="inlineStr">
        <is>
          <t>-</t>
        </is>
      </c>
      <c r="Z183" s="6" t="inlineStr">
        <is>
          <t>KON-OPE-SAO-PVI-KPMG</t>
        </is>
      </c>
      <c r="AA183" s="6" t="inlineStr">
        <is>
          <t>-</t>
        </is>
      </c>
      <c r="AB183" s="6" t="n">
        <v>535.0700000000001</v>
      </c>
      <c r="AC183" s="6" t="n">
        <v>0</v>
      </c>
      <c r="AD183" s="6" t="n">
        <v>0</v>
      </c>
      <c r="AE183" s="6" t="n">
        <v>0</v>
      </c>
      <c r="AF183" s="6" t="n">
        <v>0</v>
      </c>
      <c r="AG183" s="6" t="n">
        <v>0</v>
      </c>
      <c r="AH183" s="6" t="n">
        <v>0</v>
      </c>
      <c r="AI183" s="6" t="inlineStr">
        <is>
          <t>Reserva importada do Sistema TMS. OS: 248851</t>
        </is>
      </c>
      <c r="AJ183" s="6" t="inlineStr">
        <is>
          <t>Fornecedor não preenchido! (ACC01)</t>
        </is>
      </c>
      <c r="AK183" s="6" t="inlineStr">
        <is>
          <t>ARGO(TMS)</t>
        </is>
      </c>
      <c r="AL183" s="6" t="inlineStr">
        <is>
          <t>Falta de Fornecedor</t>
        </is>
      </c>
      <c r="AM183" s="6" t="inlineStr">
        <is>
          <t>Campo Fornecedor</t>
        </is>
      </c>
      <c r="AN183" s="6" t="inlineStr">
        <is>
          <t>Dados do Fornecedor</t>
        </is>
      </c>
      <c r="AO183" s="6" t="inlineStr">
        <is>
          <t>Qualidade dos dados</t>
        </is>
      </c>
      <c r="AP183" s="6" t="inlineStr">
        <is>
          <t>KONTIK BUSINESS TRAVEL</t>
        </is>
      </c>
      <c r="AQ183" s="6" t="inlineStr">
        <is>
          <t>Suporte KCS</t>
        </is>
      </c>
    </row>
    <row r="184">
      <c r="A184" s="6" t="n">
        <v>23380121</v>
      </c>
      <c r="B184" s="6" t="n">
        <v>24103812</v>
      </c>
      <c r="C184" s="6" t="inlineStr">
        <is>
          <t>ACC01</t>
        </is>
      </c>
      <c r="D184" s="58" t="n">
        <v>45985.69291666667</v>
      </c>
      <c r="E184" s="58" t="n">
        <v>45985.70167824074</v>
      </c>
      <c r="F184" s="6" t="inlineStr">
        <is>
          <t>0 a 02 dias</t>
        </is>
      </c>
      <c r="G184" s="6" t="inlineStr">
        <is>
          <t>0 a 02 dias</t>
        </is>
      </c>
      <c r="H184" s="6" t="inlineStr">
        <is>
          <t>5UZECX</t>
        </is>
      </c>
      <c r="I184" s="6" t="inlineStr">
        <is>
          <t>TMS</t>
        </is>
      </c>
      <c r="J184" s="6" t="inlineStr">
        <is>
          <t>MARCOS AMORIM</t>
        </is>
      </c>
      <c r="K184" s="6" t="inlineStr">
        <is>
          <t>Tms</t>
        </is>
      </c>
      <c r="L184" s="6" t="inlineStr">
        <is>
          <t>Tms</t>
        </is>
      </c>
      <c r="M184" s="58" t="n">
        <v>45985.56388888889</v>
      </c>
      <c r="N184" s="6" t="n">
        <v>248847</v>
      </c>
      <c r="O184" s="6" t="inlineStr">
        <is>
          <t>Uberlândia / UDI</t>
        </is>
      </c>
      <c r="P184" s="6" t="inlineStr">
        <is>
          <t>ON LINE</t>
        </is>
      </c>
      <c r="Q184" s="6" t="inlineStr">
        <is>
          <t>Invoice</t>
        </is>
      </c>
      <c r="R184" s="6" t="inlineStr">
        <is>
          <t>Faturado</t>
        </is>
      </c>
      <c r="S184" s="6" t="inlineStr">
        <is>
          <t>Carro</t>
        </is>
      </c>
      <c r="T184" s="6" t="inlineStr">
        <is>
          <t>N</t>
        </is>
      </c>
      <c r="U184" s="6" t="inlineStr">
        <is>
          <t>Grupo Kpmg</t>
        </is>
      </c>
      <c r="V184" s="6" t="inlineStr">
        <is>
          <t>Kpmg Consultoria</t>
        </is>
      </c>
      <c r="W184" s="6" t="inlineStr">
        <is>
          <t>-</t>
        </is>
      </c>
      <c r="X184" s="6" t="inlineStr">
        <is>
          <t>-</t>
        </is>
      </c>
      <c r="Y184" s="6" t="inlineStr">
        <is>
          <t>-</t>
        </is>
      </c>
      <c r="Z184" s="6" t="inlineStr">
        <is>
          <t>KON-OPE-SAO-PVI-KPMG</t>
        </is>
      </c>
      <c r="AA184" s="6" t="inlineStr">
        <is>
          <t>-</t>
        </is>
      </c>
      <c r="AB184" s="6" t="n">
        <v>540.96</v>
      </c>
      <c r="AC184" s="6" t="n">
        <v>0</v>
      </c>
      <c r="AD184" s="6" t="n">
        <v>0</v>
      </c>
      <c r="AE184" s="6" t="n">
        <v>0</v>
      </c>
      <c r="AF184" s="6" t="n">
        <v>0</v>
      </c>
      <c r="AG184" s="6" t="n">
        <v>0</v>
      </c>
      <c r="AH184" s="6" t="n">
        <v>0</v>
      </c>
      <c r="AI184" s="6" t="inlineStr">
        <is>
          <t>Reserva importada do Sistema TMS. OS: 248847</t>
        </is>
      </c>
      <c r="AJ184" s="6" t="inlineStr">
        <is>
          <t>Fornecedor não preenchido! (ACC01)</t>
        </is>
      </c>
      <c r="AK184" s="6" t="inlineStr">
        <is>
          <t>ARGO(TMS)</t>
        </is>
      </c>
      <c r="AL184" s="6" t="inlineStr">
        <is>
          <t>Falta de Fornecedor</t>
        </is>
      </c>
      <c r="AM184" s="6" t="inlineStr">
        <is>
          <t>Campo Fornecedor</t>
        </is>
      </c>
      <c r="AN184" s="6" t="inlineStr">
        <is>
          <t>Dados do Fornecedor</t>
        </is>
      </c>
      <c r="AO184" s="6" t="inlineStr">
        <is>
          <t>Qualidade dos dados</t>
        </is>
      </c>
      <c r="AP184" s="6" t="inlineStr">
        <is>
          <t>KONTIK BUSINESS TRAVEL</t>
        </is>
      </c>
      <c r="AQ184" s="6" t="inlineStr">
        <is>
          <t>Suporte KCS</t>
        </is>
      </c>
    </row>
    <row r="185">
      <c r="A185" s="6" t="n">
        <v>23380124</v>
      </c>
      <c r="B185" s="6" t="n">
        <v>24103815</v>
      </c>
      <c r="C185" s="6" t="inlineStr">
        <is>
          <t>ACC01</t>
        </is>
      </c>
      <c r="D185" s="58" t="n">
        <v>45985.69295138889</v>
      </c>
      <c r="E185" s="58" t="n">
        <v>45985.70168981481</v>
      </c>
      <c r="F185" s="6" t="inlineStr">
        <is>
          <t>0 a 02 dias</t>
        </is>
      </c>
      <c r="G185" s="6" t="inlineStr">
        <is>
          <t>0 a 02 dias</t>
        </is>
      </c>
      <c r="H185" s="6" t="inlineStr">
        <is>
          <t>5UFCEW</t>
        </is>
      </c>
      <c r="I185" s="6" t="inlineStr">
        <is>
          <t>TMS</t>
        </is>
      </c>
      <c r="J185" s="6" t="inlineStr">
        <is>
          <t>ANDREZA DUARTE</t>
        </is>
      </c>
      <c r="K185" s="6" t="inlineStr">
        <is>
          <t>Tms</t>
        </is>
      </c>
      <c r="L185" s="6" t="inlineStr">
        <is>
          <t>Tms</t>
        </is>
      </c>
      <c r="M185" s="58" t="n">
        <v>45985.52916666667</v>
      </c>
      <c r="N185" s="6" t="n">
        <v>248838</v>
      </c>
      <c r="O185" s="6" t="inlineStr">
        <is>
          <t>Uberlândia / UDI</t>
        </is>
      </c>
      <c r="P185" s="6" t="inlineStr">
        <is>
          <t>ON LINE</t>
        </is>
      </c>
      <c r="Q185" s="6" t="inlineStr">
        <is>
          <t>Invoice</t>
        </is>
      </c>
      <c r="R185" s="6" t="inlineStr">
        <is>
          <t>Faturado</t>
        </is>
      </c>
      <c r="S185" s="6" t="inlineStr">
        <is>
          <t>Carro</t>
        </is>
      </c>
      <c r="T185" s="6" t="inlineStr">
        <is>
          <t>N</t>
        </is>
      </c>
      <c r="U185" s="6" t="inlineStr">
        <is>
          <t>Grupo Kpmg</t>
        </is>
      </c>
      <c r="V185" s="6" t="inlineStr">
        <is>
          <t>Kpmg Consultoria</t>
        </is>
      </c>
      <c r="W185" s="6" t="inlineStr">
        <is>
          <t>-</t>
        </is>
      </c>
      <c r="X185" s="6" t="inlineStr">
        <is>
          <t>-</t>
        </is>
      </c>
      <c r="Y185" s="6" t="inlineStr">
        <is>
          <t>-</t>
        </is>
      </c>
      <c r="Z185" s="6" t="inlineStr">
        <is>
          <t>KON-OPE-SAO-PVI-KPMG</t>
        </is>
      </c>
      <c r="AA185" s="6" t="inlineStr">
        <is>
          <t>-</t>
        </is>
      </c>
      <c r="AB185" s="6" t="n">
        <v>708.352</v>
      </c>
      <c r="AC185" s="6" t="n">
        <v>0</v>
      </c>
      <c r="AD185" s="6" t="n">
        <v>0</v>
      </c>
      <c r="AE185" s="6" t="n">
        <v>0</v>
      </c>
      <c r="AF185" s="6" t="n">
        <v>0</v>
      </c>
      <c r="AG185" s="6" t="n">
        <v>0</v>
      </c>
      <c r="AH185" s="6" t="n">
        <v>0</v>
      </c>
      <c r="AI185" s="6" t="inlineStr">
        <is>
          <t>Reserva importada do Sistema TMS. OS: 248838</t>
        </is>
      </c>
      <c r="AJ185" s="6" t="inlineStr">
        <is>
          <t>Fornecedor não preenchido! (ACC01)</t>
        </is>
      </c>
      <c r="AK185" s="6" t="inlineStr">
        <is>
          <t>ARGO(TMS)</t>
        </is>
      </c>
      <c r="AL185" s="6" t="inlineStr">
        <is>
          <t>Falta de Fornecedor</t>
        </is>
      </c>
      <c r="AM185" s="6" t="inlineStr">
        <is>
          <t>Campo Fornecedor</t>
        </is>
      </c>
      <c r="AN185" s="6" t="inlineStr">
        <is>
          <t>Dados do Fornecedor</t>
        </is>
      </c>
      <c r="AO185" s="6" t="inlineStr">
        <is>
          <t>Qualidade dos dados</t>
        </is>
      </c>
      <c r="AP185" s="6" t="inlineStr">
        <is>
          <t>KONTIK BUSINESS TRAVEL</t>
        </is>
      </c>
      <c r="AQ185" s="6" t="inlineStr">
        <is>
          <t>Suporte KCS</t>
        </is>
      </c>
    </row>
    <row r="186">
      <c r="A186" s="6" t="n">
        <v>23380137</v>
      </c>
      <c r="B186" s="6" t="n">
        <v>24103827</v>
      </c>
      <c r="C186" s="6" t="inlineStr">
        <is>
          <t>ACC01</t>
        </is>
      </c>
      <c r="D186" s="58" t="n">
        <v>45985.69321759259</v>
      </c>
      <c r="E186" s="58" t="n">
        <v>45985.70207175926</v>
      </c>
      <c r="F186" s="6" t="inlineStr">
        <is>
          <t>0 a 02 dias</t>
        </is>
      </c>
      <c r="G186" s="6" t="inlineStr">
        <is>
          <t>0 a 02 dias</t>
        </is>
      </c>
      <c r="H186" s="6" t="inlineStr">
        <is>
          <t>5UHRDS</t>
        </is>
      </c>
      <c r="I186" s="6" t="inlineStr">
        <is>
          <t>TMS</t>
        </is>
      </c>
      <c r="J186" s="6" t="inlineStr">
        <is>
          <t>DANIEL SCARASSATI</t>
        </is>
      </c>
      <c r="K186" s="6" t="inlineStr">
        <is>
          <t>Tms</t>
        </is>
      </c>
      <c r="L186" s="6" t="inlineStr">
        <is>
          <t>Tms</t>
        </is>
      </c>
      <c r="M186" s="58" t="n">
        <v>45985.51319444444</v>
      </c>
      <c r="N186" s="6" t="n">
        <v>248828</v>
      </c>
      <c r="O186" s="6" t="inlineStr">
        <is>
          <t>Uberlândia / UDI</t>
        </is>
      </c>
      <c r="P186" s="6" t="inlineStr">
        <is>
          <t>ON LINE</t>
        </is>
      </c>
      <c r="Q186" s="6" t="inlineStr">
        <is>
          <t>Invoice</t>
        </is>
      </c>
      <c r="R186" s="6" t="inlineStr">
        <is>
          <t>Faturado</t>
        </is>
      </c>
      <c r="S186" s="6" t="inlineStr">
        <is>
          <t>Carro</t>
        </is>
      </c>
      <c r="T186" s="6" t="inlineStr">
        <is>
          <t>N</t>
        </is>
      </c>
      <c r="U186" s="6" t="inlineStr">
        <is>
          <t>Grupo Kpmg</t>
        </is>
      </c>
      <c r="V186" s="6" t="inlineStr">
        <is>
          <t>Kpmg Assessores</t>
        </is>
      </c>
      <c r="W186" s="6" t="inlineStr">
        <is>
          <t>-</t>
        </is>
      </c>
      <c r="X186" s="6" t="inlineStr">
        <is>
          <t>-</t>
        </is>
      </c>
      <c r="Y186" s="6" t="inlineStr">
        <is>
          <t>-</t>
        </is>
      </c>
      <c r="Z186" s="6" t="inlineStr">
        <is>
          <t>KON-OPE-SAO-PVI-KPMG</t>
        </is>
      </c>
      <c r="AA186" s="6" t="inlineStr">
        <is>
          <t>-</t>
        </is>
      </c>
      <c r="AB186" s="6" t="n">
        <v>748.168</v>
      </c>
      <c r="AC186" s="6" t="n">
        <v>0</v>
      </c>
      <c r="AD186" s="6" t="n">
        <v>0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inlineStr">
        <is>
          <t>Reserva importada do Sistema TMS. OS: 248828</t>
        </is>
      </c>
      <c r="AJ186" s="6" t="inlineStr">
        <is>
          <t>Fornecedor não preenchido! (ACC01)</t>
        </is>
      </c>
      <c r="AK186" s="6" t="inlineStr">
        <is>
          <t>ARGO(TMS)</t>
        </is>
      </c>
      <c r="AL186" s="6" t="inlineStr">
        <is>
          <t>Falta de Fornecedor</t>
        </is>
      </c>
      <c r="AM186" s="6" t="inlineStr">
        <is>
          <t>Campo Fornecedor</t>
        </is>
      </c>
      <c r="AN186" s="6" t="inlineStr">
        <is>
          <t>Dados do Fornecedor</t>
        </is>
      </c>
      <c r="AO186" s="6" t="inlineStr">
        <is>
          <t>Qualidade dos dados</t>
        </is>
      </c>
      <c r="AP186" s="6" t="inlineStr">
        <is>
          <t>KONTIK BUSINESS TRAVEL</t>
        </is>
      </c>
      <c r="AQ186" s="6" t="inlineStr">
        <is>
          <t>Suporte KCS</t>
        </is>
      </c>
    </row>
    <row r="187">
      <c r="A187" s="6" t="n">
        <v>23327016</v>
      </c>
      <c r="B187" s="6" t="n">
        <v>24056628</v>
      </c>
      <c r="C187" s="6" t="inlineStr">
        <is>
          <t>ACC01</t>
        </is>
      </c>
      <c r="D187" s="58" t="n">
        <v>45975.80607638889</v>
      </c>
      <c r="E187" s="58" t="n">
        <v>45978.25739583333</v>
      </c>
      <c r="F187" s="6" t="inlineStr">
        <is>
          <t>06 a 08 dias</t>
        </is>
      </c>
      <c r="G187" s="6" t="inlineStr">
        <is>
          <t>09 a 15 dias</t>
        </is>
      </c>
      <c r="H187" s="6" t="inlineStr">
        <is>
          <t>5TG544</t>
        </is>
      </c>
      <c r="I187" s="6" t="inlineStr">
        <is>
          <t>TMS</t>
        </is>
      </c>
      <c r="J187" s="6" t="inlineStr">
        <is>
          <t>FERNANDO LIANI</t>
        </is>
      </c>
      <c r="K187" s="6" t="inlineStr">
        <is>
          <t>Tms</t>
        </is>
      </c>
      <c r="L187" s="6" t="inlineStr">
        <is>
          <t>Tms</t>
        </is>
      </c>
      <c r="M187" s="58" t="n">
        <v>45975.73194444444</v>
      </c>
      <c r="N187" s="6" t="n">
        <v>246890</v>
      </c>
      <c r="O187" s="6" t="inlineStr">
        <is>
          <t>-</t>
        </is>
      </c>
      <c r="P187" s="6" t="inlineStr">
        <is>
          <t>ON LINE</t>
        </is>
      </c>
      <c r="Q187" s="6" t="inlineStr">
        <is>
          <t>Cartão de crédito</t>
        </is>
      </c>
      <c r="R187" s="6" t="inlineStr">
        <is>
          <t>Cartão de crédito</t>
        </is>
      </c>
      <c r="S187" s="6" t="inlineStr">
        <is>
          <t>Hotel</t>
        </is>
      </c>
      <c r="T187" s="6" t="inlineStr">
        <is>
          <t>N</t>
        </is>
      </c>
      <c r="U187" s="6" t="inlineStr">
        <is>
          <t>Grupo Kpmg</t>
        </is>
      </c>
      <c r="V187" s="6" t="inlineStr">
        <is>
          <t>Kpmg</t>
        </is>
      </c>
      <c r="W187" s="6" t="inlineStr">
        <is>
          <t>-</t>
        </is>
      </c>
      <c r="X187" s="6" t="inlineStr">
        <is>
          <t>Brasil 21 Convention Suites - Inativo</t>
        </is>
      </c>
      <c r="Y187" s="6" t="inlineStr">
        <is>
          <t>-</t>
        </is>
      </c>
      <c r="Z187" s="6" t="inlineStr">
        <is>
          <t>KON-OPE-SAO-PVI-KPMG</t>
        </is>
      </c>
      <c r="AA187" s="6" t="inlineStr">
        <is>
          <t>-</t>
        </is>
      </c>
      <c r="AB187" s="6" t="n">
        <v>494.1</v>
      </c>
      <c r="AC187" s="6" t="n">
        <v>0</v>
      </c>
      <c r="AD187" s="6" t="n">
        <v>0</v>
      </c>
      <c r="AE187" s="6" t="n">
        <v>0</v>
      </c>
      <c r="AF187" s="6" t="n">
        <v>0</v>
      </c>
      <c r="AG187" s="6" t="n">
        <v>24.71</v>
      </c>
      <c r="AH187" s="6" t="n">
        <v>0</v>
      </c>
      <c r="AI187" s="6" t="inlineStr">
        <is>
          <t>Reserva importada do Sistema TMS. OS: 246890</t>
        </is>
      </c>
      <c r="AJ187" s="6" t="inlineStr">
        <is>
          <t xml:space="preserve">Não foi possível encontrar um contrato válido para o fornecedor 17987 (Código fornecedor) </t>
        </is>
      </c>
      <c r="AK187" s="6" t="inlineStr">
        <is>
          <t>ARGO(TMS)</t>
        </is>
      </c>
      <c r="AL187" s="6" t="inlineStr">
        <is>
          <t>Contrato de fornecedor</t>
        </is>
      </c>
      <c r="AM187" s="6" t="inlineStr">
        <is>
          <t>Análise Cadastro</t>
        </is>
      </c>
      <c r="AN187" s="6" t="inlineStr">
        <is>
          <t>Dados do Fornecedor</t>
        </is>
      </c>
      <c r="AO187" s="6" t="inlineStr">
        <is>
          <t>Qualidade dos dados</t>
        </is>
      </c>
      <c r="AP187" s="6" t="inlineStr">
        <is>
          <t>KONTIK BUSINESS TRAVEL</t>
        </is>
      </c>
      <c r="AQ187" s="6" t="inlineStr">
        <is>
          <t>Suporte KCS</t>
        </is>
      </c>
    </row>
    <row r="188">
      <c r="A188" s="6" t="n">
        <v>23364575</v>
      </c>
      <c r="B188" s="6" t="n">
        <v>24090615</v>
      </c>
      <c r="C188" s="6" t="inlineStr">
        <is>
          <t>ACC01</t>
        </is>
      </c>
      <c r="D188" s="58" t="n">
        <v>45982.39229166666</v>
      </c>
      <c r="E188" s="58" t="n">
        <v>45982.40653935185</v>
      </c>
      <c r="F188" s="6" t="inlineStr">
        <is>
          <t>03 a 05 dias</t>
        </is>
      </c>
      <c r="G188" s="6" t="inlineStr">
        <is>
          <t>03 a 05 dias</t>
        </is>
      </c>
      <c r="H188" s="6" t="n">
        <v>20715405</v>
      </c>
      <c r="I188" s="6" t="inlineStr">
        <is>
          <t>GOVER</t>
        </is>
      </c>
      <c r="J188" s="6" t="inlineStr">
        <is>
          <t>Karla Barbosa</t>
        </is>
      </c>
      <c r="K188" s="6" t="inlineStr">
        <is>
          <t>Gover</t>
        </is>
      </c>
      <c r="L188" s="6" t="inlineStr">
        <is>
          <t>Gover</t>
        </is>
      </c>
      <c r="M188" s="58" t="n">
        <v>45966.46527777778</v>
      </c>
      <c r="N188" s="6" t="n">
        <v>4623915</v>
      </c>
      <c r="O188" s="6" t="inlineStr">
        <is>
          <t>-</t>
        </is>
      </c>
      <c r="P188" s="6" t="inlineStr">
        <is>
          <t>ON LINE</t>
        </is>
      </c>
      <c r="Q188" s="6" t="inlineStr">
        <is>
          <t>Pagamento direto</t>
        </is>
      </c>
      <c r="R188" s="6" t="inlineStr">
        <is>
          <t>Pagamento direto</t>
        </is>
      </c>
      <c r="S188" s="6" t="inlineStr">
        <is>
          <t>Hotel</t>
        </is>
      </c>
      <c r="T188" s="6" t="inlineStr">
        <is>
          <t>N</t>
        </is>
      </c>
      <c r="U188" s="6" t="inlineStr">
        <is>
          <t>Grupo Diageo</t>
        </is>
      </c>
      <c r="V188" s="6" t="inlineStr">
        <is>
          <t>Diageo Brasil</t>
        </is>
      </c>
      <c r="W188" s="6" t="inlineStr">
        <is>
          <t>Cliente FEE no POS</t>
        </is>
      </c>
      <c r="X188" s="6" t="inlineStr">
        <is>
          <t>Master Premium Grande Hotel</t>
        </is>
      </c>
      <c r="Y188" s="6" t="inlineStr">
        <is>
          <t>-</t>
        </is>
      </c>
      <c r="Z188" s="6" t="inlineStr">
        <is>
          <t>FCM-OPE-SAO-PVI-DIAGEO</t>
        </is>
      </c>
      <c r="AA188" s="6" t="inlineStr">
        <is>
          <t>-</t>
        </is>
      </c>
      <c r="AB188" s="6" t="n">
        <v>155</v>
      </c>
      <c r="AC188" s="6" t="n">
        <v>0</v>
      </c>
      <c r="AD188" s="6" t="n">
        <v>0</v>
      </c>
      <c r="AE188" s="6" t="n">
        <v>0</v>
      </c>
      <c r="AF188" s="6" t="n">
        <v>0</v>
      </c>
      <c r="AG188" s="6" t="n">
        <v>0</v>
      </c>
      <c r="AH188" s="6" t="n">
        <v>0</v>
      </c>
      <c r="AI188" s="6" t="inlineStr">
        <is>
          <t>Reserva importada do sistema Gover. Id: 4623915</t>
        </is>
      </c>
      <c r="AJ188" s="6" t="inlineStr">
        <is>
          <t>Este cliente não possui permissão para usar este tipo de pagamento e recebimento para este produto.</t>
        </is>
      </c>
      <c r="AK188" s="6" t="inlineStr">
        <is>
          <t>GOVER</t>
        </is>
      </c>
      <c r="AL188" s="6" t="inlineStr">
        <is>
          <t>Pagamento não permitido para cobrança</t>
        </is>
      </c>
      <c r="AM188" s="6" t="inlineStr">
        <is>
          <t>Forma PG. e REC.</t>
        </is>
      </c>
      <c r="AN188" s="6" t="inlineStr">
        <is>
          <t>Dados do Fornecedor</t>
        </is>
      </c>
      <c r="AO188" s="6" t="inlineStr">
        <is>
          <t>Sistêmico</t>
        </is>
      </c>
      <c r="AP188" s="6" t="inlineStr">
        <is>
          <t>GRUPO KONTIK</t>
        </is>
      </c>
      <c r="AQ188" s="6" t="inlineStr">
        <is>
          <t>Suporte Benner</t>
        </is>
      </c>
    </row>
    <row r="189">
      <c r="A189" s="6" t="n">
        <v>23364576</v>
      </c>
      <c r="B189" s="6" t="n">
        <v>24090616</v>
      </c>
      <c r="C189" s="6" t="inlineStr">
        <is>
          <t>ACC01</t>
        </is>
      </c>
      <c r="D189" s="58" t="n">
        <v>45982.39230324074</v>
      </c>
      <c r="E189" s="58" t="n">
        <v>45982.40653935185</v>
      </c>
      <c r="F189" s="6" t="inlineStr">
        <is>
          <t>03 a 05 dias</t>
        </is>
      </c>
      <c r="G189" s="6" t="inlineStr">
        <is>
          <t>03 a 05 dias</t>
        </is>
      </c>
      <c r="H189" s="6" t="n">
        <v>20716687</v>
      </c>
      <c r="I189" s="6" t="inlineStr">
        <is>
          <t>GOVER</t>
        </is>
      </c>
      <c r="J189" s="6" t="inlineStr">
        <is>
          <t>Karla Barbosa</t>
        </is>
      </c>
      <c r="K189" s="6" t="inlineStr">
        <is>
          <t>Gover</t>
        </is>
      </c>
      <c r="L189" s="6" t="inlineStr">
        <is>
          <t>Gover</t>
        </is>
      </c>
      <c r="M189" s="58" t="n">
        <v>45966.49375</v>
      </c>
      <c r="N189" s="6" t="n">
        <v>4623963</v>
      </c>
      <c r="O189" s="6" t="inlineStr">
        <is>
          <t>-</t>
        </is>
      </c>
      <c r="P189" s="6" t="inlineStr">
        <is>
          <t>ON LINE</t>
        </is>
      </c>
      <c r="Q189" s="6" t="inlineStr">
        <is>
          <t>Pagamento direto</t>
        </is>
      </c>
      <c r="R189" s="6" t="inlineStr">
        <is>
          <t>Pagamento direto</t>
        </is>
      </c>
      <c r="S189" s="6" t="inlineStr">
        <is>
          <t>Hotel</t>
        </is>
      </c>
      <c r="T189" s="6" t="inlineStr">
        <is>
          <t>N</t>
        </is>
      </c>
      <c r="U189" s="6" t="inlineStr">
        <is>
          <t>Grupo Diageo</t>
        </is>
      </c>
      <c r="V189" s="6" t="inlineStr">
        <is>
          <t>Diageo Brasil</t>
        </is>
      </c>
      <c r="W189" s="6" t="inlineStr">
        <is>
          <t>Cliente FEE no POS</t>
        </is>
      </c>
      <c r="X189" s="6" t="inlineStr">
        <is>
          <t>Ez Moema Hotel</t>
        </is>
      </c>
      <c r="Y189" s="6" t="inlineStr">
        <is>
          <t>-</t>
        </is>
      </c>
      <c r="Z189" s="6" t="inlineStr">
        <is>
          <t>FCM-OPE-SAO-PVI-DIAGEO</t>
        </is>
      </c>
      <c r="AA189" s="6" t="inlineStr">
        <is>
          <t>-</t>
        </is>
      </c>
      <c r="AB189" s="6" t="n">
        <v>389</v>
      </c>
      <c r="AC189" s="6" t="n">
        <v>0</v>
      </c>
      <c r="AD189" s="6" t="n">
        <v>0</v>
      </c>
      <c r="AE189" s="6" t="n">
        <v>0</v>
      </c>
      <c r="AF189" s="6" t="n">
        <v>0</v>
      </c>
      <c r="AG189" s="6" t="n">
        <v>0</v>
      </c>
      <c r="AH189" s="6" t="n">
        <v>0</v>
      </c>
      <c r="AI189" s="6" t="inlineStr">
        <is>
          <t>Reserva importada do sistema Gover. Id: 4623963</t>
        </is>
      </c>
      <c r="AJ189" s="6" t="inlineStr">
        <is>
          <t>Este cliente não possui permissão para usar este tipo de pagamento e recebimento para este produto.</t>
        </is>
      </c>
      <c r="AK189" s="6" t="inlineStr">
        <is>
          <t>GOVER</t>
        </is>
      </c>
      <c r="AL189" s="6" t="inlineStr">
        <is>
          <t>Pagamento não permitido para cobrança</t>
        </is>
      </c>
      <c r="AM189" s="6" t="inlineStr">
        <is>
          <t>Forma PG. e REC.</t>
        </is>
      </c>
      <c r="AN189" s="6" t="inlineStr">
        <is>
          <t>Dados do Fornecedor</t>
        </is>
      </c>
      <c r="AO189" s="6" t="inlineStr">
        <is>
          <t>Sistêmico</t>
        </is>
      </c>
      <c r="AP189" s="6" t="inlineStr">
        <is>
          <t>GRUPO KONTIK</t>
        </is>
      </c>
      <c r="AQ189" s="6" t="inlineStr">
        <is>
          <t>Suporte Benner</t>
        </is>
      </c>
    </row>
    <row r="190">
      <c r="A190" s="6" t="n">
        <v>23379556</v>
      </c>
      <c r="B190" s="6" t="n">
        <v>24103256</v>
      </c>
      <c r="C190" s="6" t="inlineStr">
        <is>
          <t>ACC01</t>
        </is>
      </c>
      <c r="D190" s="58" t="n">
        <v>45985.60298611111</v>
      </c>
      <c r="E190" s="58" t="n">
        <v>45985.64626157407</v>
      </c>
      <c r="F190" s="6" t="inlineStr">
        <is>
          <t>0 a 02 dias</t>
        </is>
      </c>
      <c r="G190" s="6" t="inlineStr">
        <is>
          <t>0 a 02 dias</t>
        </is>
      </c>
      <c r="H190" s="6" t="n">
        <v>20722456</v>
      </c>
      <c r="I190" s="6" t="inlineStr">
        <is>
          <t>GOVER</t>
        </is>
      </c>
      <c r="J190" s="6" t="inlineStr">
        <is>
          <t>Karla Barbosa</t>
        </is>
      </c>
      <c r="K190" s="6" t="inlineStr">
        <is>
          <t>Gover</t>
        </is>
      </c>
      <c r="L190" s="6" t="inlineStr">
        <is>
          <t>Gover</t>
        </is>
      </c>
      <c r="M190" s="58" t="n">
        <v>45966.65</v>
      </c>
      <c r="N190" s="6" t="n">
        <v>4624148</v>
      </c>
      <c r="O190" s="6" t="inlineStr">
        <is>
          <t>-</t>
        </is>
      </c>
      <c r="P190" s="6" t="inlineStr">
        <is>
          <t>ON LINE</t>
        </is>
      </c>
      <c r="Q190" s="6" t="inlineStr">
        <is>
          <t>Pagamento direto</t>
        </is>
      </c>
      <c r="R190" s="6" t="inlineStr">
        <is>
          <t>Pagamento direto</t>
        </is>
      </c>
      <c r="S190" s="6" t="inlineStr">
        <is>
          <t>Hotel</t>
        </is>
      </c>
      <c r="T190" s="6" t="inlineStr">
        <is>
          <t>N</t>
        </is>
      </c>
      <c r="U190" s="6" t="inlineStr">
        <is>
          <t>Grupo Diageo</t>
        </is>
      </c>
      <c r="V190" s="6" t="inlineStr">
        <is>
          <t>Diageo Brasil</t>
        </is>
      </c>
      <c r="W190" s="6" t="inlineStr">
        <is>
          <t>Cliente FEE no POS</t>
        </is>
      </c>
      <c r="X190" s="6" t="inlineStr">
        <is>
          <t>San Michel Hotel</t>
        </is>
      </c>
      <c r="Y190" s="6" t="inlineStr">
        <is>
          <t>-</t>
        </is>
      </c>
      <c r="Z190" s="6" t="inlineStr">
        <is>
          <t>FCM-OPE-SAO-PVI-DIAGEO</t>
        </is>
      </c>
      <c r="AA190" s="6" t="inlineStr">
        <is>
          <t>-</t>
        </is>
      </c>
      <c r="AB190" s="6" t="n">
        <v>190</v>
      </c>
      <c r="AC190" s="6" t="n">
        <v>9.5</v>
      </c>
      <c r="AD190" s="6" t="n">
        <v>0</v>
      </c>
      <c r="AE190" s="6" t="n">
        <v>0</v>
      </c>
      <c r="AF190" s="6" t="n">
        <v>0</v>
      </c>
      <c r="AG190" s="6" t="n">
        <v>0</v>
      </c>
      <c r="AH190" s="6" t="n">
        <v>0</v>
      </c>
      <c r="AI190" s="6" t="inlineStr">
        <is>
          <t>Reserva importada do sistema Gover. Id: 4624148</t>
        </is>
      </c>
      <c r="AJ190" s="6" t="inlineStr">
        <is>
          <t>Este cliente não possui permissão para usar este tipo de pagamento e recebimento para este produto.</t>
        </is>
      </c>
      <c r="AK190" s="6" t="inlineStr">
        <is>
          <t>GOVER</t>
        </is>
      </c>
      <c r="AL190" s="6" t="inlineStr">
        <is>
          <t>Pagamento não permitido para cobrança</t>
        </is>
      </c>
      <c r="AM190" s="6" t="inlineStr">
        <is>
          <t>Forma PG. e REC.</t>
        </is>
      </c>
      <c r="AN190" s="6" t="inlineStr">
        <is>
          <t>Dados do Fornecedor</t>
        </is>
      </c>
      <c r="AO190" s="6" t="inlineStr">
        <is>
          <t>Sistêmico</t>
        </is>
      </c>
      <c r="AP190" s="6" t="inlineStr">
        <is>
          <t>GRUPO KONTIK</t>
        </is>
      </c>
      <c r="AQ190" s="6" t="inlineStr">
        <is>
          <t>Suporte Benner</t>
        </is>
      </c>
    </row>
    <row r="191">
      <c r="A191" s="6" t="n">
        <v>21721135</v>
      </c>
      <c r="B191" s="6" t="n">
        <v>22644986</v>
      </c>
      <c r="C191" s="6" t="inlineStr">
        <is>
          <t>ACC01</t>
        </is>
      </c>
      <c r="D191" s="58" t="n">
        <v>45714.48854166667</v>
      </c>
      <c r="E191" s="58" t="n">
        <v>45968.70497685186</v>
      </c>
      <c r="F191" s="59" t="inlineStr">
        <is>
          <t>16 a 23 dias</t>
        </is>
      </c>
      <c r="G191" s="59" t="inlineStr">
        <is>
          <t>31 dias ou +</t>
        </is>
      </c>
      <c r="H191" s="6" t="inlineStr">
        <is>
          <t>4VZ88I</t>
        </is>
      </c>
      <c r="I191" s="6" t="inlineStr">
        <is>
          <t>TMS</t>
        </is>
      </c>
      <c r="J191" s="6" t="inlineStr">
        <is>
          <t>MATEUS TAVARES</t>
        </is>
      </c>
      <c r="K191" s="6" t="inlineStr">
        <is>
          <t>Tms</t>
        </is>
      </c>
      <c r="L191" s="6" t="inlineStr">
        <is>
          <t>Tms</t>
        </is>
      </c>
      <c r="M191" s="58" t="n">
        <v>45714.44097222222</v>
      </c>
      <c r="N191" s="6" t="n">
        <v>101346</v>
      </c>
      <c r="O191" s="6" t="inlineStr">
        <is>
          <t>-</t>
        </is>
      </c>
      <c r="P191" s="6" t="inlineStr">
        <is>
          <t>ON LINE</t>
        </is>
      </c>
      <c r="Q191" s="6" t="inlineStr">
        <is>
          <t>Pagamento direto</t>
        </is>
      </c>
      <c r="R191" s="6" t="inlineStr">
        <is>
          <t>Pagamento direto</t>
        </is>
      </c>
      <c r="S191" s="6" t="inlineStr">
        <is>
          <t>Hotel</t>
        </is>
      </c>
      <c r="T191" s="6" t="inlineStr">
        <is>
          <t>S</t>
        </is>
      </c>
      <c r="U191" s="6" t="inlineStr">
        <is>
          <t>Grupo Deloitte</t>
        </is>
      </c>
      <c r="V191" s="6" t="inlineStr">
        <is>
          <t>Deloitte Consultores - Rio de Janeiro</t>
        </is>
      </c>
      <c r="W191" s="6" t="inlineStr">
        <is>
          <t>-</t>
        </is>
      </c>
      <c r="X191" s="6" t="inlineStr">
        <is>
          <t>Blue Tree Premium Morumbi</t>
        </is>
      </c>
      <c r="Y191" s="6" t="inlineStr">
        <is>
          <t>-</t>
        </is>
      </c>
      <c r="Z191" s="6" t="inlineStr">
        <is>
          <t>KON-OPE-SAO-PVI-BTC-ARGO-DELOITTE</t>
        </is>
      </c>
      <c r="AA191" s="6" t="inlineStr">
        <is>
          <t>-</t>
        </is>
      </c>
      <c r="AB191" s="6" t="n">
        <v>420</v>
      </c>
      <c r="AC191" s="6" t="n">
        <v>0</v>
      </c>
      <c r="AD191" s="6" t="n">
        <v>0</v>
      </c>
      <c r="AE191" s="6" t="n">
        <v>0</v>
      </c>
      <c r="AF191" s="6" t="n">
        <v>0</v>
      </c>
      <c r="AG191" s="6" t="n">
        <v>21</v>
      </c>
      <c r="AH191" s="6" t="n">
        <v>0</v>
      </c>
      <c r="AI191" s="6" t="inlineStr">
        <is>
          <t>Reserva importada do Sistema TMS. OS: 101346</t>
        </is>
      </c>
      <c r="AJ191" s="6" t="inlineStr">
        <is>
          <t>Erro excluindo PNR: Erro ao excluir documento financeiro: Documento está dentro de um período financeiro já fechado!</t>
        </is>
      </c>
      <c r="AK191" s="6" t="inlineStr">
        <is>
          <t>ARGO(TMS)</t>
        </is>
      </c>
      <c r="AL191" s="6" t="inlineStr">
        <is>
          <t>Não identificado</t>
        </is>
      </c>
      <c r="AM191" s="6" t="inlineStr">
        <is>
          <t>Análise Benner</t>
        </is>
      </c>
      <c r="AN191" s="6" t="inlineStr">
        <is>
          <t>Sistema</t>
        </is>
      </c>
      <c r="AO191" s="6" t="inlineStr">
        <is>
          <t>Qualidade dos dados</t>
        </is>
      </c>
      <c r="AP191" s="6" t="inlineStr">
        <is>
          <t>KONTIK BUSINESS TRAVEL</t>
        </is>
      </c>
      <c r="AQ191" s="6" t="inlineStr">
        <is>
          <t>Operações - CORP</t>
        </is>
      </c>
    </row>
    <row r="192">
      <c r="A192" s="6" t="n">
        <v>23282856</v>
      </c>
      <c r="B192" s="6" t="n">
        <v>24015207</v>
      </c>
      <c r="C192" s="6" t="inlineStr">
        <is>
          <t>ACC01</t>
        </is>
      </c>
      <c r="D192" s="58" t="n">
        <v>45968.9765162037</v>
      </c>
      <c r="E192" s="58" t="n">
        <v>45968.99275462963</v>
      </c>
      <c r="F192" s="59" t="inlineStr">
        <is>
          <t>16 a 23 dias</t>
        </is>
      </c>
      <c r="G192" s="59" t="inlineStr">
        <is>
          <t>16 a 23 dias</t>
        </is>
      </c>
      <c r="H192" s="6" t="inlineStr">
        <is>
          <t>5RW2MJ</t>
        </is>
      </c>
      <c r="I192" s="6" t="inlineStr">
        <is>
          <t>TMS</t>
        </is>
      </c>
      <c r="J192" s="6" t="inlineStr">
        <is>
          <t>NIVALDO MELLO</t>
        </is>
      </c>
      <c r="K192" s="6" t="inlineStr">
        <is>
          <t>SAMANTHA OLIVEIRA NASCIMENTO</t>
        </is>
      </c>
      <c r="L192" s="6" t="inlineStr">
        <is>
          <t>SAMANTHA OLIVEIRA NASCIMENTO</t>
        </is>
      </c>
      <c r="M192" s="58" t="n">
        <v>45968.75069444445</v>
      </c>
      <c r="N192" s="6" t="n">
        <v>116838</v>
      </c>
      <c r="O192" s="6" t="inlineStr">
        <is>
          <t>-</t>
        </is>
      </c>
      <c r="P192" s="6" t="inlineStr">
        <is>
          <t>OFF LINE</t>
        </is>
      </c>
      <c r="Q192" s="6" t="inlineStr">
        <is>
          <t>Pagamento direto</t>
        </is>
      </c>
      <c r="R192" s="6" t="inlineStr">
        <is>
          <t>Pagamento direto</t>
        </is>
      </c>
      <c r="S192" s="6" t="inlineStr">
        <is>
          <t>Hotel</t>
        </is>
      </c>
      <c r="T192" s="6" t="inlineStr">
        <is>
          <t>N</t>
        </is>
      </c>
      <c r="U192" s="6" t="inlineStr">
        <is>
          <t>Grupo Deloitte</t>
        </is>
      </c>
      <c r="V192" s="6" t="inlineStr">
        <is>
          <t>Deloitte Consultores - Sao Paulo</t>
        </is>
      </c>
      <c r="W192" s="6" t="inlineStr">
        <is>
          <t>-</t>
        </is>
      </c>
      <c r="X192" s="6" t="inlineStr">
        <is>
          <t>-</t>
        </is>
      </c>
      <c r="Y192" s="6" t="inlineStr">
        <is>
          <t>-</t>
        </is>
      </c>
      <c r="Z192" s="6" t="inlineStr">
        <is>
          <t>KON-OPE-SAO-PVI-BTC-ARGO-DELOITTE</t>
        </is>
      </c>
      <c r="AA192" s="6" t="inlineStr">
        <is>
          <t>-</t>
        </is>
      </c>
      <c r="AB192" s="6" t="n">
        <v>7877.52</v>
      </c>
      <c r="AC192" s="6" t="n">
        <v>0</v>
      </c>
      <c r="AD192" s="6" t="n">
        <v>0</v>
      </c>
      <c r="AE192" s="6" t="n">
        <v>0</v>
      </c>
      <c r="AF192" s="6" t="n">
        <v>0</v>
      </c>
      <c r="AG192" s="6" t="n">
        <v>0</v>
      </c>
      <c r="AH192" s="6" t="n">
        <v>0</v>
      </c>
      <c r="AI192" s="6" t="inlineStr">
        <is>
          <t>Reserva importada do Sistema TMS. OS: 116838</t>
        </is>
      </c>
      <c r="AJ192" s="6" t="inlineStr">
        <is>
          <t>Fornecedor não preenchido! (ACC01)</t>
        </is>
      </c>
      <c r="AK192" s="6" t="inlineStr">
        <is>
          <t>ARGO(TMS)</t>
        </is>
      </c>
      <c r="AL192" s="6" t="inlineStr">
        <is>
          <t>Falta de Fornecedor</t>
        </is>
      </c>
      <c r="AM192" s="6" t="inlineStr">
        <is>
          <t>Campo Fornecedor</t>
        </is>
      </c>
      <c r="AN192" s="6" t="inlineStr">
        <is>
          <t>Dados do Fornecedor</t>
        </is>
      </c>
      <c r="AO192" s="6" t="inlineStr">
        <is>
          <t>Qualidade dos dados</t>
        </is>
      </c>
      <c r="AP192" s="6" t="inlineStr">
        <is>
          <t>KONTIK BUSINESS TRAVEL</t>
        </is>
      </c>
      <c r="AQ192" s="6" t="inlineStr">
        <is>
          <t>Suporte KCS</t>
        </is>
      </c>
    </row>
    <row r="193">
      <c r="A193" s="6" t="n">
        <v>23305170</v>
      </c>
      <c r="B193" s="6" t="n">
        <v>24035818</v>
      </c>
      <c r="C193" s="6" t="inlineStr">
        <is>
          <t>ACC01</t>
        </is>
      </c>
      <c r="D193" s="58" t="n">
        <v>45972.78342592593</v>
      </c>
      <c r="E193" s="58" t="n">
        <v>45972.81658564815</v>
      </c>
      <c r="F193" s="6" t="inlineStr">
        <is>
          <t>09 a 15 dias</t>
        </is>
      </c>
      <c r="G193" s="6" t="inlineStr">
        <is>
          <t>09 a 15 dias</t>
        </is>
      </c>
      <c r="H193" s="6" t="inlineStr">
        <is>
          <t>5TVVAP</t>
        </is>
      </c>
      <c r="I193" s="6" t="inlineStr">
        <is>
          <t>TMS</t>
        </is>
      </c>
      <c r="J193" s="6" t="inlineStr">
        <is>
          <t>WELLENSOHN COSTA</t>
        </is>
      </c>
      <c r="K193" s="6" t="inlineStr">
        <is>
          <t>Cintya Cocco Figueiredo</t>
        </is>
      </c>
      <c r="L193" s="6" t="inlineStr">
        <is>
          <t>Cintya Cocco Figueiredo</t>
        </is>
      </c>
      <c r="M193" s="58" t="n">
        <v>45972.56180555555</v>
      </c>
      <c r="N193" s="6" t="n">
        <v>118602</v>
      </c>
      <c r="O193" s="6" t="inlineStr">
        <is>
          <t>-</t>
        </is>
      </c>
      <c r="P193" s="6" t="inlineStr">
        <is>
          <t>OFF LINE</t>
        </is>
      </c>
      <c r="Q193" s="6" t="inlineStr">
        <is>
          <t>Pagamento direto</t>
        </is>
      </c>
      <c r="R193" s="6" t="inlineStr">
        <is>
          <t>Pagamento direto</t>
        </is>
      </c>
      <c r="S193" s="6" t="inlineStr">
        <is>
          <t>Hotel</t>
        </is>
      </c>
      <c r="T193" s="6" t="inlineStr">
        <is>
          <t>N</t>
        </is>
      </c>
      <c r="U193" s="6" t="inlineStr">
        <is>
          <t>Grupo Deloitte</t>
        </is>
      </c>
      <c r="V193" s="6" t="inlineStr">
        <is>
          <t>Deloitte Assessoria - Recife</t>
        </is>
      </c>
      <c r="W193" s="6" t="inlineStr">
        <is>
          <t>-</t>
        </is>
      </c>
      <c r="X193" s="6" t="inlineStr">
        <is>
          <t>-</t>
        </is>
      </c>
      <c r="Y193" s="6" t="inlineStr">
        <is>
          <t>-</t>
        </is>
      </c>
      <c r="Z193" s="6" t="inlineStr">
        <is>
          <t>KON-OPE-SAO-PVI-BTC-ARGO-DELOITTE</t>
        </is>
      </c>
      <c r="AA193" s="6" t="inlineStr">
        <is>
          <t>-</t>
        </is>
      </c>
      <c r="AB193" s="6" t="n">
        <v>2341.5</v>
      </c>
      <c r="AC193" s="6" t="n">
        <v>0</v>
      </c>
      <c r="AD193" s="6" t="n">
        <v>0</v>
      </c>
      <c r="AE193" s="6" t="n">
        <v>0</v>
      </c>
      <c r="AF193" s="6" t="n">
        <v>0</v>
      </c>
      <c r="AG193" s="6" t="n">
        <v>0</v>
      </c>
      <c r="AH193" s="6" t="n">
        <v>0</v>
      </c>
      <c r="AI193" s="6" t="inlineStr">
        <is>
          <t>Reserva importada do Sistema TMS. OS: 118602</t>
        </is>
      </c>
      <c r="AJ193" s="6" t="inlineStr">
        <is>
          <t>Fornecedor não preenchido! (ACC01)</t>
        </is>
      </c>
      <c r="AK193" s="6" t="inlineStr">
        <is>
          <t>ARGO(TMS)</t>
        </is>
      </c>
      <c r="AL193" s="6" t="inlineStr">
        <is>
          <t>Falta de Fornecedor</t>
        </is>
      </c>
      <c r="AM193" s="6" t="inlineStr">
        <is>
          <t>Campo Fornecedor</t>
        </is>
      </c>
      <c r="AN193" s="6" t="inlineStr">
        <is>
          <t>Dados do Fornecedor</t>
        </is>
      </c>
      <c r="AO193" s="6" t="inlineStr">
        <is>
          <t>Qualidade dos dados</t>
        </is>
      </c>
      <c r="AP193" s="6" t="inlineStr">
        <is>
          <t>KONTIK BUSINESS TRAVEL</t>
        </is>
      </c>
      <c r="AQ193" s="6" t="inlineStr">
        <is>
          <t>Suporte KCS</t>
        </is>
      </c>
    </row>
    <row r="194">
      <c r="A194" s="6" t="n">
        <v>23380405</v>
      </c>
      <c r="B194" s="6" t="n">
        <v>24104095</v>
      </c>
      <c r="C194" s="6" t="inlineStr">
        <is>
          <t>ACC01</t>
        </is>
      </c>
      <c r="D194" s="58" t="n">
        <v>45985.70203703704</v>
      </c>
      <c r="E194" s="58" t="n">
        <v>45985.73324074074</v>
      </c>
      <c r="F194" s="6" t="inlineStr">
        <is>
          <t>0 a 02 dias</t>
        </is>
      </c>
      <c r="G194" s="6" t="inlineStr">
        <is>
          <t>0 a 02 dias</t>
        </is>
      </c>
      <c r="H194" s="6" t="inlineStr">
        <is>
          <t>5U1MTW</t>
        </is>
      </c>
      <c r="I194" s="6" t="inlineStr">
        <is>
          <t>TMS</t>
        </is>
      </c>
      <c r="J194" s="6" t="inlineStr">
        <is>
          <t>VINICIUS FORNAZIER</t>
        </is>
      </c>
      <c r="K194" s="6" t="inlineStr">
        <is>
          <t>Cintya Cocco Figueiredo</t>
        </is>
      </c>
      <c r="L194" s="6" t="inlineStr">
        <is>
          <t>Cintya Cocco Figueiredo</t>
        </is>
      </c>
      <c r="M194" s="58" t="n">
        <v>45985.66944444444</v>
      </c>
      <c r="N194" s="6" t="n">
        <v>119246</v>
      </c>
      <c r="O194" s="6" t="inlineStr">
        <is>
          <t>Porto Alegre / RS, Brasil (POA)</t>
        </is>
      </c>
      <c r="P194" s="6" t="inlineStr">
        <is>
          <t>OFF LINE</t>
        </is>
      </c>
      <c r="Q194" s="6" t="inlineStr">
        <is>
          <t>Pagamento direto</t>
        </is>
      </c>
      <c r="R194" s="6" t="inlineStr">
        <is>
          <t>Pagamento direto</t>
        </is>
      </c>
      <c r="S194" s="6" t="inlineStr">
        <is>
          <t>Carro</t>
        </is>
      </c>
      <c r="T194" s="6" t="inlineStr">
        <is>
          <t>N</t>
        </is>
      </c>
      <c r="U194" s="6" t="inlineStr">
        <is>
          <t>Grupo Deloitte</t>
        </is>
      </c>
      <c r="V194" s="6" t="inlineStr">
        <is>
          <t>Deloitte Consultores - Recife</t>
        </is>
      </c>
      <c r="W194" s="6" t="inlineStr">
        <is>
          <t>-</t>
        </is>
      </c>
      <c r="X194" s="6" t="inlineStr">
        <is>
          <t>-</t>
        </is>
      </c>
      <c r="Y194" s="6" t="inlineStr">
        <is>
          <t>-</t>
        </is>
      </c>
      <c r="Z194" s="6" t="inlineStr">
        <is>
          <t>KON-OPE-SAO-PVI-BTC-ARGO-DELOITTE</t>
        </is>
      </c>
      <c r="AA194" s="6" t="inlineStr">
        <is>
          <t>-</t>
        </is>
      </c>
      <c r="AB194" s="6" t="n">
        <v>1004.49</v>
      </c>
      <c r="AC194" s="6" t="n">
        <v>0</v>
      </c>
      <c r="AD194" s="6" t="n">
        <v>227</v>
      </c>
      <c r="AE194" s="6" t="n">
        <v>0</v>
      </c>
      <c r="AF194" s="6" t="n">
        <v>0</v>
      </c>
      <c r="AG194" s="6" t="n">
        <v>0</v>
      </c>
      <c r="AH194" s="6" t="n">
        <v>0</v>
      </c>
      <c r="AI194" s="6" t="inlineStr">
        <is>
          <t>Reserva importada do Sistema TMS. OS: 119246</t>
        </is>
      </c>
      <c r="AJ194" s="6" t="inlineStr">
        <is>
          <t>Fornecedor não preenchido! (ACC01)</t>
        </is>
      </c>
      <c r="AK194" s="6" t="inlineStr">
        <is>
          <t>ARGO(TMS)</t>
        </is>
      </c>
      <c r="AL194" s="6" t="inlineStr">
        <is>
          <t>Falta de Fornecedor</t>
        </is>
      </c>
      <c r="AM194" s="6" t="inlineStr">
        <is>
          <t>Campo Fornecedor</t>
        </is>
      </c>
      <c r="AN194" s="6" t="inlineStr">
        <is>
          <t>Dados do Fornecedor</t>
        </is>
      </c>
      <c r="AO194" s="6" t="inlineStr">
        <is>
          <t>Qualidade dos dados</t>
        </is>
      </c>
      <c r="AP194" s="6" t="inlineStr">
        <is>
          <t>KONTIK BUSINESS TRAVEL</t>
        </is>
      </c>
      <c r="AQ194" s="6" t="inlineStr">
        <is>
          <t>Suporte KCS</t>
        </is>
      </c>
    </row>
    <row r="195">
      <c r="A195" s="6" t="n">
        <v>23350443</v>
      </c>
      <c r="B195" s="6" t="n">
        <v>24077832</v>
      </c>
      <c r="C195" s="6" t="inlineStr">
        <is>
          <t>ACC01</t>
        </is>
      </c>
      <c r="D195" s="58" t="n">
        <v>45979.87109953703</v>
      </c>
      <c r="E195" s="58" t="n">
        <v>45979.8859837963</v>
      </c>
      <c r="F195" s="6" t="inlineStr">
        <is>
          <t>06 a 08 dias</t>
        </is>
      </c>
      <c r="G195" s="6" t="inlineStr">
        <is>
          <t>06 a 08 dias</t>
        </is>
      </c>
      <c r="H195" s="6" t="inlineStr">
        <is>
          <t>OTUYXO1</t>
        </is>
      </c>
      <c r="I195" s="6" t="inlineStr">
        <is>
          <t>TMS</t>
        </is>
      </c>
      <c r="J195" s="6" t="inlineStr">
        <is>
          <t>RODRIGO FERNANDES</t>
        </is>
      </c>
      <c r="K195" s="6" t="inlineStr">
        <is>
          <t>Adriana Dias de Grano</t>
        </is>
      </c>
      <c r="L195" s="6" t="inlineStr">
        <is>
          <t>Adriana Dias de Grano</t>
        </is>
      </c>
      <c r="M195" s="58" t="n">
        <v>45979.79513888889</v>
      </c>
      <c r="N195" s="6" t="n">
        <v>119426</v>
      </c>
      <c r="O195" s="6" t="inlineStr">
        <is>
          <t>-</t>
        </is>
      </c>
      <c r="P195" s="6" t="inlineStr">
        <is>
          <t>OFF LINE</t>
        </is>
      </c>
      <c r="Q195" s="6" t="inlineStr">
        <is>
          <t>Cartão de crédito</t>
        </is>
      </c>
      <c r="R195" s="6" t="inlineStr">
        <is>
          <t>Cartão AMEX</t>
        </is>
      </c>
      <c r="S195" s="6" t="inlineStr">
        <is>
          <t>Aéreo</t>
        </is>
      </c>
      <c r="T195" s="6" t="inlineStr">
        <is>
          <t>N</t>
        </is>
      </c>
      <c r="U195" s="6" t="inlineStr">
        <is>
          <t>Grupo Deloitte</t>
        </is>
      </c>
      <c r="V195" s="6" t="inlineStr">
        <is>
          <t>Deloitte Consultores - Sao Paulo</t>
        </is>
      </c>
      <c r="W195" s="6" t="inlineStr">
        <is>
          <t>-</t>
        </is>
      </c>
      <c r="X195" s="6" t="inlineStr">
        <is>
          <t>Gol Linhas Aereas</t>
        </is>
      </c>
      <c r="Y195" s="6" t="n">
        <v>2149775014</v>
      </c>
      <c r="Z195" s="6" t="inlineStr">
        <is>
          <t>KON-OPE-SAO-PVI-BTC-ARGO-DELOITTE</t>
        </is>
      </c>
      <c r="AA195" s="6" t="inlineStr">
        <is>
          <t>-</t>
        </is>
      </c>
      <c r="AB195" s="6" t="n">
        <v>0</v>
      </c>
      <c r="AC195" s="6" t="n">
        <v>0</v>
      </c>
      <c r="AD195" s="6" t="n">
        <v>0</v>
      </c>
      <c r="AE195" s="6" t="n">
        <v>0</v>
      </c>
      <c r="AF195" s="6" t="n">
        <v>0</v>
      </c>
      <c r="AG195" s="6" t="n">
        <v>0</v>
      </c>
      <c r="AH195" s="6" t="n">
        <v>0</v>
      </c>
      <c r="AI195" s="6" t="inlineStr">
        <is>
          <t>Reserva importada do Sistema TMS. OS: 119426</t>
        </is>
      </c>
      <c r="AJ195" s="6" t="inlineStr">
        <is>
          <t>Autorização do cartão da forma de pagamento não preenchida! (ACC01) Autorização do cartão da forma de recebimento não preenchida! (ACC01)</t>
        </is>
      </c>
      <c r="AK195" s="6" t="inlineStr">
        <is>
          <t>ARGO(TMS)</t>
        </is>
      </c>
      <c r="AL195" s="6" t="inlineStr">
        <is>
          <t>Mais de um campo não preenchido</t>
        </is>
      </c>
      <c r="AM195" s="6" t="inlineStr">
        <is>
          <t>Falta de informação Gerencial</t>
        </is>
      </c>
      <c r="AN195" s="6" t="inlineStr">
        <is>
          <t>Dados do Fornecedor</t>
        </is>
      </c>
      <c r="AO195" s="6" t="inlineStr">
        <is>
          <t>Qualidade dos dados</t>
        </is>
      </c>
      <c r="AP195" s="6" t="inlineStr">
        <is>
          <t>KONTIK BUSINESS TRAVEL</t>
        </is>
      </c>
      <c r="AQ195" s="6" t="inlineStr">
        <is>
          <t>Operações - CORP</t>
        </is>
      </c>
    </row>
    <row r="196">
      <c r="A196" s="6" t="n">
        <v>23350447</v>
      </c>
      <c r="B196" s="6" t="n">
        <v>24077836</v>
      </c>
      <c r="C196" s="6" t="inlineStr">
        <is>
          <t>ACC01</t>
        </is>
      </c>
      <c r="D196" s="58" t="n">
        <v>45979.8712037037</v>
      </c>
      <c r="E196" s="58" t="n">
        <v>45979.8860300926</v>
      </c>
      <c r="F196" s="6" t="inlineStr">
        <is>
          <t>06 a 08 dias</t>
        </is>
      </c>
      <c r="G196" s="6" t="inlineStr">
        <is>
          <t>06 a 08 dias</t>
        </is>
      </c>
      <c r="H196" s="6" t="inlineStr">
        <is>
          <t>ONPIVH1</t>
        </is>
      </c>
      <c r="I196" s="6" t="inlineStr">
        <is>
          <t>TMS</t>
        </is>
      </c>
      <c r="J196" s="6" t="inlineStr">
        <is>
          <t>LAIS COSTA</t>
        </is>
      </c>
      <c r="K196" s="6" t="inlineStr">
        <is>
          <t>Adriana Dias de Grano</t>
        </is>
      </c>
      <c r="L196" s="6" t="inlineStr">
        <is>
          <t>Adriana Dias de Grano</t>
        </is>
      </c>
      <c r="M196" s="58" t="n">
        <v>45979.78888888889</v>
      </c>
      <c r="N196" s="6" t="n">
        <v>119423</v>
      </c>
      <c r="O196" s="6" t="inlineStr">
        <is>
          <t>-</t>
        </is>
      </c>
      <c r="P196" s="6" t="inlineStr">
        <is>
          <t>OFF LINE</t>
        </is>
      </c>
      <c r="Q196" s="6" t="inlineStr">
        <is>
          <t>Cartão de crédito</t>
        </is>
      </c>
      <c r="R196" s="6" t="inlineStr">
        <is>
          <t>Cartão AMEX</t>
        </is>
      </c>
      <c r="S196" s="6" t="inlineStr">
        <is>
          <t>Aéreo</t>
        </is>
      </c>
      <c r="T196" s="6" t="inlineStr">
        <is>
          <t>N</t>
        </is>
      </c>
      <c r="U196" s="6" t="inlineStr">
        <is>
          <t>Grupo Deloitte</t>
        </is>
      </c>
      <c r="V196" s="6" t="inlineStr">
        <is>
          <t>Deloitte Consultores - Sao Paulo</t>
        </is>
      </c>
      <c r="W196" s="6" t="inlineStr">
        <is>
          <t>-</t>
        </is>
      </c>
      <c r="X196" s="6" t="inlineStr">
        <is>
          <t>Gol Linhas Aereas</t>
        </is>
      </c>
      <c r="Y196" s="6" t="n">
        <v>2149774204</v>
      </c>
      <c r="Z196" s="6" t="inlineStr">
        <is>
          <t>KON-OPE-SAO-PVI-BTC-ARGO-DELOITTE</t>
        </is>
      </c>
      <c r="AA196" s="6" t="inlineStr">
        <is>
          <t>-</t>
        </is>
      </c>
      <c r="AB196" s="6" t="n">
        <v>0</v>
      </c>
      <c r="AC196" s="6" t="n">
        <v>0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inlineStr">
        <is>
          <t>Reserva importada do Sistema TMS. OS: 119423</t>
        </is>
      </c>
      <c r="AJ196" s="6" t="inlineStr">
        <is>
          <t>Autorização do cartão da forma de pagamento não preenchida! (ACC01) Autorização do cartão da forma de recebimento não preenchida! (ACC01)</t>
        </is>
      </c>
      <c r="AK196" s="6" t="inlineStr">
        <is>
          <t>ARGO(TMS)</t>
        </is>
      </c>
      <c r="AL196" s="6" t="inlineStr">
        <is>
          <t>Mais de um campo não preenchido</t>
        </is>
      </c>
      <c r="AM196" s="6" t="inlineStr">
        <is>
          <t>Falta de informação Gerencial</t>
        </is>
      </c>
      <c r="AN196" s="6" t="inlineStr">
        <is>
          <t>Dados do Fornecedor</t>
        </is>
      </c>
      <c r="AO196" s="6" t="inlineStr">
        <is>
          <t>Qualidade dos dados</t>
        </is>
      </c>
      <c r="AP196" s="6" t="inlineStr">
        <is>
          <t>KONTIK BUSINESS TRAVEL</t>
        </is>
      </c>
      <c r="AQ196" s="6" t="inlineStr">
        <is>
          <t>Operações - CORP</t>
        </is>
      </c>
    </row>
    <row r="197">
      <c r="A197" s="6" t="n">
        <v>23350449</v>
      </c>
      <c r="B197" s="6" t="n">
        <v>24077837</v>
      </c>
      <c r="C197" s="6" t="inlineStr">
        <is>
          <t>ACC01</t>
        </is>
      </c>
      <c r="D197" s="58" t="n">
        <v>45979.87126157407</v>
      </c>
      <c r="E197" s="58" t="n">
        <v>45979.8860300926</v>
      </c>
      <c r="F197" s="6" t="inlineStr">
        <is>
          <t>06 a 08 dias</t>
        </is>
      </c>
      <c r="G197" s="6" t="inlineStr">
        <is>
          <t>06 a 08 dias</t>
        </is>
      </c>
      <c r="H197" s="6" t="inlineStr">
        <is>
          <t>FBDCUI1</t>
        </is>
      </c>
      <c r="I197" s="6" t="inlineStr">
        <is>
          <t>TMS</t>
        </is>
      </c>
      <c r="J197" s="6" t="inlineStr">
        <is>
          <t>JULIO CHACON</t>
        </is>
      </c>
      <c r="K197" s="6" t="inlineStr">
        <is>
          <t>Adriana Dias de Grano</t>
        </is>
      </c>
      <c r="L197" s="6" t="inlineStr">
        <is>
          <t>Adriana Dias de Grano</t>
        </is>
      </c>
      <c r="M197" s="58" t="n">
        <v>45979.78402777778</v>
      </c>
      <c r="N197" s="6" t="n">
        <v>119422</v>
      </c>
      <c r="O197" s="6" t="inlineStr">
        <is>
          <t>-</t>
        </is>
      </c>
      <c r="P197" s="6" t="inlineStr">
        <is>
          <t>OFF LINE</t>
        </is>
      </c>
      <c r="Q197" s="6" t="inlineStr">
        <is>
          <t>Cartão de crédito</t>
        </is>
      </c>
      <c r="R197" s="6" t="inlineStr">
        <is>
          <t>Cartão AMEX</t>
        </is>
      </c>
      <c r="S197" s="6" t="inlineStr">
        <is>
          <t>Aéreo</t>
        </is>
      </c>
      <c r="T197" s="6" t="inlineStr">
        <is>
          <t>N</t>
        </is>
      </c>
      <c r="U197" s="6" t="inlineStr">
        <is>
          <t>Grupo Deloitte</t>
        </is>
      </c>
      <c r="V197" s="6" t="inlineStr">
        <is>
          <t>Deloitte Auditores - Sao Paulo</t>
        </is>
      </c>
      <c r="W197" s="6" t="inlineStr">
        <is>
          <t>-</t>
        </is>
      </c>
      <c r="X197" s="6" t="inlineStr">
        <is>
          <t>Gol Linhas Aereas</t>
        </is>
      </c>
      <c r="Y197" s="6" t="n">
        <v>2149773506</v>
      </c>
      <c r="Z197" s="6" t="inlineStr">
        <is>
          <t>KON-OPE-SAO-PVI-BTC-ARGO-DELOITTE</t>
        </is>
      </c>
      <c r="AA197" s="6" t="inlineStr">
        <is>
          <t>-</t>
        </is>
      </c>
      <c r="AB197" s="6" t="n">
        <v>0</v>
      </c>
      <c r="AC197" s="6" t="n">
        <v>0</v>
      </c>
      <c r="AD197" s="6" t="n">
        <v>0</v>
      </c>
      <c r="AE197" s="6" t="n">
        <v>0</v>
      </c>
      <c r="AF197" s="6" t="n">
        <v>0</v>
      </c>
      <c r="AG197" s="6" t="n">
        <v>0</v>
      </c>
      <c r="AH197" s="6" t="n">
        <v>0</v>
      </c>
      <c r="AI197" s="6" t="inlineStr">
        <is>
          <t>Reserva importada do Sistema TMS. OS: 119422</t>
        </is>
      </c>
      <c r="AJ197" s="6" t="inlineStr">
        <is>
          <t>Autorização do cartão da forma de pagamento não preenchida! (ACC01) Autorização do cartão da forma de recebimento não preenchida! (ACC01)</t>
        </is>
      </c>
      <c r="AK197" s="6" t="inlineStr">
        <is>
          <t>ARGO(TMS)</t>
        </is>
      </c>
      <c r="AL197" s="6" t="inlineStr">
        <is>
          <t>Mais de um campo não preenchido</t>
        </is>
      </c>
      <c r="AM197" s="6" t="inlineStr">
        <is>
          <t>Falta de informação Gerencial</t>
        </is>
      </c>
      <c r="AN197" s="6" t="inlineStr">
        <is>
          <t>Dados do Fornecedor</t>
        </is>
      </c>
      <c r="AO197" s="6" t="inlineStr">
        <is>
          <t>Qualidade dos dados</t>
        </is>
      </c>
      <c r="AP197" s="6" t="inlineStr">
        <is>
          <t>KONTIK BUSINESS TRAVEL</t>
        </is>
      </c>
      <c r="AQ197" s="6" t="inlineStr">
        <is>
          <t>Operações - CORP</t>
        </is>
      </c>
    </row>
    <row r="198">
      <c r="A198" s="6" t="n">
        <v>21958084</v>
      </c>
      <c r="B198" s="6" t="n">
        <v>22853091</v>
      </c>
      <c r="C198" s="6" t="inlineStr">
        <is>
          <t>ACC01</t>
        </is>
      </c>
      <c r="D198" s="58" t="n">
        <v>45756.83663194445</v>
      </c>
      <c r="E198" s="58" t="n">
        <v>45972.36571759259</v>
      </c>
      <c r="F198" s="6" t="inlineStr">
        <is>
          <t>09 a 15 dias</t>
        </is>
      </c>
      <c r="G198" s="6" t="inlineStr">
        <is>
          <t>31 dias ou +</t>
        </is>
      </c>
      <c r="H198" s="6" t="inlineStr">
        <is>
          <t>FVRELX1</t>
        </is>
      </c>
      <c r="I198" s="6" t="inlineStr">
        <is>
          <t>TMS</t>
        </is>
      </c>
      <c r="J198" s="6" t="inlineStr">
        <is>
          <t>PRISCILA PEREIRA</t>
        </is>
      </c>
      <c r="K198" s="6" t="inlineStr">
        <is>
          <t>Adriana Dias de Grano</t>
        </is>
      </c>
      <c r="L198" s="6" t="inlineStr">
        <is>
          <t>Adriana Dias de Grano</t>
        </is>
      </c>
      <c r="M198" s="58" t="n">
        <v>45756.76111111111</v>
      </c>
      <c r="N198" s="6" t="n">
        <v>103800</v>
      </c>
      <c r="O198" s="6" t="inlineStr">
        <is>
          <t>-</t>
        </is>
      </c>
      <c r="P198" s="6" t="inlineStr">
        <is>
          <t>OFF LINE</t>
        </is>
      </c>
      <c r="Q198" s="6" t="inlineStr">
        <is>
          <t>Cartão de crédito</t>
        </is>
      </c>
      <c r="R198" s="6" t="inlineStr">
        <is>
          <t>Cartão AMEX</t>
        </is>
      </c>
      <c r="S198" s="6" t="inlineStr">
        <is>
          <t>Aéreo</t>
        </is>
      </c>
      <c r="T198" s="6" t="inlineStr">
        <is>
          <t>N</t>
        </is>
      </c>
      <c r="U198" s="6" t="inlineStr">
        <is>
          <t>Grupo Deloitte</t>
        </is>
      </c>
      <c r="V198" s="6" t="inlineStr">
        <is>
          <t>Deloitte Consultores - Sao Paulo</t>
        </is>
      </c>
      <c r="W198" s="6" t="inlineStr">
        <is>
          <t>-</t>
        </is>
      </c>
      <c r="X198" s="6" t="inlineStr">
        <is>
          <t>Gol Linhas Aereas</t>
        </is>
      </c>
      <c r="Y198" s="6" t="n">
        <v>2135764403</v>
      </c>
      <c r="Z198" s="6" t="inlineStr">
        <is>
          <t>KON-OPE-SAO-PVI-BTC-ARGO-DELOITTE</t>
        </is>
      </c>
      <c r="AA198" s="6" t="inlineStr">
        <is>
          <t>-</t>
        </is>
      </c>
      <c r="AB198" s="6" t="n">
        <v>0</v>
      </c>
      <c r="AC198" s="6" t="n">
        <v>0</v>
      </c>
      <c r="AD198" s="6" t="n">
        <v>0</v>
      </c>
      <c r="AE198" s="6" t="n">
        <v>0</v>
      </c>
      <c r="AF198" s="6" t="n">
        <v>0</v>
      </c>
      <c r="AG198" s="6" t="n">
        <v>0</v>
      </c>
      <c r="AH198" s="6" t="n">
        <v>0</v>
      </c>
      <c r="AI198" s="6" t="inlineStr">
        <is>
          <t>Reserva importada do Sistema TMS. OS: 103800</t>
        </is>
      </c>
      <c r="AJ198" s="6" t="inlineStr">
        <is>
          <t>Autorização do cartão da forma de pagamento não preenchida! (ACC01) Autorização do cartão da forma de recebimento não preenchida! (ACC01)</t>
        </is>
      </c>
      <c r="AK198" s="6" t="inlineStr">
        <is>
          <t>ARGO(TMS)</t>
        </is>
      </c>
      <c r="AL198" s="6" t="inlineStr">
        <is>
          <t>Mais de um campo não preenchido</t>
        </is>
      </c>
      <c r="AM198" s="6" t="inlineStr">
        <is>
          <t>Falta de informação Gerencial</t>
        </is>
      </c>
      <c r="AN198" s="6" t="inlineStr">
        <is>
          <t>Dados do Fornecedor</t>
        </is>
      </c>
      <c r="AO198" s="6" t="inlineStr">
        <is>
          <t>Qualidade dos dados</t>
        </is>
      </c>
      <c r="AP198" s="6" t="inlineStr">
        <is>
          <t>KONTIK BUSINESS TRAVEL</t>
        </is>
      </c>
      <c r="AQ198" s="6" t="inlineStr">
        <is>
          <t>Operações - CORP</t>
        </is>
      </c>
    </row>
    <row r="199">
      <c r="A199" s="6" t="n">
        <v>21878709</v>
      </c>
      <c r="B199" s="6" t="n">
        <v>22784732</v>
      </c>
      <c r="C199" s="6" t="inlineStr">
        <is>
          <t>ACC01</t>
        </is>
      </c>
      <c r="D199" s="58" t="n">
        <v>45742.15415509259</v>
      </c>
      <c r="E199" s="58" t="n">
        <v>45972.36524305555</v>
      </c>
      <c r="F199" s="6" t="inlineStr">
        <is>
          <t>09 a 15 dias</t>
        </is>
      </c>
      <c r="G199" s="6" t="inlineStr">
        <is>
          <t>31 dias ou +</t>
        </is>
      </c>
      <c r="H199" s="6" t="inlineStr">
        <is>
          <t>HMRP3N1</t>
        </is>
      </c>
      <c r="I199" s="6" t="inlineStr">
        <is>
          <t>TMS</t>
        </is>
      </c>
      <c r="J199" s="6" t="inlineStr">
        <is>
          <t>ILVANIR CASTRO</t>
        </is>
      </c>
      <c r="K199" s="6" t="inlineStr">
        <is>
          <t>Adriana Dias de Grano</t>
        </is>
      </c>
      <c r="L199" s="6" t="inlineStr">
        <is>
          <t>Adriana Dias de Grano</t>
        </is>
      </c>
      <c r="M199" s="58" t="n">
        <v>45741.76597222222</v>
      </c>
      <c r="N199" s="6" t="n">
        <v>102823</v>
      </c>
      <c r="O199" s="6" t="inlineStr">
        <is>
          <t>-</t>
        </is>
      </c>
      <c r="P199" s="6" t="inlineStr">
        <is>
          <t>OFF LINE</t>
        </is>
      </c>
      <c r="Q199" s="6" t="inlineStr">
        <is>
          <t>Cartão de crédito</t>
        </is>
      </c>
      <c r="R199" s="6" t="inlineStr">
        <is>
          <t>Cartão AMEX</t>
        </is>
      </c>
      <c r="S199" s="6" t="inlineStr">
        <is>
          <t>Aéreo</t>
        </is>
      </c>
      <c r="T199" s="6" t="inlineStr">
        <is>
          <t>N</t>
        </is>
      </c>
      <c r="U199" s="6" t="inlineStr">
        <is>
          <t>Grupo Deloitte</t>
        </is>
      </c>
      <c r="V199" s="6" t="inlineStr">
        <is>
          <t>Deloitte Operate Services</t>
        </is>
      </c>
      <c r="W199" s="6" t="inlineStr">
        <is>
          <t>-</t>
        </is>
      </c>
      <c r="X199" s="6" t="inlineStr">
        <is>
          <t>Azul Linhas Aereas</t>
        </is>
      </c>
      <c r="Y199" s="6" t="n">
        <v>3022784732</v>
      </c>
      <c r="Z199" s="6" t="inlineStr">
        <is>
          <t>KON-OPE-SAO-PVI-BTC-ARGO-DELOITTE</t>
        </is>
      </c>
      <c r="AA199" s="6" t="inlineStr">
        <is>
          <t>-</t>
        </is>
      </c>
      <c r="AB199" s="6" t="n">
        <v>0</v>
      </c>
      <c r="AC199" s="6" t="n">
        <v>0</v>
      </c>
      <c r="AD199" s="6" t="n">
        <v>0</v>
      </c>
      <c r="AE199" s="6" t="n">
        <v>0</v>
      </c>
      <c r="AF199" s="6" t="n">
        <v>0</v>
      </c>
      <c r="AG199" s="6" t="n">
        <v>0</v>
      </c>
      <c r="AH199" s="6" t="n">
        <v>0</v>
      </c>
      <c r="AI199" s="6" t="inlineStr">
        <is>
          <t>Reserva importada do Sistema TMS. OS: 102823</t>
        </is>
      </c>
      <c r="AJ199" s="6" t="inlineStr">
        <is>
          <t>Autorização do cartão da forma de pagamento não preenchida! (ACC01) Autorização do cartão da forma de recebimento não preenchida! (ACC01)</t>
        </is>
      </c>
      <c r="AK199" s="6" t="inlineStr">
        <is>
          <t>ARGO(TMS)</t>
        </is>
      </c>
      <c r="AL199" s="6" t="inlineStr">
        <is>
          <t>Mais de um campo não preenchido</t>
        </is>
      </c>
      <c r="AM199" s="6" t="inlineStr">
        <is>
          <t>Falta de informação Gerencial</t>
        </is>
      </c>
      <c r="AN199" s="6" t="inlineStr">
        <is>
          <t>Dados do Fornecedor</t>
        </is>
      </c>
      <c r="AO199" s="6" t="inlineStr">
        <is>
          <t>Qualidade dos dados</t>
        </is>
      </c>
      <c r="AP199" s="6" t="inlineStr">
        <is>
          <t>KONTIK BUSINESS TRAVEL</t>
        </is>
      </c>
      <c r="AQ199" s="6" t="inlineStr">
        <is>
          <t>Operações - CORP</t>
        </is>
      </c>
    </row>
    <row r="200">
      <c r="A200" s="6" t="n">
        <v>23381846</v>
      </c>
      <c r="B200" s="6" t="n">
        <v>24105516</v>
      </c>
      <c r="C200" s="6" t="inlineStr">
        <is>
          <t>ACC01</t>
        </is>
      </c>
      <c r="D200" s="58" t="n">
        <v>45985.84363425926</v>
      </c>
      <c r="E200" s="58" t="n">
        <v>45985.85671296297</v>
      </c>
      <c r="F200" s="6" t="inlineStr">
        <is>
          <t>0 a 02 dias</t>
        </is>
      </c>
      <c r="G200" s="6" t="inlineStr">
        <is>
          <t>0 a 02 dias</t>
        </is>
      </c>
      <c r="H200" s="6" t="inlineStr">
        <is>
          <t>FCVZIZ</t>
        </is>
      </c>
      <c r="I200" s="6" t="inlineStr">
        <is>
          <t>SABRE</t>
        </is>
      </c>
      <c r="J200" s="6" t="inlineStr">
        <is>
          <t>CALDEIRA/MICHELLE MACHADO MIS</t>
        </is>
      </c>
      <c r="K200" s="6" t="inlineStr">
        <is>
          <t>Itamar de Souza</t>
        </is>
      </c>
      <c r="L200" s="6" t="inlineStr">
        <is>
          <t>WS</t>
        </is>
      </c>
      <c r="M200" s="58" t="n">
        <v>45985.62916666667</v>
      </c>
      <c r="N200" s="6" t="inlineStr">
        <is>
          <t>FCVZIZ</t>
        </is>
      </c>
      <c r="O200" s="6" t="inlineStr">
        <is>
          <t>-</t>
        </is>
      </c>
      <c r="P200" s="6" t="inlineStr">
        <is>
          <t>ON LINE</t>
        </is>
      </c>
      <c r="Q200" s="6" t="inlineStr">
        <is>
          <t>Invoice</t>
        </is>
      </c>
      <c r="R200" s="6" t="inlineStr">
        <is>
          <t>Faturado</t>
        </is>
      </c>
      <c r="S200" s="6" t="inlineStr">
        <is>
          <t>Aéreo</t>
        </is>
      </c>
      <c r="T200" s="6" t="inlineStr">
        <is>
          <t>N</t>
        </is>
      </c>
      <c r="U200" s="6" t="inlineStr">
        <is>
          <t>Grupo Ses</t>
        </is>
      </c>
      <c r="V200" s="6" t="inlineStr">
        <is>
          <t>Ses Dth</t>
        </is>
      </c>
      <c r="W200" s="6" t="inlineStr">
        <is>
          <t>-</t>
        </is>
      </c>
      <c r="X200" s="6" t="inlineStr">
        <is>
          <t>Latam Airlines Brasil</t>
        </is>
      </c>
      <c r="Y200" s="6" t="n">
        <v>5580637808</v>
      </c>
      <c r="Z200" s="6" t="inlineStr">
        <is>
          <t>FCM-OPE-SAO-PVI-BTC-CONCUR</t>
        </is>
      </c>
      <c r="AA200" s="6" t="inlineStr">
        <is>
          <t>-</t>
        </is>
      </c>
      <c r="AB200" s="6" t="n">
        <v>1935.3793</v>
      </c>
      <c r="AC200" s="6" t="n">
        <v>93.48999999999999</v>
      </c>
      <c r="AD200" s="6" t="n">
        <v>0</v>
      </c>
      <c r="AE200" s="6" t="n">
        <v>0</v>
      </c>
      <c r="AF200" s="6" t="n">
        <v>93.48999999999999</v>
      </c>
      <c r="AG200" s="6" t="n">
        <v>0</v>
      </c>
      <c r="AH200" s="6" t="n">
        <v>0</v>
      </c>
      <c r="AI200" s="6" t="inlineStr">
        <is>
          <t>Reserva importada por HubTravel</t>
        </is>
      </c>
      <c r="AJ200" s="6" t="inlineStr">
        <is>
          <t>Centro de custo não preenchido! (ACC01) Empenho/departamento não preenchido! (ACC01) Matrícula não preenchida! (ACC01)</t>
        </is>
      </c>
      <c r="AK200" s="6" t="inlineStr">
        <is>
          <t>SABRE</t>
        </is>
      </c>
      <c r="AL200" s="6" t="inlineStr">
        <is>
          <t>Mais de um campo não preenchido</t>
        </is>
      </c>
      <c r="AM200" s="6" t="inlineStr">
        <is>
          <t>Falta de informação Gerencial</t>
        </is>
      </c>
      <c r="AN200" s="6" t="inlineStr">
        <is>
          <t>Dados do Fornecedor</t>
        </is>
      </c>
      <c r="AO200" s="6" t="inlineStr">
        <is>
          <t>Qualidade dos dados</t>
        </is>
      </c>
      <c r="AP200" s="6" t="inlineStr">
        <is>
          <t>GRUPO KONTIK</t>
        </is>
      </c>
      <c r="AQ200" s="6" t="inlineStr">
        <is>
          <t>Central de Emissão</t>
        </is>
      </c>
    </row>
    <row r="201">
      <c r="A201" s="6" t="n">
        <v>23381849</v>
      </c>
      <c r="B201" s="6" t="n">
        <v>24105518</v>
      </c>
      <c r="C201" s="6" t="inlineStr">
        <is>
          <t>ACC01</t>
        </is>
      </c>
      <c r="D201" s="58" t="n">
        <v>45985.8437962963</v>
      </c>
      <c r="E201" s="58" t="n">
        <v>45985.85672453704</v>
      </c>
      <c r="F201" s="6" t="inlineStr">
        <is>
          <t>0 a 02 dias</t>
        </is>
      </c>
      <c r="G201" s="6" t="inlineStr">
        <is>
          <t>0 a 02 dias</t>
        </is>
      </c>
      <c r="H201" s="6" t="inlineStr">
        <is>
          <t>NZXWYO</t>
        </is>
      </c>
      <c r="I201" s="6" t="inlineStr">
        <is>
          <t>SABRE</t>
        </is>
      </c>
      <c r="J201" s="6" t="inlineStr">
        <is>
          <t>DOS SANTOS/MARCOS JESUS</t>
        </is>
      </c>
      <c r="K201" s="6" t="inlineStr">
        <is>
          <t>Clayton Alves de Rezende</t>
        </is>
      </c>
      <c r="L201" s="6" t="inlineStr">
        <is>
          <t>WS</t>
        </is>
      </c>
      <c r="M201" s="58" t="n">
        <v>45985.59791666667</v>
      </c>
      <c r="N201" s="6" t="inlineStr">
        <is>
          <t>NZXWYO</t>
        </is>
      </c>
      <c r="O201" s="6" t="inlineStr">
        <is>
          <t>-</t>
        </is>
      </c>
      <c r="P201" s="6" t="inlineStr">
        <is>
          <t>ON LINE</t>
        </is>
      </c>
      <c r="Q201" s="6" t="inlineStr">
        <is>
          <t>Cartão de crédito</t>
        </is>
      </c>
      <c r="R201" s="6" t="inlineStr">
        <is>
          <t>Cartão de crédito</t>
        </is>
      </c>
      <c r="S201" s="6" t="inlineStr">
        <is>
          <t>Aéreo</t>
        </is>
      </c>
      <c r="T201" s="6" t="inlineStr">
        <is>
          <t>N</t>
        </is>
      </c>
      <c r="U201" s="6" t="inlineStr">
        <is>
          <t>Grupo Ses</t>
        </is>
      </c>
      <c r="V201" s="6" t="inlineStr">
        <is>
          <t>Ses Dth</t>
        </is>
      </c>
      <c r="W201" s="6" t="inlineStr">
        <is>
          <t>-</t>
        </is>
      </c>
      <c r="X201" s="6" t="inlineStr">
        <is>
          <t>United</t>
        </is>
      </c>
      <c r="Y201" s="6" t="n">
        <v>5580637809</v>
      </c>
      <c r="Z201" s="6" t="inlineStr">
        <is>
          <t>FCM-OPE-SAO-PVI-BTC-CONCUR</t>
        </is>
      </c>
      <c r="AA201" s="6" t="inlineStr">
        <is>
          <t>-</t>
        </is>
      </c>
      <c r="AB201" s="6" t="n">
        <v>9810.16</v>
      </c>
      <c r="AC201" s="6" t="n">
        <v>59.54</v>
      </c>
      <c r="AD201" s="6" t="n">
        <v>399.54</v>
      </c>
      <c r="AE201" s="6" t="n">
        <v>0</v>
      </c>
      <c r="AF201" s="6" t="n">
        <v>59.54</v>
      </c>
      <c r="AG201" s="6" t="n">
        <v>0</v>
      </c>
      <c r="AH201" s="6" t="n">
        <v>0</v>
      </c>
      <c r="AI201" s="6" t="inlineStr">
        <is>
          <t>Reserva importada por HubTravel</t>
        </is>
      </c>
      <c r="AJ201" s="6" t="inlineStr">
        <is>
          <t>Centro de custo não preenchido! (ACC01) Empenho/departamento não preenchido! (ACC01) Matrícula não preenchida! (ACC01)</t>
        </is>
      </c>
      <c r="AK201" s="6" t="inlineStr">
        <is>
          <t>SABRE</t>
        </is>
      </c>
      <c r="AL201" s="6" t="inlineStr">
        <is>
          <t>Mais de um campo não preenchido</t>
        </is>
      </c>
      <c r="AM201" s="6" t="inlineStr">
        <is>
          <t>Falta de informação Gerencial</t>
        </is>
      </c>
      <c r="AN201" s="6" t="inlineStr">
        <is>
          <t>Dados do Fornecedor</t>
        </is>
      </c>
      <c r="AO201" s="6" t="inlineStr">
        <is>
          <t>Qualidade dos dados</t>
        </is>
      </c>
      <c r="AP201" s="6" t="inlineStr">
        <is>
          <t>GRUPO KONTIK</t>
        </is>
      </c>
      <c r="AQ201" s="6" t="inlineStr">
        <is>
          <t>Central de Emissão</t>
        </is>
      </c>
    </row>
    <row r="202">
      <c r="A202" s="6" t="n">
        <v>23252906</v>
      </c>
      <c r="B202" s="6" t="n">
        <v>23985547</v>
      </c>
      <c r="C202" s="6" t="inlineStr">
        <is>
          <t>ACC01</t>
        </is>
      </c>
      <c r="D202" s="58" t="n">
        <v>45965.39957175926</v>
      </c>
      <c r="E202" s="58" t="n">
        <v>45965.40332175926</v>
      </c>
      <c r="F202" s="59" t="inlineStr">
        <is>
          <t>16 a 23 dias</t>
        </is>
      </c>
      <c r="G202" s="59" t="inlineStr">
        <is>
          <t>16 a 23 dias</t>
        </is>
      </c>
      <c r="H202" s="6" t="inlineStr">
        <is>
          <t>QXKNDR</t>
        </is>
      </c>
      <c r="I202" s="6" t="inlineStr">
        <is>
          <t>GOVER</t>
        </is>
      </c>
      <c r="J202" s="6" t="inlineStr">
        <is>
          <t>THASSIA CONTI DE ALBUQUERQUE</t>
        </is>
      </c>
      <c r="K202" s="6" t="inlineStr">
        <is>
          <t>Gover</t>
        </is>
      </c>
      <c r="L202" s="6" t="inlineStr">
        <is>
          <t>Gover</t>
        </is>
      </c>
      <c r="M202" s="58" t="n">
        <v>45965.39444444444</v>
      </c>
      <c r="N202" s="6" t="n">
        <v>4623151</v>
      </c>
      <c r="O202" s="6" t="inlineStr">
        <is>
          <t>-</t>
        </is>
      </c>
      <c r="P202" s="6" t="inlineStr">
        <is>
          <t>ON LINE</t>
        </is>
      </c>
      <c r="Q202" s="6" t="inlineStr">
        <is>
          <t>Pagamento direto</t>
        </is>
      </c>
      <c r="R202" s="6" t="inlineStr">
        <is>
          <t>Pagamento direto</t>
        </is>
      </c>
      <c r="S202" s="6" t="inlineStr">
        <is>
          <t>Hotel</t>
        </is>
      </c>
      <c r="T202" s="6" t="inlineStr">
        <is>
          <t>N</t>
        </is>
      </c>
      <c r="U202" s="6" t="inlineStr">
        <is>
          <t>Grupo Firmenich</t>
        </is>
      </c>
      <c r="V202" s="6" t="inlineStr">
        <is>
          <t>Firmenich</t>
        </is>
      </c>
      <c r="W202" s="6" t="inlineStr">
        <is>
          <t>-</t>
        </is>
      </c>
      <c r="X202" s="6" t="inlineStr">
        <is>
          <t>-</t>
        </is>
      </c>
      <c r="Y202" s="6" t="inlineStr">
        <is>
          <t>-</t>
        </is>
      </c>
      <c r="Z202" s="6" t="inlineStr">
        <is>
          <t>FCM-OPE-SAO-PVI-BTC-FIRMENICH</t>
        </is>
      </c>
      <c r="AA202" s="6" t="inlineStr">
        <is>
          <t>-</t>
        </is>
      </c>
      <c r="AB202" s="6" t="n">
        <v>700.38</v>
      </c>
      <c r="AC202" s="6" t="n">
        <v>34.23</v>
      </c>
      <c r="AD202" s="6" t="n">
        <v>0</v>
      </c>
      <c r="AE202" s="6" t="n">
        <v>0</v>
      </c>
      <c r="AF202" s="6" t="n">
        <v>0</v>
      </c>
      <c r="AG202" s="6" t="n">
        <v>0</v>
      </c>
      <c r="AH202" s="6" t="n">
        <v>0</v>
      </c>
      <c r="AI202" s="6" t="inlineStr">
        <is>
          <t>Reserva importada do sistema Gover. Id: 4623151</t>
        </is>
      </c>
      <c r="AJ202" s="6" t="inlineStr">
        <is>
          <t>Fornecedor não preenchido! (ACC01)</t>
        </is>
      </c>
      <c r="AK202" s="6" t="inlineStr">
        <is>
          <t>GOVER</t>
        </is>
      </c>
      <c r="AL202" s="6" t="inlineStr">
        <is>
          <t>Falta de Fornecedor</t>
        </is>
      </c>
      <c r="AM202" s="6" t="inlineStr">
        <is>
          <t>Campo Fornecedor</t>
        </is>
      </c>
      <c r="AN202" s="6" t="inlineStr">
        <is>
          <t>Dados do Fornecedor</t>
        </is>
      </c>
      <c r="AO202" s="6" t="inlineStr">
        <is>
          <t>Sistêmico</t>
        </is>
      </c>
      <c r="AP202" s="6" t="inlineStr">
        <is>
          <t>GRUPO KONTIK</t>
        </is>
      </c>
      <c r="AQ202" s="6" t="inlineStr">
        <is>
          <t>Suporte Benner</t>
        </is>
      </c>
    </row>
    <row r="203">
      <c r="A203" s="6" t="n">
        <v>23355982</v>
      </c>
      <c r="B203" s="6" t="n">
        <v>24082945</v>
      </c>
      <c r="C203" s="6" t="inlineStr">
        <is>
          <t>ACC01</t>
        </is>
      </c>
      <c r="D203" s="58" t="n">
        <v>45980.71837962963</v>
      </c>
      <c r="E203" s="58" t="n">
        <v>45980.71973379629</v>
      </c>
      <c r="F203" s="6" t="inlineStr">
        <is>
          <t>06 a 08 dias</t>
        </is>
      </c>
      <c r="G203" s="6" t="inlineStr">
        <is>
          <t>06 a 08 dias</t>
        </is>
      </c>
      <c r="H203" s="6" t="inlineStr">
        <is>
          <t>EARTCC</t>
        </is>
      </c>
      <c r="I203" s="6" t="inlineStr">
        <is>
          <t>GOVER</t>
        </is>
      </c>
      <c r="J203" s="6" t="inlineStr">
        <is>
          <t>RAFAEL LIMA DE OLIVEIRA</t>
        </is>
      </c>
      <c r="K203" s="6" t="inlineStr">
        <is>
          <t>Gover</t>
        </is>
      </c>
      <c r="L203" s="6" t="inlineStr">
        <is>
          <t>Gover</t>
        </is>
      </c>
      <c r="M203" s="58" t="n">
        <v>45979.61527777778</v>
      </c>
      <c r="N203" s="6" t="n">
        <v>4629648</v>
      </c>
      <c r="O203" s="6" t="inlineStr">
        <is>
          <t>-</t>
        </is>
      </c>
      <c r="P203" s="6" t="inlineStr">
        <is>
          <t>OFF LINE</t>
        </is>
      </c>
      <c r="Q203" s="6" t="inlineStr">
        <is>
          <t>Invoice</t>
        </is>
      </c>
      <c r="R203" s="6" t="inlineStr">
        <is>
          <t>Faturado</t>
        </is>
      </c>
      <c r="S203" s="6" t="inlineStr">
        <is>
          <t>Hotel</t>
        </is>
      </c>
      <c r="T203" s="6" t="inlineStr">
        <is>
          <t>N</t>
        </is>
      </c>
      <c r="U203" s="6" t="inlineStr">
        <is>
          <t>Grupo Firmenich</t>
        </is>
      </c>
      <c r="V203" s="6" t="inlineStr">
        <is>
          <t>Firmenich</t>
        </is>
      </c>
      <c r="W203" s="6" t="inlineStr">
        <is>
          <t>-</t>
        </is>
      </c>
      <c r="X203" s="6" t="inlineStr">
        <is>
          <t>-</t>
        </is>
      </c>
      <c r="Y203" s="6" t="inlineStr">
        <is>
          <t>-</t>
        </is>
      </c>
      <c r="Z203" s="6" t="inlineStr">
        <is>
          <t>FCM-OPE-SAO-PVI-BTC-FIRMENICH</t>
        </is>
      </c>
      <c r="AA203" s="6" t="inlineStr">
        <is>
          <t>-</t>
        </is>
      </c>
      <c r="AB203" s="6" t="n">
        <v>613.4</v>
      </c>
      <c r="AC203" s="6" t="n">
        <v>21.08</v>
      </c>
      <c r="AD203" s="6" t="n">
        <v>0</v>
      </c>
      <c r="AE203" s="6" t="n">
        <v>0</v>
      </c>
      <c r="AF203" s="6" t="n">
        <v>0</v>
      </c>
      <c r="AG203" s="6" t="n">
        <v>0</v>
      </c>
      <c r="AH203" s="6" t="n">
        <v>0</v>
      </c>
      <c r="AI203" s="6" t="inlineStr">
        <is>
          <t>Reserva importada do sistema Gover. Id: 4629648</t>
        </is>
      </c>
      <c r="AJ203" s="6" t="inlineStr">
        <is>
          <t>Fornecedor não preenchido! (ACC01)</t>
        </is>
      </c>
      <c r="AK203" s="6" t="inlineStr">
        <is>
          <t>GOVER</t>
        </is>
      </c>
      <c r="AL203" s="6" t="inlineStr">
        <is>
          <t>Falta de Fornecedor</t>
        </is>
      </c>
      <c r="AM203" s="6" t="inlineStr">
        <is>
          <t>Campo Fornecedor</t>
        </is>
      </c>
      <c r="AN203" s="6" t="inlineStr">
        <is>
          <t>Dados do Fornecedor</t>
        </is>
      </c>
      <c r="AO203" s="6" t="inlineStr">
        <is>
          <t>Sistêmico</t>
        </is>
      </c>
      <c r="AP203" s="6" t="inlineStr">
        <is>
          <t>GRUPO KONTIK</t>
        </is>
      </c>
      <c r="AQ203" s="6" t="inlineStr">
        <is>
          <t>Suporte Benner</t>
        </is>
      </c>
    </row>
    <row r="204">
      <c r="A204" s="6" t="n">
        <v>23355482</v>
      </c>
      <c r="B204" s="6" t="n">
        <v>24082457</v>
      </c>
      <c r="C204" s="6" t="inlineStr">
        <is>
          <t>ACC01</t>
        </is>
      </c>
      <c r="D204" s="58" t="n">
        <v>45980.66829861111</v>
      </c>
      <c r="E204" s="58" t="n">
        <v>45980.67155092592</v>
      </c>
      <c r="F204" s="6" t="inlineStr">
        <is>
          <t>06 a 08 dias</t>
        </is>
      </c>
      <c r="G204" s="6" t="inlineStr">
        <is>
          <t>06 a 08 dias</t>
        </is>
      </c>
      <c r="H204" s="6" t="inlineStr">
        <is>
          <t>5TOCXO</t>
        </is>
      </c>
      <c r="I204" s="6" t="inlineStr">
        <is>
          <t>LEMONTECH</t>
        </is>
      </c>
      <c r="J204" s="6" t="inlineStr">
        <is>
          <t>AMPARO GARCIA/CRISTIANO</t>
        </is>
      </c>
      <c r="K204" s="6" t="inlineStr">
        <is>
          <t>Maria Clara Landeira Mezavila</t>
        </is>
      </c>
      <c r="L204" s="6" t="inlineStr">
        <is>
          <t>Maria Clara Landeira Mezavila</t>
        </is>
      </c>
      <c r="M204" s="58" t="n">
        <v>45980</v>
      </c>
      <c r="N204" s="6" t="n">
        <v>18057731</v>
      </c>
      <c r="O204" s="6" t="inlineStr">
        <is>
          <t>-</t>
        </is>
      </c>
      <c r="P204" s="6" t="inlineStr">
        <is>
          <t>ON LINE</t>
        </is>
      </c>
      <c r="Q204" s="6" t="inlineStr">
        <is>
          <t>Invoice</t>
        </is>
      </c>
      <c r="R204" s="6" t="inlineStr">
        <is>
          <t>Faturado</t>
        </is>
      </c>
      <c r="S204" s="6" t="inlineStr">
        <is>
          <t>Hotel</t>
        </is>
      </c>
      <c r="T204" s="6" t="inlineStr">
        <is>
          <t>N</t>
        </is>
      </c>
      <c r="U204" s="6" t="inlineStr">
        <is>
          <t>Grupo Aeroleo</t>
        </is>
      </c>
      <c r="V204" s="6" t="inlineStr">
        <is>
          <t>Bristow</t>
        </is>
      </c>
      <c r="W204" s="6" t="inlineStr">
        <is>
          <t>-</t>
        </is>
      </c>
      <c r="X204" s="6" t="inlineStr">
        <is>
          <t>-</t>
        </is>
      </c>
      <c r="Y204" s="6" t="inlineStr">
        <is>
          <t>-</t>
        </is>
      </c>
      <c r="Z204" s="6" t="inlineStr">
        <is>
          <t>KON-OPE-SAO-PVI-BTC-LEMON</t>
        </is>
      </c>
      <c r="AA204" s="6" t="inlineStr">
        <is>
          <t>-</t>
        </is>
      </c>
      <c r="AB204" s="6" t="n">
        <v>4059.35</v>
      </c>
      <c r="AC204" s="6" t="n">
        <v>0</v>
      </c>
      <c r="AD204" s="6" t="n">
        <v>0</v>
      </c>
      <c r="AE204" s="6" t="n">
        <v>0</v>
      </c>
      <c r="AF204" s="6" t="n">
        <v>0</v>
      </c>
      <c r="AG204" s="6" t="n">
        <v>0</v>
      </c>
      <c r="AH204" s="6" t="n">
        <v>0</v>
      </c>
      <c r="AI204" s="6" t="inlineStr">
        <is>
          <t>Reserva importada do Sistema Lemontech. Solicitação: 18057731</t>
        </is>
      </c>
      <c r="AJ204" s="6" t="inlineStr">
        <is>
          <t>Fornecedor não preenchido! (ACC01)</t>
        </is>
      </c>
      <c r="AK204" s="6" t="inlineStr">
        <is>
          <t>LEMONTECH</t>
        </is>
      </c>
      <c r="AL204" s="6" t="inlineStr">
        <is>
          <t>Falta de Fornecedor</t>
        </is>
      </c>
      <c r="AM204" s="6" t="inlineStr">
        <is>
          <t>Campo Fornecedor</t>
        </is>
      </c>
      <c r="AN204" s="6" t="inlineStr">
        <is>
          <t>Dados do Fornecedor</t>
        </is>
      </c>
      <c r="AO204" s="6" t="inlineStr">
        <is>
          <t>Qualidade dos dados</t>
        </is>
      </c>
      <c r="AP204" s="6" t="inlineStr">
        <is>
          <t>KONTIK BUSINESS TRAVEL</t>
        </is>
      </c>
      <c r="AQ204" s="6" t="inlineStr">
        <is>
          <t>Suporte KCS</t>
        </is>
      </c>
    </row>
    <row r="205">
      <c r="A205" s="6" t="n">
        <v>23356593</v>
      </c>
      <c r="B205" s="6" t="n">
        <v>24083591</v>
      </c>
      <c r="C205" s="6" t="inlineStr">
        <is>
          <t>ACC01</t>
        </is>
      </c>
      <c r="D205" s="58" t="n">
        <v>45980.7993287037</v>
      </c>
      <c r="E205" s="58" t="n">
        <v>45981.21049768518</v>
      </c>
      <c r="F205" s="6" t="inlineStr">
        <is>
          <t>03 a 05 dias</t>
        </is>
      </c>
      <c r="G205" s="6" t="inlineStr">
        <is>
          <t>06 a 08 dias</t>
        </is>
      </c>
      <c r="H205" s="6" t="inlineStr">
        <is>
          <t>CNTEDBT</t>
        </is>
      </c>
      <c r="I205" s="6" t="inlineStr">
        <is>
          <t>SABRE</t>
        </is>
      </c>
      <c r="J205" s="6" t="inlineStr">
        <is>
          <t>DIAS DE OLIVEIRA/JOAO RAFAEL RAFAEL MR</t>
        </is>
      </c>
      <c r="K205" s="6" t="inlineStr">
        <is>
          <t>WS</t>
        </is>
      </c>
      <c r="L205" s="6" t="inlineStr">
        <is>
          <t>WS</t>
        </is>
      </c>
      <c r="M205" s="58" t="n">
        <v>45980.50972222222</v>
      </c>
      <c r="N205" s="6" t="inlineStr">
        <is>
          <t>CNTEDB</t>
        </is>
      </c>
      <c r="O205" s="6" t="inlineStr">
        <is>
          <t>-</t>
        </is>
      </c>
      <c r="P205" s="6" t="inlineStr">
        <is>
          <t>ON LINE</t>
        </is>
      </c>
      <c r="Q205" s="6" t="inlineStr">
        <is>
          <t>Cartão de crédito</t>
        </is>
      </c>
      <c r="R205" s="6" t="inlineStr">
        <is>
          <t>Cartão de crédito</t>
        </is>
      </c>
      <c r="S205" s="6" t="inlineStr">
        <is>
          <t>Hotel</t>
        </is>
      </c>
      <c r="T205" s="6" t="inlineStr">
        <is>
          <t>N</t>
        </is>
      </c>
      <c r="U205" s="6" t="inlineStr">
        <is>
          <t>Grupo Stanley Black e Decker</t>
        </is>
      </c>
      <c r="V205" s="6" t="inlineStr">
        <is>
          <t>Black e Decker do Brasil Ltda</t>
        </is>
      </c>
      <c r="W205" s="6" t="inlineStr">
        <is>
          <t>Cliente FEE no POS</t>
        </is>
      </c>
      <c r="X205" s="6" t="inlineStr">
        <is>
          <t>-</t>
        </is>
      </c>
      <c r="Y205" s="6" t="inlineStr">
        <is>
          <t>-</t>
        </is>
      </c>
      <c r="Z205" s="6" t="inlineStr">
        <is>
          <t>FCM-OPE-SAO-PVI-BTC-CONCUR</t>
        </is>
      </c>
      <c r="AA205" s="6" t="inlineStr">
        <is>
          <t>-</t>
        </is>
      </c>
      <c r="AB205" s="6" t="n">
        <v>1095</v>
      </c>
      <c r="AC205" s="6" t="n">
        <v>32.85</v>
      </c>
      <c r="AD205" s="6" t="n">
        <v>0</v>
      </c>
      <c r="AE205" s="6" t="n">
        <v>0</v>
      </c>
      <c r="AF205" s="6" t="n">
        <v>0</v>
      </c>
      <c r="AG205" s="6" t="n">
        <v>0</v>
      </c>
      <c r="AH205" s="6" t="n">
        <v>8</v>
      </c>
      <c r="AI205" s="6" t="inlineStr">
        <is>
          <t>Reserva importada por HubTravel</t>
        </is>
      </c>
      <c r="AJ205" s="6" t="inlineStr">
        <is>
          <t>Fornecedor não preenchido! (ACC01)</t>
        </is>
      </c>
      <c r="AK205" s="6" t="inlineStr">
        <is>
          <t>SABRE</t>
        </is>
      </c>
      <c r="AL205" s="6" t="inlineStr">
        <is>
          <t>Falta de Fornecedor</t>
        </is>
      </c>
      <c r="AM205" s="6" t="inlineStr">
        <is>
          <t>Campo Fornecedor</t>
        </is>
      </c>
      <c r="AN205" s="6" t="inlineStr">
        <is>
          <t>Dados do Fornecedor</t>
        </is>
      </c>
      <c r="AO205" s="6" t="inlineStr">
        <is>
          <t>Sistêmico</t>
        </is>
      </c>
      <c r="AP205" s="6" t="inlineStr">
        <is>
          <t>GRUPO KONTIK</t>
        </is>
      </c>
      <c r="AQ205" s="6" t="inlineStr">
        <is>
          <t>Suporte Benner</t>
        </is>
      </c>
    </row>
    <row r="206">
      <c r="A206" s="6" t="n">
        <v>23367852</v>
      </c>
      <c r="B206" s="6" t="n">
        <v>24093844</v>
      </c>
      <c r="C206" s="6" t="inlineStr">
        <is>
          <t>ACC01</t>
        </is>
      </c>
      <c r="D206" s="58" t="n">
        <v>45982.77858796297</v>
      </c>
      <c r="E206" s="58" t="n">
        <v>45982.79605324074</v>
      </c>
      <c r="F206" s="6" t="inlineStr">
        <is>
          <t>03 a 05 dias</t>
        </is>
      </c>
      <c r="G206" s="6" t="inlineStr">
        <is>
          <t>03 a 05 dias</t>
        </is>
      </c>
      <c r="H206" s="6" t="inlineStr">
        <is>
          <t>WRUPWNT</t>
        </is>
      </c>
      <c r="I206" s="6" t="inlineStr">
        <is>
          <t>SABRE</t>
        </is>
      </c>
      <c r="J206" s="6" t="inlineStr">
        <is>
          <t>DIAS/BLOTON ALAOR DA ROSA</t>
        </is>
      </c>
      <c r="K206" s="6" t="inlineStr">
        <is>
          <t>Paulo Roberto Mendes da Silva</t>
        </is>
      </c>
      <c r="L206" s="6" t="inlineStr">
        <is>
          <t>Paulo Roberto Mendes da Silva</t>
        </is>
      </c>
      <c r="M206" s="58" t="n">
        <v>45982.6375</v>
      </c>
      <c r="N206" s="6" t="inlineStr">
        <is>
          <t>WRUPWN</t>
        </is>
      </c>
      <c r="O206" s="6" t="inlineStr">
        <is>
          <t>-</t>
        </is>
      </c>
      <c r="P206" s="6" t="inlineStr">
        <is>
          <t>ON LINE</t>
        </is>
      </c>
      <c r="Q206" s="6" t="inlineStr">
        <is>
          <t>Invoice</t>
        </is>
      </c>
      <c r="R206" s="6" t="inlineStr">
        <is>
          <t>Faturado</t>
        </is>
      </c>
      <c r="S206" s="6" t="inlineStr">
        <is>
          <t>Hotel</t>
        </is>
      </c>
      <c r="T206" s="6" t="inlineStr">
        <is>
          <t>N</t>
        </is>
      </c>
      <c r="U206" s="6" t="inlineStr">
        <is>
          <t>Grupo Stanley Black e Decker</t>
        </is>
      </c>
      <c r="V206" s="6" t="inlineStr">
        <is>
          <t>Bdb Ferramentas do Brasil Ltda</t>
        </is>
      </c>
      <c r="W206" s="6" t="inlineStr">
        <is>
          <t>Cliente FEE no POS</t>
        </is>
      </c>
      <c r="X206" s="6" t="inlineStr">
        <is>
          <t>Ibis Novo Hamburgo</t>
        </is>
      </c>
      <c r="Y206" s="6" t="inlineStr">
        <is>
          <t>-</t>
        </is>
      </c>
      <c r="Z206" s="6" t="inlineStr">
        <is>
          <t>FCM-OPE-SAO-PVI-BTC-CONCUR</t>
        </is>
      </c>
      <c r="AA206" s="6" t="inlineStr">
        <is>
          <t>-</t>
        </is>
      </c>
      <c r="AB206" s="6" t="n">
        <v>270</v>
      </c>
      <c r="AC206" s="6" t="n">
        <v>0</v>
      </c>
      <c r="AD206" s="6" t="n">
        <v>0</v>
      </c>
      <c r="AE206" s="6" t="n">
        <v>0</v>
      </c>
      <c r="AF206" s="6" t="n">
        <v>0</v>
      </c>
      <c r="AG206" s="6" t="n">
        <v>0</v>
      </c>
      <c r="AH206" s="6" t="n">
        <v>0</v>
      </c>
      <c r="AI206" s="6" t="inlineStr">
        <is>
          <t>Reserva importada por HubTravel</t>
        </is>
      </c>
      <c r="AJ206" s="6" t="inlineStr">
        <is>
          <t>Centro de custo não preenchido! (ACC01)</t>
        </is>
      </c>
      <c r="AK206" s="6" t="inlineStr">
        <is>
          <t>SABRE</t>
        </is>
      </c>
      <c r="AL206" s="6" t="inlineStr">
        <is>
          <t>Centro de custo</t>
        </is>
      </c>
      <c r="AM206" s="6" t="inlineStr">
        <is>
          <t>Falta de informação Gerencial</t>
        </is>
      </c>
      <c r="AN206" s="6" t="inlineStr">
        <is>
          <t>Dados do Fornecedor</t>
        </is>
      </c>
      <c r="AO206" s="6" t="inlineStr">
        <is>
          <t>Qualidade dos dados</t>
        </is>
      </c>
      <c r="AP206" s="6" t="inlineStr">
        <is>
          <t>KONTIK BUSINESS TRAVEL</t>
        </is>
      </c>
      <c r="AQ206" s="6" t="inlineStr">
        <is>
          <t>Operações - FCM</t>
        </is>
      </c>
    </row>
    <row r="207">
      <c r="A207" s="6" t="n">
        <v>23380220</v>
      </c>
      <c r="B207" s="6" t="n">
        <v>24103912</v>
      </c>
      <c r="C207" s="6" t="inlineStr">
        <is>
          <t>ACC01</t>
        </is>
      </c>
      <c r="D207" s="58" t="n">
        <v>45985.6953125</v>
      </c>
      <c r="E207" s="58" t="n">
        <v>45985.69599537037</v>
      </c>
      <c r="F207" s="6" t="inlineStr">
        <is>
          <t>0 a 02 dias</t>
        </is>
      </c>
      <c r="G207" s="6" t="inlineStr">
        <is>
          <t>0 a 02 dias</t>
        </is>
      </c>
      <c r="H207" s="6" t="inlineStr">
        <is>
          <t>ODSDMXT</t>
        </is>
      </c>
      <c r="I207" s="6" t="inlineStr">
        <is>
          <t>SABRE</t>
        </is>
      </c>
      <c r="J207" s="6" t="inlineStr">
        <is>
          <t>SCHUMANN/WILIAN JUNIOR</t>
        </is>
      </c>
      <c r="K207" s="6" t="inlineStr">
        <is>
          <t>CORA TORLAI CIRINO</t>
        </is>
      </c>
      <c r="L207" s="6" t="inlineStr">
        <is>
          <t>CORA TORLAI CIRINO</t>
        </is>
      </c>
      <c r="M207" s="58" t="n">
        <v>45985.55763888889</v>
      </c>
      <c r="N207" s="6" t="inlineStr">
        <is>
          <t>ODSDMX</t>
        </is>
      </c>
      <c r="O207" s="6" t="inlineStr">
        <is>
          <t>-</t>
        </is>
      </c>
      <c r="P207" s="6" t="inlineStr">
        <is>
          <t>ON LINE</t>
        </is>
      </c>
      <c r="Q207" s="6" t="inlineStr">
        <is>
          <t>Invoice</t>
        </is>
      </c>
      <c r="R207" s="6" t="inlineStr">
        <is>
          <t>Faturado</t>
        </is>
      </c>
      <c r="S207" s="6" t="inlineStr">
        <is>
          <t>Hotel</t>
        </is>
      </c>
      <c r="T207" s="6" t="inlineStr">
        <is>
          <t>N</t>
        </is>
      </c>
      <c r="U207" s="6" t="inlineStr">
        <is>
          <t>Grupo Stanley Black e Decker</t>
        </is>
      </c>
      <c r="V207" s="6" t="inlineStr">
        <is>
          <t>Bdb Ferramentas do Brasil Ltda</t>
        </is>
      </c>
      <c r="W207" s="6" t="inlineStr">
        <is>
          <t>Cliente FEE no POS</t>
        </is>
      </c>
      <c r="X207" s="6" t="inlineStr">
        <is>
          <t>-</t>
        </is>
      </c>
      <c r="Y207" s="6" t="inlineStr">
        <is>
          <t>-</t>
        </is>
      </c>
      <c r="Z207" s="6" t="inlineStr">
        <is>
          <t>FCM-OPE-SAO-PVI-BTC-CONCUR</t>
        </is>
      </c>
      <c r="AA207" s="6" t="inlineStr">
        <is>
          <t>-</t>
        </is>
      </c>
      <c r="AB207" s="6" t="n">
        <v>420</v>
      </c>
      <c r="AC207" s="6" t="n">
        <v>0</v>
      </c>
      <c r="AD207" s="6" t="n">
        <v>0</v>
      </c>
      <c r="AE207" s="6" t="n">
        <v>0</v>
      </c>
      <c r="AF207" s="6" t="n">
        <v>0</v>
      </c>
      <c r="AG207" s="6" t="n">
        <v>0</v>
      </c>
      <c r="AH207" s="6" t="n">
        <v>0</v>
      </c>
      <c r="AI207" s="6" t="inlineStr">
        <is>
          <t>Reserva importada por HubTravel</t>
        </is>
      </c>
      <c r="AJ207" s="6" t="inlineStr">
        <is>
          <t>Centro de custo não preenchido! (ACC01)</t>
        </is>
      </c>
      <c r="AK207" s="6" t="inlineStr">
        <is>
          <t>SABRE</t>
        </is>
      </c>
      <c r="AL207" s="6" t="inlineStr">
        <is>
          <t>Centro de custo</t>
        </is>
      </c>
      <c r="AM207" s="6" t="inlineStr">
        <is>
          <t>Falta de informação Gerencial</t>
        </is>
      </c>
      <c r="AN207" s="6" t="inlineStr">
        <is>
          <t>Dados do Fornecedor</t>
        </is>
      </c>
      <c r="AO207" s="6" t="inlineStr">
        <is>
          <t>Qualidade dos dados</t>
        </is>
      </c>
      <c r="AP207" s="6" t="inlineStr">
        <is>
          <t>KONTIK BUSINESS TRAVEL</t>
        </is>
      </c>
      <c r="AQ207" s="6" t="inlineStr">
        <is>
          <t>Operações - FCM</t>
        </is>
      </c>
    </row>
    <row r="208">
      <c r="A208" s="6" t="n">
        <v>23380225</v>
      </c>
      <c r="B208" s="6" t="n">
        <v>24103917</v>
      </c>
      <c r="C208" s="6" t="inlineStr">
        <is>
          <t>ACC01</t>
        </is>
      </c>
      <c r="D208" s="58" t="n">
        <v>45985.69540509259</v>
      </c>
      <c r="E208" s="58" t="n">
        <v>45985.69599537037</v>
      </c>
      <c r="F208" s="6" t="inlineStr">
        <is>
          <t>0 a 02 dias</t>
        </is>
      </c>
      <c r="G208" s="6" t="inlineStr">
        <is>
          <t>0 a 02 dias</t>
        </is>
      </c>
      <c r="H208" s="6" t="inlineStr">
        <is>
          <t>OOXVUYT</t>
        </is>
      </c>
      <c r="I208" s="6" t="inlineStr">
        <is>
          <t>SABRE</t>
        </is>
      </c>
      <c r="J208" s="6" t="inlineStr">
        <is>
          <t>BORGES/JULIO CESAR MONTEIRO</t>
        </is>
      </c>
      <c r="K208" s="6" t="inlineStr">
        <is>
          <t>CORA TORLAI CIRINO</t>
        </is>
      </c>
      <c r="L208" s="6" t="inlineStr">
        <is>
          <t>CORA TORLAI CIRINO</t>
        </is>
      </c>
      <c r="M208" s="58" t="n">
        <v>45985.55972222222</v>
      </c>
      <c r="N208" s="6" t="inlineStr">
        <is>
          <t>OOXVUY</t>
        </is>
      </c>
      <c r="O208" s="6" t="inlineStr">
        <is>
          <t>-</t>
        </is>
      </c>
      <c r="P208" s="6" t="inlineStr">
        <is>
          <t>ON LINE</t>
        </is>
      </c>
      <c r="Q208" s="6" t="inlineStr">
        <is>
          <t>Invoice</t>
        </is>
      </c>
      <c r="R208" s="6" t="inlineStr">
        <is>
          <t>Faturado</t>
        </is>
      </c>
      <c r="S208" s="6" t="inlineStr">
        <is>
          <t>Hotel</t>
        </is>
      </c>
      <c r="T208" s="6" t="inlineStr">
        <is>
          <t>N</t>
        </is>
      </c>
      <c r="U208" s="6" t="inlineStr">
        <is>
          <t>Grupo Stanley Black e Decker</t>
        </is>
      </c>
      <c r="V208" s="6" t="inlineStr">
        <is>
          <t>Bdb Ferramentas do Brasil Ltda</t>
        </is>
      </c>
      <c r="W208" s="6" t="inlineStr">
        <is>
          <t>Cliente FEE no POS</t>
        </is>
      </c>
      <c r="X208" s="6" t="inlineStr">
        <is>
          <t>-</t>
        </is>
      </c>
      <c r="Y208" s="6" t="inlineStr">
        <is>
          <t>-</t>
        </is>
      </c>
      <c r="Z208" s="6" t="inlineStr">
        <is>
          <t>FCM-OPE-SAO-PVI-BTC-CONCUR</t>
        </is>
      </c>
      <c r="AA208" s="6" t="inlineStr">
        <is>
          <t>-</t>
        </is>
      </c>
      <c r="AB208" s="6" t="n">
        <v>420</v>
      </c>
      <c r="AC208" s="6" t="n">
        <v>0</v>
      </c>
      <c r="AD208" s="6" t="n">
        <v>0</v>
      </c>
      <c r="AE208" s="6" t="n">
        <v>0</v>
      </c>
      <c r="AF208" s="6" t="n">
        <v>0</v>
      </c>
      <c r="AG208" s="6" t="n">
        <v>0</v>
      </c>
      <c r="AH208" s="6" t="n">
        <v>0</v>
      </c>
      <c r="AI208" s="6" t="inlineStr">
        <is>
          <t>Reserva importada por HubTravel</t>
        </is>
      </c>
      <c r="AJ208" s="6" t="inlineStr">
        <is>
          <t>Centro de custo não preenchido! (ACC01)</t>
        </is>
      </c>
      <c r="AK208" s="6" t="inlineStr">
        <is>
          <t>SABRE</t>
        </is>
      </c>
      <c r="AL208" s="6" t="inlineStr">
        <is>
          <t>Centro de custo</t>
        </is>
      </c>
      <c r="AM208" s="6" t="inlineStr">
        <is>
          <t>Falta de informação Gerencial</t>
        </is>
      </c>
      <c r="AN208" s="6" t="inlineStr">
        <is>
          <t>Dados do Fornecedor</t>
        </is>
      </c>
      <c r="AO208" s="6" t="inlineStr">
        <is>
          <t>Qualidade dos dados</t>
        </is>
      </c>
      <c r="AP208" s="6" t="inlineStr">
        <is>
          <t>KONTIK BUSINESS TRAVEL</t>
        </is>
      </c>
      <c r="AQ208" s="6" t="inlineStr">
        <is>
          <t>Operações - FCM</t>
        </is>
      </c>
    </row>
    <row r="209">
      <c r="A209" s="6" t="n">
        <v>23380226</v>
      </c>
      <c r="B209" s="6" t="n">
        <v>24103921</v>
      </c>
      <c r="C209" s="6" t="inlineStr">
        <is>
          <t>ACC01</t>
        </is>
      </c>
      <c r="D209" s="58" t="n">
        <v>45985.69549768518</v>
      </c>
      <c r="E209" s="58" t="n">
        <v>45985.69600694445</v>
      </c>
      <c r="F209" s="6" t="inlineStr">
        <is>
          <t>0 a 02 dias</t>
        </is>
      </c>
      <c r="G209" s="6" t="inlineStr">
        <is>
          <t>0 a 02 dias</t>
        </is>
      </c>
      <c r="H209" s="6" t="inlineStr">
        <is>
          <t>MKKCRET</t>
        </is>
      </c>
      <c r="I209" s="6" t="inlineStr">
        <is>
          <t>SABRE</t>
        </is>
      </c>
      <c r="J209" s="6" t="inlineStr">
        <is>
          <t>CONCHA/JUAN</t>
        </is>
      </c>
      <c r="K209" s="6" t="inlineStr">
        <is>
          <t>CORA TORLAI CIRINO</t>
        </is>
      </c>
      <c r="L209" s="6" t="inlineStr">
        <is>
          <t>CORA TORLAI CIRINO</t>
        </is>
      </c>
      <c r="M209" s="58" t="n">
        <v>45985.56597222222</v>
      </c>
      <c r="N209" s="6" t="inlineStr">
        <is>
          <t>MKKCRE</t>
        </is>
      </c>
      <c r="O209" s="6" t="inlineStr">
        <is>
          <t>-</t>
        </is>
      </c>
      <c r="P209" s="6" t="inlineStr">
        <is>
          <t>ON LINE</t>
        </is>
      </c>
      <c r="Q209" s="6" t="inlineStr">
        <is>
          <t>Invoice</t>
        </is>
      </c>
      <c r="R209" s="6" t="inlineStr">
        <is>
          <t>Faturado</t>
        </is>
      </c>
      <c r="S209" s="6" t="inlineStr">
        <is>
          <t>Hotel</t>
        </is>
      </c>
      <c r="T209" s="6" t="inlineStr">
        <is>
          <t>N</t>
        </is>
      </c>
      <c r="U209" s="6" t="inlineStr">
        <is>
          <t>Grupo Stanley Black e Decker</t>
        </is>
      </c>
      <c r="V209" s="6" t="inlineStr">
        <is>
          <t>Bdb Ferramentas do Brasil Ltda</t>
        </is>
      </c>
      <c r="W209" s="6" t="inlineStr">
        <is>
          <t>Cliente FEE no POS</t>
        </is>
      </c>
      <c r="X209" s="6" t="inlineStr">
        <is>
          <t>-</t>
        </is>
      </c>
      <c r="Y209" s="6" t="inlineStr">
        <is>
          <t>-</t>
        </is>
      </c>
      <c r="Z209" s="6" t="inlineStr">
        <is>
          <t>FCM-OPE-SAO-PVI-BTC-CONCUR</t>
        </is>
      </c>
      <c r="AA209" s="6" t="inlineStr">
        <is>
          <t>-</t>
        </is>
      </c>
      <c r="AB209" s="6" t="n">
        <v>420</v>
      </c>
      <c r="AC209" s="6" t="n">
        <v>0</v>
      </c>
      <c r="AD209" s="6" t="n">
        <v>0</v>
      </c>
      <c r="AE209" s="6" t="n">
        <v>0</v>
      </c>
      <c r="AF209" s="6" t="n">
        <v>0</v>
      </c>
      <c r="AG209" s="6" t="n">
        <v>0</v>
      </c>
      <c r="AH209" s="6" t="n">
        <v>0</v>
      </c>
      <c r="AI209" s="6" t="inlineStr">
        <is>
          <t>Reserva importada por HubTravel</t>
        </is>
      </c>
      <c r="AJ209" s="6" t="inlineStr">
        <is>
          <t>Centro de custo não preenchido! (ACC01)</t>
        </is>
      </c>
      <c r="AK209" s="6" t="inlineStr">
        <is>
          <t>SABRE</t>
        </is>
      </c>
      <c r="AL209" s="6" t="inlineStr">
        <is>
          <t>Centro de custo</t>
        </is>
      </c>
      <c r="AM209" s="6" t="inlineStr">
        <is>
          <t>Falta de informação Gerencial</t>
        </is>
      </c>
      <c r="AN209" s="6" t="inlineStr">
        <is>
          <t>Dados do Fornecedor</t>
        </is>
      </c>
      <c r="AO209" s="6" t="inlineStr">
        <is>
          <t>Qualidade dos dados</t>
        </is>
      </c>
      <c r="AP209" s="6" t="inlineStr">
        <is>
          <t>KONTIK BUSINESS TRAVEL</t>
        </is>
      </c>
      <c r="AQ209" s="6" t="inlineStr">
        <is>
          <t>Operações - FCM</t>
        </is>
      </c>
    </row>
    <row r="210">
      <c r="A210" s="6" t="n">
        <v>23338981</v>
      </c>
      <c r="B210" s="6" t="n">
        <v>24066763</v>
      </c>
      <c r="C210" s="6" t="inlineStr">
        <is>
          <t>ACC01</t>
        </is>
      </c>
      <c r="D210" s="58" t="n">
        <v>45978.47304398148</v>
      </c>
      <c r="E210" s="58" t="n">
        <v>45979.65454861111</v>
      </c>
      <c r="F210" s="6" t="inlineStr">
        <is>
          <t>06 a 08 dias</t>
        </is>
      </c>
      <c r="G210" s="6" t="inlineStr">
        <is>
          <t>06 a 08 dias</t>
        </is>
      </c>
      <c r="H210" s="6" t="inlineStr">
        <is>
          <t>AAZJZDT</t>
        </is>
      </c>
      <c r="I210" s="6" t="inlineStr">
        <is>
          <t>SABRE</t>
        </is>
      </c>
      <c r="J210" s="6" t="inlineStr">
        <is>
          <t>ANASTACIO/JOSE STENYLSON</t>
        </is>
      </c>
      <c r="K210" s="6" t="inlineStr">
        <is>
          <t>CORA TORLAI CIRINO</t>
        </is>
      </c>
      <c r="L210" s="6" t="inlineStr">
        <is>
          <t>CORA TORLAI CIRINO</t>
        </is>
      </c>
      <c r="M210" s="58" t="n">
        <v>45978.33541666667</v>
      </c>
      <c r="N210" s="6" t="inlineStr">
        <is>
          <t>AAZJZD</t>
        </is>
      </c>
      <c r="O210" s="6" t="inlineStr">
        <is>
          <t>-</t>
        </is>
      </c>
      <c r="P210" s="6" t="inlineStr">
        <is>
          <t>ON LINE</t>
        </is>
      </c>
      <c r="Q210" s="6" t="inlineStr">
        <is>
          <t>Invoice</t>
        </is>
      </c>
      <c r="R210" s="6" t="inlineStr">
        <is>
          <t>Faturado</t>
        </is>
      </c>
      <c r="S210" s="6" t="inlineStr">
        <is>
          <t>Hotel</t>
        </is>
      </c>
      <c r="T210" s="6" t="inlineStr">
        <is>
          <t>N</t>
        </is>
      </c>
      <c r="U210" s="6" t="inlineStr">
        <is>
          <t>Grupo Stanley Black e Decker</t>
        </is>
      </c>
      <c r="V210" s="6" t="inlineStr">
        <is>
          <t>Bdb Ferramentas do Brasil Ltda</t>
        </is>
      </c>
      <c r="W210" s="6" t="inlineStr">
        <is>
          <t>Cliente FEE no POS</t>
        </is>
      </c>
      <c r="X210" s="6" t="inlineStr">
        <is>
          <t>HOTEL EXECUTIVO BOULEVARD</t>
        </is>
      </c>
      <c r="Y210" s="6" t="inlineStr">
        <is>
          <t>-</t>
        </is>
      </c>
      <c r="Z210" s="6" t="inlineStr">
        <is>
          <t>FCM-OPE-SAO-PVI-BTC-CONCUR</t>
        </is>
      </c>
      <c r="AA210" s="6" t="inlineStr">
        <is>
          <t>-</t>
        </is>
      </c>
      <c r="AB210" s="6" t="n">
        <v>636</v>
      </c>
      <c r="AC210" s="6" t="n">
        <v>0</v>
      </c>
      <c r="AD210" s="6" t="n">
        <v>0</v>
      </c>
      <c r="AE210" s="6" t="n">
        <v>0</v>
      </c>
      <c r="AF210" s="6" t="n">
        <v>0</v>
      </c>
      <c r="AG210" s="6" t="n">
        <v>0</v>
      </c>
      <c r="AH210" s="6" t="n">
        <v>0</v>
      </c>
      <c r="AI210" s="6" t="inlineStr">
        <is>
          <t>Reserva importada por HubTravel</t>
        </is>
      </c>
      <c r="AJ210" s="6" t="inlineStr">
        <is>
          <t xml:space="preserve">23Ocorreu o erro 'The INSERT statement conflicted with the FOREIGN KEY constraint "FK_1416_10421". The conflict occurred in database "Corporativo", </t>
        </is>
      </c>
      <c r="AK210" s="6" t="inlineStr">
        <is>
          <t>SABRE</t>
        </is>
      </c>
      <c r="AL210" s="6" t="inlineStr">
        <is>
          <t>Falta de informação Gerencial</t>
        </is>
      </c>
      <c r="AM210" s="6" t="inlineStr">
        <is>
          <t>Mais de um campo não preenchido</t>
        </is>
      </c>
      <c r="AN210" s="6" t="inlineStr">
        <is>
          <t>Dados do Fornecedor</t>
        </is>
      </c>
      <c r="AO210" s="6" t="inlineStr">
        <is>
          <t>Sistêmico</t>
        </is>
      </c>
      <c r="AP210" s="6" t="inlineStr">
        <is>
          <t>KONTIK BUSINESS TRAVEL</t>
        </is>
      </c>
      <c r="AQ210" s="6" t="inlineStr">
        <is>
          <t>Suporte KCS</t>
        </is>
      </c>
    </row>
    <row r="211">
      <c r="A211" s="6" t="n">
        <v>23187100</v>
      </c>
      <c r="B211" s="6" t="n">
        <v>23925045</v>
      </c>
      <c r="C211" s="6" t="inlineStr">
        <is>
          <t>ACC01</t>
        </is>
      </c>
      <c r="D211" s="58" t="n">
        <v>45954.63590277778</v>
      </c>
      <c r="E211" s="58" t="n">
        <v>45955.9272337963</v>
      </c>
      <c r="F211" s="59" t="inlineStr">
        <is>
          <t>31 dias ou +</t>
        </is>
      </c>
      <c r="G211" s="59" t="inlineStr">
        <is>
          <t>31 dias ou +</t>
        </is>
      </c>
      <c r="H211" s="6" t="inlineStr">
        <is>
          <t>CMBHVE</t>
        </is>
      </c>
      <c r="I211" s="6" t="inlineStr">
        <is>
          <t>GOVER</t>
        </is>
      </c>
      <c r="J211" s="6" t="inlineStr">
        <is>
          <t xml:space="preserve">Pablo Peruzzi Zanati </t>
        </is>
      </c>
      <c r="K211" s="6" t="inlineStr">
        <is>
          <t>Gover</t>
        </is>
      </c>
      <c r="L211" s="6" t="inlineStr">
        <is>
          <t>Gover</t>
        </is>
      </c>
      <c r="M211" s="58" t="n">
        <v>45953.71388888889</v>
      </c>
      <c r="N211" s="6" t="n">
        <v>4618071</v>
      </c>
      <c r="O211" s="6" t="inlineStr">
        <is>
          <t>-</t>
        </is>
      </c>
      <c r="P211" s="6" t="inlineStr">
        <is>
          <t>OFF LINE</t>
        </is>
      </c>
      <c r="Q211" s="6" t="inlineStr">
        <is>
          <t>Invoice</t>
        </is>
      </c>
      <c r="R211" s="6" t="inlineStr">
        <is>
          <t>Faturado</t>
        </is>
      </c>
      <c r="S211" s="6" t="inlineStr">
        <is>
          <t>Hotel</t>
        </is>
      </c>
      <c r="T211" s="6" t="inlineStr">
        <is>
          <t>N</t>
        </is>
      </c>
      <c r="U211" s="6" t="inlineStr">
        <is>
          <t>Grupo Atos</t>
        </is>
      </c>
      <c r="V211" s="6" t="inlineStr">
        <is>
          <t>Atos Brasil Ltda</t>
        </is>
      </c>
      <c r="W211" s="6" t="inlineStr">
        <is>
          <t>-</t>
        </is>
      </c>
      <c r="X211" s="6" t="inlineStr">
        <is>
          <t>-</t>
        </is>
      </c>
      <c r="Y211" s="6" t="inlineStr">
        <is>
          <t>-</t>
        </is>
      </c>
      <c r="Z211" s="6" t="inlineStr">
        <is>
          <t>FCM-OPE-SAO-PVI-ATOS</t>
        </is>
      </c>
      <c r="AA211" s="6" t="inlineStr">
        <is>
          <t>-</t>
        </is>
      </c>
      <c r="AB211" s="6" t="n">
        <v>222.9</v>
      </c>
      <c r="AC211" s="6" t="n">
        <v>4.46</v>
      </c>
      <c r="AD211" s="6" t="n">
        <v>0</v>
      </c>
      <c r="AE211" s="6" t="n">
        <v>0</v>
      </c>
      <c r="AF211" s="6" t="n">
        <v>0</v>
      </c>
      <c r="AG211" s="6" t="n">
        <v>0</v>
      </c>
      <c r="AH211" s="6" t="n">
        <v>0</v>
      </c>
      <c r="AI211" s="6" t="inlineStr">
        <is>
          <t>Reserva importada do sistema Gover. Id: 4618071</t>
        </is>
      </c>
      <c r="AJ211" s="6" t="inlineStr">
        <is>
          <t>Fornecedor não preenchido! (ACC01)</t>
        </is>
      </c>
      <c r="AK211" s="6" t="inlineStr">
        <is>
          <t>GOVER</t>
        </is>
      </c>
      <c r="AL211" s="6" t="inlineStr">
        <is>
          <t>Falta de Fornecedor</t>
        </is>
      </c>
      <c r="AM211" s="6" t="inlineStr">
        <is>
          <t>Campo Fornecedor</t>
        </is>
      </c>
      <c r="AN211" s="6" t="inlineStr">
        <is>
          <t>Dados do Fornecedor</t>
        </is>
      </c>
      <c r="AO211" s="6" t="inlineStr">
        <is>
          <t>Sistêmico</t>
        </is>
      </c>
      <c r="AP211" s="6" t="inlineStr">
        <is>
          <t>GRUPO KONTIK</t>
        </is>
      </c>
      <c r="AQ211" s="6" t="inlineStr">
        <is>
          <t>Suporte Benner</t>
        </is>
      </c>
    </row>
    <row r="212">
      <c r="A212" s="6" t="n">
        <v>23187098</v>
      </c>
      <c r="B212" s="6" t="n">
        <v>23925043</v>
      </c>
      <c r="C212" s="6" t="inlineStr">
        <is>
          <t>ACC01</t>
        </is>
      </c>
      <c r="D212" s="58" t="n">
        <v>45954.63587962963</v>
      </c>
      <c r="E212" s="58" t="n">
        <v>45955.92722222222</v>
      </c>
      <c r="F212" s="59" t="inlineStr">
        <is>
          <t>31 dias ou +</t>
        </is>
      </c>
      <c r="G212" s="59" t="inlineStr">
        <is>
          <t>31 dias ou +</t>
        </is>
      </c>
      <c r="H212" s="6" t="inlineStr">
        <is>
          <t>IRRSDQ</t>
        </is>
      </c>
      <c r="I212" s="6" t="inlineStr">
        <is>
          <t>GOVER</t>
        </is>
      </c>
      <c r="J212" s="6" t="inlineStr">
        <is>
          <t xml:space="preserve">Eduardo Marques Santos </t>
        </is>
      </c>
      <c r="K212" s="6" t="inlineStr">
        <is>
          <t>Gover</t>
        </is>
      </c>
      <c r="L212" s="6" t="inlineStr">
        <is>
          <t>Gover</t>
        </is>
      </c>
      <c r="M212" s="58" t="n">
        <v>45953.70763888889</v>
      </c>
      <c r="N212" s="6" t="n">
        <v>4618064</v>
      </c>
      <c r="O212" s="6" t="inlineStr">
        <is>
          <t>-</t>
        </is>
      </c>
      <c r="P212" s="6" t="inlineStr">
        <is>
          <t>OFF LINE</t>
        </is>
      </c>
      <c r="Q212" s="6" t="inlineStr">
        <is>
          <t>Invoice</t>
        </is>
      </c>
      <c r="R212" s="6" t="inlineStr">
        <is>
          <t>Faturado</t>
        </is>
      </c>
      <c r="S212" s="6" t="inlineStr">
        <is>
          <t>Hotel</t>
        </is>
      </c>
      <c r="T212" s="6" t="inlineStr">
        <is>
          <t>N</t>
        </is>
      </c>
      <c r="U212" s="6" t="inlineStr">
        <is>
          <t>Grupo Atos</t>
        </is>
      </c>
      <c r="V212" s="6" t="inlineStr">
        <is>
          <t>Atos Brasil Ltda</t>
        </is>
      </c>
      <c r="W212" s="6" t="inlineStr">
        <is>
          <t>-</t>
        </is>
      </c>
      <c r="X212" s="6" t="inlineStr">
        <is>
          <t>-</t>
        </is>
      </c>
      <c r="Y212" s="6" t="inlineStr">
        <is>
          <t>-</t>
        </is>
      </c>
      <c r="Z212" s="6" t="inlineStr">
        <is>
          <t>FCM-OPE-SAO-PVI-ATOS</t>
        </is>
      </c>
      <c r="AA212" s="6" t="inlineStr">
        <is>
          <t>-</t>
        </is>
      </c>
      <c r="AB212" s="6" t="n">
        <v>222.9</v>
      </c>
      <c r="AC212" s="6" t="n">
        <v>4.46</v>
      </c>
      <c r="AD212" s="6" t="n">
        <v>0</v>
      </c>
      <c r="AE212" s="6" t="n">
        <v>0</v>
      </c>
      <c r="AF212" s="6" t="n">
        <v>0</v>
      </c>
      <c r="AG212" s="6" t="n">
        <v>0</v>
      </c>
      <c r="AH212" s="6" t="n">
        <v>0</v>
      </c>
      <c r="AI212" s="6" t="inlineStr">
        <is>
          <t>Reserva importada do sistema Gover. Id: 4618064</t>
        </is>
      </c>
      <c r="AJ212" s="6" t="inlineStr">
        <is>
          <t>Fornecedor não preenchido! (ACC01)</t>
        </is>
      </c>
      <c r="AK212" s="6" t="inlineStr">
        <is>
          <t>GOVER</t>
        </is>
      </c>
      <c r="AL212" s="6" t="inlineStr">
        <is>
          <t>Falta de Fornecedor</t>
        </is>
      </c>
      <c r="AM212" s="6" t="inlineStr">
        <is>
          <t>Campo Fornecedor</t>
        </is>
      </c>
      <c r="AN212" s="6" t="inlineStr">
        <is>
          <t>Dados do Fornecedor</t>
        </is>
      </c>
      <c r="AO212" s="6" t="inlineStr">
        <is>
          <t>Sistêmico</t>
        </is>
      </c>
      <c r="AP212" s="6" t="inlineStr">
        <is>
          <t>GRUPO KONTIK</t>
        </is>
      </c>
      <c r="AQ212" s="6" t="inlineStr">
        <is>
          <t>Suporte Benner</t>
        </is>
      </c>
    </row>
    <row r="213">
      <c r="A213" s="6" t="n">
        <v>23232738</v>
      </c>
      <c r="B213" s="6" t="n">
        <v>23967330</v>
      </c>
      <c r="C213" s="6" t="inlineStr">
        <is>
          <t>ACC01</t>
        </is>
      </c>
      <c r="D213" s="58" t="n">
        <v>45961.75215277778</v>
      </c>
      <c r="E213" s="58" t="n">
        <v>45962.21804398148</v>
      </c>
      <c r="F213" s="59" t="inlineStr">
        <is>
          <t>24 a 31 dias</t>
        </is>
      </c>
      <c r="G213" s="59" t="inlineStr">
        <is>
          <t>24 a 31 dias</t>
        </is>
      </c>
      <c r="H213" s="6" t="inlineStr">
        <is>
          <t>AGZQCCT</t>
        </is>
      </c>
      <c r="I213" s="6" t="inlineStr">
        <is>
          <t>SABRE</t>
        </is>
      </c>
      <c r="J213" s="6" t="inlineStr">
        <is>
          <t>BORGHI/ANA BEATRIZ</t>
        </is>
      </c>
      <c r="K213" s="6" t="inlineStr">
        <is>
          <t>WS</t>
        </is>
      </c>
      <c r="L213" s="6" t="inlineStr">
        <is>
          <t>WS</t>
        </is>
      </c>
      <c r="M213" s="58" t="n">
        <v>45960.60486111111</v>
      </c>
      <c r="N213" s="6" t="inlineStr">
        <is>
          <t>AGZQCC</t>
        </is>
      </c>
      <c r="O213" s="6" t="inlineStr">
        <is>
          <t>-</t>
        </is>
      </c>
      <c r="P213" s="6" t="inlineStr">
        <is>
          <t>ON LINE</t>
        </is>
      </c>
      <c r="Q213" s="6" t="inlineStr">
        <is>
          <t>Cartão de crédito</t>
        </is>
      </c>
      <c r="R213" s="6" t="inlineStr">
        <is>
          <t>Cartão de crédito</t>
        </is>
      </c>
      <c r="S213" s="6" t="inlineStr">
        <is>
          <t>Hotel</t>
        </is>
      </c>
      <c r="T213" s="6" t="inlineStr">
        <is>
          <t>N</t>
        </is>
      </c>
      <c r="U213" s="6" t="inlineStr">
        <is>
          <t>Grupo Honeywell</t>
        </is>
      </c>
      <c r="V213" s="6" t="inlineStr">
        <is>
          <t>Honeywell</t>
        </is>
      </c>
      <c r="W213" s="6" t="inlineStr">
        <is>
          <t>Cliente FEE no POS</t>
        </is>
      </c>
      <c r="X213" s="6" t="inlineStr">
        <is>
          <t>-</t>
        </is>
      </c>
      <c r="Y213" s="6" t="inlineStr">
        <is>
          <t>-</t>
        </is>
      </c>
      <c r="Z213" s="6" t="inlineStr">
        <is>
          <t>FCM-OPE-SAO-PVI-BTC-CONCUR-HONEYWELL</t>
        </is>
      </c>
      <c r="AA213" s="6" t="inlineStr">
        <is>
          <t>-</t>
        </is>
      </c>
      <c r="AB213" s="6" t="n">
        <v>1245.342</v>
      </c>
      <c r="AC213" s="6" t="n">
        <v>26.17</v>
      </c>
      <c r="AD213" s="6" t="n">
        <v>0</v>
      </c>
      <c r="AE213" s="6" t="n">
        <v>0</v>
      </c>
      <c r="AF213" s="6" t="n">
        <v>0</v>
      </c>
      <c r="AG213" s="6" t="n">
        <v>0</v>
      </c>
      <c r="AH213" s="6" t="n">
        <v>13</v>
      </c>
      <c r="AI213" s="6" t="inlineStr">
        <is>
          <t>Reserva importada por HubTravel</t>
        </is>
      </c>
      <c r="AJ213" s="6" t="inlineStr">
        <is>
          <t>Fornecedor não preenchido! (ACC01)</t>
        </is>
      </c>
      <c r="AK213" s="6" t="inlineStr">
        <is>
          <t>SABRE</t>
        </is>
      </c>
      <c r="AL213" s="6" t="inlineStr">
        <is>
          <t>Falta de Fornecedor</t>
        </is>
      </c>
      <c r="AM213" s="6" t="inlineStr">
        <is>
          <t>Campo Fornecedor</t>
        </is>
      </c>
      <c r="AN213" s="6" t="inlineStr">
        <is>
          <t>Dados do Fornecedor</t>
        </is>
      </c>
      <c r="AO213" s="6" t="inlineStr">
        <is>
          <t>Sistêmico</t>
        </is>
      </c>
      <c r="AP213" s="6" t="inlineStr">
        <is>
          <t>GRUPO KONTIK</t>
        </is>
      </c>
      <c r="AQ213" s="6" t="inlineStr">
        <is>
          <t>Suporte Benner</t>
        </is>
      </c>
    </row>
    <row r="214">
      <c r="A214" s="6" t="n">
        <v>23364435</v>
      </c>
      <c r="B214" s="6" t="n">
        <v>24090488</v>
      </c>
      <c r="C214" s="6" t="inlineStr">
        <is>
          <t>ACC01</t>
        </is>
      </c>
      <c r="D214" s="58" t="n">
        <v>45982.37203703704</v>
      </c>
      <c r="E214" s="58" t="n">
        <v>45982.38163194444</v>
      </c>
      <c r="F214" s="6" t="inlineStr">
        <is>
          <t>03 a 05 dias</t>
        </is>
      </c>
      <c r="G214" s="6" t="inlineStr">
        <is>
          <t>03 a 05 dias</t>
        </is>
      </c>
      <c r="H214" s="6" t="inlineStr">
        <is>
          <t>JOFFJQC</t>
        </is>
      </c>
      <c r="I214" s="6" t="inlineStr">
        <is>
          <t>SABRE</t>
        </is>
      </c>
      <c r="J214" s="6" t="inlineStr">
        <is>
          <t>ROLIM/JOANA CELIA MISS</t>
        </is>
      </c>
      <c r="K214" s="6" t="inlineStr">
        <is>
          <t>WS</t>
        </is>
      </c>
      <c r="L214" s="6" t="inlineStr">
        <is>
          <t>WS</t>
        </is>
      </c>
      <c r="M214" s="58" t="n">
        <v>45981.31319444445</v>
      </c>
      <c r="N214" s="6" t="inlineStr">
        <is>
          <t>JOFFJQ</t>
        </is>
      </c>
      <c r="O214" s="6" t="inlineStr">
        <is>
          <t>VCP</t>
        </is>
      </c>
      <c r="P214" s="6" t="inlineStr">
        <is>
          <t>ON LINE</t>
        </is>
      </c>
      <c r="Q214" s="6" t="inlineStr">
        <is>
          <t>Invoice</t>
        </is>
      </c>
      <c r="R214" s="6" t="inlineStr">
        <is>
          <t>Faturado</t>
        </is>
      </c>
      <c r="S214" s="6" t="inlineStr">
        <is>
          <t>Carro</t>
        </is>
      </c>
      <c r="T214" s="6" t="inlineStr">
        <is>
          <t>N</t>
        </is>
      </c>
      <c r="U214" s="6" t="inlineStr">
        <is>
          <t>Grupo Honeywell</t>
        </is>
      </c>
      <c r="V214" s="6" t="inlineStr">
        <is>
          <t>Honeywell</t>
        </is>
      </c>
      <c r="W214" s="6" t="inlineStr">
        <is>
          <t>Cliente FEE no POS</t>
        </is>
      </c>
      <c r="X214" s="6" t="inlineStr">
        <is>
          <t>-</t>
        </is>
      </c>
      <c r="Y214" s="6" t="inlineStr">
        <is>
          <t>-</t>
        </is>
      </c>
      <c r="Z214" s="6" t="inlineStr">
        <is>
          <t>FCM-OPE-SAO-PVI-BTC-CONCUR-HONEYWELL</t>
        </is>
      </c>
      <c r="AA214" s="6" t="inlineStr">
        <is>
          <t>-</t>
        </is>
      </c>
      <c r="AB214" s="6" t="n">
        <v>839.97</v>
      </c>
      <c r="AC214" s="6" t="n">
        <v>134.4</v>
      </c>
      <c r="AD214" s="6" t="n">
        <v>0</v>
      </c>
      <c r="AE214" s="6" t="n">
        <v>0</v>
      </c>
      <c r="AF214" s="6" t="n">
        <v>0</v>
      </c>
      <c r="AG214" s="6" t="n">
        <v>0</v>
      </c>
      <c r="AH214" s="6" t="n">
        <v>0</v>
      </c>
      <c r="AI214" s="6" t="inlineStr">
        <is>
          <t>Reserva importada por HubTravel</t>
        </is>
      </c>
      <c r="AJ214" s="6" t="inlineStr">
        <is>
          <t>Fornecedor não preenchido! (ACC01)</t>
        </is>
      </c>
      <c r="AK214" s="6" t="inlineStr">
        <is>
          <t>SABRE</t>
        </is>
      </c>
      <c r="AL214" s="6" t="inlineStr">
        <is>
          <t>Falta de Fornecedor</t>
        </is>
      </c>
      <c r="AM214" s="6" t="inlineStr">
        <is>
          <t>Campo Fornecedor</t>
        </is>
      </c>
      <c r="AN214" s="6" t="inlineStr">
        <is>
          <t>Dados do Fornecedor</t>
        </is>
      </c>
      <c r="AO214" s="6" t="inlineStr">
        <is>
          <t>Qualidade dos dados</t>
        </is>
      </c>
      <c r="AP214" s="6" t="inlineStr">
        <is>
          <t>KONTIK BUSINESS TRAVEL</t>
        </is>
      </c>
      <c r="AQ214" s="6" t="inlineStr">
        <is>
          <t>Suporte KCS</t>
        </is>
      </c>
    </row>
    <row r="215">
      <c r="A215" s="6" t="n">
        <v>23361905</v>
      </c>
      <c r="B215" s="6" t="n">
        <v>24088463</v>
      </c>
      <c r="C215" s="6" t="inlineStr">
        <is>
          <t>ACC01</t>
        </is>
      </c>
      <c r="D215" s="58" t="n">
        <v>45981.73148148148</v>
      </c>
      <c r="E215" s="58" t="n">
        <v>45982.37623842592</v>
      </c>
      <c r="F215" s="6" t="inlineStr">
        <is>
          <t>03 a 05 dias</t>
        </is>
      </c>
      <c r="G215" s="6" t="inlineStr">
        <is>
          <t>03 a 05 dias</t>
        </is>
      </c>
      <c r="H215" s="6" t="inlineStr">
        <is>
          <t>IZPNSJC</t>
        </is>
      </c>
      <c r="I215" s="6" t="inlineStr">
        <is>
          <t>SABRE</t>
        </is>
      </c>
      <c r="J215" s="6" t="inlineStr">
        <is>
          <t>TAVARES/THOMAZ DAIBERT MACHADO MR</t>
        </is>
      </c>
      <c r="K215" s="6" t="inlineStr">
        <is>
          <t>WS</t>
        </is>
      </c>
      <c r="L215" s="6" t="inlineStr">
        <is>
          <t>WS</t>
        </is>
      </c>
      <c r="M215" s="58" t="n">
        <v>45980.59722222222</v>
      </c>
      <c r="N215" s="6" t="inlineStr">
        <is>
          <t>IZPNSJ</t>
        </is>
      </c>
      <c r="O215" s="6" t="inlineStr">
        <is>
          <t>SJU</t>
        </is>
      </c>
      <c r="P215" s="6" t="inlineStr">
        <is>
          <t>ON LINE</t>
        </is>
      </c>
      <c r="Q215" s="6" t="inlineStr">
        <is>
          <t>Invoice</t>
        </is>
      </c>
      <c r="R215" s="6" t="inlineStr">
        <is>
          <t>Faturado</t>
        </is>
      </c>
      <c r="S215" s="6" t="inlineStr">
        <is>
          <t>Carro</t>
        </is>
      </c>
      <c r="T215" s="6" t="inlineStr">
        <is>
          <t>N</t>
        </is>
      </c>
      <c r="U215" s="6" t="inlineStr">
        <is>
          <t>Grupo Honeywell</t>
        </is>
      </c>
      <c r="V215" s="6" t="inlineStr">
        <is>
          <t>Honeywell</t>
        </is>
      </c>
      <c r="W215" s="6" t="inlineStr">
        <is>
          <t>Cliente FEE no POS</t>
        </is>
      </c>
      <c r="X215" s="6" t="inlineStr">
        <is>
          <t>-</t>
        </is>
      </c>
      <c r="Y215" s="6" t="inlineStr">
        <is>
          <t>-</t>
        </is>
      </c>
      <c r="Z215" s="6" t="inlineStr">
        <is>
          <t>FCM-OPE-SAO-PVI-BTC-CONCUR-HONEYWELL</t>
        </is>
      </c>
      <c r="AA215" s="6" t="inlineStr">
        <is>
          <t>-</t>
        </is>
      </c>
      <c r="AB215" s="6" t="n">
        <v>1131.7</v>
      </c>
      <c r="AC215" s="6" t="n">
        <v>138.55</v>
      </c>
      <c r="AD215" s="6" t="n">
        <v>0</v>
      </c>
      <c r="AE215" s="6" t="n">
        <v>0</v>
      </c>
      <c r="AF215" s="6" t="n">
        <v>0</v>
      </c>
      <c r="AG215" s="6" t="n">
        <v>0</v>
      </c>
      <c r="AH215" s="6" t="n">
        <v>0</v>
      </c>
      <c r="AI215" s="6" t="inlineStr">
        <is>
          <t>Reserva importada por HubTravel</t>
        </is>
      </c>
      <c r="AJ215" s="6" t="inlineStr">
        <is>
          <t>Fornecedor não preenchido! (ACC01)</t>
        </is>
      </c>
      <c r="AK215" s="6" t="inlineStr">
        <is>
          <t>SABRE</t>
        </is>
      </c>
      <c r="AL215" s="6" t="inlineStr">
        <is>
          <t>Falta de Fornecedor</t>
        </is>
      </c>
      <c r="AM215" s="6" t="inlineStr">
        <is>
          <t>Campo Fornecedor</t>
        </is>
      </c>
      <c r="AN215" s="6" t="inlineStr">
        <is>
          <t>Dados do Fornecedor</t>
        </is>
      </c>
      <c r="AO215" s="6" t="inlineStr">
        <is>
          <t>Qualidade dos dados</t>
        </is>
      </c>
      <c r="AP215" s="6" t="inlineStr">
        <is>
          <t>KONTIK BUSINESS TRAVEL</t>
        </is>
      </c>
      <c r="AQ215" s="6" t="inlineStr">
        <is>
          <t>Suporte KCS</t>
        </is>
      </c>
    </row>
    <row r="216">
      <c r="A216" s="6" t="n">
        <v>23245441</v>
      </c>
      <c r="B216" s="6" t="n">
        <v>23978415</v>
      </c>
      <c r="C216" s="6" t="inlineStr">
        <is>
          <t>ACC01</t>
        </is>
      </c>
      <c r="D216" s="58" t="n">
        <v>45964.46077546296</v>
      </c>
      <c r="E216" s="58" t="n">
        <v>45965.21285879629</v>
      </c>
      <c r="F216" s="59" t="inlineStr">
        <is>
          <t>16 a 23 dias</t>
        </is>
      </c>
      <c r="G216" s="59" t="inlineStr">
        <is>
          <t>16 a 23 dias</t>
        </is>
      </c>
      <c r="H216" s="6" t="inlineStr">
        <is>
          <t>FLOAUYT</t>
        </is>
      </c>
      <c r="I216" s="6" t="inlineStr">
        <is>
          <t>SABRE</t>
        </is>
      </c>
      <c r="J216" s="6" t="inlineStr">
        <is>
          <t>BORGHI/ANA BEATRIZ</t>
        </is>
      </c>
      <c r="K216" s="6" t="inlineStr">
        <is>
          <t>WS</t>
        </is>
      </c>
      <c r="L216" s="6" t="inlineStr">
        <is>
          <t>WS</t>
        </is>
      </c>
      <c r="M216" s="58" t="n">
        <v>45962.65833333333</v>
      </c>
      <c r="N216" s="6" t="inlineStr">
        <is>
          <t>FLOAUY</t>
        </is>
      </c>
      <c r="O216" s="6" t="inlineStr">
        <is>
          <t>-</t>
        </is>
      </c>
      <c r="P216" s="6" t="inlineStr">
        <is>
          <t>ON LINE</t>
        </is>
      </c>
      <c r="Q216" s="6" t="inlineStr">
        <is>
          <t>Cartão de crédito</t>
        </is>
      </c>
      <c r="R216" s="6" t="inlineStr">
        <is>
          <t>Cartão de crédito</t>
        </is>
      </c>
      <c r="S216" s="6" t="inlineStr">
        <is>
          <t>Hotel</t>
        </is>
      </c>
      <c r="T216" s="6" t="inlineStr">
        <is>
          <t>N</t>
        </is>
      </c>
      <c r="U216" s="6" t="inlineStr">
        <is>
          <t>Grupo Honeywell</t>
        </is>
      </c>
      <c r="V216" s="6" t="inlineStr">
        <is>
          <t>Honeywell</t>
        </is>
      </c>
      <c r="W216" s="6" t="inlineStr">
        <is>
          <t>Cliente FEE no POS</t>
        </is>
      </c>
      <c r="X216" s="6" t="inlineStr">
        <is>
          <t>-</t>
        </is>
      </c>
      <c r="Y216" s="6" t="inlineStr">
        <is>
          <t>-</t>
        </is>
      </c>
      <c r="Z216" s="6" t="inlineStr">
        <is>
          <t>FCM-OPE-SAO-PVI-BTC-CONCUR-HONEYWELL</t>
        </is>
      </c>
      <c r="AA216" s="6" t="inlineStr">
        <is>
          <t>-</t>
        </is>
      </c>
      <c r="AB216" s="6" t="n">
        <v>875.5808</v>
      </c>
      <c r="AC216" s="6" t="n">
        <v>8.449999999999999</v>
      </c>
      <c r="AD216" s="6" t="n">
        <v>0</v>
      </c>
      <c r="AE216" s="6" t="n">
        <v>0</v>
      </c>
      <c r="AF216" s="6" t="n">
        <v>0</v>
      </c>
      <c r="AG216" s="6" t="n">
        <v>0</v>
      </c>
      <c r="AH216" s="6" t="n">
        <v>13</v>
      </c>
      <c r="AI216" s="6" t="inlineStr">
        <is>
          <t>Reserva importada por HubTravel</t>
        </is>
      </c>
      <c r="AJ216" s="6" t="inlineStr">
        <is>
          <t>Fornecedor não preenchido! (ACC01)</t>
        </is>
      </c>
      <c r="AK216" s="6" t="inlineStr">
        <is>
          <t>SABRE</t>
        </is>
      </c>
      <c r="AL216" s="6" t="inlineStr">
        <is>
          <t>Falta de Fornecedor</t>
        </is>
      </c>
      <c r="AM216" s="6" t="inlineStr">
        <is>
          <t>Campo Fornecedor</t>
        </is>
      </c>
      <c r="AN216" s="6" t="inlineStr">
        <is>
          <t>Dados do Fornecedor</t>
        </is>
      </c>
      <c r="AO216" s="6" t="inlineStr">
        <is>
          <t>Sistêmico</t>
        </is>
      </c>
      <c r="AP216" s="6" t="inlineStr">
        <is>
          <t>GRUPO KONTIK</t>
        </is>
      </c>
      <c r="AQ216" s="6" t="inlineStr">
        <is>
          <t>Suporte Benner</t>
        </is>
      </c>
    </row>
    <row r="217">
      <c r="A217" s="6" t="n">
        <v>23245443</v>
      </c>
      <c r="B217" s="6" t="n">
        <v>23978417</v>
      </c>
      <c r="C217" s="6" t="inlineStr">
        <is>
          <t>ACC01</t>
        </is>
      </c>
      <c r="D217" s="58" t="n">
        <v>45964.46123842592</v>
      </c>
      <c r="E217" s="58" t="n">
        <v>45964.4693287037</v>
      </c>
      <c r="F217" s="59" t="inlineStr">
        <is>
          <t>16 a 23 dias</t>
        </is>
      </c>
      <c r="G217" s="59" t="inlineStr">
        <is>
          <t>16 a 23 dias</t>
        </is>
      </c>
      <c r="H217" s="6" t="inlineStr">
        <is>
          <t>NNQWGQC</t>
        </is>
      </c>
      <c r="I217" s="6" t="inlineStr">
        <is>
          <t>SABRE</t>
        </is>
      </c>
      <c r="J217" s="6" t="inlineStr">
        <is>
          <t>PIMENTA DE PADUA SR/VINICIUS MR</t>
        </is>
      </c>
      <c r="K217" s="6" t="inlineStr">
        <is>
          <t>WS</t>
        </is>
      </c>
      <c r="L217" s="6" t="inlineStr">
        <is>
          <t>WS</t>
        </is>
      </c>
      <c r="M217" s="58" t="n">
        <v>45963.68541666667</v>
      </c>
      <c r="N217" s="6" t="inlineStr">
        <is>
          <t>NNQWGQ</t>
        </is>
      </c>
      <c r="O217" s="6" t="inlineStr">
        <is>
          <t>GIG</t>
        </is>
      </c>
      <c r="P217" s="6" t="inlineStr">
        <is>
          <t>ON LINE</t>
        </is>
      </c>
      <c r="Q217" s="6" t="inlineStr">
        <is>
          <t>Invoice</t>
        </is>
      </c>
      <c r="R217" s="6" t="inlineStr">
        <is>
          <t>Faturado</t>
        </is>
      </c>
      <c r="S217" s="6" t="inlineStr">
        <is>
          <t>Carro</t>
        </is>
      </c>
      <c r="T217" s="6" t="inlineStr">
        <is>
          <t>N</t>
        </is>
      </c>
      <c r="U217" s="6" t="inlineStr">
        <is>
          <t>Grupo Honeywell</t>
        </is>
      </c>
      <c r="V217" s="6" t="inlineStr">
        <is>
          <t>Honeywell Industria de Tecnologia - Itajuba - Mg</t>
        </is>
      </c>
      <c r="W217" s="6" t="inlineStr">
        <is>
          <t>Cliente FEE no POS</t>
        </is>
      </c>
      <c r="X217" s="6" t="inlineStr">
        <is>
          <t>-</t>
        </is>
      </c>
      <c r="Y217" s="6" t="inlineStr">
        <is>
          <t>-</t>
        </is>
      </c>
      <c r="Z217" s="6" t="inlineStr">
        <is>
          <t>FCM-OPE-SAO-PVI-BTC-CONCUR-HONEYWELL</t>
        </is>
      </c>
      <c r="AA217" s="6" t="inlineStr">
        <is>
          <t>-</t>
        </is>
      </c>
      <c r="AB217" s="6" t="n">
        <v>1119.96</v>
      </c>
      <c r="AC217" s="6" t="n">
        <v>167.99</v>
      </c>
      <c r="AD217" s="6" t="n">
        <v>0</v>
      </c>
      <c r="AE217" s="6" t="n">
        <v>0</v>
      </c>
      <c r="AF217" s="6" t="n">
        <v>0</v>
      </c>
      <c r="AG217" s="6" t="n">
        <v>0</v>
      </c>
      <c r="AH217" s="6" t="n">
        <v>0</v>
      </c>
      <c r="AI217" s="6" t="inlineStr">
        <is>
          <t>Reserva importada por HubTravel</t>
        </is>
      </c>
      <c r="AJ217" s="6" t="inlineStr">
        <is>
          <t>Fornecedor não preenchido! (ACC01)</t>
        </is>
      </c>
      <c r="AK217" s="6" t="inlineStr">
        <is>
          <t>SABRE</t>
        </is>
      </c>
      <c r="AL217" s="6" t="inlineStr">
        <is>
          <t>Falta de Fornecedor</t>
        </is>
      </c>
      <c r="AM217" s="6" t="inlineStr">
        <is>
          <t>Campo Fornecedor</t>
        </is>
      </c>
      <c r="AN217" s="6" t="inlineStr">
        <is>
          <t>Dados do Fornecedor</t>
        </is>
      </c>
      <c r="AO217" s="6" t="inlineStr">
        <is>
          <t>Qualidade dos dados</t>
        </is>
      </c>
      <c r="AP217" s="6" t="inlineStr">
        <is>
          <t>KONTIK BUSINESS TRAVEL</t>
        </is>
      </c>
      <c r="AQ217" s="6" t="inlineStr">
        <is>
          <t>Suporte KCS</t>
        </is>
      </c>
    </row>
    <row r="218">
      <c r="A218" s="6" t="n">
        <v>23135349</v>
      </c>
      <c r="B218" s="6" t="n">
        <v>23881951</v>
      </c>
      <c r="C218" s="6" t="inlineStr">
        <is>
          <t>ACC01</t>
        </is>
      </c>
      <c r="D218" s="58" t="n">
        <v>45947.79798611111</v>
      </c>
      <c r="E218" s="58" t="n">
        <v>45948.21454861111</v>
      </c>
      <c r="F218" s="59" t="inlineStr">
        <is>
          <t>31 dias ou +</t>
        </is>
      </c>
      <c r="G218" s="59" t="inlineStr">
        <is>
          <t>31 dias ou +</t>
        </is>
      </c>
      <c r="H218" s="6" t="inlineStr">
        <is>
          <t>OKELFNT</t>
        </is>
      </c>
      <c r="I218" s="6" t="inlineStr">
        <is>
          <t>SABRE</t>
        </is>
      </c>
      <c r="J218" s="6" t="inlineStr">
        <is>
          <t>MONTEALEGRE/MATEO MR</t>
        </is>
      </c>
      <c r="K218" s="6" t="inlineStr">
        <is>
          <t>WS</t>
        </is>
      </c>
      <c r="L218" s="6" t="inlineStr">
        <is>
          <t>WS</t>
        </is>
      </c>
      <c r="M218" s="58" t="n">
        <v>45947.69930555556</v>
      </c>
      <c r="N218" s="6" t="inlineStr">
        <is>
          <t>OKELFN</t>
        </is>
      </c>
      <c r="O218" s="6" t="inlineStr">
        <is>
          <t>-</t>
        </is>
      </c>
      <c r="P218" s="6" t="inlineStr">
        <is>
          <t>ON LINE</t>
        </is>
      </c>
      <c r="Q218" s="6" t="inlineStr">
        <is>
          <t>Cartão de crédito</t>
        </is>
      </c>
      <c r="R218" s="6" t="inlineStr">
        <is>
          <t>Cartão de crédito</t>
        </is>
      </c>
      <c r="S218" s="6" t="inlineStr">
        <is>
          <t>Hotel</t>
        </is>
      </c>
      <c r="T218" s="6" t="inlineStr">
        <is>
          <t>N</t>
        </is>
      </c>
      <c r="U218" s="6" t="inlineStr">
        <is>
          <t>Grupo Honeywell</t>
        </is>
      </c>
      <c r="V218" s="6" t="inlineStr">
        <is>
          <t>Honeywell</t>
        </is>
      </c>
      <c r="W218" s="6" t="inlineStr">
        <is>
          <t>Cliente FEE no POS</t>
        </is>
      </c>
      <c r="X218" s="6" t="inlineStr">
        <is>
          <t>-</t>
        </is>
      </c>
      <c r="Y218" s="6" t="inlineStr">
        <is>
          <t>-</t>
        </is>
      </c>
      <c r="Z218" s="6" t="inlineStr">
        <is>
          <t>FCM-OPE-SAO-PVI-BTC-CONCUR-HONEYWELL</t>
        </is>
      </c>
      <c r="AA218" s="6" t="inlineStr">
        <is>
          <t>-</t>
        </is>
      </c>
      <c r="AB218" s="6" t="n">
        <v>10081.1088</v>
      </c>
      <c r="AC218" s="6" t="n">
        <v>4102</v>
      </c>
      <c r="AD218" s="6" t="n">
        <v>0</v>
      </c>
      <c r="AE218" s="6" t="n">
        <v>0</v>
      </c>
      <c r="AF218" s="6" t="n">
        <v>0</v>
      </c>
      <c r="AG218" s="6" t="n">
        <v>0</v>
      </c>
      <c r="AH218" s="6" t="n">
        <v>13</v>
      </c>
      <c r="AI218" s="6" t="inlineStr">
        <is>
          <t>Reserva importada por HubTravel</t>
        </is>
      </c>
      <c r="AJ218" s="6" t="inlineStr">
        <is>
          <t>Fornecedor não preenchido! (ACC01)</t>
        </is>
      </c>
      <c r="AK218" s="6" t="inlineStr">
        <is>
          <t>SABRE</t>
        </is>
      </c>
      <c r="AL218" s="6" t="inlineStr">
        <is>
          <t>Falta de Fornecedor</t>
        </is>
      </c>
      <c r="AM218" s="6" t="inlineStr">
        <is>
          <t>Campo Fornecedor</t>
        </is>
      </c>
      <c r="AN218" s="6" t="inlineStr">
        <is>
          <t>Dados do Fornecedor</t>
        </is>
      </c>
      <c r="AO218" s="6" t="inlineStr">
        <is>
          <t>Sistêmico</t>
        </is>
      </c>
      <c r="AP218" s="6" t="inlineStr">
        <is>
          <t>GRUPO KONTIK</t>
        </is>
      </c>
      <c r="AQ218" s="6" t="inlineStr">
        <is>
          <t>Suporte Benner</t>
        </is>
      </c>
    </row>
    <row r="219">
      <c r="A219" s="6" t="n">
        <v>23253687</v>
      </c>
      <c r="B219" s="6" t="n">
        <v>23986342</v>
      </c>
      <c r="C219" s="6" t="inlineStr">
        <is>
          <t>ACC01</t>
        </is>
      </c>
      <c r="D219" s="58" t="n">
        <v>45965.4728125</v>
      </c>
      <c r="E219" s="58" t="n">
        <v>45966.21288194445</v>
      </c>
      <c r="F219" s="59" t="inlineStr">
        <is>
          <t>16 a 23 dias</t>
        </is>
      </c>
      <c r="G219" s="59" t="inlineStr">
        <is>
          <t>16 a 23 dias</t>
        </is>
      </c>
      <c r="H219" s="6" t="inlineStr">
        <is>
          <t>IOUFUGT</t>
        </is>
      </c>
      <c r="I219" s="6" t="inlineStr">
        <is>
          <t>SABRE</t>
        </is>
      </c>
      <c r="J219" s="6" t="inlineStr">
        <is>
          <t>TAVARES/THOMAZ DAIBERT MACHADO MR</t>
        </is>
      </c>
      <c r="K219" s="6" t="inlineStr">
        <is>
          <t>WS</t>
        </is>
      </c>
      <c r="L219" s="6" t="inlineStr">
        <is>
          <t>WS</t>
        </is>
      </c>
      <c r="M219" s="58" t="n">
        <v>45964.62708333333</v>
      </c>
      <c r="N219" s="6" t="inlineStr">
        <is>
          <t>IOUFUG</t>
        </is>
      </c>
      <c r="O219" s="6" t="inlineStr">
        <is>
          <t>-</t>
        </is>
      </c>
      <c r="P219" s="6" t="inlineStr">
        <is>
          <t>ON LINE</t>
        </is>
      </c>
      <c r="Q219" s="6" t="inlineStr">
        <is>
          <t>Cartão de crédito</t>
        </is>
      </c>
      <c r="R219" s="6" t="inlineStr">
        <is>
          <t>Cartão de crédito</t>
        </is>
      </c>
      <c r="S219" s="6" t="inlineStr">
        <is>
          <t>Hotel</t>
        </is>
      </c>
      <c r="T219" s="6" t="inlineStr">
        <is>
          <t>N</t>
        </is>
      </c>
      <c r="U219" s="6" t="inlineStr">
        <is>
          <t>Grupo Honeywell</t>
        </is>
      </c>
      <c r="V219" s="6" t="inlineStr">
        <is>
          <t>Honeywell</t>
        </is>
      </c>
      <c r="W219" s="6" t="inlineStr">
        <is>
          <t>Cliente FEE no POS</t>
        </is>
      </c>
      <c r="X219" s="6" t="inlineStr">
        <is>
          <t>-</t>
        </is>
      </c>
      <c r="Y219" s="6" t="inlineStr">
        <is>
          <t>-</t>
        </is>
      </c>
      <c r="Z219" s="6" t="inlineStr">
        <is>
          <t>FCM-OPE-SAO-PVI-BTC-CONCUR-HONEYWELL</t>
        </is>
      </c>
      <c r="AA219" s="6" t="inlineStr">
        <is>
          <t>-</t>
        </is>
      </c>
      <c r="AB219" s="6" t="n">
        <v>1472.4164</v>
      </c>
      <c r="AC219" s="6" t="n">
        <v>34.99</v>
      </c>
      <c r="AD219" s="6" t="n">
        <v>0</v>
      </c>
      <c r="AE219" s="6" t="n">
        <v>0</v>
      </c>
      <c r="AF219" s="6" t="n">
        <v>0</v>
      </c>
      <c r="AG219" s="6" t="n">
        <v>0</v>
      </c>
      <c r="AH219" s="6" t="n">
        <v>13</v>
      </c>
      <c r="AI219" s="6" t="inlineStr">
        <is>
          <t>Reserva importada por HubTravel</t>
        </is>
      </c>
      <c r="AJ219" s="6" t="inlineStr">
        <is>
          <t>Fornecedor não preenchido! (ACC01)</t>
        </is>
      </c>
      <c r="AK219" s="6" t="inlineStr">
        <is>
          <t>SABRE</t>
        </is>
      </c>
      <c r="AL219" s="6" t="inlineStr">
        <is>
          <t>Falta de Fornecedor</t>
        </is>
      </c>
      <c r="AM219" s="6" t="inlineStr">
        <is>
          <t>Campo Fornecedor</t>
        </is>
      </c>
      <c r="AN219" s="6" t="inlineStr">
        <is>
          <t>Dados do Fornecedor</t>
        </is>
      </c>
      <c r="AO219" s="6" t="inlineStr">
        <is>
          <t>Sistêmico</t>
        </is>
      </c>
      <c r="AP219" s="6" t="inlineStr">
        <is>
          <t>GRUPO KONTIK</t>
        </is>
      </c>
      <c r="AQ219" s="6" t="inlineStr">
        <is>
          <t>Suporte Benner</t>
        </is>
      </c>
    </row>
    <row r="220">
      <c r="A220" s="6" t="n">
        <v>23254292</v>
      </c>
      <c r="B220" s="6" t="n">
        <v>23986968</v>
      </c>
      <c r="C220" s="6" t="inlineStr">
        <is>
          <t>ACC01</t>
        </is>
      </c>
      <c r="D220" s="58" t="n">
        <v>45965.54375</v>
      </c>
      <c r="E220" s="58" t="n">
        <v>45966.21327546296</v>
      </c>
      <c r="F220" s="59" t="inlineStr">
        <is>
          <t>16 a 23 dias</t>
        </is>
      </c>
      <c r="G220" s="59" t="inlineStr">
        <is>
          <t>16 a 23 dias</t>
        </is>
      </c>
      <c r="H220" s="6" t="inlineStr">
        <is>
          <t>APLQJUT</t>
        </is>
      </c>
      <c r="I220" s="6" t="inlineStr">
        <is>
          <t>SABRE</t>
        </is>
      </c>
      <c r="J220" s="6" t="inlineStr">
        <is>
          <t>PARRA SR/FERNANDO MR</t>
        </is>
      </c>
      <c r="K220" s="6" t="inlineStr">
        <is>
          <t>WS</t>
        </is>
      </c>
      <c r="L220" s="6" t="inlineStr">
        <is>
          <t>WS</t>
        </is>
      </c>
      <c r="M220" s="58" t="n">
        <v>45965.24583333333</v>
      </c>
      <c r="N220" s="6" t="inlineStr">
        <is>
          <t>APLQJU</t>
        </is>
      </c>
      <c r="O220" s="6" t="inlineStr">
        <is>
          <t>-</t>
        </is>
      </c>
      <c r="P220" s="6" t="inlineStr">
        <is>
          <t>ON LINE</t>
        </is>
      </c>
      <c r="Q220" s="6" t="inlineStr">
        <is>
          <t>Cartão de crédito</t>
        </is>
      </c>
      <c r="R220" s="6" t="inlineStr">
        <is>
          <t>Cartão de crédito</t>
        </is>
      </c>
      <c r="S220" s="6" t="inlineStr">
        <is>
          <t>Hotel</t>
        </is>
      </c>
      <c r="T220" s="6" t="inlineStr">
        <is>
          <t>N</t>
        </is>
      </c>
      <c r="U220" s="6" t="inlineStr">
        <is>
          <t>Grupo Honeywell</t>
        </is>
      </c>
      <c r="V220" s="6" t="inlineStr">
        <is>
          <t>Honeywell</t>
        </is>
      </c>
      <c r="W220" s="6" t="inlineStr">
        <is>
          <t>Cliente FEE no POS</t>
        </is>
      </c>
      <c r="X220" s="6" t="inlineStr">
        <is>
          <t>-</t>
        </is>
      </c>
      <c r="Y220" s="6" t="inlineStr">
        <is>
          <t>-</t>
        </is>
      </c>
      <c r="Z220" s="6" t="inlineStr">
        <is>
          <t>FCM-OPE-SAO-PVI-BTC-CONCUR-HONEYWELL</t>
        </is>
      </c>
      <c r="AA220" s="6" t="inlineStr">
        <is>
          <t>-</t>
        </is>
      </c>
      <c r="AB220" s="6" t="n">
        <v>4850.811</v>
      </c>
      <c r="AC220" s="6" t="n">
        <v>0</v>
      </c>
      <c r="AD220" s="6" t="n">
        <v>0</v>
      </c>
      <c r="AE220" s="6" t="n">
        <v>0</v>
      </c>
      <c r="AF220" s="6" t="n">
        <v>0</v>
      </c>
      <c r="AG220" s="6" t="n">
        <v>0</v>
      </c>
      <c r="AH220" s="6" t="n">
        <v>13</v>
      </c>
      <c r="AI220" s="6" t="inlineStr">
        <is>
          <t>Reserva importada por HubTravel</t>
        </is>
      </c>
      <c r="AJ220" s="6" t="inlineStr">
        <is>
          <t>Fornecedor não preenchido! (ACC01)</t>
        </is>
      </c>
      <c r="AK220" s="6" t="inlineStr">
        <is>
          <t>SABRE</t>
        </is>
      </c>
      <c r="AL220" s="6" t="inlineStr">
        <is>
          <t>Falta de Fornecedor</t>
        </is>
      </c>
      <c r="AM220" s="6" t="inlineStr">
        <is>
          <t>Campo Fornecedor</t>
        </is>
      </c>
      <c r="AN220" s="6" t="inlineStr">
        <is>
          <t>Dados do Fornecedor</t>
        </is>
      </c>
      <c r="AO220" s="6" t="inlineStr">
        <is>
          <t>Sistêmico</t>
        </is>
      </c>
      <c r="AP220" s="6" t="inlineStr">
        <is>
          <t>GRUPO KONTIK</t>
        </is>
      </c>
      <c r="AQ220" s="6" t="inlineStr">
        <is>
          <t>Suporte Benner</t>
        </is>
      </c>
    </row>
    <row r="221">
      <c r="A221" s="6" t="n">
        <v>23355782</v>
      </c>
      <c r="B221" s="6" t="n">
        <v>24082749</v>
      </c>
      <c r="C221" s="6" t="inlineStr">
        <is>
          <t>ACC01</t>
        </is>
      </c>
      <c r="D221" s="58" t="n">
        <v>45980.69862268519</v>
      </c>
      <c r="E221" s="58" t="n">
        <v>45980.70677083333</v>
      </c>
      <c r="F221" s="6" t="inlineStr">
        <is>
          <t>06 a 08 dias</t>
        </is>
      </c>
      <c r="G221" s="6" t="inlineStr">
        <is>
          <t>06 a 08 dias</t>
        </is>
      </c>
      <c r="H221" s="6" t="inlineStr">
        <is>
          <t>KXOZBZC</t>
        </is>
      </c>
      <c r="I221" s="6" t="inlineStr">
        <is>
          <t>SABRE</t>
        </is>
      </c>
      <c r="J221" s="6" t="inlineStr">
        <is>
          <t>MAY/VINICIUS FELIPE</t>
        </is>
      </c>
      <c r="K221" s="6" t="inlineStr">
        <is>
          <t>WS</t>
        </is>
      </c>
      <c r="L221" s="6" t="inlineStr">
        <is>
          <t>WS</t>
        </is>
      </c>
      <c r="M221" s="58" t="n">
        <v>45980.50138888889</v>
      </c>
      <c r="N221" s="6" t="inlineStr">
        <is>
          <t>KXOZBZ</t>
        </is>
      </c>
      <c r="O221" s="6" t="inlineStr">
        <is>
          <t>REC</t>
        </is>
      </c>
      <c r="P221" s="6" t="inlineStr">
        <is>
          <t>ON LINE</t>
        </is>
      </c>
      <c r="Q221" s="6" t="inlineStr">
        <is>
          <t>Invoice</t>
        </is>
      </c>
      <c r="R221" s="6" t="inlineStr">
        <is>
          <t>Faturado</t>
        </is>
      </c>
      <c r="S221" s="6" t="inlineStr">
        <is>
          <t>Carro</t>
        </is>
      </c>
      <c r="T221" s="6" t="inlineStr">
        <is>
          <t>N</t>
        </is>
      </c>
      <c r="U221" s="6" t="inlineStr">
        <is>
          <t>Grupo Honeywell</t>
        </is>
      </c>
      <c r="V221" s="6" t="inlineStr">
        <is>
          <t>Honeywell</t>
        </is>
      </c>
      <c r="W221" s="6" t="inlineStr">
        <is>
          <t>Cliente FEE no POS</t>
        </is>
      </c>
      <c r="X221" s="6" t="inlineStr">
        <is>
          <t>-</t>
        </is>
      </c>
      <c r="Y221" s="6" t="inlineStr">
        <is>
          <t>-</t>
        </is>
      </c>
      <c r="Z221" s="6" t="inlineStr">
        <is>
          <t>FCM-OPE-SAO-PVI-BTC-CONCUR-HONEYWELL</t>
        </is>
      </c>
      <c r="AA221" s="6" t="inlineStr">
        <is>
          <t>-</t>
        </is>
      </c>
      <c r="AB221" s="6" t="n">
        <v>279.99</v>
      </c>
      <c r="AC221" s="6" t="n">
        <v>33.6</v>
      </c>
      <c r="AD221" s="6" t="n">
        <v>0</v>
      </c>
      <c r="AE221" s="6" t="n">
        <v>0</v>
      </c>
      <c r="AF221" s="6" t="n">
        <v>0</v>
      </c>
      <c r="AG221" s="6" t="n">
        <v>0</v>
      </c>
      <c r="AH221" s="6" t="n">
        <v>0</v>
      </c>
      <c r="AI221" s="6" t="inlineStr">
        <is>
          <t>Reserva importada por HubTravel</t>
        </is>
      </c>
      <c r="AJ221" s="6" t="inlineStr">
        <is>
          <t>Fornecedor não preenchido! (ACC01)</t>
        </is>
      </c>
      <c r="AK221" s="6" t="inlineStr">
        <is>
          <t>SABRE</t>
        </is>
      </c>
      <c r="AL221" s="6" t="inlineStr">
        <is>
          <t>Falta de Fornecedor</t>
        </is>
      </c>
      <c r="AM221" s="6" t="inlineStr">
        <is>
          <t>Campo Fornecedor</t>
        </is>
      </c>
      <c r="AN221" s="6" t="inlineStr">
        <is>
          <t>Dados do Fornecedor</t>
        </is>
      </c>
      <c r="AO221" s="6" t="inlineStr">
        <is>
          <t>Qualidade dos dados</t>
        </is>
      </c>
      <c r="AP221" s="6" t="inlineStr">
        <is>
          <t>KONTIK BUSINESS TRAVEL</t>
        </is>
      </c>
      <c r="AQ221" s="6" t="inlineStr">
        <is>
          <t>Suporte KCS</t>
        </is>
      </c>
    </row>
    <row r="222">
      <c r="A222" s="6" t="n">
        <v>23355783</v>
      </c>
      <c r="B222" s="6" t="n">
        <v>24082750</v>
      </c>
      <c r="C222" s="6" t="inlineStr">
        <is>
          <t>ACC01</t>
        </is>
      </c>
      <c r="D222" s="58" t="n">
        <v>45980.69872685185</v>
      </c>
      <c r="E222" s="58" t="n">
        <v>45981.21414351852</v>
      </c>
      <c r="F222" s="6" t="inlineStr">
        <is>
          <t>03 a 05 dias</t>
        </is>
      </c>
      <c r="G222" s="6" t="inlineStr">
        <is>
          <t>06 a 08 dias</t>
        </is>
      </c>
      <c r="H222" s="6" t="inlineStr">
        <is>
          <t>KWKQVAT</t>
        </is>
      </c>
      <c r="I222" s="6" t="inlineStr">
        <is>
          <t>SABRE</t>
        </is>
      </c>
      <c r="J222" s="6" t="inlineStr">
        <is>
          <t>FERREIRA PINTO/CLAYTON RENATO MR</t>
        </is>
      </c>
      <c r="K222" s="6" t="inlineStr">
        <is>
          <t>WS</t>
        </is>
      </c>
      <c r="L222" s="6" t="inlineStr">
        <is>
          <t>WS</t>
        </is>
      </c>
      <c r="M222" s="58" t="n">
        <v>45980.50555555556</v>
      </c>
      <c r="N222" s="6" t="inlineStr">
        <is>
          <t>KWKQVA</t>
        </is>
      </c>
      <c r="O222" s="6" t="inlineStr">
        <is>
          <t>-</t>
        </is>
      </c>
      <c r="P222" s="6" t="inlineStr">
        <is>
          <t>ON LINE</t>
        </is>
      </c>
      <c r="Q222" s="6" t="inlineStr">
        <is>
          <t>Cartão de crédito</t>
        </is>
      </c>
      <c r="R222" s="6" t="inlineStr">
        <is>
          <t>Cartão de crédito</t>
        </is>
      </c>
      <c r="S222" s="6" t="inlineStr">
        <is>
          <t>Hotel</t>
        </is>
      </c>
      <c r="T222" s="6" t="inlineStr">
        <is>
          <t>N</t>
        </is>
      </c>
      <c r="U222" s="6" t="inlineStr">
        <is>
          <t>Grupo Honeywell</t>
        </is>
      </c>
      <c r="V222" s="6" t="inlineStr">
        <is>
          <t>Honeywell</t>
        </is>
      </c>
      <c r="W222" s="6" t="inlineStr">
        <is>
          <t>Cliente FEE no POS</t>
        </is>
      </c>
      <c r="X222" s="6" t="inlineStr">
        <is>
          <t>-</t>
        </is>
      </c>
      <c r="Y222" s="6" t="inlineStr">
        <is>
          <t>-</t>
        </is>
      </c>
      <c r="Z222" s="6" t="inlineStr">
        <is>
          <t>FCM-OPE-SAO-PVI-BTC-CONCUR-HONEYWELL</t>
        </is>
      </c>
      <c r="AA222" s="6" t="inlineStr">
        <is>
          <t>-</t>
        </is>
      </c>
      <c r="AB222" s="6" t="n">
        <v>385</v>
      </c>
      <c r="AC222" s="6" t="n">
        <v>11.55</v>
      </c>
      <c r="AD222" s="6" t="n">
        <v>0</v>
      </c>
      <c r="AE222" s="6" t="n">
        <v>0</v>
      </c>
      <c r="AF222" s="6" t="n">
        <v>0</v>
      </c>
      <c r="AG222" s="6" t="n">
        <v>0</v>
      </c>
      <c r="AH222" s="6" t="n">
        <v>13</v>
      </c>
      <c r="AI222" s="6" t="inlineStr">
        <is>
          <t>Reserva importada por HubTravel</t>
        </is>
      </c>
      <c r="AJ222" s="6" t="inlineStr">
        <is>
          <t>Fornecedor não preenchido! (ACC01)</t>
        </is>
      </c>
      <c r="AK222" s="6" t="inlineStr">
        <is>
          <t>SABRE</t>
        </is>
      </c>
      <c r="AL222" s="6" t="inlineStr">
        <is>
          <t>Falta de Fornecedor</t>
        </is>
      </c>
      <c r="AM222" s="6" t="inlineStr">
        <is>
          <t>Campo Fornecedor</t>
        </is>
      </c>
      <c r="AN222" s="6" t="inlineStr">
        <is>
          <t>Dados do Fornecedor</t>
        </is>
      </c>
      <c r="AO222" s="6" t="inlineStr">
        <is>
          <t>Sistêmico</t>
        </is>
      </c>
      <c r="AP222" s="6" t="inlineStr">
        <is>
          <t>GRUPO KONTIK</t>
        </is>
      </c>
      <c r="AQ222" s="6" t="inlineStr">
        <is>
          <t>Suporte Benner</t>
        </is>
      </c>
    </row>
    <row r="223">
      <c r="A223" s="6" t="n">
        <v>23355783</v>
      </c>
      <c r="B223" s="6" t="n">
        <v>24082751</v>
      </c>
      <c r="C223" s="6" t="inlineStr">
        <is>
          <t>ACC02</t>
        </is>
      </c>
      <c r="D223" s="58" t="n">
        <v>45980.69872685185</v>
      </c>
      <c r="E223" s="58" t="n">
        <v>45981.21414351852</v>
      </c>
      <c r="F223" s="6" t="inlineStr">
        <is>
          <t>03 a 05 dias</t>
        </is>
      </c>
      <c r="G223" s="6" t="inlineStr">
        <is>
          <t>06 a 08 dias</t>
        </is>
      </c>
      <c r="H223" s="6" t="inlineStr">
        <is>
          <t>KWKQVAT</t>
        </is>
      </c>
      <c r="I223" s="6" t="inlineStr">
        <is>
          <t>SABRE</t>
        </is>
      </c>
      <c r="J223" s="6" t="inlineStr">
        <is>
          <t>FERREIRA PINTO/CLAYTON RENATO MR</t>
        </is>
      </c>
      <c r="K223" s="6" t="inlineStr">
        <is>
          <t>WS</t>
        </is>
      </c>
      <c r="L223" s="6" t="inlineStr">
        <is>
          <t>WS</t>
        </is>
      </c>
      <c r="M223" s="58" t="n">
        <v>45980.50555555556</v>
      </c>
      <c r="N223" s="6" t="inlineStr">
        <is>
          <t>KWKQVA</t>
        </is>
      </c>
      <c r="O223" s="6" t="inlineStr">
        <is>
          <t>-</t>
        </is>
      </c>
      <c r="P223" s="6" t="inlineStr">
        <is>
          <t>ON LINE</t>
        </is>
      </c>
      <c r="Q223" s="6" t="inlineStr">
        <is>
          <t>Cartão de crédito</t>
        </is>
      </c>
      <c r="R223" s="6" t="inlineStr">
        <is>
          <t>Cartão de crédito</t>
        </is>
      </c>
      <c r="S223" s="6" t="inlineStr">
        <is>
          <t>Hotel</t>
        </is>
      </c>
      <c r="T223" s="6" t="inlineStr">
        <is>
          <t>N</t>
        </is>
      </c>
      <c r="U223" s="6" t="inlineStr">
        <is>
          <t>Grupo Honeywell</t>
        </is>
      </c>
      <c r="V223" s="6" t="inlineStr">
        <is>
          <t>Honeywell</t>
        </is>
      </c>
      <c r="W223" s="6" t="inlineStr">
        <is>
          <t>Cliente FEE no POS</t>
        </is>
      </c>
      <c r="X223" s="6" t="inlineStr">
        <is>
          <t>Ibis Styles Confins Aeroporto</t>
        </is>
      </c>
      <c r="Y223" s="6" t="inlineStr">
        <is>
          <t>-</t>
        </is>
      </c>
      <c r="Z223" s="6" t="inlineStr">
        <is>
          <t>FCM-OPE-SAO-PVI-BTC-CONCUR-HONEYWELL</t>
        </is>
      </c>
      <c r="AA223" s="6" t="inlineStr">
        <is>
          <t>-</t>
        </is>
      </c>
      <c r="AB223" s="6" t="n">
        <v>300.3</v>
      </c>
      <c r="AC223" s="6" t="n">
        <v>9.01</v>
      </c>
      <c r="AD223" s="6" t="n">
        <v>0</v>
      </c>
      <c r="AE223" s="6" t="n">
        <v>0</v>
      </c>
      <c r="AF223" s="6" t="n">
        <v>0</v>
      </c>
      <c r="AG223" s="6" t="n">
        <v>0</v>
      </c>
      <c r="AH223" s="6" t="n">
        <v>0</v>
      </c>
      <c r="AI223" s="6" t="inlineStr">
        <is>
          <t>Reserva importada por HubTravel</t>
        </is>
      </c>
      <c r="AJ223" s="6" t="inlineStr">
        <is>
          <t>Fornecedor não preenchido! (ACC01)</t>
        </is>
      </c>
      <c r="AK223" s="6" t="inlineStr">
        <is>
          <t>SABRE</t>
        </is>
      </c>
      <c r="AL223" s="6" t="inlineStr">
        <is>
          <t>Falta de Fornecedor</t>
        </is>
      </c>
      <c r="AM223" s="6" t="inlineStr">
        <is>
          <t>Campo Fornecedor</t>
        </is>
      </c>
      <c r="AN223" s="6" t="inlineStr">
        <is>
          <t>Dados do Fornecedor</t>
        </is>
      </c>
      <c r="AO223" s="6" t="inlineStr">
        <is>
          <t>Sistêmico</t>
        </is>
      </c>
      <c r="AP223" s="6" t="inlineStr">
        <is>
          <t>GRUPO KONTIK</t>
        </is>
      </c>
      <c r="AQ223" s="6" t="inlineStr">
        <is>
          <t>Suporte Benner</t>
        </is>
      </c>
    </row>
    <row r="224">
      <c r="A224" s="6" t="n">
        <v>23355783</v>
      </c>
      <c r="B224" s="6" t="n">
        <v>24082752</v>
      </c>
      <c r="C224" s="6" t="inlineStr">
        <is>
          <t>ACC03</t>
        </is>
      </c>
      <c r="D224" s="58" t="n">
        <v>45980.69872685185</v>
      </c>
      <c r="E224" s="58" t="n">
        <v>45981.21414351852</v>
      </c>
      <c r="F224" s="6" t="inlineStr">
        <is>
          <t>03 a 05 dias</t>
        </is>
      </c>
      <c r="G224" s="6" t="inlineStr">
        <is>
          <t>06 a 08 dias</t>
        </is>
      </c>
      <c r="H224" s="6" t="inlineStr">
        <is>
          <t>KWKQVAT</t>
        </is>
      </c>
      <c r="I224" s="6" t="inlineStr">
        <is>
          <t>SABRE</t>
        </is>
      </c>
      <c r="J224" s="6" t="inlineStr">
        <is>
          <t>FERREIRA PINTO/CLAYTON RENATO MR</t>
        </is>
      </c>
      <c r="K224" s="6" t="inlineStr">
        <is>
          <t>WS</t>
        </is>
      </c>
      <c r="L224" s="6" t="inlineStr">
        <is>
          <t>WS</t>
        </is>
      </c>
      <c r="M224" s="58" t="n">
        <v>45980.50555555556</v>
      </c>
      <c r="N224" s="6" t="inlineStr">
        <is>
          <t>KWKQVA</t>
        </is>
      </c>
      <c r="O224" s="6" t="inlineStr">
        <is>
          <t>-</t>
        </is>
      </c>
      <c r="P224" s="6" t="inlineStr">
        <is>
          <t>ON LINE</t>
        </is>
      </c>
      <c r="Q224" s="6" t="inlineStr">
        <is>
          <t>Cartão de crédito</t>
        </is>
      </c>
      <c r="R224" s="6" t="inlineStr">
        <is>
          <t>Cartão de crédito</t>
        </is>
      </c>
      <c r="S224" s="6" t="inlineStr">
        <is>
          <t>Hotel</t>
        </is>
      </c>
      <c r="T224" s="6" t="inlineStr">
        <is>
          <t>N</t>
        </is>
      </c>
      <c r="U224" s="6" t="inlineStr">
        <is>
          <t>Grupo Honeywell</t>
        </is>
      </c>
      <c r="V224" s="6" t="inlineStr">
        <is>
          <t>Honeywell</t>
        </is>
      </c>
      <c r="W224" s="6" t="inlineStr">
        <is>
          <t>Cliente FEE no POS</t>
        </is>
      </c>
      <c r="X224" s="6" t="inlineStr">
        <is>
          <t>Ibis Styles Parauapebas</t>
        </is>
      </c>
      <c r="Y224" s="6" t="inlineStr">
        <is>
          <t>-</t>
        </is>
      </c>
      <c r="Z224" s="6" t="inlineStr">
        <is>
          <t>FCM-OPE-SAO-PVI-BTC-CONCUR-HONEYWELL</t>
        </is>
      </c>
      <c r="AA224" s="6" t="inlineStr">
        <is>
          <t>-</t>
        </is>
      </c>
      <c r="AB224" s="6" t="n">
        <v>780.6799999999999</v>
      </c>
      <c r="AC224" s="6" t="n">
        <v>22.33</v>
      </c>
      <c r="AD224" s="6" t="n">
        <v>0</v>
      </c>
      <c r="AE224" s="6" t="n">
        <v>0</v>
      </c>
      <c r="AF224" s="6" t="n">
        <v>0</v>
      </c>
      <c r="AG224" s="6" t="n">
        <v>0</v>
      </c>
      <c r="AH224" s="6" t="n">
        <v>0</v>
      </c>
      <c r="AI224" s="6" t="inlineStr">
        <is>
          <t>Reserva importada por HubTravel</t>
        </is>
      </c>
      <c r="AJ224" s="6" t="inlineStr">
        <is>
          <t>Fornecedor não preenchido! (ACC01)</t>
        </is>
      </c>
      <c r="AK224" s="6" t="inlineStr">
        <is>
          <t>SABRE</t>
        </is>
      </c>
      <c r="AL224" s="6" t="inlineStr">
        <is>
          <t>Falta de Fornecedor</t>
        </is>
      </c>
      <c r="AM224" s="6" t="inlineStr">
        <is>
          <t>Campo Fornecedor</t>
        </is>
      </c>
      <c r="AN224" s="6" t="inlineStr">
        <is>
          <t>Dados do Fornecedor</t>
        </is>
      </c>
      <c r="AO224" s="6" t="inlineStr">
        <is>
          <t>Sistêmico</t>
        </is>
      </c>
      <c r="AP224" s="6" t="inlineStr">
        <is>
          <t>GRUPO KONTIK</t>
        </is>
      </c>
      <c r="AQ224" s="6" t="inlineStr">
        <is>
          <t>Suporte Benner</t>
        </is>
      </c>
    </row>
    <row r="225">
      <c r="A225" s="6" t="n">
        <v>23365795</v>
      </c>
      <c r="B225" s="6" t="n">
        <v>24091808</v>
      </c>
      <c r="C225" s="6" t="inlineStr">
        <is>
          <t>ACC01</t>
        </is>
      </c>
      <c r="D225" s="58" t="n">
        <v>45982.55197916667</v>
      </c>
      <c r="E225" s="58" t="n">
        <v>45983.21907407408</v>
      </c>
      <c r="F225" s="6" t="inlineStr">
        <is>
          <t>03 a 05 dias</t>
        </is>
      </c>
      <c r="G225" s="6" t="inlineStr">
        <is>
          <t>03 a 05 dias</t>
        </is>
      </c>
      <c r="H225" s="6" t="inlineStr">
        <is>
          <t>INMAGBT</t>
        </is>
      </c>
      <c r="I225" s="6" t="inlineStr">
        <is>
          <t>SABRE</t>
        </is>
      </c>
      <c r="J225" s="6" t="inlineStr">
        <is>
          <t>MORAIS/BRUNO MARCIO TAVARES MR</t>
        </is>
      </c>
      <c r="K225" s="6" t="inlineStr">
        <is>
          <t>WS</t>
        </is>
      </c>
      <c r="L225" s="6" t="inlineStr">
        <is>
          <t>WS</t>
        </is>
      </c>
      <c r="M225" s="58" t="n">
        <v>45982.31666666667</v>
      </c>
      <c r="N225" s="6" t="inlineStr">
        <is>
          <t>INMAGB</t>
        </is>
      </c>
      <c r="O225" s="6" t="inlineStr">
        <is>
          <t>-</t>
        </is>
      </c>
      <c r="P225" s="6" t="inlineStr">
        <is>
          <t>ON LINE</t>
        </is>
      </c>
      <c r="Q225" s="6" t="inlineStr">
        <is>
          <t>Cartão de crédito</t>
        </is>
      </c>
      <c r="R225" s="6" t="inlineStr">
        <is>
          <t>Cartão de crédito</t>
        </is>
      </c>
      <c r="S225" s="6" t="inlineStr">
        <is>
          <t>Hotel</t>
        </is>
      </c>
      <c r="T225" s="6" t="inlineStr">
        <is>
          <t>N</t>
        </is>
      </c>
      <c r="U225" s="6" t="inlineStr">
        <is>
          <t>Grupo Honeywell</t>
        </is>
      </c>
      <c r="V225" s="6" t="inlineStr">
        <is>
          <t>Honeywell</t>
        </is>
      </c>
      <c r="W225" s="6" t="inlineStr">
        <is>
          <t>Cliente FEE no POS</t>
        </is>
      </c>
      <c r="X225" s="6" t="inlineStr">
        <is>
          <t>-</t>
        </is>
      </c>
      <c r="Y225" s="6" t="inlineStr">
        <is>
          <t>-</t>
        </is>
      </c>
      <c r="Z225" s="6" t="inlineStr">
        <is>
          <t>FCM-OPE-SAO-PVI-BTC-CONCUR-HONEYWELL</t>
        </is>
      </c>
      <c r="AA225" s="6" t="inlineStr">
        <is>
          <t>-</t>
        </is>
      </c>
      <c r="AB225" s="6" t="n">
        <v>2243.73</v>
      </c>
      <c r="AC225" s="6" t="n">
        <v>1211</v>
      </c>
      <c r="AD225" s="6" t="n">
        <v>0</v>
      </c>
      <c r="AE225" s="6" t="n">
        <v>0</v>
      </c>
      <c r="AF225" s="6" t="n">
        <v>0</v>
      </c>
      <c r="AG225" s="6" t="n">
        <v>0</v>
      </c>
      <c r="AH225" s="6" t="n">
        <v>13</v>
      </c>
      <c r="AI225" s="6" t="inlineStr">
        <is>
          <t>Reserva importada por HubTravel</t>
        </is>
      </c>
      <c r="AJ225" s="6" t="inlineStr">
        <is>
          <t>Fornecedor não preenchido! (ACC01)</t>
        </is>
      </c>
      <c r="AK225" s="6" t="inlineStr">
        <is>
          <t>SABRE</t>
        </is>
      </c>
      <c r="AL225" s="6" t="inlineStr">
        <is>
          <t>Falta de Fornecedor</t>
        </is>
      </c>
      <c r="AM225" s="6" t="inlineStr">
        <is>
          <t>Campo Fornecedor</t>
        </is>
      </c>
      <c r="AN225" s="6" t="inlineStr">
        <is>
          <t>Dados do Fornecedor</t>
        </is>
      </c>
      <c r="AO225" s="6" t="inlineStr">
        <is>
          <t>Sistêmico</t>
        </is>
      </c>
      <c r="AP225" s="6" t="inlineStr">
        <is>
          <t>GRUPO KONTIK</t>
        </is>
      </c>
      <c r="AQ225" s="6" t="inlineStr">
        <is>
          <t>Suporte Benner</t>
        </is>
      </c>
    </row>
    <row r="226">
      <c r="A226" s="6" t="n">
        <v>23367593</v>
      </c>
      <c r="B226" s="6" t="n">
        <v>24093587</v>
      </c>
      <c r="C226" s="6" t="inlineStr">
        <is>
          <t>ACC01</t>
        </is>
      </c>
      <c r="D226" s="58" t="n">
        <v>45982.73243055555</v>
      </c>
      <c r="E226" s="58" t="n">
        <v>45982.7378125</v>
      </c>
      <c r="F226" s="6" t="inlineStr">
        <is>
          <t>03 a 05 dias</t>
        </is>
      </c>
      <c r="G226" s="6" t="inlineStr">
        <is>
          <t>03 a 05 dias</t>
        </is>
      </c>
      <c r="H226" s="6" t="inlineStr">
        <is>
          <t>IHZPXVC</t>
        </is>
      </c>
      <c r="I226" s="6" t="inlineStr">
        <is>
          <t>SABRE</t>
        </is>
      </c>
      <c r="J226" s="6" t="inlineStr">
        <is>
          <t>OLIVEIRA/GIUMARA CRISTINA DE MELO MS</t>
        </is>
      </c>
      <c r="K226" s="6" t="inlineStr">
        <is>
          <t>WS</t>
        </is>
      </c>
      <c r="L226" s="6" t="inlineStr">
        <is>
          <t>WS</t>
        </is>
      </c>
      <c r="M226" s="58" t="n">
        <v>45982.56597222222</v>
      </c>
      <c r="N226" s="6" t="inlineStr">
        <is>
          <t>IHZPXV</t>
        </is>
      </c>
      <c r="O226" s="6" t="inlineStr">
        <is>
          <t>FOR</t>
        </is>
      </c>
      <c r="P226" s="6" t="inlineStr">
        <is>
          <t>ON LINE</t>
        </is>
      </c>
      <c r="Q226" s="6" t="inlineStr">
        <is>
          <t>Invoice</t>
        </is>
      </c>
      <c r="R226" s="6" t="inlineStr">
        <is>
          <t>Faturado</t>
        </is>
      </c>
      <c r="S226" s="6" t="inlineStr">
        <is>
          <t>Carro</t>
        </is>
      </c>
      <c r="T226" s="6" t="inlineStr">
        <is>
          <t>N</t>
        </is>
      </c>
      <c r="U226" s="6" t="inlineStr">
        <is>
          <t>Grupo Honeywell</t>
        </is>
      </c>
      <c r="V226" s="6" t="inlineStr">
        <is>
          <t>Honeywell Industria de Tecnologia - Itajuba - Mg</t>
        </is>
      </c>
      <c r="W226" s="6" t="inlineStr">
        <is>
          <t>Cliente FEE no POS</t>
        </is>
      </c>
      <c r="X226" s="6" t="inlineStr">
        <is>
          <t>-</t>
        </is>
      </c>
      <c r="Y226" s="6" t="inlineStr">
        <is>
          <t>-</t>
        </is>
      </c>
      <c r="Z226" s="6" t="inlineStr">
        <is>
          <t>FCM-OPE-SAO-PVI-BTC-CONCUR-HONEYWELL</t>
        </is>
      </c>
      <c r="AA226" s="6" t="inlineStr">
        <is>
          <t>-</t>
        </is>
      </c>
      <c r="AB226" s="6" t="n">
        <v>839.97</v>
      </c>
      <c r="AC226" s="6" t="n">
        <v>100.8</v>
      </c>
      <c r="AD226" s="6" t="n">
        <v>0</v>
      </c>
      <c r="AE226" s="6" t="n">
        <v>0</v>
      </c>
      <c r="AF226" s="6" t="n">
        <v>0</v>
      </c>
      <c r="AG226" s="6" t="n">
        <v>0</v>
      </c>
      <c r="AH226" s="6" t="n">
        <v>0</v>
      </c>
      <c r="AI226" s="6" t="inlineStr">
        <is>
          <t>Reserva importada por HubTravel</t>
        </is>
      </c>
      <c r="AJ226" s="6" t="inlineStr">
        <is>
          <t>Fornecedor não preenchido! (ACC01)</t>
        </is>
      </c>
      <c r="AK226" s="6" t="inlineStr">
        <is>
          <t>SABRE</t>
        </is>
      </c>
      <c r="AL226" s="6" t="inlineStr">
        <is>
          <t>Falta de Fornecedor</t>
        </is>
      </c>
      <c r="AM226" s="6" t="inlineStr">
        <is>
          <t>Campo Fornecedor</t>
        </is>
      </c>
      <c r="AN226" s="6" t="inlineStr">
        <is>
          <t>Dados do Fornecedor</t>
        </is>
      </c>
      <c r="AO226" s="6" t="inlineStr">
        <is>
          <t>Qualidade dos dados</t>
        </is>
      </c>
      <c r="AP226" s="6" t="inlineStr">
        <is>
          <t>KONTIK BUSINESS TRAVEL</t>
        </is>
      </c>
      <c r="AQ226" s="6" t="inlineStr">
        <is>
          <t>Suporte KCS</t>
        </is>
      </c>
    </row>
    <row r="227">
      <c r="A227" s="6" t="n">
        <v>23355478</v>
      </c>
      <c r="B227" s="6" t="n">
        <v>24082508</v>
      </c>
      <c r="C227" s="6" t="inlineStr">
        <is>
          <t>ACC</t>
        </is>
      </c>
      <c r="D227" s="58" t="n">
        <v>45980.66704861111</v>
      </c>
      <c r="E227" s="58" t="n">
        <v>45981.21208333333</v>
      </c>
      <c r="F227" s="6" t="inlineStr">
        <is>
          <t>03 a 05 dias</t>
        </is>
      </c>
      <c r="G227" s="6" t="inlineStr">
        <is>
          <t>06 a 08 dias</t>
        </is>
      </c>
      <c r="H227" s="6" t="inlineStr">
        <is>
          <t>IB1Z09</t>
        </is>
      </c>
      <c r="I227" s="6" t="inlineStr">
        <is>
          <t>MANUAL</t>
        </is>
      </c>
      <c r="J227" s="6" t="inlineStr">
        <is>
          <t>MORAIS/BRUNO MARCIO TAVARES MR</t>
        </is>
      </c>
      <c r="K227" s="6" t="inlineStr">
        <is>
          <t>Luciene Carvalho Santos</t>
        </is>
      </c>
      <c r="L227" s="6" t="inlineStr">
        <is>
          <t>Itamar de Souza</t>
        </is>
      </c>
      <c r="M227" s="58" t="n">
        <v>45979.66666666666</v>
      </c>
      <c r="N227" s="6" t="inlineStr">
        <is>
          <t>HO1811251603</t>
        </is>
      </c>
      <c r="O227" s="6" t="inlineStr">
        <is>
          <t>-</t>
        </is>
      </c>
      <c r="P227" s="6" t="inlineStr">
        <is>
          <t>OFF LINE</t>
        </is>
      </c>
      <c r="Q227" s="6" t="inlineStr">
        <is>
          <t>Cartão de crédito</t>
        </is>
      </c>
      <c r="R227" s="6" t="inlineStr">
        <is>
          <t>Cartão de crédito</t>
        </is>
      </c>
      <c r="S227" s="6" t="inlineStr">
        <is>
          <t>Aéreo</t>
        </is>
      </c>
      <c r="T227" s="6" t="inlineStr">
        <is>
          <t>N</t>
        </is>
      </c>
      <c r="U227" s="6" t="inlineStr">
        <is>
          <t>Grupo Honeywell</t>
        </is>
      </c>
      <c r="V227" s="6" t="inlineStr">
        <is>
          <t>Honeywell do Brasil</t>
        </is>
      </c>
      <c r="W227" s="6" t="inlineStr">
        <is>
          <t>Cliente FEE no POS</t>
        </is>
      </c>
      <c r="X227" s="6" t="inlineStr">
        <is>
          <t>Latam Airlines Brasil</t>
        </is>
      </c>
      <c r="Y227" s="6" t="n">
        <v>5580579294</v>
      </c>
      <c r="Z227" s="6" t="inlineStr">
        <is>
          <t>FCM-OPE-SAO-PVI-BTC-CONCUR-HONEYWELL</t>
        </is>
      </c>
      <c r="AA227" s="6" t="inlineStr">
        <is>
          <t>-</t>
        </is>
      </c>
      <c r="AB227" s="6" t="n">
        <v>2046.04</v>
      </c>
      <c r="AC227" s="6" t="n">
        <v>34.11</v>
      </c>
      <c r="AD227" s="6" t="n">
        <v>0</v>
      </c>
      <c r="AE227" s="6" t="n">
        <v>0</v>
      </c>
      <c r="AF227" s="6" t="n">
        <v>0</v>
      </c>
      <c r="AG227" s="6" t="n">
        <v>0</v>
      </c>
      <c r="AH227" s="6" t="n">
        <v>13</v>
      </c>
      <c r="AI227" s="6" t="inlineStr">
        <is>
          <t>-</t>
        </is>
      </c>
      <c r="AJ227" s="6" t="inlineStr">
        <is>
          <t>Accouting aérea não possui trechos (Bilhete: 5580579294)</t>
        </is>
      </c>
      <c r="AK227" s="6" t="inlineStr">
        <is>
          <t>MANUAL</t>
        </is>
      </c>
      <c r="AL227" s="6" t="inlineStr">
        <is>
          <t>Falta informação nos trechos</t>
        </is>
      </c>
      <c r="AM227" s="6" t="inlineStr">
        <is>
          <t>Atualização de Trechos</t>
        </is>
      </c>
      <c r="AN227" s="6" t="inlineStr">
        <is>
          <t>Dados do Fornecedor</t>
        </is>
      </c>
      <c r="AO227" s="6" t="inlineStr">
        <is>
          <t>Qualidade dos dados</t>
        </is>
      </c>
      <c r="AP227" s="6" t="inlineStr">
        <is>
          <t>GRUPO KONTIK</t>
        </is>
      </c>
      <c r="AQ227" s="6" t="inlineStr">
        <is>
          <t>Central de Emissão</t>
        </is>
      </c>
    </row>
    <row r="228">
      <c r="A228" s="6" t="n">
        <v>23380518</v>
      </c>
      <c r="B228" s="6" t="n">
        <v>24104204</v>
      </c>
      <c r="C228" s="6" t="inlineStr">
        <is>
          <t>ACC01</t>
        </is>
      </c>
      <c r="D228" s="58" t="n">
        <v>45985.70515046296</v>
      </c>
      <c r="E228" s="58" t="n">
        <v>45985.74425925926</v>
      </c>
      <c r="F228" s="6" t="inlineStr">
        <is>
          <t>0 a 02 dias</t>
        </is>
      </c>
      <c r="G228" s="6" t="inlineStr">
        <is>
          <t>0 a 02 dias</t>
        </is>
      </c>
      <c r="H228" s="6" t="inlineStr">
        <is>
          <t>5U8HGS</t>
        </is>
      </c>
      <c r="I228" s="6" t="inlineStr">
        <is>
          <t>TMS</t>
        </is>
      </c>
      <c r="J228" s="6" t="inlineStr">
        <is>
          <t>FELIPE TAROSSI</t>
        </is>
      </c>
      <c r="K228" s="6" t="inlineStr">
        <is>
          <t>Tms</t>
        </is>
      </c>
      <c r="L228" s="6" t="inlineStr">
        <is>
          <t>Tms</t>
        </is>
      </c>
      <c r="M228" s="58" t="n">
        <v>45985.68402777778</v>
      </c>
      <c r="N228" s="6" t="n">
        <v>10080</v>
      </c>
      <c r="O228" s="6" t="inlineStr">
        <is>
          <t>Mogi Guacu / VCP</t>
        </is>
      </c>
      <c r="P228" s="6" t="inlineStr">
        <is>
          <t>ON LINE</t>
        </is>
      </c>
      <c r="Q228" s="6" t="inlineStr">
        <is>
          <t>Invoice</t>
        </is>
      </c>
      <c r="R228" s="6" t="inlineStr">
        <is>
          <t>Faturado</t>
        </is>
      </c>
      <c r="S228" s="6" t="inlineStr">
        <is>
          <t>Carro</t>
        </is>
      </c>
      <c r="T228" s="6" t="inlineStr">
        <is>
          <t>N</t>
        </is>
      </c>
      <c r="U228" s="6" t="inlineStr">
        <is>
          <t>Grupo Mars</t>
        </is>
      </c>
      <c r="V228" s="6" t="inlineStr">
        <is>
          <t>Mars Brasil - Mogi Mirim</t>
        </is>
      </c>
      <c r="W228" s="6" t="inlineStr">
        <is>
          <t>-</t>
        </is>
      </c>
      <c r="X228" s="6" t="inlineStr">
        <is>
          <t>-</t>
        </is>
      </c>
      <c r="Y228" s="6" t="inlineStr">
        <is>
          <t>-</t>
        </is>
      </c>
      <c r="Z228" s="6" t="inlineStr">
        <is>
          <t>FCM-OPE-SAO-PVI-MARS</t>
        </is>
      </c>
      <c r="AA228" s="6" t="inlineStr">
        <is>
          <t>-</t>
        </is>
      </c>
      <c r="AB228" s="6" t="n">
        <v>364.0224</v>
      </c>
      <c r="AC228" s="6" t="n">
        <v>0</v>
      </c>
      <c r="AD228" s="6" t="n">
        <v>0</v>
      </c>
      <c r="AE228" s="6" t="n">
        <v>0</v>
      </c>
      <c r="AF228" s="6" t="n">
        <v>0</v>
      </c>
      <c r="AG228" s="6" t="n">
        <v>0</v>
      </c>
      <c r="AH228" s="6" t="n">
        <v>0</v>
      </c>
      <c r="AI228" s="6" t="inlineStr">
        <is>
          <t>Reserva importada do Sistema TMS. OS: 10080</t>
        </is>
      </c>
      <c r="AJ228" s="6" t="inlineStr">
        <is>
          <t>Fornecedor não preenchido! (ACC01)</t>
        </is>
      </c>
      <c r="AK228" s="6" t="inlineStr">
        <is>
          <t>ARGO(TMS)</t>
        </is>
      </c>
      <c r="AL228" s="6" t="inlineStr">
        <is>
          <t>Falta de Fornecedor</t>
        </is>
      </c>
      <c r="AM228" s="6" t="inlineStr">
        <is>
          <t>Campo Fornecedor</t>
        </is>
      </c>
      <c r="AN228" s="6" t="inlineStr">
        <is>
          <t>Dados do Fornecedor</t>
        </is>
      </c>
      <c r="AO228" s="6" t="inlineStr">
        <is>
          <t>Qualidade dos dados</t>
        </is>
      </c>
      <c r="AP228" s="6" t="inlineStr">
        <is>
          <t>KONTIK BUSINESS TRAVEL</t>
        </is>
      </c>
      <c r="AQ228" s="6" t="inlineStr">
        <is>
          <t>Suporte KCS</t>
        </is>
      </c>
    </row>
    <row r="229">
      <c r="A229" s="6" t="n">
        <v>23380521</v>
      </c>
      <c r="B229" s="6" t="n">
        <v>24104207</v>
      </c>
      <c r="C229" s="6" t="inlineStr">
        <is>
          <t>ACC01</t>
        </is>
      </c>
      <c r="D229" s="58" t="n">
        <v>45985.70523148148</v>
      </c>
      <c r="E229" s="58" t="n">
        <v>45985.74442129629</v>
      </c>
      <c r="F229" s="6" t="inlineStr">
        <is>
          <t>0 a 02 dias</t>
        </is>
      </c>
      <c r="G229" s="6" t="inlineStr">
        <is>
          <t>0 a 02 dias</t>
        </is>
      </c>
      <c r="H229" s="6" t="inlineStr">
        <is>
          <t>5U0U52</t>
        </is>
      </c>
      <c r="I229" s="6" t="inlineStr">
        <is>
          <t>TMS</t>
        </is>
      </c>
      <c r="J229" s="6" t="inlineStr">
        <is>
          <t>THIELI ALMEIDA</t>
        </is>
      </c>
      <c r="K229" s="6" t="inlineStr">
        <is>
          <t>Tms</t>
        </is>
      </c>
      <c r="L229" s="6" t="inlineStr">
        <is>
          <t>Tms</t>
        </is>
      </c>
      <c r="M229" s="58" t="n">
        <v>45985.47916666666</v>
      </c>
      <c r="N229" s="6" t="n">
        <v>10072</v>
      </c>
      <c r="O229" s="6" t="inlineStr">
        <is>
          <t>Jacarei / SJK</t>
        </is>
      </c>
      <c r="P229" s="6" t="inlineStr">
        <is>
          <t>ON LINE</t>
        </is>
      </c>
      <c r="Q229" s="6" t="inlineStr">
        <is>
          <t>Invoice</t>
        </is>
      </c>
      <c r="R229" s="6" t="inlineStr">
        <is>
          <t>Faturado</t>
        </is>
      </c>
      <c r="S229" s="6" t="inlineStr">
        <is>
          <t>Carro</t>
        </is>
      </c>
      <c r="T229" s="6" t="inlineStr">
        <is>
          <t>N</t>
        </is>
      </c>
      <c r="U229" s="6" t="inlineStr">
        <is>
          <t>Grupo Mars</t>
        </is>
      </c>
      <c r="V229" s="6" t="inlineStr">
        <is>
          <t>Mars Brasil - Guararema</t>
        </is>
      </c>
      <c r="W229" s="6" t="inlineStr">
        <is>
          <t>-</t>
        </is>
      </c>
      <c r="X229" s="6" t="inlineStr">
        <is>
          <t>-</t>
        </is>
      </c>
      <c r="Y229" s="6" t="inlineStr">
        <is>
          <t>-</t>
        </is>
      </c>
      <c r="Z229" s="6" t="inlineStr">
        <is>
          <t>FCM-OPE-SAO-PVI-MARS</t>
        </is>
      </c>
      <c r="AA229" s="6" t="inlineStr">
        <is>
          <t>-</t>
        </is>
      </c>
      <c r="AB229" s="6" t="n">
        <v>590.7888</v>
      </c>
      <c r="AC229" s="6" t="n">
        <v>0</v>
      </c>
      <c r="AD229" s="6" t="n">
        <v>0</v>
      </c>
      <c r="AE229" s="6" t="n">
        <v>0</v>
      </c>
      <c r="AF229" s="6" t="n">
        <v>0</v>
      </c>
      <c r="AG229" s="6" t="n">
        <v>0</v>
      </c>
      <c r="AH229" s="6" t="n">
        <v>0</v>
      </c>
      <c r="AI229" s="6" t="inlineStr">
        <is>
          <t>Reserva importada do Sistema TMS. OS: 10072</t>
        </is>
      </c>
      <c r="AJ229" s="6" t="inlineStr">
        <is>
          <t>Fornecedor não preenchido! (ACC01)</t>
        </is>
      </c>
      <c r="AK229" s="6" t="inlineStr">
        <is>
          <t>ARGO(TMS)</t>
        </is>
      </c>
      <c r="AL229" s="6" t="inlineStr">
        <is>
          <t>Falta de Fornecedor</t>
        </is>
      </c>
      <c r="AM229" s="6" t="inlineStr">
        <is>
          <t>Campo Fornecedor</t>
        </is>
      </c>
      <c r="AN229" s="6" t="inlineStr">
        <is>
          <t>Dados do Fornecedor</t>
        </is>
      </c>
      <c r="AO229" s="6" t="inlineStr">
        <is>
          <t>Qualidade dos dados</t>
        </is>
      </c>
      <c r="AP229" s="6" t="inlineStr">
        <is>
          <t>KONTIK BUSINESS TRAVEL</t>
        </is>
      </c>
      <c r="AQ229" s="6" t="inlineStr">
        <is>
          <t>Suporte KCS</t>
        </is>
      </c>
    </row>
    <row r="230">
      <c r="A230" s="6" t="n">
        <v>23380528</v>
      </c>
      <c r="B230" s="6" t="n">
        <v>24104214</v>
      </c>
      <c r="C230" s="6" t="inlineStr">
        <is>
          <t>ACC01</t>
        </is>
      </c>
      <c r="D230" s="58" t="n">
        <v>45985.70554398148</v>
      </c>
      <c r="E230" s="58" t="n">
        <v>45985.74519675926</v>
      </c>
      <c r="F230" s="6" t="inlineStr">
        <is>
          <t>0 a 02 dias</t>
        </is>
      </c>
      <c r="G230" s="6" t="inlineStr">
        <is>
          <t>0 a 02 dias</t>
        </is>
      </c>
      <c r="H230" s="6" t="inlineStr">
        <is>
          <t>5U77T2</t>
        </is>
      </c>
      <c r="I230" s="6" t="inlineStr">
        <is>
          <t>TMS</t>
        </is>
      </c>
      <c r="J230" s="6" t="inlineStr">
        <is>
          <t>NATALIA FARIA</t>
        </is>
      </c>
      <c r="K230" s="6" t="inlineStr">
        <is>
          <t>Tms</t>
        </is>
      </c>
      <c r="L230" s="6" t="inlineStr">
        <is>
          <t>Tms</t>
        </is>
      </c>
      <c r="M230" s="58" t="n">
        <v>45985.47916666666</v>
      </c>
      <c r="N230" s="6" t="n">
        <v>10056</v>
      </c>
      <c r="O230" s="6" t="inlineStr">
        <is>
          <t>Campinas / VCP</t>
        </is>
      </c>
      <c r="P230" s="6" t="inlineStr">
        <is>
          <t>ON LINE</t>
        </is>
      </c>
      <c r="Q230" s="6" t="inlineStr">
        <is>
          <t>Invoice</t>
        </is>
      </c>
      <c r="R230" s="6" t="inlineStr">
        <is>
          <t>Faturado</t>
        </is>
      </c>
      <c r="S230" s="6" t="inlineStr">
        <is>
          <t>Carro</t>
        </is>
      </c>
      <c r="T230" s="6" t="inlineStr">
        <is>
          <t>N</t>
        </is>
      </c>
      <c r="U230" s="6" t="inlineStr">
        <is>
          <t>Grupo Mars</t>
        </is>
      </c>
      <c r="V230" s="6" t="inlineStr">
        <is>
          <t>Mars Brasil - Guararema</t>
        </is>
      </c>
      <c r="W230" s="6" t="inlineStr">
        <is>
          <t>-</t>
        </is>
      </c>
      <c r="X230" s="6" t="inlineStr">
        <is>
          <t>-</t>
        </is>
      </c>
      <c r="Y230" s="6" t="inlineStr">
        <is>
          <t>-</t>
        </is>
      </c>
      <c r="Z230" s="6" t="inlineStr">
        <is>
          <t>FCM-OPE-SAO-PVI-MARS</t>
        </is>
      </c>
      <c r="AA230" s="6" t="inlineStr">
        <is>
          <t>-</t>
        </is>
      </c>
      <c r="AB230" s="6" t="n">
        <v>182.0112</v>
      </c>
      <c r="AC230" s="6" t="n">
        <v>0</v>
      </c>
      <c r="AD230" s="6" t="n">
        <v>0</v>
      </c>
      <c r="AE230" s="6" t="n">
        <v>0</v>
      </c>
      <c r="AF230" s="6" t="n">
        <v>0</v>
      </c>
      <c r="AG230" s="6" t="n">
        <v>0</v>
      </c>
      <c r="AH230" s="6" t="n">
        <v>0</v>
      </c>
      <c r="AI230" s="6" t="inlineStr">
        <is>
          <t>Reserva importada do Sistema TMS. OS: 10056</t>
        </is>
      </c>
      <c r="AJ230" s="6" t="inlineStr">
        <is>
          <t>Fornecedor não preenchido! (ACC01)</t>
        </is>
      </c>
      <c r="AK230" s="6" t="inlineStr">
        <is>
          <t>ARGO(TMS)</t>
        </is>
      </c>
      <c r="AL230" s="6" t="inlineStr">
        <is>
          <t>Falta de Fornecedor</t>
        </is>
      </c>
      <c r="AM230" s="6" t="inlineStr">
        <is>
          <t>Campo Fornecedor</t>
        </is>
      </c>
      <c r="AN230" s="6" t="inlineStr">
        <is>
          <t>Dados do Fornecedor</t>
        </is>
      </c>
      <c r="AO230" s="6" t="inlineStr">
        <is>
          <t>Qualidade dos dados</t>
        </is>
      </c>
      <c r="AP230" s="6" t="inlineStr">
        <is>
          <t>KONTIK BUSINESS TRAVEL</t>
        </is>
      </c>
      <c r="AQ230" s="6" t="inlineStr">
        <is>
          <t>Suporte KCS</t>
        </is>
      </c>
    </row>
    <row r="231">
      <c r="A231" s="6" t="n">
        <v>23151667</v>
      </c>
      <c r="B231" s="6" t="n">
        <v>23896184</v>
      </c>
      <c r="C231" s="6" t="inlineStr">
        <is>
          <t>ACC01</t>
        </is>
      </c>
      <c r="D231" s="58" t="n">
        <v>45950.75980324074</v>
      </c>
      <c r="E231" s="58" t="n">
        <v>45950.76077546296</v>
      </c>
      <c r="F231" s="59" t="inlineStr">
        <is>
          <t>31 dias ou +</t>
        </is>
      </c>
      <c r="G231" s="59" t="inlineStr">
        <is>
          <t>31 dias ou +</t>
        </is>
      </c>
      <c r="H231" s="6" t="inlineStr">
        <is>
          <t>RES049669-1009</t>
        </is>
      </c>
      <c r="I231" s="6" t="inlineStr">
        <is>
          <t>GOVER</t>
        </is>
      </c>
      <c r="J231" s="6" t="inlineStr">
        <is>
          <t>Joao Claudio Rocha Dalton</t>
        </is>
      </c>
      <c r="K231" s="6" t="inlineStr">
        <is>
          <t>Gover</t>
        </is>
      </c>
      <c r="L231" s="6" t="inlineStr">
        <is>
          <t>Gover</t>
        </is>
      </c>
      <c r="M231" s="58" t="n">
        <v>45950.4</v>
      </c>
      <c r="N231" s="6" t="n">
        <v>4615688</v>
      </c>
      <c r="O231" s="6" t="inlineStr">
        <is>
          <t>-</t>
        </is>
      </c>
      <c r="P231" s="6" t="inlineStr">
        <is>
          <t>ON LINE</t>
        </is>
      </c>
      <c r="Q231" s="6" t="inlineStr">
        <is>
          <t>Cartão de crédito</t>
        </is>
      </c>
      <c r="R231" s="6" t="inlineStr">
        <is>
          <t>Cartão de crédito</t>
        </is>
      </c>
      <c r="S231" s="6" t="inlineStr">
        <is>
          <t>Hotel</t>
        </is>
      </c>
      <c r="T231" s="6" t="inlineStr">
        <is>
          <t>N</t>
        </is>
      </c>
      <c r="U231" s="6" t="inlineStr">
        <is>
          <t>Grupo Energisa</t>
        </is>
      </c>
      <c r="V231" s="6" t="inlineStr">
        <is>
          <t>Energisa Solucoes S.a.</t>
        </is>
      </c>
      <c r="W231" s="6" t="inlineStr">
        <is>
          <t>-</t>
        </is>
      </c>
      <c r="X231" s="6" t="inlineStr">
        <is>
          <t>-</t>
        </is>
      </c>
      <c r="Y231" s="6" t="inlineStr">
        <is>
          <t>-</t>
        </is>
      </c>
      <c r="Z231" s="6" t="inlineStr">
        <is>
          <t>KON-OPE-SAO-PVI-ENERGISA</t>
        </is>
      </c>
      <c r="AA231" s="6" t="inlineStr">
        <is>
          <t>-</t>
        </is>
      </c>
      <c r="AB231" s="6" t="n">
        <v>331</v>
      </c>
      <c r="AC231" s="6" t="n">
        <v>0</v>
      </c>
      <c r="AD231" s="6" t="n">
        <v>0</v>
      </c>
      <c r="AE231" s="6" t="n">
        <v>0</v>
      </c>
      <c r="AF231" s="6" t="n">
        <v>0</v>
      </c>
      <c r="AG231" s="6" t="n">
        <v>0</v>
      </c>
      <c r="AH231" s="6" t="n">
        <v>0</v>
      </c>
      <c r="AI231" s="6" t="inlineStr">
        <is>
          <t>Reserva importada do sistema Gover. Id: 4615688</t>
        </is>
      </c>
      <c r="AJ231" s="6" t="inlineStr">
        <is>
          <t>Fornecedor não preenchido! (ACC01)</t>
        </is>
      </c>
      <c r="AK231" s="6" t="inlineStr">
        <is>
          <t>GOVER</t>
        </is>
      </c>
      <c r="AL231" s="6" t="inlineStr">
        <is>
          <t>Falta de Fornecedor</t>
        </is>
      </c>
      <c r="AM231" s="6" t="inlineStr">
        <is>
          <t>Campo Fornecedor</t>
        </is>
      </c>
      <c r="AN231" s="6" t="inlineStr">
        <is>
          <t>Dados do Fornecedor</t>
        </is>
      </c>
      <c r="AO231" s="6" t="inlineStr">
        <is>
          <t>Sistêmico</t>
        </is>
      </c>
      <c r="AP231" s="6" t="inlineStr">
        <is>
          <t>GRUPO KONTIK</t>
        </is>
      </c>
      <c r="AQ231" s="6" t="inlineStr">
        <is>
          <t>Suporte Benner</t>
        </is>
      </c>
    </row>
    <row r="232">
      <c r="A232" s="6" t="n">
        <v>23349934</v>
      </c>
      <c r="B232" s="6" t="n">
        <v>24077331</v>
      </c>
      <c r="C232" s="6" t="inlineStr">
        <is>
          <t>ACC01</t>
        </is>
      </c>
      <c r="D232" s="58" t="n">
        <v>45979.8280787037</v>
      </c>
      <c r="E232" s="58" t="n">
        <v>45985.26310185185</v>
      </c>
      <c r="F232" s="6" t="inlineStr">
        <is>
          <t>0 a 02 dias</t>
        </is>
      </c>
      <c r="G232" s="6" t="inlineStr">
        <is>
          <t>06 a 08 dias</t>
        </is>
      </c>
      <c r="H232" s="6" t="inlineStr">
        <is>
          <t>FQKONJC</t>
        </is>
      </c>
      <c r="I232" s="6" t="inlineStr">
        <is>
          <t>SABRE</t>
        </is>
      </c>
      <c r="J232" s="6" t="inlineStr">
        <is>
          <t>CESPEDES/ANDRES PATRICIO MR</t>
        </is>
      </c>
      <c r="K232" s="6" t="inlineStr">
        <is>
          <t>WS</t>
        </is>
      </c>
      <c r="L232" s="6" t="inlineStr">
        <is>
          <t>WS</t>
        </is>
      </c>
      <c r="M232" s="58" t="n">
        <v>45978.35694444444</v>
      </c>
      <c r="N232" s="6" t="inlineStr">
        <is>
          <t>FQKONJ</t>
        </is>
      </c>
      <c r="O232" s="6" t="inlineStr">
        <is>
          <t>MVD</t>
        </is>
      </c>
      <c r="P232" s="6" t="inlineStr">
        <is>
          <t>ON LINE</t>
        </is>
      </c>
      <c r="Q232" s="6" t="inlineStr">
        <is>
          <t>Invoice</t>
        </is>
      </c>
      <c r="R232" s="6" t="inlineStr">
        <is>
          <t>Faturado</t>
        </is>
      </c>
      <c r="S232" s="6" t="inlineStr">
        <is>
          <t>Carro</t>
        </is>
      </c>
      <c r="T232" s="6" t="inlineStr">
        <is>
          <t>N</t>
        </is>
      </c>
      <c r="U232" s="6" t="inlineStr">
        <is>
          <t>Grupo Axa</t>
        </is>
      </c>
      <c r="V232" s="6" t="inlineStr">
        <is>
          <t>Axa Cs - Inativo</t>
        </is>
      </c>
      <c r="W232" s="6" t="inlineStr">
        <is>
          <t>Cliente FEE no POS</t>
        </is>
      </c>
      <c r="X232" s="6" t="inlineStr">
        <is>
          <t>Avis - Uru - Ex - Montevideo - Ex</t>
        </is>
      </c>
      <c r="Y232" s="6" t="inlineStr">
        <is>
          <t>-</t>
        </is>
      </c>
      <c r="Z232" s="6" t="inlineStr">
        <is>
          <t>FCM-OPE-SAO-PVI-BTC-CONCUR-AXA</t>
        </is>
      </c>
      <c r="AA232" s="6" t="inlineStr">
        <is>
          <t>-</t>
        </is>
      </c>
      <c r="AB232" s="6" t="n">
        <v>442.24</v>
      </c>
      <c r="AC232" s="6" t="n">
        <v>38.25</v>
      </c>
      <c r="AD232" s="6" t="n">
        <v>0</v>
      </c>
      <c r="AE232" s="6" t="n">
        <v>0</v>
      </c>
      <c r="AF232" s="6" t="n">
        <v>0</v>
      </c>
      <c r="AG232" s="6" t="n">
        <v>0</v>
      </c>
      <c r="AH232" s="6" t="n">
        <v>0</v>
      </c>
      <c r="AI232" s="6" t="inlineStr">
        <is>
          <t>Reserva importada por HubTravel</t>
        </is>
      </c>
      <c r="AJ232" s="6" t="inlineStr">
        <is>
          <t>Centro de custo não preenchido! (ACC01) Empenho/departamento não preenchido! (ACC01)</t>
        </is>
      </c>
      <c r="AK232" s="6" t="inlineStr">
        <is>
          <t>SABRE</t>
        </is>
      </c>
      <c r="AL232" s="6" t="inlineStr">
        <is>
          <t>Mais de um campo não preenchido</t>
        </is>
      </c>
      <c r="AM232" s="6" t="inlineStr">
        <is>
          <t>Falta de informação Gerencial</t>
        </is>
      </c>
      <c r="AN232" s="6" t="inlineStr">
        <is>
          <t>Dados do Fornecedor</t>
        </is>
      </c>
      <c r="AO232" s="6" t="inlineStr">
        <is>
          <t>Qualidade dos dados</t>
        </is>
      </c>
      <c r="AP232" s="6" t="inlineStr">
        <is>
          <t>KONTIK BUSINESS TRAVEL</t>
        </is>
      </c>
      <c r="AQ232" s="6" t="inlineStr">
        <is>
          <t>Suporte KCS</t>
        </is>
      </c>
    </row>
    <row r="233">
      <c r="A233" s="6" t="n">
        <v>23355308</v>
      </c>
      <c r="B233" s="6" t="n">
        <v>24082279</v>
      </c>
      <c r="C233" s="6" t="inlineStr">
        <is>
          <t>ACC01</t>
        </is>
      </c>
      <c r="D233" s="58" t="n">
        <v>45980.6487037037</v>
      </c>
      <c r="E233" s="58" t="n">
        <v>45981.14641203704</v>
      </c>
      <c r="F233" s="6" t="inlineStr">
        <is>
          <t>03 a 05 dias</t>
        </is>
      </c>
      <c r="G233" s="6" t="inlineStr">
        <is>
          <t>06 a 08 dias</t>
        </is>
      </c>
      <c r="H233" s="6" t="inlineStr">
        <is>
          <t>5TBK1O</t>
        </is>
      </c>
      <c r="I233" s="6" t="inlineStr">
        <is>
          <t>TMS</t>
        </is>
      </c>
      <c r="J233" s="6" t="inlineStr">
        <is>
          <t>THAIS CAVALCANTE</t>
        </is>
      </c>
      <c r="K233" s="6" t="inlineStr">
        <is>
          <t>Tamara Michels Behn</t>
        </is>
      </c>
      <c r="L233" s="6" t="inlineStr">
        <is>
          <t>Tamara Michels Behn</t>
        </is>
      </c>
      <c r="M233" s="58" t="n">
        <v>45980.38958333333</v>
      </c>
      <c r="N233" s="6" t="n">
        <v>88389</v>
      </c>
      <c r="O233" s="6" t="inlineStr">
        <is>
          <t>-</t>
        </is>
      </c>
      <c r="P233" s="6" t="inlineStr">
        <is>
          <t>OFF LINE</t>
        </is>
      </c>
      <c r="Q233" s="6" t="inlineStr">
        <is>
          <t>Cartão de crédito</t>
        </is>
      </c>
      <c r="R233" s="6" t="inlineStr">
        <is>
          <t>Cartão de crédito</t>
        </is>
      </c>
      <c r="S233" s="6" t="inlineStr">
        <is>
          <t>Hotel</t>
        </is>
      </c>
      <c r="T233" s="6" t="inlineStr">
        <is>
          <t>N</t>
        </is>
      </c>
      <c r="U233" s="6" t="inlineStr">
        <is>
          <t>Grupo Ultra</t>
        </is>
      </c>
      <c r="V233" s="6" t="inlineStr">
        <is>
          <t>Bahiana Distribuidora de Gas</t>
        </is>
      </c>
      <c r="W233" s="6" t="inlineStr">
        <is>
          <t>-</t>
        </is>
      </c>
      <c r="X233" s="6" t="inlineStr">
        <is>
          <t>-</t>
        </is>
      </c>
      <c r="Y233" s="6" t="inlineStr">
        <is>
          <t>-</t>
        </is>
      </c>
      <c r="Z233" s="6" t="inlineStr">
        <is>
          <t>KON-OPE-SAO-PVI-BTC-ARGO</t>
        </is>
      </c>
      <c r="AA233" s="6" t="inlineStr">
        <is>
          <t>-</t>
        </is>
      </c>
      <c r="AB233" s="6" t="n">
        <v>1650</v>
      </c>
      <c r="AC233" s="6" t="n">
        <v>0</v>
      </c>
      <c r="AD233" s="6" t="n">
        <v>0</v>
      </c>
      <c r="AE233" s="6" t="n">
        <v>0</v>
      </c>
      <c r="AF233" s="6" t="n">
        <v>0</v>
      </c>
      <c r="AG233" s="6" t="n">
        <v>82.5</v>
      </c>
      <c r="AH233" s="6" t="n">
        <v>0</v>
      </c>
      <c r="AI233" s="6" t="inlineStr">
        <is>
          <t>Reserva importada do Sistema TMS. OS: 88389</t>
        </is>
      </c>
      <c r="AJ233" s="6" t="inlineStr">
        <is>
          <t>Fornecedor não preenchido! (ACC01)</t>
        </is>
      </c>
      <c r="AK233" s="6" t="inlineStr">
        <is>
          <t>ARGO(TMS)</t>
        </is>
      </c>
      <c r="AL233" s="6" t="inlineStr">
        <is>
          <t>Falta de Fornecedor</t>
        </is>
      </c>
      <c r="AM233" s="6" t="inlineStr">
        <is>
          <t>Campo Fornecedor</t>
        </is>
      </c>
      <c r="AN233" s="6" t="inlineStr">
        <is>
          <t>Dados do Fornecedor</t>
        </is>
      </c>
      <c r="AO233" s="6" t="inlineStr">
        <is>
          <t>Qualidade dos dados</t>
        </is>
      </c>
      <c r="AP233" s="6" t="inlineStr">
        <is>
          <t>KONTIK BUSINESS TRAVEL</t>
        </is>
      </c>
      <c r="AQ233" s="6" t="inlineStr">
        <is>
          <t>Suporte KCS</t>
        </is>
      </c>
    </row>
    <row r="234">
      <c r="A234" s="6" t="n">
        <v>23367157</v>
      </c>
      <c r="B234" s="6" t="n">
        <v>24093183</v>
      </c>
      <c r="C234" s="6" t="inlineStr">
        <is>
          <t>ACC01</t>
        </is>
      </c>
      <c r="D234" s="58" t="n">
        <v>45982.68188657407</v>
      </c>
      <c r="E234" s="58" t="n">
        <v>45982.75638888889</v>
      </c>
      <c r="F234" s="6" t="inlineStr">
        <is>
          <t>03 a 05 dias</t>
        </is>
      </c>
      <c r="G234" s="6" t="inlineStr">
        <is>
          <t>03 a 05 dias</t>
        </is>
      </c>
      <c r="H234" s="6" t="inlineStr">
        <is>
          <t>5ULNNM</t>
        </is>
      </c>
      <c r="I234" s="6" t="inlineStr">
        <is>
          <t>TMS</t>
        </is>
      </c>
      <c r="J234" s="6" t="inlineStr">
        <is>
          <t>DANIEL DE FREITAS</t>
        </is>
      </c>
      <c r="K234" s="6" t="inlineStr">
        <is>
          <t>Tamara Michels Behn</t>
        </is>
      </c>
      <c r="L234" s="6" t="inlineStr">
        <is>
          <t>Tamara Michels Behn</t>
        </is>
      </c>
      <c r="M234" s="58" t="n">
        <v>45982.64513888889</v>
      </c>
      <c r="N234" s="6" t="n">
        <v>89523</v>
      </c>
      <c r="O234" s="6" t="inlineStr">
        <is>
          <t>-</t>
        </is>
      </c>
      <c r="P234" s="6" t="inlineStr">
        <is>
          <t>OFF LINE</t>
        </is>
      </c>
      <c r="Q234" s="6" t="inlineStr">
        <is>
          <t>Invoice</t>
        </is>
      </c>
      <c r="R234" s="6" t="inlineStr">
        <is>
          <t>Faturado</t>
        </is>
      </c>
      <c r="S234" s="6" t="inlineStr">
        <is>
          <t>Hotel</t>
        </is>
      </c>
      <c r="T234" s="6" t="inlineStr">
        <is>
          <t>N</t>
        </is>
      </c>
      <c r="U234" s="6" t="inlineStr">
        <is>
          <t>Grupo Ultra</t>
        </is>
      </c>
      <c r="V234" s="6" t="inlineStr">
        <is>
          <t>Bahiana Distribuidora de Gas</t>
        </is>
      </c>
      <c r="W234" s="6" t="inlineStr">
        <is>
          <t>-</t>
        </is>
      </c>
      <c r="X234" s="6" t="inlineStr">
        <is>
          <t>-</t>
        </is>
      </c>
      <c r="Y234" s="6" t="inlineStr">
        <is>
          <t>-</t>
        </is>
      </c>
      <c r="Z234" s="6" t="inlineStr">
        <is>
          <t>KON-OPE-SAO-PVI-BTC-ARGO</t>
        </is>
      </c>
      <c r="AA234" s="6" t="inlineStr">
        <is>
          <t>-</t>
        </is>
      </c>
      <c r="AB234" s="6" t="n">
        <v>177.61</v>
      </c>
      <c r="AC234" s="6" t="n">
        <v>0</v>
      </c>
      <c r="AD234" s="6" t="n">
        <v>0</v>
      </c>
      <c r="AE234" s="6" t="n">
        <v>0</v>
      </c>
      <c r="AF234" s="6" t="n">
        <v>0</v>
      </c>
      <c r="AG234" s="6" t="n">
        <v>0</v>
      </c>
      <c r="AH234" s="6" t="n">
        <v>0</v>
      </c>
      <c r="AI234" s="6" t="inlineStr">
        <is>
          <t>Reserva importada do Sistema TMS. OS: 89523</t>
        </is>
      </c>
      <c r="AJ234" s="6" t="inlineStr">
        <is>
          <t>Fornecedor não preenchido! (ACC01)</t>
        </is>
      </c>
      <c r="AK234" s="6" t="inlineStr">
        <is>
          <t>ARGO(TMS)</t>
        </is>
      </c>
      <c r="AL234" s="6" t="inlineStr">
        <is>
          <t>Falta de Fornecedor</t>
        </is>
      </c>
      <c r="AM234" s="6" t="inlineStr">
        <is>
          <t>Campo Fornecedor</t>
        </is>
      </c>
      <c r="AN234" s="6" t="inlineStr">
        <is>
          <t>Dados do Fornecedor</t>
        </is>
      </c>
      <c r="AO234" s="6" t="inlineStr">
        <is>
          <t>Qualidade dos dados</t>
        </is>
      </c>
      <c r="AP234" s="6" t="inlineStr">
        <is>
          <t>KONTIK BUSINESS TRAVEL</t>
        </is>
      </c>
      <c r="AQ234" s="6" t="inlineStr">
        <is>
          <t>Suporte KCS</t>
        </is>
      </c>
    </row>
    <row r="235">
      <c r="A235" s="6" t="n">
        <v>23383865</v>
      </c>
      <c r="B235" s="6" t="n">
        <v>24107311</v>
      </c>
      <c r="C235" s="6" t="inlineStr">
        <is>
          <t>ACC01</t>
        </is>
      </c>
      <c r="D235" s="58" t="n">
        <v>45986.21829861111</v>
      </c>
      <c r="E235" s="58" t="n">
        <v>45986.25416666667</v>
      </c>
      <c r="F235" s="6" t="inlineStr">
        <is>
          <t>0 a 02 dias</t>
        </is>
      </c>
      <c r="G235" s="6" t="inlineStr">
        <is>
          <t>0 a 02 dias</t>
        </is>
      </c>
      <c r="H235" s="6" t="inlineStr">
        <is>
          <t>5U9GGD</t>
        </is>
      </c>
      <c r="I235" s="6" t="inlineStr">
        <is>
          <t>TMS</t>
        </is>
      </c>
      <c r="J235" s="6" t="inlineStr">
        <is>
          <t>NERIVALDO SANTOS</t>
        </is>
      </c>
      <c r="K235" s="6" t="inlineStr">
        <is>
          <t>BEATRYZ DA SILVA COSTA</t>
        </is>
      </c>
      <c r="L235" s="6" t="inlineStr">
        <is>
          <t>BEATRYZ DA SILVA COSTA</t>
        </is>
      </c>
      <c r="M235" s="58" t="n">
        <v>45985.70486111111</v>
      </c>
      <c r="N235" s="6" t="n">
        <v>89934</v>
      </c>
      <c r="O235" s="6" t="inlineStr">
        <is>
          <t>-</t>
        </is>
      </c>
      <c r="P235" s="6" t="inlineStr">
        <is>
          <t>OFF LINE</t>
        </is>
      </c>
      <c r="Q235" s="6" t="inlineStr">
        <is>
          <t>Cartão de crédito</t>
        </is>
      </c>
      <c r="R235" s="6" t="inlineStr">
        <is>
          <t>Cartão de crédito</t>
        </is>
      </c>
      <c r="S235" s="6" t="inlineStr">
        <is>
          <t>Hotel</t>
        </is>
      </c>
      <c r="T235" s="6" t="inlineStr">
        <is>
          <t>N</t>
        </is>
      </c>
      <c r="U235" s="6" t="inlineStr">
        <is>
          <t>Grupo Ultra</t>
        </is>
      </c>
      <c r="V235" s="6" t="inlineStr">
        <is>
          <t>Bahiana Distribuidora de Gas</t>
        </is>
      </c>
      <c r="W235" s="6" t="inlineStr">
        <is>
          <t>-</t>
        </is>
      </c>
      <c r="X235" s="6" t="inlineStr">
        <is>
          <t>-</t>
        </is>
      </c>
      <c r="Y235" s="6" t="inlineStr">
        <is>
          <t>-</t>
        </is>
      </c>
      <c r="Z235" s="6" t="inlineStr">
        <is>
          <t>KON-OPE-SAO-PVI-BTC-ARGO</t>
        </is>
      </c>
      <c r="AA235" s="6" t="inlineStr">
        <is>
          <t>-</t>
        </is>
      </c>
      <c r="AB235" s="6" t="n">
        <v>195</v>
      </c>
      <c r="AC235" s="6" t="n">
        <v>0</v>
      </c>
      <c r="AD235" s="6" t="n">
        <v>0</v>
      </c>
      <c r="AE235" s="6" t="n">
        <v>0</v>
      </c>
      <c r="AF235" s="6" t="n">
        <v>0</v>
      </c>
      <c r="AG235" s="6" t="n">
        <v>0</v>
      </c>
      <c r="AH235" s="6" t="n">
        <v>0</v>
      </c>
      <c r="AI235" s="6" t="inlineStr">
        <is>
          <t>Reserva importada do Sistema TMS. OS: 89934</t>
        </is>
      </c>
      <c r="AJ235" s="6" t="inlineStr">
        <is>
          <t>Fornecedor não preenchido! (ACC01)</t>
        </is>
      </c>
      <c r="AK235" s="6" t="inlineStr">
        <is>
          <t>ARGO(TMS)</t>
        </is>
      </c>
      <c r="AL235" s="6" t="inlineStr">
        <is>
          <t>Falta de Fornecedor</t>
        </is>
      </c>
      <c r="AM235" s="6" t="inlineStr">
        <is>
          <t>Campo Fornecedor</t>
        </is>
      </c>
      <c r="AN235" s="6" t="inlineStr">
        <is>
          <t>Dados do Fornecedor</t>
        </is>
      </c>
      <c r="AO235" s="6" t="inlineStr">
        <is>
          <t>Qualidade dos dados</t>
        </is>
      </c>
      <c r="AP235" s="6" t="inlineStr">
        <is>
          <t>KONTIK BUSINESS TRAVEL</t>
        </is>
      </c>
      <c r="AQ235" s="6" t="inlineStr">
        <is>
          <t>Suporte KCS</t>
        </is>
      </c>
    </row>
    <row r="236">
      <c r="A236" s="6" t="n">
        <v>23364694</v>
      </c>
      <c r="B236" s="6" t="n">
        <v>24090735</v>
      </c>
      <c r="C236" s="6" t="inlineStr">
        <is>
          <t>ACC01</t>
        </is>
      </c>
      <c r="D236" s="58" t="n">
        <v>45982.39991898148</v>
      </c>
      <c r="E236" s="58" t="n">
        <v>45983.14635416667</v>
      </c>
      <c r="F236" s="6" t="inlineStr">
        <is>
          <t>03 a 05 dias</t>
        </is>
      </c>
      <c r="G236" s="6" t="inlineStr">
        <is>
          <t>03 a 05 dias</t>
        </is>
      </c>
      <c r="H236" s="6" t="inlineStr">
        <is>
          <t>5UZLZP</t>
        </is>
      </c>
      <c r="I236" s="6" t="inlineStr">
        <is>
          <t>TMS</t>
        </is>
      </c>
      <c r="J236" s="6" t="inlineStr">
        <is>
          <t>ROGERIO DA SILVA</t>
        </is>
      </c>
      <c r="K236" s="6" t="inlineStr">
        <is>
          <t>BEATRYZ DA SILVA COSTA</t>
        </is>
      </c>
      <c r="L236" s="6" t="inlineStr">
        <is>
          <t>BEATRYZ DA SILVA COSTA</t>
        </is>
      </c>
      <c r="M236" s="58" t="n">
        <v>45982.33958333333</v>
      </c>
      <c r="N236" s="6" t="n">
        <v>89622</v>
      </c>
      <c r="O236" s="6" t="inlineStr">
        <is>
          <t>-</t>
        </is>
      </c>
      <c r="P236" s="6" t="inlineStr">
        <is>
          <t>OFF LINE</t>
        </is>
      </c>
      <c r="Q236" s="6" t="inlineStr">
        <is>
          <t>Cartão de crédito</t>
        </is>
      </c>
      <c r="R236" s="6" t="inlineStr">
        <is>
          <t>Cartão de crédito</t>
        </is>
      </c>
      <c r="S236" s="6" t="inlineStr">
        <is>
          <t>Hotel</t>
        </is>
      </c>
      <c r="T236" s="6" t="inlineStr">
        <is>
          <t>N</t>
        </is>
      </c>
      <c r="U236" s="6" t="inlineStr">
        <is>
          <t>Grupo Ultra</t>
        </is>
      </c>
      <c r="V236" s="6" t="inlineStr">
        <is>
          <t>Ultragaz-matriz</t>
        </is>
      </c>
      <c r="W236" s="6" t="inlineStr">
        <is>
          <t>-</t>
        </is>
      </c>
      <c r="X236" s="6" t="inlineStr">
        <is>
          <t>-</t>
        </is>
      </c>
      <c r="Y236" s="6" t="inlineStr">
        <is>
          <t>-</t>
        </is>
      </c>
      <c r="Z236" s="6" t="inlineStr">
        <is>
          <t>KON-OPE-SAO-PVI-BTC-ARGO</t>
        </is>
      </c>
      <c r="AA236" s="6" t="inlineStr">
        <is>
          <t>-</t>
        </is>
      </c>
      <c r="AB236" s="6" t="n">
        <v>231</v>
      </c>
      <c r="AC236" s="6" t="n">
        <v>0</v>
      </c>
      <c r="AD236" s="6" t="n">
        <v>0</v>
      </c>
      <c r="AE236" s="6" t="n">
        <v>0</v>
      </c>
      <c r="AF236" s="6" t="n">
        <v>0</v>
      </c>
      <c r="AG236" s="6" t="n">
        <v>0</v>
      </c>
      <c r="AH236" s="6" t="n">
        <v>0</v>
      </c>
      <c r="AI236" s="6" t="inlineStr">
        <is>
          <t>Reserva importada do Sistema TMS. OS: 89622</t>
        </is>
      </c>
      <c r="AJ236" s="6" t="inlineStr">
        <is>
          <t>Fornecedor não preenchido! (ACC01)</t>
        </is>
      </c>
      <c r="AK236" s="6" t="inlineStr">
        <is>
          <t>ARGO(TMS)</t>
        </is>
      </c>
      <c r="AL236" s="6" t="inlineStr">
        <is>
          <t>Falta de Fornecedor</t>
        </is>
      </c>
      <c r="AM236" s="6" t="inlineStr">
        <is>
          <t>Campo Fornecedor</t>
        </is>
      </c>
      <c r="AN236" s="6" t="inlineStr">
        <is>
          <t>Dados do Fornecedor</t>
        </is>
      </c>
      <c r="AO236" s="6" t="inlineStr">
        <is>
          <t>Qualidade dos dados</t>
        </is>
      </c>
      <c r="AP236" s="6" t="inlineStr">
        <is>
          <t>KONTIK BUSINESS TRAVEL</t>
        </is>
      </c>
      <c r="AQ236" s="6" t="inlineStr">
        <is>
          <t>Suporte KCS</t>
        </is>
      </c>
    </row>
    <row r="237">
      <c r="A237" s="6" t="n">
        <v>23212878</v>
      </c>
      <c r="B237" s="6" t="n">
        <v>23948717</v>
      </c>
      <c r="C237" s="6" t="inlineStr">
        <is>
          <t>ACC01</t>
        </is>
      </c>
      <c r="D237" s="58" t="n">
        <v>45958.85481481482</v>
      </c>
      <c r="E237" s="58" t="n">
        <v>45964.45690972222</v>
      </c>
      <c r="F237" s="59" t="inlineStr">
        <is>
          <t>16 a 23 dias</t>
        </is>
      </c>
      <c r="G237" s="59" t="inlineStr">
        <is>
          <t>24 a 31 dias</t>
        </is>
      </c>
      <c r="H237" s="6" t="inlineStr">
        <is>
          <t>5Q86Y4</t>
        </is>
      </c>
      <c r="I237" s="6" t="inlineStr">
        <is>
          <t>TMS</t>
        </is>
      </c>
      <c r="J237" s="6" t="inlineStr">
        <is>
          <t>EVERTON NEVES</t>
        </is>
      </c>
      <c r="K237" s="6" t="inlineStr">
        <is>
          <t>Jessica Soares Teixeira</t>
        </is>
      </c>
      <c r="L237" s="6" t="inlineStr">
        <is>
          <t>Jessica Soares Teixeira</t>
        </is>
      </c>
      <c r="M237" s="58" t="n">
        <v>45958.79930555556</v>
      </c>
      <c r="N237" s="6" t="n">
        <v>86401</v>
      </c>
      <c r="O237" s="6" t="inlineStr">
        <is>
          <t>-</t>
        </is>
      </c>
      <c r="P237" s="6" t="inlineStr">
        <is>
          <t>OFF LINE</t>
        </is>
      </c>
      <c r="Q237" s="6" t="inlineStr">
        <is>
          <t>Cartão de crédito</t>
        </is>
      </c>
      <c r="R237" s="6" t="inlineStr">
        <is>
          <t>Cartão de crédito</t>
        </is>
      </c>
      <c r="S237" s="6" t="inlineStr">
        <is>
          <t>Hotel</t>
        </is>
      </c>
      <c r="T237" s="6" t="inlineStr">
        <is>
          <t>N</t>
        </is>
      </c>
      <c r="U237" s="6" t="inlineStr">
        <is>
          <t>Grupo Ultra</t>
        </is>
      </c>
      <c r="V237" s="6" t="inlineStr">
        <is>
          <t>Bahiana Distribuidora de Gas</t>
        </is>
      </c>
      <c r="W237" s="6" t="inlineStr">
        <is>
          <t>-</t>
        </is>
      </c>
      <c r="X237" s="6" t="inlineStr">
        <is>
          <t>-</t>
        </is>
      </c>
      <c r="Y237" s="6" t="inlineStr">
        <is>
          <t>-</t>
        </is>
      </c>
      <c r="Z237" s="6" t="inlineStr">
        <is>
          <t>KON-OPE-SAO-PVI-BTC-ARGO</t>
        </is>
      </c>
      <c r="AA237" s="6" t="inlineStr">
        <is>
          <t>-</t>
        </is>
      </c>
      <c r="AB237" s="6" t="n">
        <v>510</v>
      </c>
      <c r="AC237" s="6" t="n">
        <v>0</v>
      </c>
      <c r="AD237" s="6" t="n">
        <v>0</v>
      </c>
      <c r="AE237" s="6" t="n">
        <v>0</v>
      </c>
      <c r="AF237" s="6" t="n">
        <v>0</v>
      </c>
      <c r="AG237" s="6" t="n">
        <v>0</v>
      </c>
      <c r="AH237" s="6" t="n">
        <v>0</v>
      </c>
      <c r="AI237" s="6" t="inlineStr">
        <is>
          <t>Reserva importada do Sistema TMS. OS: 86401</t>
        </is>
      </c>
      <c r="AJ237" s="6" t="inlineStr">
        <is>
          <t>Fornecedor não preenchido! (ACC01)</t>
        </is>
      </c>
      <c r="AK237" s="6" t="inlineStr">
        <is>
          <t>ARGO(TMS)</t>
        </is>
      </c>
      <c r="AL237" s="6" t="inlineStr">
        <is>
          <t>Falta de Fornecedor</t>
        </is>
      </c>
      <c r="AM237" s="6" t="inlineStr">
        <is>
          <t>Campo Fornecedor</t>
        </is>
      </c>
      <c r="AN237" s="6" t="inlineStr">
        <is>
          <t>Dados do Fornecedor</t>
        </is>
      </c>
      <c r="AO237" s="6" t="inlineStr">
        <is>
          <t>Qualidade dos dados</t>
        </is>
      </c>
      <c r="AP237" s="6" t="inlineStr">
        <is>
          <t>KONTIK BUSINESS TRAVEL</t>
        </is>
      </c>
      <c r="AQ237" s="6" t="inlineStr">
        <is>
          <t>Suporte KCS</t>
        </is>
      </c>
    </row>
    <row r="238">
      <c r="A238" s="6" t="n">
        <v>23380968</v>
      </c>
      <c r="B238" s="6" t="n">
        <v>24104677</v>
      </c>
      <c r="C238" s="6" t="inlineStr">
        <is>
          <t>ACC01</t>
        </is>
      </c>
      <c r="D238" s="58" t="n">
        <v>45985.72137731482</v>
      </c>
      <c r="E238" s="58" t="n">
        <v>45985.7965625</v>
      </c>
      <c r="F238" s="6" t="inlineStr">
        <is>
          <t>0 a 02 dias</t>
        </is>
      </c>
      <c r="G238" s="6" t="inlineStr">
        <is>
          <t>0 a 02 dias</t>
        </is>
      </c>
      <c r="H238" s="6" t="inlineStr">
        <is>
          <t>5UC1IS</t>
        </is>
      </c>
      <c r="I238" s="6" t="inlineStr">
        <is>
          <t>TMS</t>
        </is>
      </c>
      <c r="J238" s="6" t="inlineStr">
        <is>
          <t>RAFAEL RAFAEL TESTA</t>
        </is>
      </c>
      <c r="K238" s="6" t="inlineStr">
        <is>
          <t>Tms</t>
        </is>
      </c>
      <c r="L238" s="6" t="inlineStr">
        <is>
          <t>Tms</t>
        </is>
      </c>
      <c r="M238" s="58" t="n">
        <v>45985.48333333333</v>
      </c>
      <c r="N238" s="6" t="n">
        <v>89960</v>
      </c>
      <c r="O238" s="6" t="inlineStr">
        <is>
          <t>Navegantes / NVT</t>
        </is>
      </c>
      <c r="P238" s="6" t="inlineStr">
        <is>
          <t>ON LINE</t>
        </is>
      </c>
      <c r="Q238" s="6" t="inlineStr">
        <is>
          <t>Invoice</t>
        </is>
      </c>
      <c r="R238" s="6" t="inlineStr">
        <is>
          <t>Faturado</t>
        </is>
      </c>
      <c r="S238" s="6" t="inlineStr">
        <is>
          <t>Carro</t>
        </is>
      </c>
      <c r="T238" s="6" t="inlineStr">
        <is>
          <t>N</t>
        </is>
      </c>
      <c r="U238" s="6" t="inlineStr">
        <is>
          <t>Grupo Ultra</t>
        </is>
      </c>
      <c r="V238" s="6" t="inlineStr">
        <is>
          <t>Ultragaz-matriz</t>
        </is>
      </c>
      <c r="W238" s="6" t="inlineStr">
        <is>
          <t>-</t>
        </is>
      </c>
      <c r="X238" s="6" t="inlineStr">
        <is>
          <t>-</t>
        </is>
      </c>
      <c r="Y238" s="6" t="inlineStr">
        <is>
          <t>-</t>
        </is>
      </c>
      <c r="Z238" s="6" t="inlineStr">
        <is>
          <t>KON-OPE-SAO-PVI-BTC-ARGO</t>
        </is>
      </c>
      <c r="AA238" s="6" t="inlineStr">
        <is>
          <t>-</t>
        </is>
      </c>
      <c r="AB238" s="6" t="n">
        <v>490.6944</v>
      </c>
      <c r="AC238" s="6" t="n">
        <v>0</v>
      </c>
      <c r="AD238" s="6" t="n">
        <v>0</v>
      </c>
      <c r="AE238" s="6" t="n">
        <v>0</v>
      </c>
      <c r="AF238" s="6" t="n">
        <v>0</v>
      </c>
      <c r="AG238" s="6" t="n">
        <v>0</v>
      </c>
      <c r="AH238" s="6" t="n">
        <v>0</v>
      </c>
      <c r="AI238" s="6" t="inlineStr">
        <is>
          <t>Reserva importada do Sistema TMS. OS: 89960</t>
        </is>
      </c>
      <c r="AJ238" s="6" t="inlineStr">
        <is>
          <t>Fornecedor não preenchido! (ACC01)</t>
        </is>
      </c>
      <c r="AK238" s="6" t="inlineStr">
        <is>
          <t>ARGO(TMS)</t>
        </is>
      </c>
      <c r="AL238" s="6" t="inlineStr">
        <is>
          <t>Falta de Fornecedor</t>
        </is>
      </c>
      <c r="AM238" s="6" t="inlineStr">
        <is>
          <t>Campo Fornecedor</t>
        </is>
      </c>
      <c r="AN238" s="6" t="inlineStr">
        <is>
          <t>Dados do Fornecedor</t>
        </is>
      </c>
      <c r="AO238" s="6" t="inlineStr">
        <is>
          <t>Qualidade dos dados</t>
        </is>
      </c>
      <c r="AP238" s="6" t="inlineStr">
        <is>
          <t>KONTIK BUSINESS TRAVEL</t>
        </is>
      </c>
      <c r="AQ238" s="6" t="inlineStr">
        <is>
          <t>Suporte KCS</t>
        </is>
      </c>
    </row>
    <row r="239">
      <c r="A239" s="6" t="n">
        <v>23380876</v>
      </c>
      <c r="B239" s="6" t="n">
        <v>24104572</v>
      </c>
      <c r="C239" s="6" t="inlineStr">
        <is>
          <t>ACC01</t>
        </is>
      </c>
      <c r="D239" s="58" t="n">
        <v>45985.71641203704</v>
      </c>
      <c r="E239" s="58" t="n">
        <v>45985.78873842592</v>
      </c>
      <c r="F239" s="6" t="inlineStr">
        <is>
          <t>0 a 02 dias</t>
        </is>
      </c>
      <c r="G239" s="6" t="inlineStr">
        <is>
          <t>0 a 02 dias</t>
        </is>
      </c>
      <c r="H239" s="6" t="inlineStr">
        <is>
          <t>5U3H7X</t>
        </is>
      </c>
      <c r="I239" s="6" t="inlineStr">
        <is>
          <t>TMS</t>
        </is>
      </c>
      <c r="J239" s="6" t="inlineStr">
        <is>
          <t>ERIK SANTOS</t>
        </is>
      </c>
      <c r="K239" s="6" t="inlineStr">
        <is>
          <t>Tms</t>
        </is>
      </c>
      <c r="L239" s="6" t="inlineStr">
        <is>
          <t>Tms</t>
        </is>
      </c>
      <c r="M239" s="58" t="n">
        <v>45985.60625</v>
      </c>
      <c r="N239" s="6" t="n">
        <v>90101</v>
      </c>
      <c r="O239" s="6" t="inlineStr">
        <is>
          <t>Porto Alegre / POA</t>
        </is>
      </c>
      <c r="P239" s="6" t="inlineStr">
        <is>
          <t>ON LINE</t>
        </is>
      </c>
      <c r="Q239" s="6" t="inlineStr">
        <is>
          <t>Invoice</t>
        </is>
      </c>
      <c r="R239" s="6" t="inlineStr">
        <is>
          <t>Faturado</t>
        </is>
      </c>
      <c r="S239" s="6" t="inlineStr">
        <is>
          <t>Carro</t>
        </is>
      </c>
      <c r="T239" s="6" t="inlineStr">
        <is>
          <t>N</t>
        </is>
      </c>
      <c r="U239" s="6" t="inlineStr">
        <is>
          <t>Grupo Ultra</t>
        </is>
      </c>
      <c r="V239" s="6" t="inlineStr">
        <is>
          <t>Ultragaz-matriz</t>
        </is>
      </c>
      <c r="W239" s="6" t="inlineStr">
        <is>
          <t>-</t>
        </is>
      </c>
      <c r="X239" s="6" t="inlineStr">
        <is>
          <t>-</t>
        </is>
      </c>
      <c r="Y239" s="6" t="inlineStr">
        <is>
          <t>-</t>
        </is>
      </c>
      <c r="Z239" s="6" t="inlineStr">
        <is>
          <t>KON-OPE-SAO-PVI-BTC-ARGO</t>
        </is>
      </c>
      <c r="AA239" s="6" t="inlineStr">
        <is>
          <t>-</t>
        </is>
      </c>
      <c r="AB239" s="6" t="n">
        <v>341.5888</v>
      </c>
      <c r="AC239" s="6" t="n">
        <v>0</v>
      </c>
      <c r="AD239" s="6" t="n">
        <v>0</v>
      </c>
      <c r="AE239" s="6" t="n">
        <v>0</v>
      </c>
      <c r="AF239" s="6" t="n">
        <v>0</v>
      </c>
      <c r="AG239" s="6" t="n">
        <v>0</v>
      </c>
      <c r="AH239" s="6" t="n">
        <v>0</v>
      </c>
      <c r="AI239" s="6" t="inlineStr">
        <is>
          <t>Reserva importada do Sistema TMS. OS: 90101</t>
        </is>
      </c>
      <c r="AJ239" s="6" t="inlineStr">
        <is>
          <t>Fornecedor não preenchido! (ACC01)</t>
        </is>
      </c>
      <c r="AK239" s="6" t="inlineStr">
        <is>
          <t>ARGO(TMS)</t>
        </is>
      </c>
      <c r="AL239" s="6" t="inlineStr">
        <is>
          <t>Falta de Fornecedor</t>
        </is>
      </c>
      <c r="AM239" s="6" t="inlineStr">
        <is>
          <t>Campo Fornecedor</t>
        </is>
      </c>
      <c r="AN239" s="6" t="inlineStr">
        <is>
          <t>Dados do Fornecedor</t>
        </is>
      </c>
      <c r="AO239" s="6" t="inlineStr">
        <is>
          <t>Qualidade dos dados</t>
        </is>
      </c>
      <c r="AP239" s="6" t="inlineStr">
        <is>
          <t>KONTIK BUSINESS TRAVEL</t>
        </is>
      </c>
      <c r="AQ239" s="6" t="inlineStr">
        <is>
          <t>Suporte KCS</t>
        </is>
      </c>
    </row>
    <row r="240">
      <c r="A240" s="6" t="n">
        <v>23306099</v>
      </c>
      <c r="B240" s="6" t="n">
        <v>24036749</v>
      </c>
      <c r="C240" s="6" t="inlineStr">
        <is>
          <t>ACC01</t>
        </is>
      </c>
      <c r="D240" s="58" t="n">
        <v>45972.83636574074</v>
      </c>
      <c r="E240" s="58" t="n">
        <v>45972.86482638889</v>
      </c>
      <c r="F240" s="6" t="inlineStr">
        <is>
          <t>09 a 15 dias</t>
        </is>
      </c>
      <c r="G240" s="6" t="inlineStr">
        <is>
          <t>09 a 15 dias</t>
        </is>
      </c>
      <c r="H240" s="6" t="n">
        <v>20806282</v>
      </c>
      <c r="I240" s="6" t="inlineStr">
        <is>
          <t>GOVER</t>
        </is>
      </c>
      <c r="J240" s="6" t="inlineStr">
        <is>
          <t>ELLIZIANE PAULA DE OLIVEIRA</t>
        </is>
      </c>
      <c r="K240" s="6" t="inlineStr">
        <is>
          <t>Gover</t>
        </is>
      </c>
      <c r="L240" s="6" t="inlineStr">
        <is>
          <t>Gover</t>
        </is>
      </c>
      <c r="M240" s="58" t="n">
        <v>45972.82847222222</v>
      </c>
      <c r="N240" s="6" t="n">
        <v>4627035</v>
      </c>
      <c r="O240" s="6" t="inlineStr">
        <is>
          <t>-</t>
        </is>
      </c>
      <c r="P240" s="6" t="inlineStr">
        <is>
          <t>ON LINE</t>
        </is>
      </c>
      <c r="Q240" s="6" t="inlineStr">
        <is>
          <t>Pagamento direto</t>
        </is>
      </c>
      <c r="R240" s="6" t="inlineStr">
        <is>
          <t>Pagamento direto</t>
        </is>
      </c>
      <c r="S240" s="6" t="inlineStr">
        <is>
          <t>Hotel</t>
        </is>
      </c>
      <c r="T240" s="6" t="inlineStr">
        <is>
          <t>N</t>
        </is>
      </c>
      <c r="U240" s="6" t="inlineStr">
        <is>
          <t>Grupo Icon</t>
        </is>
      </c>
      <c r="V240" s="6" t="inlineStr">
        <is>
          <t>Rps</t>
        </is>
      </c>
      <c r="W240" s="6" t="inlineStr">
        <is>
          <t>Cliente FEE no POS</t>
        </is>
      </c>
      <c r="X240" s="6" t="inlineStr">
        <is>
          <t>Golden Tulip Porto Vitoria</t>
        </is>
      </c>
      <c r="Y240" s="6" t="inlineStr">
        <is>
          <t>-</t>
        </is>
      </c>
      <c r="Z240" s="6" t="inlineStr">
        <is>
          <t>FCM-OPE-SAO-PVI-BTC-PRA/RPS</t>
        </is>
      </c>
      <c r="AA240" s="6" t="inlineStr">
        <is>
          <t>-</t>
        </is>
      </c>
      <c r="AB240" s="6" t="n">
        <v>1540</v>
      </c>
      <c r="AC240" s="6" t="n">
        <v>77</v>
      </c>
      <c r="AD240" s="6" t="n">
        <v>0</v>
      </c>
      <c r="AE240" s="6" t="n">
        <v>0</v>
      </c>
      <c r="AF240" s="6" t="n">
        <v>0</v>
      </c>
      <c r="AG240" s="6" t="n">
        <v>0</v>
      </c>
      <c r="AH240" s="6" t="n">
        <v>0</v>
      </c>
      <c r="AI240" s="6" t="inlineStr">
        <is>
          <t>Reserva importada do sistema Gover. Id: 4627035</t>
        </is>
      </c>
      <c r="AJ240" s="6" t="inlineStr">
        <is>
          <t>Este cliente não possui permissão para usar este tipo de pagamento e recebimento para este produto.</t>
        </is>
      </c>
      <c r="AK240" s="6" t="inlineStr">
        <is>
          <t>GOVER</t>
        </is>
      </c>
      <c r="AL240" s="6" t="inlineStr">
        <is>
          <t>Pagamento não permitido para cobrança</t>
        </is>
      </c>
      <c r="AM240" s="6" t="inlineStr">
        <is>
          <t>Forma PG. e REC.</t>
        </is>
      </c>
      <c r="AN240" s="6" t="inlineStr">
        <is>
          <t>Dados do Fornecedor</t>
        </is>
      </c>
      <c r="AO240" s="6" t="inlineStr">
        <is>
          <t>Sistêmico</t>
        </is>
      </c>
      <c r="AP240" s="6" t="inlineStr">
        <is>
          <t>GRUPO KONTIK</t>
        </is>
      </c>
      <c r="AQ240" s="6" t="inlineStr">
        <is>
          <t>Suporte Benner</t>
        </is>
      </c>
    </row>
    <row r="241">
      <c r="A241" s="6" t="n">
        <v>23311446</v>
      </c>
      <c r="B241" s="6" t="n">
        <v>24041733</v>
      </c>
      <c r="C241" s="6" t="inlineStr">
        <is>
          <t>ACC01</t>
        </is>
      </c>
      <c r="D241" s="58" t="n">
        <v>45973.6837037037</v>
      </c>
      <c r="E241" s="58" t="n">
        <v>45973.71554398148</v>
      </c>
      <c r="F241" s="6" t="inlineStr">
        <is>
          <t>09 a 15 dias</t>
        </is>
      </c>
      <c r="G241" s="6" t="inlineStr">
        <is>
          <t>09 a 15 dias</t>
        </is>
      </c>
      <c r="H241" s="6" t="n">
        <v>20818541</v>
      </c>
      <c r="I241" s="6" t="inlineStr">
        <is>
          <t>GOVER</t>
        </is>
      </c>
      <c r="J241" s="6" t="inlineStr">
        <is>
          <t>VANESSA AGUSTINHO CARDILLO</t>
        </is>
      </c>
      <c r="K241" s="6" t="inlineStr">
        <is>
          <t>Gover</t>
        </is>
      </c>
      <c r="L241" s="6" t="inlineStr">
        <is>
          <t>Gover</t>
        </is>
      </c>
      <c r="M241" s="58" t="n">
        <v>45973.67430555556</v>
      </c>
      <c r="N241" s="6" t="n">
        <v>4627416</v>
      </c>
      <c r="O241" s="6" t="inlineStr">
        <is>
          <t>-</t>
        </is>
      </c>
      <c r="P241" s="6" t="inlineStr">
        <is>
          <t>ON LINE</t>
        </is>
      </c>
      <c r="Q241" s="6" t="inlineStr">
        <is>
          <t>Pagamento direto</t>
        </is>
      </c>
      <c r="R241" s="6" t="inlineStr">
        <is>
          <t>Pagamento direto</t>
        </is>
      </c>
      <c r="S241" s="6" t="inlineStr">
        <is>
          <t>Hotel</t>
        </is>
      </c>
      <c r="T241" s="6" t="inlineStr">
        <is>
          <t>N</t>
        </is>
      </c>
      <c r="U241" s="6" t="inlineStr">
        <is>
          <t>Grupo Icon</t>
        </is>
      </c>
      <c r="V241" s="6" t="inlineStr">
        <is>
          <t>Rps</t>
        </is>
      </c>
      <c r="W241" s="6" t="inlineStr">
        <is>
          <t>Cliente FEE no POS</t>
        </is>
      </c>
      <c r="X241" s="6" t="inlineStr">
        <is>
          <t>Gaben Hotel</t>
        </is>
      </c>
      <c r="Y241" s="6" t="inlineStr">
        <is>
          <t>-</t>
        </is>
      </c>
      <c r="Z241" s="6" t="inlineStr">
        <is>
          <t>FCM-OPE-SAO-PVI-BTC-PRA/RPS</t>
        </is>
      </c>
      <c r="AA241" s="6" t="inlineStr">
        <is>
          <t>-</t>
        </is>
      </c>
      <c r="AB241" s="6" t="n">
        <v>369</v>
      </c>
      <c r="AC241" s="6" t="n">
        <v>0</v>
      </c>
      <c r="AD241" s="6" t="n">
        <v>0</v>
      </c>
      <c r="AE241" s="6" t="n">
        <v>0</v>
      </c>
      <c r="AF241" s="6" t="n">
        <v>0</v>
      </c>
      <c r="AG241" s="6" t="n">
        <v>0</v>
      </c>
      <c r="AH241" s="6" t="n">
        <v>0</v>
      </c>
      <c r="AI241" s="6" t="inlineStr">
        <is>
          <t>Reserva importada do sistema Gover. Id: 4627416</t>
        </is>
      </c>
      <c r="AJ241" s="6" t="inlineStr">
        <is>
          <t>Este cliente não possui permissão para usar este tipo de pagamento e recebimento para este produto.</t>
        </is>
      </c>
      <c r="AK241" s="6" t="inlineStr">
        <is>
          <t>GOVER</t>
        </is>
      </c>
      <c r="AL241" s="6" t="inlineStr">
        <is>
          <t>Pagamento não permitido para cobrança</t>
        </is>
      </c>
      <c r="AM241" s="6" t="inlineStr">
        <is>
          <t>Forma PG. e REC.</t>
        </is>
      </c>
      <c r="AN241" s="6" t="inlineStr">
        <is>
          <t>Dados do Fornecedor</t>
        </is>
      </c>
      <c r="AO241" s="6" t="inlineStr">
        <is>
          <t>Sistêmico</t>
        </is>
      </c>
      <c r="AP241" s="6" t="inlineStr">
        <is>
          <t>GRUPO KONTIK</t>
        </is>
      </c>
      <c r="AQ241" s="6" t="inlineStr">
        <is>
          <t>Suporte Benner</t>
        </is>
      </c>
    </row>
    <row r="242">
      <c r="A242" s="6" t="n">
        <v>23325095</v>
      </c>
      <c r="B242" s="6" t="n">
        <v>24054571</v>
      </c>
      <c r="C242" s="6" t="inlineStr">
        <is>
          <t>ACC01</t>
        </is>
      </c>
      <c r="D242" s="58" t="n">
        <v>45975.58912037037</v>
      </c>
      <c r="E242" s="58" t="n">
        <v>45975.60503472222</v>
      </c>
      <c r="F242" s="6" t="inlineStr">
        <is>
          <t>09 a 15 dias</t>
        </is>
      </c>
      <c r="G242" s="6" t="inlineStr">
        <is>
          <t>09 a 15 dias</t>
        </is>
      </c>
      <c r="H242" s="6" t="n">
        <v>20848609</v>
      </c>
      <c r="I242" s="6" t="inlineStr">
        <is>
          <t>GOVER</t>
        </is>
      </c>
      <c r="J242" s="6" t="inlineStr">
        <is>
          <t>ANDREA MAYUMI MITSUHASHI NAKAHIRA</t>
        </is>
      </c>
      <c r="K242" s="6" t="inlineStr">
        <is>
          <t>Gover</t>
        </is>
      </c>
      <c r="L242" s="6" t="inlineStr">
        <is>
          <t>Gover</t>
        </is>
      </c>
      <c r="M242" s="58" t="n">
        <v>45975.56458333333</v>
      </c>
      <c r="N242" s="6" t="n">
        <v>4628367</v>
      </c>
      <c r="O242" s="6" t="inlineStr">
        <is>
          <t>-</t>
        </is>
      </c>
      <c r="P242" s="6" t="inlineStr">
        <is>
          <t>ON LINE</t>
        </is>
      </c>
      <c r="Q242" s="6" t="inlineStr">
        <is>
          <t>Pagamento direto</t>
        </is>
      </c>
      <c r="R242" s="6" t="inlineStr">
        <is>
          <t>Pagamento direto</t>
        </is>
      </c>
      <c r="S242" s="6" t="inlineStr">
        <is>
          <t>Hotel</t>
        </is>
      </c>
      <c r="T242" s="6" t="inlineStr">
        <is>
          <t>N</t>
        </is>
      </c>
      <c r="U242" s="6" t="inlineStr">
        <is>
          <t>Grupo Icon</t>
        </is>
      </c>
      <c r="V242" s="6" t="inlineStr">
        <is>
          <t>Rps</t>
        </is>
      </c>
      <c r="W242" s="6" t="inlineStr">
        <is>
          <t>Cliente FEE no POS</t>
        </is>
      </c>
      <c r="X242" s="6" t="inlineStr">
        <is>
          <t>Hilton Garden Inn Sao Jose do Rio Preto</t>
        </is>
      </c>
      <c r="Y242" s="6" t="inlineStr">
        <is>
          <t>-</t>
        </is>
      </c>
      <c r="Z242" s="6" t="inlineStr">
        <is>
          <t>FCM-OPE-SAO-PVI-BTC-PRA/RPS</t>
        </is>
      </c>
      <c r="AA242" s="6" t="inlineStr">
        <is>
          <t>-</t>
        </is>
      </c>
      <c r="AB242" s="6" t="n">
        <v>816</v>
      </c>
      <c r="AC242" s="6" t="n">
        <v>24.48</v>
      </c>
      <c r="AD242" s="6" t="n">
        <v>0</v>
      </c>
      <c r="AE242" s="6" t="n">
        <v>0</v>
      </c>
      <c r="AF242" s="6" t="n">
        <v>0</v>
      </c>
      <c r="AG242" s="6" t="n">
        <v>0</v>
      </c>
      <c r="AH242" s="6" t="n">
        <v>0</v>
      </c>
      <c r="AI242" s="6" t="inlineStr">
        <is>
          <t>Reserva importada do sistema Gover. Id: 4628367</t>
        </is>
      </c>
      <c r="AJ242" s="6" t="inlineStr">
        <is>
          <t>Este cliente não possui permissão para usar este tipo de pagamento e recebimento para este produto.</t>
        </is>
      </c>
      <c r="AK242" s="6" t="inlineStr">
        <is>
          <t>GOVER</t>
        </is>
      </c>
      <c r="AL242" s="6" t="inlineStr">
        <is>
          <t>Pagamento não permitido para cobrança</t>
        </is>
      </c>
      <c r="AM242" s="6" t="inlineStr">
        <is>
          <t>Forma PG. e REC.</t>
        </is>
      </c>
      <c r="AN242" s="6" t="inlineStr">
        <is>
          <t>Dados do Fornecedor</t>
        </is>
      </c>
      <c r="AO242" s="6" t="inlineStr">
        <is>
          <t>Sistêmico</t>
        </is>
      </c>
      <c r="AP242" s="6" t="inlineStr">
        <is>
          <t>GRUPO KONTIK</t>
        </is>
      </c>
      <c r="AQ242" s="6" t="inlineStr">
        <is>
          <t>Suporte Benner</t>
        </is>
      </c>
    </row>
    <row r="243">
      <c r="A243" s="6" t="n">
        <v>23278185</v>
      </c>
      <c r="B243" s="6" t="n">
        <v>24010339</v>
      </c>
      <c r="C243" s="6" t="inlineStr">
        <is>
          <t>ACC01</t>
        </is>
      </c>
      <c r="D243" s="58" t="n">
        <v>45968.49016203704</v>
      </c>
      <c r="E243" s="58" t="n">
        <v>45968.52144675926</v>
      </c>
      <c r="F243" s="59" t="inlineStr">
        <is>
          <t>16 a 23 dias</t>
        </is>
      </c>
      <c r="G243" s="59" t="inlineStr">
        <is>
          <t>16 a 23 dias</t>
        </is>
      </c>
      <c r="H243" s="6" t="n">
        <v>20752451</v>
      </c>
      <c r="I243" s="6" t="inlineStr">
        <is>
          <t>GOVER</t>
        </is>
      </c>
      <c r="J243" s="6" t="inlineStr">
        <is>
          <t>Natalia Turella</t>
        </is>
      </c>
      <c r="K243" s="6" t="inlineStr">
        <is>
          <t>Gover</t>
        </is>
      </c>
      <c r="L243" s="6" t="inlineStr">
        <is>
          <t>Gover</t>
        </is>
      </c>
      <c r="M243" s="58" t="n">
        <v>45968.48611111111</v>
      </c>
      <c r="N243" s="6" t="n">
        <v>4625235</v>
      </c>
      <c r="O243" s="6" t="inlineStr">
        <is>
          <t>-</t>
        </is>
      </c>
      <c r="P243" s="6" t="inlineStr">
        <is>
          <t>ON LINE</t>
        </is>
      </c>
      <c r="Q243" s="6" t="inlineStr">
        <is>
          <t>Pagamento direto</t>
        </is>
      </c>
      <c r="R243" s="6" t="inlineStr">
        <is>
          <t>Pagamento direto</t>
        </is>
      </c>
      <c r="S243" s="6" t="inlineStr">
        <is>
          <t>Hotel</t>
        </is>
      </c>
      <c r="T243" s="6" t="inlineStr">
        <is>
          <t>N</t>
        </is>
      </c>
      <c r="U243" s="6" t="inlineStr">
        <is>
          <t>Grupo Icon</t>
        </is>
      </c>
      <c r="V243" s="6" t="inlineStr">
        <is>
          <t>Pra</t>
        </is>
      </c>
      <c r="W243" s="6" t="inlineStr">
        <is>
          <t>Cliente FEE no POS</t>
        </is>
      </c>
      <c r="X243" s="6" t="inlineStr">
        <is>
          <t>Hotel Barretos</t>
        </is>
      </c>
      <c r="Y243" s="6" t="inlineStr">
        <is>
          <t>-</t>
        </is>
      </c>
      <c r="Z243" s="6" t="inlineStr">
        <is>
          <t>FCM-OPE-SAO-PVI-BTC-PRA/RPS</t>
        </is>
      </c>
      <c r="AA243" s="6" t="inlineStr">
        <is>
          <t>-</t>
        </is>
      </c>
      <c r="AB243" s="6" t="n">
        <v>498</v>
      </c>
      <c r="AC243" s="6" t="n">
        <v>9.960000000000001</v>
      </c>
      <c r="AD243" s="6" t="n">
        <v>0</v>
      </c>
      <c r="AE243" s="6" t="n">
        <v>0</v>
      </c>
      <c r="AF243" s="6" t="n">
        <v>0</v>
      </c>
      <c r="AG243" s="6" t="n">
        <v>0</v>
      </c>
      <c r="AH243" s="6" t="n">
        <v>0</v>
      </c>
      <c r="AI243" s="6" t="inlineStr">
        <is>
          <t>Reserva importada do sistema Gover. Id: 4625235</t>
        </is>
      </c>
      <c r="AJ243" s="6" t="inlineStr">
        <is>
          <t>Este cliente não possui permissão para usar este tipo de pagamento e recebimento para este produto.</t>
        </is>
      </c>
      <c r="AK243" s="6" t="inlineStr">
        <is>
          <t>GOVER</t>
        </is>
      </c>
      <c r="AL243" s="6" t="inlineStr">
        <is>
          <t>Pagamento não permitido para cobrança</t>
        </is>
      </c>
      <c r="AM243" s="6" t="inlineStr">
        <is>
          <t>Forma PG. e REC.</t>
        </is>
      </c>
      <c r="AN243" s="6" t="inlineStr">
        <is>
          <t>Dados do Fornecedor</t>
        </is>
      </c>
      <c r="AO243" s="6" t="inlineStr">
        <is>
          <t>Sistêmico</t>
        </is>
      </c>
      <c r="AP243" s="6" t="inlineStr">
        <is>
          <t>GRUPO KONTIK</t>
        </is>
      </c>
      <c r="AQ243" s="6" t="inlineStr">
        <is>
          <t>Suporte Benner</t>
        </is>
      </c>
    </row>
    <row r="244">
      <c r="A244" s="6" t="n">
        <v>23279494</v>
      </c>
      <c r="B244" s="6" t="n">
        <v>24011640</v>
      </c>
      <c r="C244" s="6" t="inlineStr">
        <is>
          <t>ACC01</t>
        </is>
      </c>
      <c r="D244" s="58" t="n">
        <v>45968.68483796297</v>
      </c>
      <c r="E244" s="58" t="n">
        <v>45968.71263888889</v>
      </c>
      <c r="F244" s="59" t="inlineStr">
        <is>
          <t>16 a 23 dias</t>
        </is>
      </c>
      <c r="G244" s="59" t="inlineStr">
        <is>
          <t>16 a 23 dias</t>
        </is>
      </c>
      <c r="H244" s="6" t="n">
        <v>20759859</v>
      </c>
      <c r="I244" s="6" t="inlineStr">
        <is>
          <t>GOVER</t>
        </is>
      </c>
      <c r="J244" s="6" t="inlineStr">
        <is>
          <t>VITÓRIA ROCHA FOIGT</t>
        </is>
      </c>
      <c r="K244" s="6" t="inlineStr">
        <is>
          <t>Gover</t>
        </is>
      </c>
      <c r="L244" s="6" t="inlineStr">
        <is>
          <t>Gover</t>
        </is>
      </c>
      <c r="M244" s="58" t="n">
        <v>45968.67569444444</v>
      </c>
      <c r="N244" s="6" t="n">
        <v>4625448</v>
      </c>
      <c r="O244" s="6" t="inlineStr">
        <is>
          <t>-</t>
        </is>
      </c>
      <c r="P244" s="6" t="inlineStr">
        <is>
          <t>ON LINE</t>
        </is>
      </c>
      <c r="Q244" s="6" t="inlineStr">
        <is>
          <t>Pagamento direto</t>
        </is>
      </c>
      <c r="R244" s="6" t="inlineStr">
        <is>
          <t>Pagamento direto</t>
        </is>
      </c>
      <c r="S244" s="6" t="inlineStr">
        <is>
          <t>Hotel</t>
        </is>
      </c>
      <c r="T244" s="6" t="inlineStr">
        <is>
          <t>N</t>
        </is>
      </c>
      <c r="U244" s="6" t="inlineStr">
        <is>
          <t>Grupo Icon</t>
        </is>
      </c>
      <c r="V244" s="6" t="inlineStr">
        <is>
          <t>Rps</t>
        </is>
      </c>
      <c r="W244" s="6" t="inlineStr">
        <is>
          <t>Cliente FEE no POS</t>
        </is>
      </c>
      <c r="X244" s="6" t="inlineStr">
        <is>
          <t>Swan Tower Caxias do Sul</t>
        </is>
      </c>
      <c r="Y244" s="6" t="inlineStr">
        <is>
          <t>-</t>
        </is>
      </c>
      <c r="Z244" s="6" t="inlineStr">
        <is>
          <t>FCM-OPE-SAO-PVI-BTC-PRA/RPS</t>
        </is>
      </c>
      <c r="AA244" s="6" t="inlineStr">
        <is>
          <t>-</t>
        </is>
      </c>
      <c r="AB244" s="6" t="n">
        <v>299</v>
      </c>
      <c r="AC244" s="6" t="n">
        <v>0</v>
      </c>
      <c r="AD244" s="6" t="n">
        <v>0</v>
      </c>
      <c r="AE244" s="6" t="n">
        <v>0</v>
      </c>
      <c r="AF244" s="6" t="n">
        <v>0</v>
      </c>
      <c r="AG244" s="6" t="n">
        <v>0</v>
      </c>
      <c r="AH244" s="6" t="n">
        <v>0</v>
      </c>
      <c r="AI244" s="6" t="inlineStr">
        <is>
          <t>Reserva importada do sistema Gover. Id: 4625448</t>
        </is>
      </c>
      <c r="AJ244" s="6" t="inlineStr">
        <is>
          <t>Este cliente não possui permissão para usar este tipo de pagamento e recebimento para este produto.</t>
        </is>
      </c>
      <c r="AK244" s="6" t="inlineStr">
        <is>
          <t>GOVER</t>
        </is>
      </c>
      <c r="AL244" s="6" t="inlineStr">
        <is>
          <t>Pagamento não permitido para cobrança</t>
        </is>
      </c>
      <c r="AM244" s="6" t="inlineStr">
        <is>
          <t>Forma PG. e REC.</t>
        </is>
      </c>
      <c r="AN244" s="6" t="inlineStr">
        <is>
          <t>Dados do Fornecedor</t>
        </is>
      </c>
      <c r="AO244" s="6" t="inlineStr">
        <is>
          <t>Sistêmico</t>
        </is>
      </c>
      <c r="AP244" s="6" t="inlineStr">
        <is>
          <t>GRUPO KONTIK</t>
        </is>
      </c>
      <c r="AQ244" s="6" t="inlineStr">
        <is>
          <t>Suporte Benner</t>
        </is>
      </c>
    </row>
    <row r="245">
      <c r="A245" s="6" t="n">
        <v>23124924</v>
      </c>
      <c r="B245" s="6" t="n">
        <v>23872031</v>
      </c>
      <c r="C245" s="6" t="inlineStr">
        <is>
          <t>ACC01</t>
        </is>
      </c>
      <c r="D245" s="58" t="n">
        <v>45946.57520833334</v>
      </c>
      <c r="E245" s="58" t="n">
        <v>45972.32658564814</v>
      </c>
      <c r="F245" s="6" t="inlineStr">
        <is>
          <t>09 a 15 dias</t>
        </is>
      </c>
      <c r="G245" s="6" t="inlineStr">
        <is>
          <t>31 dias ou +</t>
        </is>
      </c>
      <c r="H245" s="6" t="inlineStr">
        <is>
          <t>OGBTIL</t>
        </is>
      </c>
      <c r="I245" s="6" t="inlineStr">
        <is>
          <t>GOVER</t>
        </is>
      </c>
      <c r="J245" s="6" t="inlineStr">
        <is>
          <t>PATRICIA MENDONCA PICCININ</t>
        </is>
      </c>
      <c r="K245" s="6" t="inlineStr">
        <is>
          <t>Gover</t>
        </is>
      </c>
      <c r="L245" s="6" t="inlineStr">
        <is>
          <t>Gover</t>
        </is>
      </c>
      <c r="M245" s="58" t="n">
        <v>45946.56597222222</v>
      </c>
      <c r="N245" s="6" t="n">
        <v>4614551</v>
      </c>
      <c r="O245" s="6" t="inlineStr">
        <is>
          <t>-</t>
        </is>
      </c>
      <c r="P245" s="6" t="inlineStr">
        <is>
          <t>ON LINE</t>
        </is>
      </c>
      <c r="Q245" s="6" t="inlineStr">
        <is>
          <t>Invoice</t>
        </is>
      </c>
      <c r="R245" s="6" t="inlineStr">
        <is>
          <t>Cartão convênio</t>
        </is>
      </c>
      <c r="S245" s="6" t="inlineStr">
        <is>
          <t>Aéreo</t>
        </is>
      </c>
      <c r="T245" s="6" t="inlineStr">
        <is>
          <t>N</t>
        </is>
      </c>
      <c r="U245" s="6" t="inlineStr">
        <is>
          <t>Grupo Icon</t>
        </is>
      </c>
      <c r="V245" s="6" t="inlineStr">
        <is>
          <t>Rps</t>
        </is>
      </c>
      <c r="W245" s="6" t="inlineStr">
        <is>
          <t>Cliente FEE no POS</t>
        </is>
      </c>
      <c r="X245" s="6" t="inlineStr">
        <is>
          <t>Latam Airlines Brasil</t>
        </is>
      </c>
      <c r="Y245" s="6" t="n">
        <v>2255229333</v>
      </c>
      <c r="Z245" s="6" t="inlineStr">
        <is>
          <t>FCM-OPE-SAO-PVI-BTC-PRA/RPS</t>
        </is>
      </c>
      <c r="AA245" s="6" t="inlineStr">
        <is>
          <t>-</t>
        </is>
      </c>
      <c r="AB245" s="6" t="n">
        <v>1179.171</v>
      </c>
      <c r="AC245" s="6" t="n">
        <v>107.34</v>
      </c>
      <c r="AD245" s="6" t="n">
        <v>0</v>
      </c>
      <c r="AE245" s="6" t="n">
        <v>0</v>
      </c>
      <c r="AF245" s="6" t="n">
        <v>0</v>
      </c>
      <c r="AG245" s="6" t="n">
        <v>0</v>
      </c>
      <c r="AH245" s="6" t="n">
        <v>0</v>
      </c>
      <c r="AI245" s="6" t="inlineStr">
        <is>
          <t>Reserva importada do sistema Gover. Id: 4614551</t>
        </is>
      </c>
      <c r="AJ245" s="6" t="inlineStr">
        <is>
          <t xml:space="preserve">Erro excluindo PNR: Não é possivel excluir a accounting de código: 25220096. A mesma está ligada a conciliação de cartão "ANTECIPAÇÃO REDE </t>
        </is>
      </c>
      <c r="AK245" s="6" t="inlineStr">
        <is>
          <t>GOVER</t>
        </is>
      </c>
      <c r="AL245" s="6" t="inlineStr">
        <is>
          <t>Conciliação de Cartão</t>
        </is>
      </c>
      <c r="AM245" s="6" t="inlineStr">
        <is>
          <t>Financeiro Conciliado</t>
        </is>
      </c>
      <c r="AN245" s="6" t="inlineStr">
        <is>
          <t>Edição não Permitida</t>
        </is>
      </c>
      <c r="AO245" s="6" t="inlineStr">
        <is>
          <t>Processo Operacional</t>
        </is>
      </c>
      <c r="AP245" s="6" t="inlineStr">
        <is>
          <t>GRUPO KONTIK</t>
        </is>
      </c>
      <c r="AQ245" s="6" t="inlineStr">
        <is>
          <t>Central de Emissão</t>
        </is>
      </c>
    </row>
    <row r="246">
      <c r="A246" s="6" t="n">
        <v>23270060</v>
      </c>
      <c r="B246" s="6" t="n">
        <v>24002330</v>
      </c>
      <c r="C246" s="6" t="inlineStr">
        <is>
          <t>ACC01</t>
        </is>
      </c>
      <c r="D246" s="58" t="n">
        <v>45967.4687962963</v>
      </c>
      <c r="E246" s="58" t="n">
        <v>45967.48276620371</v>
      </c>
      <c r="F246" s="59" t="inlineStr">
        <is>
          <t>16 a 23 dias</t>
        </is>
      </c>
      <c r="G246" s="59" t="inlineStr">
        <is>
          <t>16 a 23 dias</t>
        </is>
      </c>
      <c r="H246" s="6" t="n">
        <v>20733690</v>
      </c>
      <c r="I246" s="6" t="inlineStr">
        <is>
          <t>GOVER</t>
        </is>
      </c>
      <c r="J246" s="6" t="inlineStr">
        <is>
          <t>AGNES HIDEKO MINAMI</t>
        </is>
      </c>
      <c r="K246" s="6" t="inlineStr">
        <is>
          <t>Gover</t>
        </is>
      </c>
      <c r="L246" s="6" t="inlineStr">
        <is>
          <t>Gover</t>
        </is>
      </c>
      <c r="M246" s="58" t="n">
        <v>45967.46597222222</v>
      </c>
      <c r="N246" s="6" t="n">
        <v>4624581</v>
      </c>
      <c r="O246" s="6" t="inlineStr">
        <is>
          <t>-</t>
        </is>
      </c>
      <c r="P246" s="6" t="inlineStr">
        <is>
          <t>ON LINE</t>
        </is>
      </c>
      <c r="Q246" s="6" t="inlineStr">
        <is>
          <t>Pagamento direto</t>
        </is>
      </c>
      <c r="R246" s="6" t="inlineStr">
        <is>
          <t>Pagamento direto</t>
        </is>
      </c>
      <c r="S246" s="6" t="inlineStr">
        <is>
          <t>Hotel</t>
        </is>
      </c>
      <c r="T246" s="6" t="inlineStr">
        <is>
          <t>N</t>
        </is>
      </c>
      <c r="U246" s="6" t="inlineStr">
        <is>
          <t>Grupo Icon</t>
        </is>
      </c>
      <c r="V246" s="6" t="inlineStr">
        <is>
          <t>Rps</t>
        </is>
      </c>
      <c r="W246" s="6" t="inlineStr">
        <is>
          <t>Cliente FEE no POS</t>
        </is>
      </c>
      <c r="X246" s="6" t="inlineStr">
        <is>
          <t>Gaben Hotel</t>
        </is>
      </c>
      <c r="Y246" s="6" t="inlineStr">
        <is>
          <t>-</t>
        </is>
      </c>
      <c r="Z246" s="6" t="inlineStr">
        <is>
          <t>FCM-OPE-SAO-PVI-BTC-PRA/RPS</t>
        </is>
      </c>
      <c r="AA246" s="6" t="inlineStr">
        <is>
          <t>-</t>
        </is>
      </c>
      <c r="AB246" s="6" t="n">
        <v>548</v>
      </c>
      <c r="AC246" s="6" t="n">
        <v>0</v>
      </c>
      <c r="AD246" s="6" t="n">
        <v>0</v>
      </c>
      <c r="AE246" s="6" t="n">
        <v>0</v>
      </c>
      <c r="AF246" s="6" t="n">
        <v>0</v>
      </c>
      <c r="AG246" s="6" t="n">
        <v>0</v>
      </c>
      <c r="AH246" s="6" t="n">
        <v>0</v>
      </c>
      <c r="AI246" s="6" t="inlineStr">
        <is>
          <t>Reserva importada do sistema Gover. Id: 4624581</t>
        </is>
      </c>
      <c r="AJ246" s="6" t="inlineStr">
        <is>
          <t>Este cliente não possui permissão para usar este tipo de pagamento e recebimento para este produto.</t>
        </is>
      </c>
      <c r="AK246" s="6" t="inlineStr">
        <is>
          <t>GOVER</t>
        </is>
      </c>
      <c r="AL246" s="6" t="inlineStr">
        <is>
          <t>Pagamento não permitido para cobrança</t>
        </is>
      </c>
      <c r="AM246" s="6" t="inlineStr">
        <is>
          <t>Forma PG. e REC.</t>
        </is>
      </c>
      <c r="AN246" s="6" t="inlineStr">
        <is>
          <t>Dados do Fornecedor</t>
        </is>
      </c>
      <c r="AO246" s="6" t="inlineStr">
        <is>
          <t>Sistêmico</t>
        </is>
      </c>
      <c r="AP246" s="6" t="inlineStr">
        <is>
          <t>GRUPO KONTIK</t>
        </is>
      </c>
      <c r="AQ246" s="6" t="inlineStr">
        <is>
          <t>Suporte Benner</t>
        </is>
      </c>
    </row>
    <row r="247">
      <c r="A247" s="6" t="n">
        <v>23271865</v>
      </c>
      <c r="B247" s="6" t="n">
        <v>24004409</v>
      </c>
      <c r="C247" s="6" t="inlineStr">
        <is>
          <t>ACC01</t>
        </is>
      </c>
      <c r="D247" s="58" t="n">
        <v>45967.64231481482</v>
      </c>
      <c r="E247" s="58" t="n">
        <v>45967.67033564814</v>
      </c>
      <c r="F247" s="59" t="inlineStr">
        <is>
          <t>16 a 23 dias</t>
        </is>
      </c>
      <c r="G247" s="59" t="inlineStr">
        <is>
          <t>16 a 23 dias</t>
        </is>
      </c>
      <c r="H247" s="6" t="n">
        <v>20739772</v>
      </c>
      <c r="I247" s="6" t="inlineStr">
        <is>
          <t>GOVER</t>
        </is>
      </c>
      <c r="J247" s="6" t="inlineStr">
        <is>
          <t>GABRIELA TOFETI</t>
        </is>
      </c>
      <c r="K247" s="6" t="inlineStr">
        <is>
          <t>Gover</t>
        </is>
      </c>
      <c r="L247" s="6" t="inlineStr">
        <is>
          <t>Gover</t>
        </is>
      </c>
      <c r="M247" s="58" t="n">
        <v>45967.63680555556</v>
      </c>
      <c r="N247" s="6" t="n">
        <v>4624814</v>
      </c>
      <c r="O247" s="6" t="inlineStr">
        <is>
          <t>-</t>
        </is>
      </c>
      <c r="P247" s="6" t="inlineStr">
        <is>
          <t>ON LINE</t>
        </is>
      </c>
      <c r="Q247" s="6" t="inlineStr">
        <is>
          <t>Pagamento direto</t>
        </is>
      </c>
      <c r="R247" s="6" t="inlineStr">
        <is>
          <t>Pagamento direto</t>
        </is>
      </c>
      <c r="S247" s="6" t="inlineStr">
        <is>
          <t>Hotel</t>
        </is>
      </c>
      <c r="T247" s="6" t="inlineStr">
        <is>
          <t>N</t>
        </is>
      </c>
      <c r="U247" s="6" t="inlineStr">
        <is>
          <t>Grupo Icon</t>
        </is>
      </c>
      <c r="V247" s="6" t="inlineStr">
        <is>
          <t>Rps</t>
        </is>
      </c>
      <c r="W247" s="6" t="inlineStr">
        <is>
          <t>Cliente FEE no POS</t>
        </is>
      </c>
      <c r="X247" s="6" t="inlineStr">
        <is>
          <t>Padom Business Hotel</t>
        </is>
      </c>
      <c r="Y247" s="6" t="inlineStr">
        <is>
          <t>-</t>
        </is>
      </c>
      <c r="Z247" s="6" t="inlineStr">
        <is>
          <t>FCM-OPE-SAO-PVI-BTC-PRA/RPS</t>
        </is>
      </c>
      <c r="AA247" s="6" t="inlineStr">
        <is>
          <t>-</t>
        </is>
      </c>
      <c r="AB247" s="6" t="n">
        <v>1332</v>
      </c>
      <c r="AC247" s="6" t="n">
        <v>39.96</v>
      </c>
      <c r="AD247" s="6" t="n">
        <v>0</v>
      </c>
      <c r="AE247" s="6" t="n">
        <v>0</v>
      </c>
      <c r="AF247" s="6" t="n">
        <v>0</v>
      </c>
      <c r="AG247" s="6" t="n">
        <v>0</v>
      </c>
      <c r="AH247" s="6" t="n">
        <v>0</v>
      </c>
      <c r="AI247" s="6" t="inlineStr">
        <is>
          <t>Reserva importada do sistema Gover. Id: 4624814</t>
        </is>
      </c>
      <c r="AJ247" s="6" t="inlineStr">
        <is>
          <t>Este cliente não possui permissão para usar este tipo de pagamento e recebimento para este produto.</t>
        </is>
      </c>
      <c r="AK247" s="6" t="inlineStr">
        <is>
          <t>GOVER</t>
        </is>
      </c>
      <c r="AL247" s="6" t="inlineStr">
        <is>
          <t>Pagamento não permitido para cobrança</t>
        </is>
      </c>
      <c r="AM247" s="6" t="inlineStr">
        <is>
          <t>Forma PG. e REC.</t>
        </is>
      </c>
      <c r="AN247" s="6" t="inlineStr">
        <is>
          <t>Dados do Fornecedor</t>
        </is>
      </c>
      <c r="AO247" s="6" t="inlineStr">
        <is>
          <t>Sistêmico</t>
        </is>
      </c>
      <c r="AP247" s="6" t="inlineStr">
        <is>
          <t>GRUPO KONTIK</t>
        </is>
      </c>
      <c r="AQ247" s="6" t="inlineStr">
        <is>
          <t>Suporte Benner</t>
        </is>
      </c>
    </row>
    <row r="248">
      <c r="A248" s="6" t="n">
        <v>23339213</v>
      </c>
      <c r="B248" s="6" t="n">
        <v>24066988</v>
      </c>
      <c r="C248" s="6" t="inlineStr">
        <is>
          <t>ACC01</t>
        </is>
      </c>
      <c r="D248" s="58" t="n">
        <v>45978.49642361111</v>
      </c>
      <c r="E248" s="58" t="n">
        <v>45978.53146990741</v>
      </c>
      <c r="F248" s="6" t="inlineStr">
        <is>
          <t>06 a 08 dias</t>
        </is>
      </c>
      <c r="G248" s="6" t="inlineStr">
        <is>
          <t>06 a 08 dias</t>
        </is>
      </c>
      <c r="H248" s="6" t="n">
        <v>20866307</v>
      </c>
      <c r="I248" s="6" t="inlineStr">
        <is>
          <t>GOVER</t>
        </is>
      </c>
      <c r="J248" s="6" t="inlineStr">
        <is>
          <t>VITÓRIA ROCHA FOIGT</t>
        </is>
      </c>
      <c r="K248" s="6" t="inlineStr">
        <is>
          <t>Gover</t>
        </is>
      </c>
      <c r="L248" s="6" t="inlineStr">
        <is>
          <t>Gover</t>
        </is>
      </c>
      <c r="M248" s="58" t="n">
        <v>45978.48333333333</v>
      </c>
      <c r="N248" s="6" t="n">
        <v>4628917</v>
      </c>
      <c r="O248" s="6" t="inlineStr">
        <is>
          <t>-</t>
        </is>
      </c>
      <c r="P248" s="6" t="inlineStr">
        <is>
          <t>ON LINE</t>
        </is>
      </c>
      <c r="Q248" s="6" t="inlineStr">
        <is>
          <t>Pagamento direto</t>
        </is>
      </c>
      <c r="R248" s="6" t="inlineStr">
        <is>
          <t>Pagamento direto</t>
        </is>
      </c>
      <c r="S248" s="6" t="inlineStr">
        <is>
          <t>Hotel</t>
        </is>
      </c>
      <c r="T248" s="6" t="inlineStr">
        <is>
          <t>N</t>
        </is>
      </c>
      <c r="U248" s="6" t="inlineStr">
        <is>
          <t>Grupo Icon</t>
        </is>
      </c>
      <c r="V248" s="6" t="inlineStr">
        <is>
          <t>Rps</t>
        </is>
      </c>
      <c r="W248" s="6" t="inlineStr">
        <is>
          <t>Cliente FEE no POS</t>
        </is>
      </c>
      <c r="X248" s="6" t="inlineStr">
        <is>
          <t>Intercity Premium Caxias do Sul</t>
        </is>
      </c>
      <c r="Y248" s="6" t="inlineStr">
        <is>
          <t>-</t>
        </is>
      </c>
      <c r="Z248" s="6" t="inlineStr">
        <is>
          <t>FCM-OPE-SAO-PVI-BTC-PRA/RPS</t>
        </is>
      </c>
      <c r="AA248" s="6" t="inlineStr">
        <is>
          <t>-</t>
        </is>
      </c>
      <c r="AB248" s="6" t="n">
        <v>352</v>
      </c>
      <c r="AC248" s="6" t="n">
        <v>10.56</v>
      </c>
      <c r="AD248" s="6" t="n">
        <v>0</v>
      </c>
      <c r="AE248" s="6" t="n">
        <v>0</v>
      </c>
      <c r="AF248" s="6" t="n">
        <v>0</v>
      </c>
      <c r="AG248" s="6" t="n">
        <v>0</v>
      </c>
      <c r="AH248" s="6" t="n">
        <v>0</v>
      </c>
      <c r="AI248" s="6" t="inlineStr">
        <is>
          <t>Reserva importada do sistema Gover. Id: 4628917</t>
        </is>
      </c>
      <c r="AJ248" s="6" t="inlineStr">
        <is>
          <t>Este cliente não possui permissão para usar este tipo de pagamento e recebimento para este produto.</t>
        </is>
      </c>
      <c r="AK248" s="6" t="inlineStr">
        <is>
          <t>GOVER</t>
        </is>
      </c>
      <c r="AL248" s="6" t="inlineStr">
        <is>
          <t>Pagamento não permitido para cobrança</t>
        </is>
      </c>
      <c r="AM248" s="6" t="inlineStr">
        <is>
          <t>Forma PG. e REC.</t>
        </is>
      </c>
      <c r="AN248" s="6" t="inlineStr">
        <is>
          <t>Dados do Fornecedor</t>
        </is>
      </c>
      <c r="AO248" s="6" t="inlineStr">
        <is>
          <t>Sistêmico</t>
        </is>
      </c>
      <c r="AP248" s="6" t="inlineStr">
        <is>
          <t>GRUPO KONTIK</t>
        </is>
      </c>
      <c r="AQ248" s="6" t="inlineStr">
        <is>
          <t>Suporte Benner</t>
        </is>
      </c>
    </row>
    <row r="249">
      <c r="A249" s="6" t="n">
        <v>23327544</v>
      </c>
      <c r="B249" s="6" t="n">
        <v>24057131</v>
      </c>
      <c r="C249" s="6" t="inlineStr">
        <is>
          <t>ACC01</t>
        </is>
      </c>
      <c r="D249" s="58" t="n">
        <v>45975.82229166666</v>
      </c>
      <c r="E249" s="58" t="n">
        <v>45975.82313657407</v>
      </c>
      <c r="F249" s="6" t="inlineStr">
        <is>
          <t>09 a 15 dias</t>
        </is>
      </c>
      <c r="G249" s="6" t="inlineStr">
        <is>
          <t>09 a 15 dias</t>
        </is>
      </c>
      <c r="H249" s="6" t="inlineStr">
        <is>
          <t>h20857798</t>
        </is>
      </c>
      <c r="I249" s="6" t="inlineStr">
        <is>
          <t>GOVER</t>
        </is>
      </c>
      <c r="J249" s="6" t="inlineStr">
        <is>
          <t>FELIPE FERNANDES DE ABREU</t>
        </is>
      </c>
      <c r="K249" s="6" t="inlineStr">
        <is>
          <t>Emilia Alejandra Pacheco Maraboli</t>
        </is>
      </c>
      <c r="L249" s="6" t="inlineStr">
        <is>
          <t>Emilia Alejandra Pacheco Maraboli</t>
        </is>
      </c>
      <c r="M249" s="58" t="n">
        <v>45975.79166666666</v>
      </c>
      <c r="N249" s="6" t="n">
        <v>4627455</v>
      </c>
      <c r="O249" s="6" t="inlineStr">
        <is>
          <t>-</t>
        </is>
      </c>
      <c r="P249" s="6" t="inlineStr">
        <is>
          <t>OFF LINE</t>
        </is>
      </c>
      <c r="Q249" s="6" t="inlineStr">
        <is>
          <t>Pagamento direto</t>
        </is>
      </c>
      <c r="R249" s="6" t="inlineStr">
        <is>
          <t>Pagamento direto</t>
        </is>
      </c>
      <c r="S249" s="6" t="inlineStr">
        <is>
          <t>Hotel</t>
        </is>
      </c>
      <c r="T249" s="6" t="inlineStr">
        <is>
          <t>N</t>
        </is>
      </c>
      <c r="U249" s="6" t="inlineStr">
        <is>
          <t>Grupo Icon</t>
        </is>
      </c>
      <c r="V249" s="6" t="inlineStr">
        <is>
          <t>Rps</t>
        </is>
      </c>
      <c r="W249" s="6" t="inlineStr">
        <is>
          <t>Cliente FEE no POS</t>
        </is>
      </c>
      <c r="X249" s="6" t="inlineStr">
        <is>
          <t>Victory Business Hotel</t>
        </is>
      </c>
      <c r="Y249" s="6" t="inlineStr">
        <is>
          <t>-</t>
        </is>
      </c>
      <c r="Z249" s="6" t="inlineStr">
        <is>
          <t>FCM-OPE-SAO-PVI-BTC-PRA/RPS</t>
        </is>
      </c>
      <c r="AA249" s="6" t="inlineStr">
        <is>
          <t>-</t>
        </is>
      </c>
      <c r="AB249" s="6" t="n">
        <v>278</v>
      </c>
      <c r="AC249" s="6" t="n">
        <v>0</v>
      </c>
      <c r="AD249" s="6" t="n">
        <v>0</v>
      </c>
      <c r="AE249" s="6" t="n">
        <v>0</v>
      </c>
      <c r="AF249" s="6" t="n">
        <v>0</v>
      </c>
      <c r="AG249" s="6" t="n">
        <v>0</v>
      </c>
      <c r="AH249" s="6" t="n">
        <v>0</v>
      </c>
      <c r="AI249" s="6" t="inlineStr">
        <is>
          <t>Reserva importada do sistema Gover. Id: 4627455</t>
        </is>
      </c>
      <c r="AJ249" s="6" t="inlineStr">
        <is>
          <t>Este cliente não possui permissão para usar este tipo de pagamento e recebimento para este produto.</t>
        </is>
      </c>
      <c r="AK249" s="6" t="inlineStr">
        <is>
          <t>GOVER</t>
        </is>
      </c>
      <c r="AL249" s="6" t="inlineStr">
        <is>
          <t>Pagamento não permitido para cobrança</t>
        </is>
      </c>
      <c r="AM249" s="6" t="inlineStr">
        <is>
          <t>Forma PG. e REC.</t>
        </is>
      </c>
      <c r="AN249" s="6" t="inlineStr">
        <is>
          <t>Dados do Fornecedor</t>
        </is>
      </c>
      <c r="AO249" s="6" t="inlineStr">
        <is>
          <t>Sistêmico</t>
        </is>
      </c>
      <c r="AP249" s="6" t="inlineStr">
        <is>
          <t>GRUPO KONTIK</t>
        </is>
      </c>
      <c r="AQ249" s="6" t="inlineStr">
        <is>
          <t>Suporte Benner</t>
        </is>
      </c>
    </row>
    <row r="250">
      <c r="A250" s="6" t="n">
        <v>23349523</v>
      </c>
      <c r="B250" s="6" t="n">
        <v>24076958</v>
      </c>
      <c r="C250" s="6" t="inlineStr">
        <is>
          <t>ACC01</t>
        </is>
      </c>
      <c r="D250" s="58" t="n">
        <v>45979.76001157407</v>
      </c>
      <c r="E250" s="58" t="n">
        <v>45982.45319444445</v>
      </c>
      <c r="F250" s="6" t="inlineStr">
        <is>
          <t>03 a 05 dias</t>
        </is>
      </c>
      <c r="G250" s="6" t="inlineStr">
        <is>
          <t>06 a 08 dias</t>
        </is>
      </c>
      <c r="H250" s="6" t="inlineStr">
        <is>
          <t>WIVMWI</t>
        </is>
      </c>
      <c r="I250" s="6" t="inlineStr">
        <is>
          <t>GOVER</t>
        </is>
      </c>
      <c r="J250" s="6" t="inlineStr">
        <is>
          <t>GLAUCE NUNES DA SILVA</t>
        </is>
      </c>
      <c r="K250" s="6" t="inlineStr">
        <is>
          <t>Emilia Alejandra Pacheco Maraboli</t>
        </is>
      </c>
      <c r="L250" s="6" t="inlineStr">
        <is>
          <t>Emilia Alejandra Pacheco Maraboli</t>
        </is>
      </c>
      <c r="M250" s="58" t="n">
        <v>45979.75</v>
      </c>
      <c r="N250" s="6" t="n">
        <v>4628632</v>
      </c>
      <c r="O250" s="6" t="inlineStr">
        <is>
          <t>-</t>
        </is>
      </c>
      <c r="P250" s="6" t="inlineStr">
        <is>
          <t>OFF LINE</t>
        </is>
      </c>
      <c r="Q250" s="6" t="inlineStr">
        <is>
          <t>Cartão de crédito</t>
        </is>
      </c>
      <c r="R250" s="6" t="inlineStr">
        <is>
          <t>Cartão AMEX</t>
        </is>
      </c>
      <c r="S250" s="6" t="inlineStr">
        <is>
          <t>Aéreo</t>
        </is>
      </c>
      <c r="T250" s="6" t="inlineStr">
        <is>
          <t>N</t>
        </is>
      </c>
      <c r="U250" s="6" t="inlineStr">
        <is>
          <t>Grupo Icon</t>
        </is>
      </c>
      <c r="V250" s="6" t="inlineStr">
        <is>
          <t>Rps</t>
        </is>
      </c>
      <c r="W250" s="6" t="inlineStr">
        <is>
          <t>Cliente FEE no POS</t>
        </is>
      </c>
      <c r="X250" s="6" t="inlineStr">
        <is>
          <t>Klm</t>
        </is>
      </c>
      <c r="Y250" s="6" t="n">
        <v>5580598047</v>
      </c>
      <c r="Z250" s="6" t="inlineStr">
        <is>
          <t>FCM-OPE-SAO-PVI-BTC-PRA/RPS</t>
        </is>
      </c>
      <c r="AA250" s="6" t="inlineStr">
        <is>
          <t>-</t>
        </is>
      </c>
      <c r="AB250" s="6" t="n">
        <v>20802.4</v>
      </c>
      <c r="AC250" s="6" t="n">
        <v>1451.75</v>
      </c>
      <c r="AD250" s="6" t="n">
        <v>0</v>
      </c>
      <c r="AE250" s="6" t="n">
        <v>0</v>
      </c>
      <c r="AF250" s="6" t="n">
        <v>0</v>
      </c>
      <c r="AG250" s="6" t="n">
        <v>0</v>
      </c>
      <c r="AH250" s="6" t="n">
        <v>120</v>
      </c>
      <c r="AI250" s="6" t="inlineStr">
        <is>
          <t>Reserva importada do sistema Gover. Id: 4628632</t>
        </is>
      </c>
      <c r="AJ250" s="6" t="inlineStr">
        <is>
          <t>9784183/6274853" possui uma transação de cartão efetivada</t>
        </is>
      </c>
      <c r="AK250" s="6" t="inlineStr">
        <is>
          <t>GOVER</t>
        </is>
      </c>
      <c r="AL250" s="6" t="inlineStr">
        <is>
          <t>Conciliação de Cartão</t>
        </is>
      </c>
      <c r="AM250" s="6" t="inlineStr">
        <is>
          <t>Financeiro Conciliado</t>
        </is>
      </c>
      <c r="AN250" s="6" t="inlineStr">
        <is>
          <t>Edição não Permitida</t>
        </is>
      </c>
      <c r="AO250" s="6" t="inlineStr">
        <is>
          <t>Processo Operacional</t>
        </is>
      </c>
      <c r="AP250" s="6" t="inlineStr">
        <is>
          <t>KONTIK BUSINESS TRAVEL</t>
        </is>
      </c>
      <c r="AQ250" s="6" t="inlineStr">
        <is>
          <t>Operações - FCM</t>
        </is>
      </c>
    </row>
    <row r="251">
      <c r="A251" s="6" t="n">
        <v>23342567</v>
      </c>
      <c r="B251" s="6" t="n">
        <v>24070309</v>
      </c>
      <c r="C251" s="6" t="inlineStr">
        <is>
          <t>ACC01</t>
        </is>
      </c>
      <c r="D251" s="58" t="n">
        <v>45978.82263888889</v>
      </c>
      <c r="E251" s="58" t="n">
        <v>45982.4531712963</v>
      </c>
      <c r="F251" s="6" t="inlineStr">
        <is>
          <t>03 a 05 dias</t>
        </is>
      </c>
      <c r="G251" s="6" t="inlineStr">
        <is>
          <t>06 a 08 dias</t>
        </is>
      </c>
      <c r="H251" s="6" t="inlineStr">
        <is>
          <t>FVHHQZ</t>
        </is>
      </c>
      <c r="I251" s="6" t="inlineStr">
        <is>
          <t>GOVER</t>
        </is>
      </c>
      <c r="J251" s="6" t="inlineStr">
        <is>
          <t>ROBERTA LEONE MASIERO</t>
        </is>
      </c>
      <c r="K251" s="6" t="inlineStr">
        <is>
          <t>Emilia Alejandra Pacheco Maraboli</t>
        </is>
      </c>
      <c r="L251" s="6" t="inlineStr">
        <is>
          <t>Emilia Alejandra Pacheco Maraboli</t>
        </is>
      </c>
      <c r="M251" s="58" t="n">
        <v>45978.75</v>
      </c>
      <c r="N251" s="6" t="n">
        <v>4628854</v>
      </c>
      <c r="O251" s="6" t="inlineStr">
        <is>
          <t>-</t>
        </is>
      </c>
      <c r="P251" s="6" t="inlineStr">
        <is>
          <t>OFF LINE</t>
        </is>
      </c>
      <c r="Q251" s="6" t="inlineStr">
        <is>
          <t>Cartão de crédito</t>
        </is>
      </c>
      <c r="R251" s="6" t="inlineStr">
        <is>
          <t>Cartão AMEX</t>
        </is>
      </c>
      <c r="S251" s="6" t="inlineStr">
        <is>
          <t>Aéreo</t>
        </is>
      </c>
      <c r="T251" s="6" t="inlineStr">
        <is>
          <t>N</t>
        </is>
      </c>
      <c r="U251" s="6" t="inlineStr">
        <is>
          <t>Grupo Icon</t>
        </is>
      </c>
      <c r="V251" s="6" t="inlineStr">
        <is>
          <t>Rps</t>
        </is>
      </c>
      <c r="W251" s="6" t="inlineStr">
        <is>
          <t>Cliente FEE no POS</t>
        </is>
      </c>
      <c r="X251" s="6" t="inlineStr">
        <is>
          <t>Alitalia</t>
        </is>
      </c>
      <c r="Y251" s="6" t="n">
        <v>5580598030</v>
      </c>
      <c r="Z251" s="6" t="inlineStr">
        <is>
          <t>FCM-OPE-SAO-PVI-BTC-PRA/RPS</t>
        </is>
      </c>
      <c r="AA251" s="6" t="inlineStr">
        <is>
          <t>-</t>
        </is>
      </c>
      <c r="AB251" s="6" t="n">
        <v>22795.83</v>
      </c>
      <c r="AC251" s="6" t="n">
        <v>426.23</v>
      </c>
      <c r="AD251" s="6" t="n">
        <v>0</v>
      </c>
      <c r="AE251" s="6" t="n">
        <v>0</v>
      </c>
      <c r="AF251" s="6" t="n">
        <v>0</v>
      </c>
      <c r="AG251" s="6" t="n">
        <v>0</v>
      </c>
      <c r="AH251" s="6" t="n">
        <v>120</v>
      </c>
      <c r="AI251" s="6" t="inlineStr">
        <is>
          <t>Reserva importada do sistema Gover. Id: 4628854</t>
        </is>
      </c>
      <c r="AJ251" s="6" t="inlineStr">
        <is>
          <t>9772229/6270920" possui uma transação de cartão efetivada</t>
        </is>
      </c>
      <c r="AK251" s="6" t="inlineStr">
        <is>
          <t>GOVER</t>
        </is>
      </c>
      <c r="AL251" s="6" t="inlineStr">
        <is>
          <t>Conciliação de Cartão</t>
        </is>
      </c>
      <c r="AM251" s="6" t="inlineStr">
        <is>
          <t>Financeiro Conciliado</t>
        </is>
      </c>
      <c r="AN251" s="6" t="inlineStr">
        <is>
          <t>Edição não Permitida</t>
        </is>
      </c>
      <c r="AO251" s="6" t="inlineStr">
        <is>
          <t>Processo Operacional</t>
        </is>
      </c>
      <c r="AP251" s="6" t="inlineStr">
        <is>
          <t>KONTIK BUSINESS TRAVEL</t>
        </is>
      </c>
      <c r="AQ251" s="6" t="inlineStr">
        <is>
          <t>Operações - FCM</t>
        </is>
      </c>
    </row>
    <row r="252">
      <c r="A252" s="6" t="n">
        <v>23129710</v>
      </c>
      <c r="B252" s="6" t="n">
        <v>23876685</v>
      </c>
      <c r="C252" s="6" t="inlineStr">
        <is>
          <t>ACC01</t>
        </is>
      </c>
      <c r="D252" s="58" t="n">
        <v>45947.00335648148</v>
      </c>
      <c r="E252" s="58" t="n">
        <v>45972.32652777778</v>
      </c>
      <c r="F252" s="6" t="inlineStr">
        <is>
          <t>09 a 15 dias</t>
        </is>
      </c>
      <c r="G252" s="6" t="inlineStr">
        <is>
          <t>31 dias ou +</t>
        </is>
      </c>
      <c r="H252" s="6" t="inlineStr">
        <is>
          <t>AZNZNL</t>
        </is>
      </c>
      <c r="I252" s="6" t="inlineStr">
        <is>
          <t>GOVER</t>
        </is>
      </c>
      <c r="J252" s="6" t="inlineStr">
        <is>
          <t>FERNANDA MULLER</t>
        </is>
      </c>
      <c r="K252" s="6" t="inlineStr">
        <is>
          <t>Gover</t>
        </is>
      </c>
      <c r="L252" s="6" t="inlineStr">
        <is>
          <t>Gover</t>
        </is>
      </c>
      <c r="M252" s="58" t="n">
        <v>45946.47291666667</v>
      </c>
      <c r="N252" s="6" t="n">
        <v>4614441</v>
      </c>
      <c r="O252" s="6" t="inlineStr">
        <is>
          <t>-</t>
        </is>
      </c>
      <c r="P252" s="6" t="inlineStr">
        <is>
          <t>ON LINE</t>
        </is>
      </c>
      <c r="Q252" s="6" t="inlineStr">
        <is>
          <t>Invoice</t>
        </is>
      </c>
      <c r="R252" s="6" t="inlineStr">
        <is>
          <t>Cartão convênio</t>
        </is>
      </c>
      <c r="S252" s="6" t="inlineStr">
        <is>
          <t>Aéreo</t>
        </is>
      </c>
      <c r="T252" s="6" t="inlineStr">
        <is>
          <t>N</t>
        </is>
      </c>
      <c r="U252" s="6" t="inlineStr">
        <is>
          <t>Grupo Jti</t>
        </is>
      </c>
      <c r="V252" s="6" t="inlineStr">
        <is>
          <t>Jti Processadora</t>
        </is>
      </c>
      <c r="W252" s="6" t="inlineStr">
        <is>
          <t>-</t>
        </is>
      </c>
      <c r="X252" s="6" t="inlineStr">
        <is>
          <t>Latam Airlines Brasil</t>
        </is>
      </c>
      <c r="Y252" s="6" t="n">
        <v>2255203366</v>
      </c>
      <c r="Z252" s="6" t="inlineStr">
        <is>
          <t>FCM-OPE-SAO-PVI-JTI</t>
        </is>
      </c>
      <c r="AA252" s="6" t="inlineStr">
        <is>
          <t>-</t>
        </is>
      </c>
      <c r="AB252" s="6" t="n">
        <v>1162.6335</v>
      </c>
      <c r="AC252" s="6" t="n">
        <v>106.18</v>
      </c>
      <c r="AD252" s="6" t="n">
        <v>0</v>
      </c>
      <c r="AE252" s="6" t="n">
        <v>0</v>
      </c>
      <c r="AF252" s="6" t="n">
        <v>0</v>
      </c>
      <c r="AG252" s="6" t="n">
        <v>0</v>
      </c>
      <c r="AH252" s="6" t="n">
        <v>0</v>
      </c>
      <c r="AI252" s="6" t="inlineStr">
        <is>
          <t>Reserva importada do sistema Gover. Id: 4614441</t>
        </is>
      </c>
      <c r="AJ252" s="6" t="inlineStr">
        <is>
          <t xml:space="preserve">Erro excluindo PNR: Não é possivel excluir a accounting de código: 25219663. A mesma está ligada a conciliação de cartão "ANTECIPAÇÃO REDE </t>
        </is>
      </c>
      <c r="AK252" s="6" t="inlineStr">
        <is>
          <t>GOVER</t>
        </is>
      </c>
      <c r="AL252" s="6" t="inlineStr">
        <is>
          <t>Conciliação de Cartão</t>
        </is>
      </c>
      <c r="AM252" s="6" t="inlineStr">
        <is>
          <t>Financeiro Conciliado</t>
        </is>
      </c>
      <c r="AN252" s="6" t="inlineStr">
        <is>
          <t>Edição não Permitida</t>
        </is>
      </c>
      <c r="AO252" s="6" t="inlineStr">
        <is>
          <t>Processo Operacional</t>
        </is>
      </c>
      <c r="AP252" s="6" t="inlineStr">
        <is>
          <t>GRUPO KONTIK</t>
        </is>
      </c>
      <c r="AQ252" s="6" t="inlineStr">
        <is>
          <t>Central de Emissão</t>
        </is>
      </c>
    </row>
    <row r="253">
      <c r="A253" s="6" t="n">
        <v>23325179</v>
      </c>
      <c r="B253" s="6" t="n">
        <v>24054649</v>
      </c>
      <c r="C253" s="6" t="inlineStr">
        <is>
          <t>ACC01</t>
        </is>
      </c>
      <c r="D253" s="58" t="n">
        <v>45975.59583333333</v>
      </c>
      <c r="E253" s="58" t="n">
        <v>45975.59763888889</v>
      </c>
      <c r="F253" s="6" t="inlineStr">
        <is>
          <t>09 a 15 dias</t>
        </is>
      </c>
      <c r="G253" s="6" t="inlineStr">
        <is>
          <t>09 a 15 dias</t>
        </is>
      </c>
      <c r="H253" s="6" t="inlineStr">
        <is>
          <t>EIIRXI</t>
        </is>
      </c>
      <c r="I253" s="6" t="inlineStr">
        <is>
          <t>GOVER</t>
        </is>
      </c>
      <c r="J253" s="6" t="inlineStr">
        <is>
          <t>ROBERTA HOFFMANN  MACHADO</t>
        </is>
      </c>
      <c r="K253" s="6" t="inlineStr">
        <is>
          <t>Gover</t>
        </is>
      </c>
      <c r="L253" s="6" t="inlineStr">
        <is>
          <t>Gover</t>
        </is>
      </c>
      <c r="M253" s="58" t="n">
        <v>45973.73611111111</v>
      </c>
      <c r="N253" s="6" t="n">
        <v>4627488</v>
      </c>
      <c r="O253" s="6" t="inlineStr">
        <is>
          <t>-</t>
        </is>
      </c>
      <c r="P253" s="6" t="inlineStr">
        <is>
          <t>OFF LINE</t>
        </is>
      </c>
      <c r="Q253" s="6" t="inlineStr">
        <is>
          <t>Invoice</t>
        </is>
      </c>
      <c r="R253" s="6" t="inlineStr">
        <is>
          <t>Faturado</t>
        </is>
      </c>
      <c r="S253" s="6" t="inlineStr">
        <is>
          <t>Hotel</t>
        </is>
      </c>
      <c r="T253" s="6" t="inlineStr">
        <is>
          <t>N</t>
        </is>
      </c>
      <c r="U253" s="6" t="inlineStr">
        <is>
          <t>Grupo Jti</t>
        </is>
      </c>
      <c r="V253" s="6" t="inlineStr">
        <is>
          <t>Jti Processadora</t>
        </is>
      </c>
      <c r="W253" s="6" t="inlineStr">
        <is>
          <t>-</t>
        </is>
      </c>
      <c r="X253" s="6" t="inlineStr">
        <is>
          <t>-</t>
        </is>
      </c>
      <c r="Y253" s="6" t="inlineStr">
        <is>
          <t>-</t>
        </is>
      </c>
      <c r="Z253" s="6" t="inlineStr">
        <is>
          <t>FCM-OPE-SAO-PVI-JTI</t>
        </is>
      </c>
      <c r="AA253" s="6" t="inlineStr">
        <is>
          <t>-</t>
        </is>
      </c>
      <c r="AB253" s="6" t="n">
        <v>2814.65</v>
      </c>
      <c r="AC253" s="6" t="n">
        <v>40.2</v>
      </c>
      <c r="AD253" s="6" t="n">
        <v>0</v>
      </c>
      <c r="AE253" s="6" t="n">
        <v>0</v>
      </c>
      <c r="AF253" s="6" t="n">
        <v>0</v>
      </c>
      <c r="AG253" s="6" t="n">
        <v>0</v>
      </c>
      <c r="AH253" s="6" t="n">
        <v>0</v>
      </c>
      <c r="AI253" s="6" t="inlineStr">
        <is>
          <t>Reserva importada do sistema Gover. Id: 4627488</t>
        </is>
      </c>
      <c r="AJ253" s="6" t="inlineStr">
        <is>
          <t>Fornecedor não preenchido! (ACC01)</t>
        </is>
      </c>
      <c r="AK253" s="6" t="inlineStr">
        <is>
          <t>GOVER</t>
        </is>
      </c>
      <c r="AL253" s="6" t="inlineStr">
        <is>
          <t>Falta de Fornecedor</t>
        </is>
      </c>
      <c r="AM253" s="6" t="inlineStr">
        <is>
          <t>Campo Fornecedor</t>
        </is>
      </c>
      <c r="AN253" s="6" t="inlineStr">
        <is>
          <t>Dados do Fornecedor</t>
        </is>
      </c>
      <c r="AO253" s="6" t="inlineStr">
        <is>
          <t>Sistêmico</t>
        </is>
      </c>
      <c r="AP253" s="6" t="inlineStr">
        <is>
          <t>GRUPO KONTIK</t>
        </is>
      </c>
      <c r="AQ253" s="6" t="inlineStr">
        <is>
          <t>Suporte Benner</t>
        </is>
      </c>
    </row>
    <row r="254">
      <c r="A254" s="6" t="n">
        <v>23137381</v>
      </c>
      <c r="B254" s="6" t="n">
        <v>23884043</v>
      </c>
      <c r="C254" s="6" t="inlineStr">
        <is>
          <t>ACC01</t>
        </is>
      </c>
      <c r="D254" s="58" t="n">
        <v>45948.00481481481</v>
      </c>
      <c r="E254" s="58" t="n">
        <v>45972.32714120371</v>
      </c>
      <c r="F254" s="6" t="inlineStr">
        <is>
          <t>09 a 15 dias</t>
        </is>
      </c>
      <c r="G254" s="6" t="inlineStr">
        <is>
          <t>31 dias ou +</t>
        </is>
      </c>
      <c r="H254" s="6" t="inlineStr">
        <is>
          <t>CKNKQJ</t>
        </is>
      </c>
      <c r="I254" s="6" t="inlineStr">
        <is>
          <t>GOVER</t>
        </is>
      </c>
      <c r="J254" s="6" t="inlineStr">
        <is>
          <t>GABRIELA RATEIRO SILVA</t>
        </is>
      </c>
      <c r="K254" s="6" t="inlineStr">
        <is>
          <t>Gover</t>
        </is>
      </c>
      <c r="L254" s="6" t="inlineStr">
        <is>
          <t>Gover</t>
        </is>
      </c>
      <c r="M254" s="58" t="n">
        <v>45947.73263888889</v>
      </c>
      <c r="N254" s="6" t="n">
        <v>4615410</v>
      </c>
      <c r="O254" s="6" t="inlineStr">
        <is>
          <t>-</t>
        </is>
      </c>
      <c r="P254" s="6" t="inlineStr">
        <is>
          <t>ON LINE</t>
        </is>
      </c>
      <c r="Q254" s="6" t="inlineStr">
        <is>
          <t>Invoice</t>
        </is>
      </c>
      <c r="R254" s="6" t="inlineStr">
        <is>
          <t>Cartão convênio</t>
        </is>
      </c>
      <c r="S254" s="6" t="inlineStr">
        <is>
          <t>Aéreo</t>
        </is>
      </c>
      <c r="T254" s="6" t="inlineStr">
        <is>
          <t>N</t>
        </is>
      </c>
      <c r="U254" s="6" t="inlineStr">
        <is>
          <t>Grupo Jti</t>
        </is>
      </c>
      <c r="V254" s="6" t="inlineStr">
        <is>
          <t>Jti Distribuidora - Sao Paulo - Vila Nova Conceicao</t>
        </is>
      </c>
      <c r="W254" s="6" t="inlineStr">
        <is>
          <t>-</t>
        </is>
      </c>
      <c r="X254" s="6" t="inlineStr">
        <is>
          <t>Latam Airlines Brasil</t>
        </is>
      </c>
      <c r="Y254" s="6" t="n">
        <v>2255444926</v>
      </c>
      <c r="Z254" s="6" t="inlineStr">
        <is>
          <t>FCM-OPE-SAO-PVI-JTI</t>
        </is>
      </c>
      <c r="AA254" s="6" t="inlineStr">
        <is>
          <t>-</t>
        </is>
      </c>
      <c r="AB254" s="6" t="n">
        <v>572.481</v>
      </c>
      <c r="AC254" s="6" t="n">
        <v>107.34</v>
      </c>
      <c r="AD254" s="6" t="n">
        <v>0</v>
      </c>
      <c r="AE254" s="6" t="n">
        <v>0</v>
      </c>
      <c r="AF254" s="6" t="n">
        <v>0</v>
      </c>
      <c r="AG254" s="6" t="n">
        <v>0</v>
      </c>
      <c r="AH254" s="6" t="n">
        <v>0</v>
      </c>
      <c r="AI254" s="6" t="inlineStr">
        <is>
          <t>Reserva importada do sistema Gover. Id: 4615410</t>
        </is>
      </c>
      <c r="AJ254" s="6" t="inlineStr">
        <is>
          <t xml:space="preserve">Erro excluindo PNR: Não é possivel excluir a accounting de código: 25226621. A mesma está ligada a conciliação de cartão "ANTECIPAÇÃO REDE </t>
        </is>
      </c>
      <c r="AK254" s="6" t="inlineStr">
        <is>
          <t>GOVER</t>
        </is>
      </c>
      <c r="AL254" s="6" t="inlineStr">
        <is>
          <t>Conciliação de Cartão</t>
        </is>
      </c>
      <c r="AM254" s="6" t="inlineStr">
        <is>
          <t>Financeiro Conciliado</t>
        </is>
      </c>
      <c r="AN254" s="6" t="inlineStr">
        <is>
          <t>Edição não Permitida</t>
        </is>
      </c>
      <c r="AO254" s="6" t="inlineStr">
        <is>
          <t>Processo Operacional</t>
        </is>
      </c>
      <c r="AP254" s="6" t="inlineStr">
        <is>
          <t>GRUPO KONTIK</t>
        </is>
      </c>
      <c r="AQ254" s="6" t="inlineStr">
        <is>
          <t>Central de Emissão</t>
        </is>
      </c>
    </row>
    <row r="255">
      <c r="A255" s="6" t="n">
        <v>23211031</v>
      </c>
      <c r="B255" s="6" t="n">
        <v>23946943</v>
      </c>
      <c r="C255" s="6" t="inlineStr">
        <is>
          <t>ACC01</t>
        </is>
      </c>
      <c r="D255" s="58" t="n">
        <v>45958.68488425926</v>
      </c>
      <c r="E255" s="58" t="n">
        <v>45959.93982638889</v>
      </c>
      <c r="F255" s="59" t="inlineStr">
        <is>
          <t>24 a 31 dias</t>
        </is>
      </c>
      <c r="G255" s="59" t="inlineStr">
        <is>
          <t>24 a 31 dias</t>
        </is>
      </c>
      <c r="H255" s="6" t="n">
        <v>20602202</v>
      </c>
      <c r="I255" s="6" t="inlineStr">
        <is>
          <t>GOVER</t>
        </is>
      </c>
      <c r="J255" s="6" t="inlineStr">
        <is>
          <t>Helbert da Silva Oliveira</t>
        </is>
      </c>
      <c r="K255" s="6" t="inlineStr">
        <is>
          <t>Gover</t>
        </is>
      </c>
      <c r="L255" s="6" t="inlineStr">
        <is>
          <t>Gover</t>
        </is>
      </c>
      <c r="M255" s="58" t="n">
        <v>45958.48402777778</v>
      </c>
      <c r="N255" s="6" t="n">
        <v>4619936</v>
      </c>
      <c r="O255" s="6" t="inlineStr">
        <is>
          <t>-</t>
        </is>
      </c>
      <c r="P255" s="6" t="inlineStr">
        <is>
          <t>OFF LINE</t>
        </is>
      </c>
      <c r="Q255" s="6" t="inlineStr">
        <is>
          <t>Invoice</t>
        </is>
      </c>
      <c r="R255" s="6" t="inlineStr">
        <is>
          <t>Faturado</t>
        </is>
      </c>
      <c r="S255" s="6" t="inlineStr">
        <is>
          <t>Hotel</t>
        </is>
      </c>
      <c r="T255" s="6" t="inlineStr">
        <is>
          <t>N</t>
        </is>
      </c>
      <c r="U255" s="6" t="inlineStr">
        <is>
          <t>Grupo Samsung</t>
        </is>
      </c>
      <c r="V255" s="6" t="inlineStr">
        <is>
          <t>Samsung Eletronica da Amazonia</t>
        </is>
      </c>
      <c r="W255" s="6" t="inlineStr">
        <is>
          <t>-</t>
        </is>
      </c>
      <c r="X255" s="6" t="inlineStr">
        <is>
          <t>-</t>
        </is>
      </c>
      <c r="Y255" s="6" t="inlineStr">
        <is>
          <t>-</t>
        </is>
      </c>
      <c r="Z255" s="6" t="inlineStr">
        <is>
          <t>KON-OPE-SAO-PVI-SAMSUNG</t>
        </is>
      </c>
      <c r="AA255" s="6" t="inlineStr">
        <is>
          <t>-</t>
        </is>
      </c>
      <c r="AB255" s="6" t="n">
        <v>1055</v>
      </c>
      <c r="AC255" s="6" t="n">
        <v>206.5</v>
      </c>
      <c r="AD255" s="6" t="n">
        <v>0</v>
      </c>
      <c r="AE255" s="6" t="n">
        <v>0</v>
      </c>
      <c r="AF255" s="6" t="n">
        <v>0</v>
      </c>
      <c r="AG255" s="6" t="n">
        <v>0</v>
      </c>
      <c r="AH255" s="6" t="n">
        <v>0</v>
      </c>
      <c r="AI255" s="6" t="inlineStr">
        <is>
          <t>Reserva importada do sistema Gover. Id: 4619936</t>
        </is>
      </c>
      <c r="AJ255" s="6" t="inlineStr">
        <is>
          <t>Fornecedor não preenchido! (ACC01)</t>
        </is>
      </c>
      <c r="AK255" s="6" t="inlineStr">
        <is>
          <t>GOVER</t>
        </is>
      </c>
      <c r="AL255" s="6" t="inlineStr">
        <is>
          <t>Falta de Fornecedor</t>
        </is>
      </c>
      <c r="AM255" s="6" t="inlineStr">
        <is>
          <t>Campo Fornecedor</t>
        </is>
      </c>
      <c r="AN255" s="6" t="inlineStr">
        <is>
          <t>Dados do Fornecedor</t>
        </is>
      </c>
      <c r="AO255" s="6" t="inlineStr">
        <is>
          <t>Sistêmico</t>
        </is>
      </c>
      <c r="AP255" s="6" t="inlineStr">
        <is>
          <t>GRUPO KONTIK</t>
        </is>
      </c>
      <c r="AQ255" s="6" t="inlineStr">
        <is>
          <t>Suporte Benner</t>
        </is>
      </c>
    </row>
    <row r="256">
      <c r="A256" s="6" t="n">
        <v>23347222</v>
      </c>
      <c r="B256" s="6" t="n">
        <v>24074585</v>
      </c>
      <c r="C256" s="6" t="inlineStr">
        <is>
          <t>ACC01</t>
        </is>
      </c>
      <c r="D256" s="58" t="n">
        <v>45979.55702546296</v>
      </c>
      <c r="E256" s="58" t="n">
        <v>45979.55915509259</v>
      </c>
      <c r="F256" s="6" t="inlineStr">
        <is>
          <t>06 a 08 dias</t>
        </is>
      </c>
      <c r="G256" s="6" t="inlineStr">
        <is>
          <t>06 a 08 dias</t>
        </is>
      </c>
      <c r="H256" s="6" t="inlineStr">
        <is>
          <t>DFXBRLT</t>
        </is>
      </c>
      <c r="I256" s="6" t="inlineStr">
        <is>
          <t>SABRE</t>
        </is>
      </c>
      <c r="J256" s="6" t="inlineStr">
        <is>
          <t>KIRCHNER/CASSIO LUIZ MR</t>
        </is>
      </c>
      <c r="K256" s="6" t="inlineStr">
        <is>
          <t>Marcelo de Freitas</t>
        </is>
      </c>
      <c r="L256" s="6" t="inlineStr">
        <is>
          <t>Marcelo de Freitas</t>
        </is>
      </c>
      <c r="M256" s="58" t="n">
        <v>45978.35625</v>
      </c>
      <c r="N256" s="6" t="inlineStr">
        <is>
          <t>BA1811251224</t>
        </is>
      </c>
      <c r="O256" s="6" t="inlineStr">
        <is>
          <t>-</t>
        </is>
      </c>
      <c r="P256" s="6" t="inlineStr">
        <is>
          <t>OFF LINE</t>
        </is>
      </c>
      <c r="Q256" s="6" t="inlineStr">
        <is>
          <t>Pagamento direto</t>
        </is>
      </c>
      <c r="R256" s="6" t="inlineStr">
        <is>
          <t>Pagamento direto</t>
        </is>
      </c>
      <c r="S256" s="6" t="inlineStr">
        <is>
          <t>Hotel</t>
        </is>
      </c>
      <c r="T256" s="6" t="inlineStr">
        <is>
          <t>N</t>
        </is>
      </c>
      <c r="U256" s="6" t="inlineStr">
        <is>
          <t>Grupo Basf</t>
        </is>
      </c>
      <c r="V256" s="6" t="inlineStr">
        <is>
          <t>Basf Sa</t>
        </is>
      </c>
      <c r="W256" s="6" t="inlineStr">
        <is>
          <t>-</t>
        </is>
      </c>
      <c r="X256" s="6" t="inlineStr">
        <is>
          <t>-</t>
        </is>
      </c>
      <c r="Y256" s="6" t="inlineStr">
        <is>
          <t>-</t>
        </is>
      </c>
      <c r="Z256" s="6" t="inlineStr">
        <is>
          <t>FCM-OPE-SAO-PVI-BASF</t>
        </is>
      </c>
      <c r="AA256" s="6" t="inlineStr">
        <is>
          <t>-</t>
        </is>
      </c>
      <c r="AB256" s="6" t="n">
        <v>2318</v>
      </c>
      <c r="AC256" s="6" t="n">
        <v>120.99</v>
      </c>
      <c r="AD256" s="6" t="n">
        <v>0</v>
      </c>
      <c r="AE256" s="6" t="n">
        <v>0</v>
      </c>
      <c r="AF256" s="6" t="n">
        <v>0</v>
      </c>
      <c r="AG256" s="6" t="n">
        <v>0</v>
      </c>
      <c r="AH256" s="6" t="n">
        <v>0</v>
      </c>
      <c r="AI256" s="6" t="inlineStr">
        <is>
          <t>Reserva importada por HubTravel</t>
        </is>
      </c>
      <c r="AJ256" s="6" t="inlineStr">
        <is>
          <t>Fornecedor não preenchido! (ACC01)</t>
        </is>
      </c>
      <c r="AK256" s="6" t="inlineStr">
        <is>
          <t>SABRE</t>
        </is>
      </c>
      <c r="AL256" s="6" t="inlineStr">
        <is>
          <t>Falta de Fornecedor</t>
        </is>
      </c>
      <c r="AM256" s="6" t="inlineStr">
        <is>
          <t>Campo Fornecedor</t>
        </is>
      </c>
      <c r="AN256" s="6" t="inlineStr">
        <is>
          <t>Dados do Fornecedor</t>
        </is>
      </c>
      <c r="AO256" s="6" t="inlineStr">
        <is>
          <t>Qualidade dos dados</t>
        </is>
      </c>
      <c r="AP256" s="6" t="inlineStr">
        <is>
          <t>KONTIK BUSINESS TRAVEL</t>
        </is>
      </c>
      <c r="AQ256" s="6" t="inlineStr">
        <is>
          <t>Suporte KCS</t>
        </is>
      </c>
    </row>
    <row r="257">
      <c r="A257" s="6" t="n">
        <v>23340442</v>
      </c>
      <c r="B257" s="6" t="n">
        <v>24068208</v>
      </c>
      <c r="C257" s="6" t="inlineStr">
        <is>
          <t>ACC01</t>
        </is>
      </c>
      <c r="D257" s="58" t="n">
        <v>45978.61194444444</v>
      </c>
      <c r="E257" s="58" t="n">
        <v>45985.44186342593</v>
      </c>
      <c r="F257" s="6" t="inlineStr">
        <is>
          <t>0 a 02 dias</t>
        </is>
      </c>
      <c r="G257" s="6" t="inlineStr">
        <is>
          <t>06 a 08 dias</t>
        </is>
      </c>
      <c r="H257" s="6" t="inlineStr">
        <is>
          <t>ASTJHKT</t>
        </is>
      </c>
      <c r="I257" s="6" t="inlineStr">
        <is>
          <t>SABRE</t>
        </is>
      </c>
      <c r="J257" s="6" t="inlineStr">
        <is>
          <t>BARBERY ARGUELHO/FERNANDO</t>
        </is>
      </c>
      <c r="K257" s="6" t="inlineStr">
        <is>
          <t>Fabiola Lima de Oliveira</t>
        </is>
      </c>
      <c r="L257" s="6" t="inlineStr">
        <is>
          <t>Fabiola Lima de Oliveira</t>
        </is>
      </c>
      <c r="M257" s="58" t="n">
        <v>45978.475</v>
      </c>
      <c r="N257" s="6" t="inlineStr">
        <is>
          <t>ASTJHK</t>
        </is>
      </c>
      <c r="O257" s="6" t="inlineStr">
        <is>
          <t>-</t>
        </is>
      </c>
      <c r="P257" s="6" t="inlineStr">
        <is>
          <t>OFF LINE</t>
        </is>
      </c>
      <c r="Q257" s="6" t="inlineStr">
        <is>
          <t>Invoice</t>
        </is>
      </c>
      <c r="R257" s="6" t="inlineStr">
        <is>
          <t>Faturado</t>
        </is>
      </c>
      <c r="S257" s="6" t="inlineStr">
        <is>
          <t>Hotel</t>
        </is>
      </c>
      <c r="T257" s="6" t="inlineStr">
        <is>
          <t>N</t>
        </is>
      </c>
      <c r="U257" s="6" t="inlineStr">
        <is>
          <t>Grupo Basf</t>
        </is>
      </c>
      <c r="V257" s="6" t="inlineStr">
        <is>
          <t>Suvinil</t>
        </is>
      </c>
      <c r="W257" s="6" t="inlineStr">
        <is>
          <t>-</t>
        </is>
      </c>
      <c r="X257" s="6" t="inlineStr">
        <is>
          <t>Ibis Sao Bernardo do Campo</t>
        </is>
      </c>
      <c r="Y257" s="6" t="inlineStr">
        <is>
          <t>-</t>
        </is>
      </c>
      <c r="Z257" s="6" t="inlineStr">
        <is>
          <t>FCM-OPE-SAO-PVI-BASF</t>
        </is>
      </c>
      <c r="AA257" s="6" t="inlineStr">
        <is>
          <t>-</t>
        </is>
      </c>
      <c r="AB257" s="6" t="n">
        <v>2359</v>
      </c>
      <c r="AC257" s="6" t="n">
        <v>0</v>
      </c>
      <c r="AD257" s="6" t="n">
        <v>0</v>
      </c>
      <c r="AE257" s="6" t="n">
        <v>0</v>
      </c>
      <c r="AF257" s="6" t="n">
        <v>0</v>
      </c>
      <c r="AG257" s="6" t="n">
        <v>0</v>
      </c>
      <c r="AH257" s="6" t="n">
        <v>0</v>
      </c>
      <c r="AI257" s="6" t="inlineStr">
        <is>
          <t>Reserva importada por HubTravel</t>
        </is>
      </c>
      <c r="AJ257" s="6" t="inlineStr">
        <is>
          <t xml:space="preserve">Não foi possível encontrar um contrato válido para o fornecedor 665189 (Código fornecedor) </t>
        </is>
      </c>
      <c r="AK257" s="6" t="inlineStr">
        <is>
          <t>SABRE</t>
        </is>
      </c>
      <c r="AL257" s="6" t="inlineStr">
        <is>
          <t>Contrato de fornecedor</t>
        </is>
      </c>
      <c r="AM257" s="6" t="inlineStr">
        <is>
          <t>Análise Cadastro</t>
        </is>
      </c>
      <c r="AN257" s="6" t="inlineStr">
        <is>
          <t>Dados do Fornecedor</t>
        </is>
      </c>
      <c r="AO257" s="6" t="inlineStr">
        <is>
          <t>Qualidade dos dados</t>
        </is>
      </c>
      <c r="AP257" s="6" t="inlineStr">
        <is>
          <t>KONTIK BUSINESS TRAVEL</t>
        </is>
      </c>
      <c r="AQ257" s="6" t="inlineStr">
        <is>
          <t>Suporte KCS</t>
        </is>
      </c>
    </row>
    <row r="258">
      <c r="A258" s="6" t="n">
        <v>23379904</v>
      </c>
      <c r="B258" s="6" t="n">
        <v>24103590</v>
      </c>
      <c r="C258" s="6" t="inlineStr">
        <is>
          <t>ACC01</t>
        </is>
      </c>
      <c r="D258" s="58" t="n">
        <v>45985.66761574074</v>
      </c>
      <c r="E258" s="58" t="n">
        <v>45985.67202546296</v>
      </c>
      <c r="F258" s="6" t="inlineStr">
        <is>
          <t>0 a 02 dias</t>
        </is>
      </c>
      <c r="G258" s="6" t="inlineStr">
        <is>
          <t>0 a 02 dias</t>
        </is>
      </c>
      <c r="H258" s="6" t="inlineStr">
        <is>
          <t>MJCLJRC</t>
        </is>
      </c>
      <c r="I258" s="6" t="inlineStr">
        <is>
          <t>SABRE</t>
        </is>
      </c>
      <c r="J258" s="6" t="inlineStr">
        <is>
          <t>MARINHO/JOAO PAULO MR</t>
        </is>
      </c>
      <c r="K258" s="6" t="inlineStr">
        <is>
          <t>Fabiola Lima de Oliveira</t>
        </is>
      </c>
      <c r="L258" s="6" t="inlineStr">
        <is>
          <t>Fabiola Lima de Oliveira</t>
        </is>
      </c>
      <c r="M258" s="58" t="n">
        <v>45985.52430555555</v>
      </c>
      <c r="N258" s="6" t="inlineStr">
        <is>
          <t>MJCLJR</t>
        </is>
      </c>
      <c r="O258" s="6" t="inlineStr">
        <is>
          <t>PPB</t>
        </is>
      </c>
      <c r="P258" s="6" t="inlineStr">
        <is>
          <t>OFF LINE</t>
        </is>
      </c>
      <c r="Q258" s="6" t="inlineStr">
        <is>
          <t>Invoice</t>
        </is>
      </c>
      <c r="R258" s="6" t="inlineStr">
        <is>
          <t>Faturado</t>
        </is>
      </c>
      <c r="S258" s="6" t="inlineStr">
        <is>
          <t>Carro</t>
        </is>
      </c>
      <c r="T258" s="6" t="inlineStr">
        <is>
          <t>N</t>
        </is>
      </c>
      <c r="U258" s="6" t="inlineStr">
        <is>
          <t>Grupo Basf</t>
        </is>
      </c>
      <c r="V258" s="6" t="inlineStr">
        <is>
          <t>Basf Sa</t>
        </is>
      </c>
      <c r="W258" s="6" t="inlineStr">
        <is>
          <t>-</t>
        </is>
      </c>
      <c r="X258" s="6" t="inlineStr">
        <is>
          <t>-</t>
        </is>
      </c>
      <c r="Y258" s="6" t="inlineStr">
        <is>
          <t>-</t>
        </is>
      </c>
      <c r="Z258" s="6" t="inlineStr">
        <is>
          <t>FCM-OPE-SAO-PVI-BASF</t>
        </is>
      </c>
      <c r="AA258" s="6" t="inlineStr">
        <is>
          <t>-</t>
        </is>
      </c>
      <c r="AB258" s="6" t="n">
        <v>254.6</v>
      </c>
      <c r="AC258" s="6" t="n">
        <v>135.61</v>
      </c>
      <c r="AD258" s="6" t="n">
        <v>0</v>
      </c>
      <c r="AE258" s="6" t="n">
        <v>0</v>
      </c>
      <c r="AF258" s="6" t="n">
        <v>0</v>
      </c>
      <c r="AG258" s="6" t="n">
        <v>0</v>
      </c>
      <c r="AH258" s="6" t="n">
        <v>0</v>
      </c>
      <c r="AI258" s="6" t="inlineStr">
        <is>
          <t>Reserva importada por HubTravel</t>
        </is>
      </c>
      <c r="AJ258" s="6" t="inlineStr">
        <is>
          <t>Fornecedor não preenchido! (ACC01)</t>
        </is>
      </c>
      <c r="AK258" s="6" t="inlineStr">
        <is>
          <t>SABRE</t>
        </is>
      </c>
      <c r="AL258" s="6" t="inlineStr">
        <is>
          <t>Falta de Fornecedor</t>
        </is>
      </c>
      <c r="AM258" s="6" t="inlineStr">
        <is>
          <t>Campo Fornecedor</t>
        </is>
      </c>
      <c r="AN258" s="6" t="inlineStr">
        <is>
          <t>Dados do Fornecedor</t>
        </is>
      </c>
      <c r="AO258" s="6" t="inlineStr">
        <is>
          <t>Qualidade dos dados</t>
        </is>
      </c>
      <c r="AP258" s="6" t="inlineStr">
        <is>
          <t>KONTIK BUSINESS TRAVEL</t>
        </is>
      </c>
      <c r="AQ258" s="6" t="inlineStr">
        <is>
          <t>Suporte KCS</t>
        </is>
      </c>
    </row>
    <row r="259">
      <c r="A259" s="6" t="n">
        <v>23379653</v>
      </c>
      <c r="B259" s="6" t="n">
        <v>24103342</v>
      </c>
      <c r="C259" s="6" t="inlineStr">
        <is>
          <t>ACC01</t>
        </is>
      </c>
      <c r="D259" s="58" t="n">
        <v>45985.62545138889</v>
      </c>
      <c r="E259" s="58" t="n">
        <v>45985.62561342592</v>
      </c>
      <c r="F259" s="6" t="inlineStr">
        <is>
          <t>0 a 02 dias</t>
        </is>
      </c>
      <c r="G259" s="6" t="inlineStr">
        <is>
          <t>0 a 02 dias</t>
        </is>
      </c>
      <c r="H259" s="6" t="inlineStr">
        <is>
          <t>DXVSQCT</t>
        </is>
      </c>
      <c r="I259" s="6" t="inlineStr">
        <is>
          <t>SABRE</t>
        </is>
      </c>
      <c r="J259" s="6" t="inlineStr">
        <is>
          <t>BENITES TEIXEIRA/GABRIEL</t>
        </is>
      </c>
      <c r="K259" s="6" t="inlineStr">
        <is>
          <t>Fabiola Lima de Oliveira</t>
        </is>
      </c>
      <c r="L259" s="6" t="inlineStr">
        <is>
          <t>Fabiola Lima de Oliveira</t>
        </is>
      </c>
      <c r="M259" s="58" t="n">
        <v>45985.34097222222</v>
      </c>
      <c r="N259" s="6" t="inlineStr">
        <is>
          <t>DXVSQC</t>
        </is>
      </c>
      <c r="O259" s="6" t="inlineStr">
        <is>
          <t>-</t>
        </is>
      </c>
      <c r="P259" s="6" t="inlineStr">
        <is>
          <t>OFF LINE</t>
        </is>
      </c>
      <c r="Q259" s="6" t="inlineStr">
        <is>
          <t>Cartão de crédito</t>
        </is>
      </c>
      <c r="R259" s="6" t="inlineStr">
        <is>
          <t>Cartão de crédito</t>
        </is>
      </c>
      <c r="S259" s="6" t="inlineStr">
        <is>
          <t>Hotel</t>
        </is>
      </c>
      <c r="T259" s="6" t="inlineStr">
        <is>
          <t>N</t>
        </is>
      </c>
      <c r="U259" s="6" t="inlineStr">
        <is>
          <t>Grupo Basf</t>
        </is>
      </c>
      <c r="V259" s="6" t="inlineStr">
        <is>
          <t>Basf Sa</t>
        </is>
      </c>
      <c r="W259" s="6" t="inlineStr">
        <is>
          <t>-</t>
        </is>
      </c>
      <c r="X259" s="6" t="inlineStr">
        <is>
          <t>-</t>
        </is>
      </c>
      <c r="Y259" s="6" t="inlineStr">
        <is>
          <t>-</t>
        </is>
      </c>
      <c r="Z259" s="6" t="inlineStr">
        <is>
          <t>FCM-OPE-SAO-PVI-BASF</t>
        </is>
      </c>
      <c r="AA259" s="6" t="inlineStr">
        <is>
          <t>-</t>
        </is>
      </c>
      <c r="AB259" s="6" t="n">
        <v>199</v>
      </c>
      <c r="AC259" s="6" t="n">
        <v>0</v>
      </c>
      <c r="AD259" s="6" t="n">
        <v>0</v>
      </c>
      <c r="AE259" s="6" t="n">
        <v>0</v>
      </c>
      <c r="AF259" s="6" t="n">
        <v>0</v>
      </c>
      <c r="AG259" s="6" t="n">
        <v>0</v>
      </c>
      <c r="AH259" s="6" t="n">
        <v>0</v>
      </c>
      <c r="AI259" s="6" t="inlineStr">
        <is>
          <t>Reserva importada por HubTravel</t>
        </is>
      </c>
      <c r="AJ259" s="6" t="inlineStr">
        <is>
          <t>Fornecedor não preenchido! (ACC01)</t>
        </is>
      </c>
      <c r="AK259" s="6" t="inlineStr">
        <is>
          <t>SABRE</t>
        </is>
      </c>
      <c r="AL259" s="6" t="inlineStr">
        <is>
          <t>Falta de Fornecedor</t>
        </is>
      </c>
      <c r="AM259" s="6" t="inlineStr">
        <is>
          <t>Campo Fornecedor</t>
        </is>
      </c>
      <c r="AN259" s="6" t="inlineStr">
        <is>
          <t>Dados do Fornecedor</t>
        </is>
      </c>
      <c r="AO259" s="6" t="inlineStr">
        <is>
          <t>Qualidade dos dados</t>
        </is>
      </c>
      <c r="AP259" s="6" t="inlineStr">
        <is>
          <t>KONTIK BUSINESS TRAVEL</t>
        </is>
      </c>
      <c r="AQ259" s="6" t="inlineStr">
        <is>
          <t>Suporte KCS</t>
        </is>
      </c>
    </row>
    <row r="260">
      <c r="A260" s="6" t="n">
        <v>23367374</v>
      </c>
      <c r="B260" s="6" t="n">
        <v>24093388</v>
      </c>
      <c r="C260" s="6" t="inlineStr">
        <is>
          <t>ACC01</t>
        </is>
      </c>
      <c r="D260" s="58" t="n">
        <v>45982.70952546296</v>
      </c>
      <c r="E260" s="58" t="n">
        <v>45982.71371527778</v>
      </c>
      <c r="F260" s="6" t="inlineStr">
        <is>
          <t>03 a 05 dias</t>
        </is>
      </c>
      <c r="G260" s="6" t="inlineStr">
        <is>
          <t>03 a 05 dias</t>
        </is>
      </c>
      <c r="H260" s="6" t="inlineStr">
        <is>
          <t>GWPVGWT</t>
        </is>
      </c>
      <c r="I260" s="6" t="inlineStr">
        <is>
          <t>SABRE</t>
        </is>
      </c>
      <c r="J260" s="6" t="inlineStr">
        <is>
          <t>CAMARA UCHOA/CATARINA MARIA MISS</t>
        </is>
      </c>
      <c r="K260" s="6" t="inlineStr">
        <is>
          <t>CT</t>
        </is>
      </c>
      <c r="L260" s="6" t="inlineStr">
        <is>
          <t>CT</t>
        </is>
      </c>
      <c r="M260" s="58" t="n">
        <v>45982.49513888889</v>
      </c>
      <c r="N260" s="6" t="inlineStr">
        <is>
          <t>185744372-53332</t>
        </is>
      </c>
      <c r="O260" s="6" t="inlineStr">
        <is>
          <t>-</t>
        </is>
      </c>
      <c r="P260" s="6" t="inlineStr">
        <is>
          <t>ON LINE</t>
        </is>
      </c>
      <c r="Q260" s="6" t="inlineStr">
        <is>
          <t>Pagamento direto</t>
        </is>
      </c>
      <c r="R260" s="6" t="inlineStr">
        <is>
          <t>Pagamento direto</t>
        </is>
      </c>
      <c r="S260" s="6" t="inlineStr">
        <is>
          <t>Hotel</t>
        </is>
      </c>
      <c r="T260" s="6" t="inlineStr">
        <is>
          <t>N</t>
        </is>
      </c>
      <c r="U260" s="6" t="inlineStr">
        <is>
          <t>Grupo Basf</t>
        </is>
      </c>
      <c r="V260" s="6" t="inlineStr">
        <is>
          <t>Basf Catalisadores</t>
        </is>
      </c>
      <c r="W260" s="6" t="inlineStr">
        <is>
          <t>-</t>
        </is>
      </c>
      <c r="X260" s="6" t="inlineStr">
        <is>
          <t>The Bidwell Marriott Portland</t>
        </is>
      </c>
      <c r="Y260" s="6" t="inlineStr">
        <is>
          <t>-</t>
        </is>
      </c>
      <c r="Z260" s="6" t="inlineStr">
        <is>
          <t>FCM-OPE-SAO-PVI-BASF</t>
        </is>
      </c>
      <c r="AA260" s="6" t="inlineStr">
        <is>
          <t>-</t>
        </is>
      </c>
      <c r="AB260" s="6" t="n">
        <v>3197.8398</v>
      </c>
      <c r="AC260" s="6" t="n">
        <v>0</v>
      </c>
      <c r="AD260" s="6" t="n">
        <v>0</v>
      </c>
      <c r="AE260" s="6" t="n">
        <v>0</v>
      </c>
      <c r="AF260" s="6" t="n">
        <v>0</v>
      </c>
      <c r="AG260" s="6" t="n">
        <v>0</v>
      </c>
      <c r="AH260" s="6" t="n">
        <v>0</v>
      </c>
      <c r="AI260" s="6" t="inlineStr">
        <is>
          <t>Reserva importada por HubTravel</t>
        </is>
      </c>
      <c r="AJ260" s="6" t="inlineStr">
        <is>
          <t>Fornecedor não preenchido! (ACC02)</t>
        </is>
      </c>
      <c r="AK260" s="6" t="inlineStr">
        <is>
          <t>SABRE</t>
        </is>
      </c>
      <c r="AL260" s="6" t="inlineStr">
        <is>
          <t>Falta de Fornecedor</t>
        </is>
      </c>
      <c r="AM260" s="6" t="inlineStr">
        <is>
          <t>Campo Fornecedor</t>
        </is>
      </c>
      <c r="AN260" s="6" t="inlineStr">
        <is>
          <t>Dados do Fornecedor</t>
        </is>
      </c>
      <c r="AO260" s="6" t="inlineStr">
        <is>
          <t>Sistêmico</t>
        </is>
      </c>
      <c r="AP260" s="6" t="inlineStr">
        <is>
          <t>GRUPO KONTIK</t>
        </is>
      </c>
      <c r="AQ260" s="6" t="inlineStr">
        <is>
          <t>Suporte Benner</t>
        </is>
      </c>
    </row>
    <row r="261">
      <c r="A261" s="6" t="n">
        <v>23367374</v>
      </c>
      <c r="B261" s="6" t="n">
        <v>24093389</v>
      </c>
      <c r="C261" s="6" t="inlineStr">
        <is>
          <t>ACC02</t>
        </is>
      </c>
      <c r="D261" s="58" t="n">
        <v>45982.70952546296</v>
      </c>
      <c r="E261" s="58" t="n">
        <v>45982.71371527778</v>
      </c>
      <c r="F261" s="6" t="inlineStr">
        <is>
          <t>03 a 05 dias</t>
        </is>
      </c>
      <c r="G261" s="6" t="inlineStr">
        <is>
          <t>03 a 05 dias</t>
        </is>
      </c>
      <c r="H261" s="6" t="inlineStr">
        <is>
          <t>GWPVGWT</t>
        </is>
      </c>
      <c r="I261" s="6" t="inlineStr">
        <is>
          <t>SABRE</t>
        </is>
      </c>
      <c r="J261" s="6" t="inlineStr">
        <is>
          <t>CAMARA UCHOA/CATARINA MARIA MISS</t>
        </is>
      </c>
      <c r="K261" s="6" t="inlineStr">
        <is>
          <t>CT</t>
        </is>
      </c>
      <c r="L261" s="6" t="inlineStr">
        <is>
          <t>CT</t>
        </is>
      </c>
      <c r="M261" s="58" t="n">
        <v>45982.49513888889</v>
      </c>
      <c r="N261" s="6" t="inlineStr">
        <is>
          <t>185744372-53332</t>
        </is>
      </c>
      <c r="O261" s="6" t="inlineStr">
        <is>
          <t>-</t>
        </is>
      </c>
      <c r="P261" s="6" t="inlineStr">
        <is>
          <t>ON LINE</t>
        </is>
      </c>
      <c r="Q261" s="6" t="inlineStr">
        <is>
          <t>Pagamento direto</t>
        </is>
      </c>
      <c r="R261" s="6" t="inlineStr">
        <is>
          <t>Pagamento direto</t>
        </is>
      </c>
      <c r="S261" s="6" t="inlineStr">
        <is>
          <t>Hotel</t>
        </is>
      </c>
      <c r="T261" s="6" t="inlineStr">
        <is>
          <t>N</t>
        </is>
      </c>
      <c r="U261" s="6" t="inlineStr">
        <is>
          <t>Grupo Basf</t>
        </is>
      </c>
      <c r="V261" s="6" t="inlineStr">
        <is>
          <t>Basf Catalisadores</t>
        </is>
      </c>
      <c r="W261" s="6" t="inlineStr">
        <is>
          <t>-</t>
        </is>
      </c>
      <c r="X261" s="6" t="inlineStr">
        <is>
          <t>-</t>
        </is>
      </c>
      <c r="Y261" s="6" t="inlineStr">
        <is>
          <t>-</t>
        </is>
      </c>
      <c r="Z261" s="6" t="inlineStr">
        <is>
          <t>FCM-OPE-SAO-PVI-BASF</t>
        </is>
      </c>
      <c r="AA261" s="6" t="inlineStr">
        <is>
          <t>-</t>
        </is>
      </c>
      <c r="AB261" s="6" t="n">
        <v>2023.2928</v>
      </c>
      <c r="AC261" s="6" t="n">
        <v>0</v>
      </c>
      <c r="AD261" s="6" t="n">
        <v>0</v>
      </c>
      <c r="AE261" s="6" t="n">
        <v>0</v>
      </c>
      <c r="AF261" s="6" t="n">
        <v>0</v>
      </c>
      <c r="AG261" s="6" t="n">
        <v>0</v>
      </c>
      <c r="AH261" s="6" t="n">
        <v>0</v>
      </c>
      <c r="AI261" s="6" t="inlineStr">
        <is>
          <t>Reserva importada por HubTravel</t>
        </is>
      </c>
      <c r="AJ261" s="6" t="inlineStr">
        <is>
          <t>Fornecedor não preenchido! (ACC02)</t>
        </is>
      </c>
      <c r="AK261" s="6" t="inlineStr">
        <is>
          <t>SABRE</t>
        </is>
      </c>
      <c r="AL261" s="6" t="inlineStr">
        <is>
          <t>Falta de Fornecedor</t>
        </is>
      </c>
      <c r="AM261" s="6" t="inlineStr">
        <is>
          <t>Campo Fornecedor</t>
        </is>
      </c>
      <c r="AN261" s="6" t="inlineStr">
        <is>
          <t>Dados do Fornecedor</t>
        </is>
      </c>
      <c r="AO261" s="6" t="inlineStr">
        <is>
          <t>Sistêmico</t>
        </is>
      </c>
      <c r="AP261" s="6" t="inlineStr">
        <is>
          <t>GRUPO KONTIK</t>
        </is>
      </c>
      <c r="AQ261" s="6" t="inlineStr">
        <is>
          <t>Suporte Benner</t>
        </is>
      </c>
    </row>
    <row r="262">
      <c r="A262" s="6" t="n">
        <v>23347207</v>
      </c>
      <c r="B262" s="6" t="n">
        <v>24074571</v>
      </c>
      <c r="C262" s="6" t="inlineStr">
        <is>
          <t>ACC01</t>
        </is>
      </c>
      <c r="D262" s="58" t="n">
        <v>45979.55629629629</v>
      </c>
      <c r="E262" s="58" t="n">
        <v>45979.5593287037</v>
      </c>
      <c r="F262" s="6" t="inlineStr">
        <is>
          <t>06 a 08 dias</t>
        </is>
      </c>
      <c r="G262" s="6" t="inlineStr">
        <is>
          <t>06 a 08 dias</t>
        </is>
      </c>
      <c r="H262" s="6" t="inlineStr">
        <is>
          <t>NJBGCN</t>
        </is>
      </c>
      <c r="I262" s="6" t="inlineStr">
        <is>
          <t>SABRE</t>
        </is>
      </c>
      <c r="J262" s="6" t="inlineStr">
        <is>
          <t>ZANON/RENATA BOCCI</t>
        </is>
      </c>
      <c r="K262" s="6" t="inlineStr">
        <is>
          <t>CT</t>
        </is>
      </c>
      <c r="L262" s="6" t="inlineStr">
        <is>
          <t>CT</t>
        </is>
      </c>
      <c r="M262" s="58" t="n">
        <v>45979.27847222222</v>
      </c>
      <c r="N262" s="6" t="inlineStr">
        <is>
          <t>M14IFGKRP</t>
        </is>
      </c>
      <c r="O262" s="6" t="inlineStr">
        <is>
          <t>-</t>
        </is>
      </c>
      <c r="P262" s="6" t="inlineStr">
        <is>
          <t>ON LINE</t>
        </is>
      </c>
      <c r="Q262" s="6" t="inlineStr">
        <is>
          <t>Cartão de crédito</t>
        </is>
      </c>
      <c r="R262" s="6" t="inlineStr">
        <is>
          <t>Cartão AMEX</t>
        </is>
      </c>
      <c r="S262" s="6" t="inlineStr">
        <is>
          <t>Aéreo</t>
        </is>
      </c>
      <c r="T262" s="6" t="inlineStr">
        <is>
          <t>N</t>
        </is>
      </c>
      <c r="U262" s="6" t="inlineStr">
        <is>
          <t>Grupo Basf</t>
        </is>
      </c>
      <c r="V262" s="6" t="inlineStr">
        <is>
          <t>Basf Sa</t>
        </is>
      </c>
      <c r="W262" s="6" t="inlineStr">
        <is>
          <t>-</t>
        </is>
      </c>
      <c r="X262" s="6" t="inlineStr">
        <is>
          <t>Azul Linhas Aereas</t>
        </is>
      </c>
      <c r="Y262" s="6" t="n">
        <v>7700081055</v>
      </c>
      <c r="Z262" s="6" t="inlineStr">
        <is>
          <t>FCM-OPE-SAO-PVI-BASF</t>
        </is>
      </c>
      <c r="AA262" s="6" t="inlineStr">
        <is>
          <t>-</t>
        </is>
      </c>
      <c r="AB262" s="6" t="n">
        <v>741.89</v>
      </c>
      <c r="AC262" s="6" t="n">
        <v>31.94</v>
      </c>
      <c r="AD262" s="6" t="n">
        <v>0</v>
      </c>
      <c r="AE262" s="6" t="n">
        <v>0</v>
      </c>
      <c r="AF262" s="6" t="n">
        <v>0</v>
      </c>
      <c r="AG262" s="6" t="n">
        <v>0</v>
      </c>
      <c r="AH262" s="6" t="n">
        <v>0</v>
      </c>
      <c r="AI262" s="6" t="inlineStr">
        <is>
          <t>Reserva importada por HubTravel</t>
        </is>
      </c>
      <c r="AJ262" s="6" t="inlineStr">
        <is>
          <t>Autorização do cartão da forma de pagamento não preenchida! (ACC01) Autorização do cartão da forma de recebimento não preenchida! (ACC01)</t>
        </is>
      </c>
      <c r="AK262" s="6" t="inlineStr">
        <is>
          <t>SABRE</t>
        </is>
      </c>
      <c r="AL262" s="6" t="inlineStr">
        <is>
          <t>Mais de um campo não preenchido</t>
        </is>
      </c>
      <c r="AM262" s="6" t="inlineStr">
        <is>
          <t>Falta de informação Gerencial</t>
        </is>
      </c>
      <c r="AN262" s="6" t="inlineStr">
        <is>
          <t>Dados do Fornecedor</t>
        </is>
      </c>
      <c r="AO262" s="6" t="inlineStr">
        <is>
          <t>Qualidade dos dados</t>
        </is>
      </c>
      <c r="AP262" s="6" t="inlineStr">
        <is>
          <t>KONTIK BUSINESS TRAVEL</t>
        </is>
      </c>
      <c r="AQ262" s="6" t="inlineStr">
        <is>
          <t>Suporte KCS</t>
        </is>
      </c>
    </row>
    <row r="263">
      <c r="A263" s="6" t="n">
        <v>23245221</v>
      </c>
      <c r="B263" s="6" t="n">
        <v>23978181</v>
      </c>
      <c r="C263" s="6" t="inlineStr">
        <is>
          <t>ACC01</t>
        </is>
      </c>
      <c r="D263" s="58" t="n">
        <v>45964.43829861111</v>
      </c>
      <c r="E263" s="58" t="n">
        <v>45978.47979166666</v>
      </c>
      <c r="F263" s="6" t="inlineStr">
        <is>
          <t>06 a 08 dias</t>
        </is>
      </c>
      <c r="G263" s="6" t="inlineStr">
        <is>
          <t>16 a 23 dias</t>
        </is>
      </c>
      <c r="H263" s="6" t="inlineStr">
        <is>
          <t>MHSFXSC</t>
        </is>
      </c>
      <c r="I263" s="6" t="inlineStr">
        <is>
          <t>SABRE</t>
        </is>
      </c>
      <c r="J263" s="6" t="inlineStr">
        <is>
          <t>OLIVEIRA HOSKEN/BRUNA FERNANDES DE MRS</t>
        </is>
      </c>
      <c r="K263" s="6" t="inlineStr">
        <is>
          <t>CT</t>
        </is>
      </c>
      <c r="L263" s="6" t="inlineStr">
        <is>
          <t>CT</t>
        </is>
      </c>
      <c r="M263" s="58" t="n">
        <v>45943.39166666667</v>
      </c>
      <c r="N263" s="6" t="inlineStr">
        <is>
          <t>MHSFXS</t>
        </is>
      </c>
      <c r="O263" s="6" t="inlineStr">
        <is>
          <t>BPS</t>
        </is>
      </c>
      <c r="P263" s="6" t="inlineStr">
        <is>
          <t>ON LINE</t>
        </is>
      </c>
      <c r="Q263" s="6" t="inlineStr">
        <is>
          <t>Invoice</t>
        </is>
      </c>
      <c r="R263" s="6" t="inlineStr">
        <is>
          <t>Faturado</t>
        </is>
      </c>
      <c r="S263" s="6" t="inlineStr">
        <is>
          <t>Carro</t>
        </is>
      </c>
      <c r="T263" s="6" t="inlineStr">
        <is>
          <t>N</t>
        </is>
      </c>
      <c r="U263" s="6" t="inlineStr">
        <is>
          <t>Grupo Basf</t>
        </is>
      </c>
      <c r="V263" s="6" t="inlineStr">
        <is>
          <t>Ca Pesquisa e Comercio de Sementes</t>
        </is>
      </c>
      <c r="W263" s="6" t="inlineStr">
        <is>
          <t>-</t>
        </is>
      </c>
      <c r="X263" s="6" t="inlineStr">
        <is>
          <t>-</t>
        </is>
      </c>
      <c r="Y263" s="6" t="inlineStr">
        <is>
          <t>-</t>
        </is>
      </c>
      <c r="Z263" s="6" t="inlineStr">
        <is>
          <t>FCM-OPE-SAO-PVI-BASF</t>
        </is>
      </c>
      <c r="AA263" s="6" t="inlineStr">
        <is>
          <t>-</t>
        </is>
      </c>
      <c r="AB263" s="6" t="n">
        <v>2479.95</v>
      </c>
      <c r="AC263" s="6" t="n">
        <v>297.59</v>
      </c>
      <c r="AD263" s="6" t="n">
        <v>0</v>
      </c>
      <c r="AE263" s="6" t="n">
        <v>0</v>
      </c>
      <c r="AF263" s="6" t="n">
        <v>0</v>
      </c>
      <c r="AG263" s="6" t="n">
        <v>0</v>
      </c>
      <c r="AH263" s="6" t="n">
        <v>0</v>
      </c>
      <c r="AI263" s="6" t="inlineStr">
        <is>
          <t>Reserva importada por HubTravel</t>
        </is>
      </c>
      <c r="AJ263" s="6" t="inlineStr">
        <is>
          <t>Fornecedor não preenchido! (ACC01)</t>
        </is>
      </c>
      <c r="AK263" s="6" t="inlineStr">
        <is>
          <t>SABRE</t>
        </is>
      </c>
      <c r="AL263" s="6" t="inlineStr">
        <is>
          <t>Falta de Fornecedor</t>
        </is>
      </c>
      <c r="AM263" s="6" t="inlineStr">
        <is>
          <t>Campo Fornecedor</t>
        </is>
      </c>
      <c r="AN263" s="6" t="inlineStr">
        <is>
          <t>Dados do Fornecedor</t>
        </is>
      </c>
      <c r="AO263" s="6" t="inlineStr">
        <is>
          <t>Qualidade dos dados</t>
        </is>
      </c>
      <c r="AP263" s="6" t="inlineStr">
        <is>
          <t>KONTIK BUSINESS TRAVEL</t>
        </is>
      </c>
      <c r="AQ263" s="6" t="inlineStr">
        <is>
          <t>Suporte KCS</t>
        </is>
      </c>
    </row>
    <row r="264">
      <c r="A264" s="6" t="n">
        <v>23378972</v>
      </c>
      <c r="B264" s="6" t="n">
        <v>24102720</v>
      </c>
      <c r="C264" s="6" t="inlineStr">
        <is>
          <t>ACC01</t>
        </is>
      </c>
      <c r="D264" s="58" t="n">
        <v>45985.50112268519</v>
      </c>
      <c r="E264" s="58" t="n">
        <v>45985.50631944444</v>
      </c>
      <c r="F264" s="6" t="inlineStr">
        <is>
          <t>0 a 02 dias</t>
        </is>
      </c>
      <c r="G264" s="6" t="inlineStr">
        <is>
          <t>0 a 02 dias</t>
        </is>
      </c>
      <c r="H264" s="6" t="inlineStr">
        <is>
          <t>CAJYIVT</t>
        </is>
      </c>
      <c r="I264" s="6" t="inlineStr">
        <is>
          <t>SABRE</t>
        </is>
      </c>
      <c r="J264" s="6" t="inlineStr">
        <is>
          <t>CARVALHO DANTAS/ELIEZER MR</t>
        </is>
      </c>
      <c r="K264" s="6" t="inlineStr">
        <is>
          <t>Felipe Anderson da Silva</t>
        </is>
      </c>
      <c r="L264" s="6" t="inlineStr">
        <is>
          <t>Felipe Anderson da Silva</t>
        </is>
      </c>
      <c r="M264" s="58" t="n">
        <v>45985.32152777778</v>
      </c>
      <c r="N264" s="6" t="inlineStr">
        <is>
          <t>CAJYIV</t>
        </is>
      </c>
      <c r="O264" s="6" t="inlineStr">
        <is>
          <t>-</t>
        </is>
      </c>
      <c r="P264" s="6" t="inlineStr">
        <is>
          <t>OFF LINE</t>
        </is>
      </c>
      <c r="Q264" s="6" t="inlineStr">
        <is>
          <t>Pagamento direto</t>
        </is>
      </c>
      <c r="R264" s="6" t="inlineStr">
        <is>
          <t>Pagamento direto</t>
        </is>
      </c>
      <c r="S264" s="6" t="inlineStr">
        <is>
          <t>Hotel</t>
        </is>
      </c>
      <c r="T264" s="6" t="inlineStr">
        <is>
          <t>N</t>
        </is>
      </c>
      <c r="U264" s="6" t="inlineStr">
        <is>
          <t>Grupo Basf</t>
        </is>
      </c>
      <c r="V264" s="6" t="inlineStr">
        <is>
          <t>Suvinil</t>
        </is>
      </c>
      <c r="W264" s="6" t="inlineStr">
        <is>
          <t>-</t>
        </is>
      </c>
      <c r="X264" s="6" t="inlineStr">
        <is>
          <t>-</t>
        </is>
      </c>
      <c r="Y264" s="6" t="inlineStr">
        <is>
          <t>-</t>
        </is>
      </c>
      <c r="Z264" s="6" t="inlineStr">
        <is>
          <t>FCM-OPE-SAO-PVI-BASF</t>
        </is>
      </c>
      <c r="AA264" s="6" t="inlineStr">
        <is>
          <t>-</t>
        </is>
      </c>
      <c r="AB264" s="6" t="n">
        <v>577.269</v>
      </c>
      <c r="AC264" s="6" t="n">
        <v>0</v>
      </c>
      <c r="AD264" s="6" t="n">
        <v>0</v>
      </c>
      <c r="AE264" s="6" t="n">
        <v>0</v>
      </c>
      <c r="AF264" s="6" t="n">
        <v>0</v>
      </c>
      <c r="AG264" s="6" t="n">
        <v>0</v>
      </c>
      <c r="AH264" s="6" t="n">
        <v>0</v>
      </c>
      <c r="AI264" s="6" t="inlineStr">
        <is>
          <t>Reserva importada por HubTravel</t>
        </is>
      </c>
      <c r="AJ264" s="6" t="inlineStr">
        <is>
          <t>Fornecedor não preenchido! (ACC01)</t>
        </is>
      </c>
      <c r="AK264" s="6" t="inlineStr">
        <is>
          <t>SABRE</t>
        </is>
      </c>
      <c r="AL264" s="6" t="inlineStr">
        <is>
          <t>Falta de Fornecedor</t>
        </is>
      </c>
      <c r="AM264" s="6" t="inlineStr">
        <is>
          <t>Campo Fornecedor</t>
        </is>
      </c>
      <c r="AN264" s="6" t="inlineStr">
        <is>
          <t>Dados do Fornecedor</t>
        </is>
      </c>
      <c r="AO264" s="6" t="inlineStr">
        <is>
          <t>Qualidade dos dados</t>
        </is>
      </c>
      <c r="AP264" s="6" t="inlineStr">
        <is>
          <t>KONTIK BUSINESS TRAVEL</t>
        </is>
      </c>
      <c r="AQ264" s="6" t="inlineStr">
        <is>
          <t>Suporte KCS</t>
        </is>
      </c>
    </row>
    <row r="265">
      <c r="A265" s="6" t="n">
        <v>23378976</v>
      </c>
      <c r="B265" s="6" t="n">
        <v>24102725</v>
      </c>
      <c r="C265" s="6" t="inlineStr">
        <is>
          <t>ACC01</t>
        </is>
      </c>
      <c r="D265" s="58" t="n">
        <v>45985.50143518519</v>
      </c>
      <c r="E265" s="58" t="n">
        <v>45985.50651620371</v>
      </c>
      <c r="F265" s="6" t="inlineStr">
        <is>
          <t>0 a 02 dias</t>
        </is>
      </c>
      <c r="G265" s="6" t="inlineStr">
        <is>
          <t>0 a 02 dias</t>
        </is>
      </c>
      <c r="H265" s="6" t="inlineStr">
        <is>
          <t>WOUYDQT</t>
        </is>
      </c>
      <c r="I265" s="6" t="inlineStr">
        <is>
          <t>SABRE</t>
        </is>
      </c>
      <c r="J265" s="6" t="inlineStr">
        <is>
          <t>AMORIM/RAFAEL CARLOS</t>
        </is>
      </c>
      <c r="K265" s="6" t="inlineStr">
        <is>
          <t>Felipe Anderson da Silva</t>
        </is>
      </c>
      <c r="L265" s="6" t="inlineStr">
        <is>
          <t>Felipe Anderson da Silva</t>
        </is>
      </c>
      <c r="M265" s="58" t="n">
        <v>45985.36319444444</v>
      </c>
      <c r="N265" s="6" t="inlineStr">
        <is>
          <t>WOUYDQ</t>
        </is>
      </c>
      <c r="O265" s="6" t="inlineStr">
        <is>
          <t>-</t>
        </is>
      </c>
      <c r="P265" s="6" t="inlineStr">
        <is>
          <t>OFF LINE</t>
        </is>
      </c>
      <c r="Q265" s="6" t="inlineStr">
        <is>
          <t>Pagamento direto</t>
        </is>
      </c>
      <c r="R265" s="6" t="inlineStr">
        <is>
          <t>Pagamento direto</t>
        </is>
      </c>
      <c r="S265" s="6" t="inlineStr">
        <is>
          <t>Hotel</t>
        </is>
      </c>
      <c r="T265" s="6" t="inlineStr">
        <is>
          <t>N</t>
        </is>
      </c>
      <c r="U265" s="6" t="inlineStr">
        <is>
          <t>Grupo Basf</t>
        </is>
      </c>
      <c r="V265" s="6" t="inlineStr">
        <is>
          <t>Suvinil</t>
        </is>
      </c>
      <c r="W265" s="6" t="inlineStr">
        <is>
          <t>-</t>
        </is>
      </c>
      <c r="X265" s="6" t="inlineStr">
        <is>
          <t>-</t>
        </is>
      </c>
      <c r="Y265" s="6" t="inlineStr">
        <is>
          <t>-</t>
        </is>
      </c>
      <c r="Z265" s="6" t="inlineStr">
        <is>
          <t>FCM-OPE-SAO-PVI-BASF</t>
        </is>
      </c>
      <c r="AA265" s="6" t="inlineStr">
        <is>
          <t>-</t>
        </is>
      </c>
      <c r="AB265" s="6" t="n">
        <v>558</v>
      </c>
      <c r="AC265" s="6" t="n">
        <v>0</v>
      </c>
      <c r="AD265" s="6" t="n">
        <v>0</v>
      </c>
      <c r="AE265" s="6" t="n">
        <v>0</v>
      </c>
      <c r="AF265" s="6" t="n">
        <v>0</v>
      </c>
      <c r="AG265" s="6" t="n">
        <v>0</v>
      </c>
      <c r="AH265" s="6" t="n">
        <v>0</v>
      </c>
      <c r="AI265" s="6" t="inlineStr">
        <is>
          <t>Reserva importada por HubTravel</t>
        </is>
      </c>
      <c r="AJ265" s="6" t="inlineStr">
        <is>
          <t>Fornecedor não preenchido! (ACC01)</t>
        </is>
      </c>
      <c r="AK265" s="6" t="inlineStr">
        <is>
          <t>SABRE</t>
        </is>
      </c>
      <c r="AL265" s="6" t="inlineStr">
        <is>
          <t>Falta de Fornecedor</t>
        </is>
      </c>
      <c r="AM265" s="6" t="inlineStr">
        <is>
          <t>Campo Fornecedor</t>
        </is>
      </c>
      <c r="AN265" s="6" t="inlineStr">
        <is>
          <t>Dados do Fornecedor</t>
        </is>
      </c>
      <c r="AO265" s="6" t="inlineStr">
        <is>
          <t>Qualidade dos dados</t>
        </is>
      </c>
      <c r="AP265" s="6" t="inlineStr">
        <is>
          <t>KONTIK BUSINESS TRAVEL</t>
        </is>
      </c>
      <c r="AQ265" s="6" t="inlineStr">
        <is>
          <t>Suporte KCS</t>
        </is>
      </c>
    </row>
    <row r="266">
      <c r="A266" s="6" t="n">
        <v>23379657</v>
      </c>
      <c r="B266" s="6" t="n">
        <v>24103346</v>
      </c>
      <c r="C266" s="6" t="inlineStr">
        <is>
          <t>ACC01</t>
        </is>
      </c>
      <c r="D266" s="58" t="n">
        <v>45985.62564814815</v>
      </c>
      <c r="E266" s="58" t="n">
        <v>45985.63145833334</v>
      </c>
      <c r="F266" s="6" t="inlineStr">
        <is>
          <t>0 a 02 dias</t>
        </is>
      </c>
      <c r="G266" s="6" t="inlineStr">
        <is>
          <t>0 a 02 dias</t>
        </is>
      </c>
      <c r="H266" s="6" t="inlineStr">
        <is>
          <t>JKFJOYT</t>
        </is>
      </c>
      <c r="I266" s="6" t="inlineStr">
        <is>
          <t>SABRE</t>
        </is>
      </c>
      <c r="J266" s="6" t="inlineStr">
        <is>
          <t>BARTEZIK/FABIO MR</t>
        </is>
      </c>
      <c r="K266" s="6" t="inlineStr">
        <is>
          <t>Felipe Anderson da Silva</t>
        </is>
      </c>
      <c r="L266" s="6" t="inlineStr">
        <is>
          <t>Felipe Anderson da Silva</t>
        </is>
      </c>
      <c r="M266" s="58" t="n">
        <v>45985.45972222222</v>
      </c>
      <c r="N266" s="6" t="inlineStr">
        <is>
          <t>JKFJOY</t>
        </is>
      </c>
      <c r="O266" s="6" t="inlineStr">
        <is>
          <t>-</t>
        </is>
      </c>
      <c r="P266" s="6" t="inlineStr">
        <is>
          <t>OFF LINE</t>
        </is>
      </c>
      <c r="Q266" s="6" t="inlineStr">
        <is>
          <t>Pagamento direto</t>
        </is>
      </c>
      <c r="R266" s="6" t="inlineStr">
        <is>
          <t>Pagamento direto</t>
        </is>
      </c>
      <c r="S266" s="6" t="inlineStr">
        <is>
          <t>Hotel</t>
        </is>
      </c>
      <c r="T266" s="6" t="inlineStr">
        <is>
          <t>N</t>
        </is>
      </c>
      <c r="U266" s="6" t="inlineStr">
        <is>
          <t>Grupo Basf</t>
        </is>
      </c>
      <c r="V266" s="6" t="inlineStr">
        <is>
          <t>Suvinil</t>
        </is>
      </c>
      <c r="W266" s="6" t="inlineStr">
        <is>
          <t>-</t>
        </is>
      </c>
      <c r="X266" s="6" t="inlineStr">
        <is>
          <t>-</t>
        </is>
      </c>
      <c r="Y266" s="6" t="inlineStr">
        <is>
          <t>-</t>
        </is>
      </c>
      <c r="Z266" s="6" t="inlineStr">
        <is>
          <t>FCM-OPE-SAO-PVI-BASF</t>
        </is>
      </c>
      <c r="AA266" s="6" t="inlineStr">
        <is>
          <t>-</t>
        </is>
      </c>
      <c r="AB266" s="6" t="n">
        <v>795</v>
      </c>
      <c r="AC266" s="6" t="n">
        <v>0</v>
      </c>
      <c r="AD266" s="6" t="n">
        <v>0</v>
      </c>
      <c r="AE266" s="6" t="n">
        <v>0</v>
      </c>
      <c r="AF266" s="6" t="n">
        <v>0</v>
      </c>
      <c r="AG266" s="6" t="n">
        <v>0</v>
      </c>
      <c r="AH266" s="6" t="n">
        <v>0</v>
      </c>
      <c r="AI266" s="6" t="inlineStr">
        <is>
          <t>Reserva importada por HubTravel</t>
        </is>
      </c>
      <c r="AJ266" s="6" t="inlineStr">
        <is>
          <t>Fornecedor não preenchido! (ACC01)</t>
        </is>
      </c>
      <c r="AK266" s="6" t="inlineStr">
        <is>
          <t>SABRE</t>
        </is>
      </c>
      <c r="AL266" s="6" t="inlineStr">
        <is>
          <t>Falta de Fornecedor</t>
        </is>
      </c>
      <c r="AM266" s="6" t="inlineStr">
        <is>
          <t>Campo Fornecedor</t>
        </is>
      </c>
      <c r="AN266" s="6" t="inlineStr">
        <is>
          <t>Dados do Fornecedor</t>
        </is>
      </c>
      <c r="AO266" s="6" t="inlineStr">
        <is>
          <t>Qualidade dos dados</t>
        </is>
      </c>
      <c r="AP266" s="6" t="inlineStr">
        <is>
          <t>KONTIK BUSINESS TRAVEL</t>
        </is>
      </c>
      <c r="AQ266" s="6" t="inlineStr">
        <is>
          <t>Suporte KCS</t>
        </is>
      </c>
    </row>
    <row r="267">
      <c r="A267" s="6" t="n">
        <v>23352846</v>
      </c>
      <c r="B267" s="6" t="n">
        <v>24079846</v>
      </c>
      <c r="C267" s="6" t="inlineStr">
        <is>
          <t>ACC01</t>
        </is>
      </c>
      <c r="D267" s="58" t="n">
        <v>45980.36898148148</v>
      </c>
      <c r="E267" s="58" t="n">
        <v>45980.37561342592</v>
      </c>
      <c r="F267" s="6" t="inlineStr">
        <is>
          <t>06 a 08 dias</t>
        </is>
      </c>
      <c r="G267" s="6" t="inlineStr">
        <is>
          <t>06 a 08 dias</t>
        </is>
      </c>
      <c r="H267" s="6" t="inlineStr">
        <is>
          <t>SIUQJH</t>
        </is>
      </c>
      <c r="I267" s="6" t="inlineStr">
        <is>
          <t>SABRE</t>
        </is>
      </c>
      <c r="J267" s="6" t="inlineStr">
        <is>
          <t>YOTSUMOTO/TADASHI</t>
        </is>
      </c>
      <c r="K267" s="6" t="inlineStr">
        <is>
          <t>Itamar de Souza</t>
        </is>
      </c>
      <c r="L267" s="6" t="inlineStr">
        <is>
          <t>Felipe Anderson da Silva</t>
        </is>
      </c>
      <c r="M267" s="58" t="n">
        <v>45979.50763888889</v>
      </c>
      <c r="N267" s="6" t="inlineStr">
        <is>
          <t>SIUQJH</t>
        </is>
      </c>
      <c r="O267" s="6" t="inlineStr">
        <is>
          <t>-</t>
        </is>
      </c>
      <c r="P267" s="6" t="inlineStr">
        <is>
          <t>ON LINE</t>
        </is>
      </c>
      <c r="Q267" s="6" t="inlineStr">
        <is>
          <t>Invoice</t>
        </is>
      </c>
      <c r="R267" s="6" t="inlineStr">
        <is>
          <t>Faturado</t>
        </is>
      </c>
      <c r="S267" s="6" t="inlineStr">
        <is>
          <t>Aéreo</t>
        </is>
      </c>
      <c r="T267" s="6" t="inlineStr">
        <is>
          <t>N</t>
        </is>
      </c>
      <c r="U267" s="6" t="inlineStr">
        <is>
          <t>Grupo Basf</t>
        </is>
      </c>
      <c r="V267" s="6" t="inlineStr">
        <is>
          <t>Basf Sa</t>
        </is>
      </c>
      <c r="W267" s="6" t="inlineStr">
        <is>
          <t>-</t>
        </is>
      </c>
      <c r="X267" s="6" t="inlineStr">
        <is>
          <t>Latam Airlines Brasil</t>
        </is>
      </c>
      <c r="Y267" s="6" t="n">
        <v>5580636966</v>
      </c>
      <c r="Z267" s="6" t="inlineStr">
        <is>
          <t>FCM-OPE-SAO-PVI-BASF</t>
        </is>
      </c>
      <c r="AA267" s="6" t="inlineStr">
        <is>
          <t>-</t>
        </is>
      </c>
      <c r="AB267" s="6" t="n">
        <v>2152.1721</v>
      </c>
      <c r="AC267" s="6" t="n">
        <v>93.48999999999999</v>
      </c>
      <c r="AD267" s="6" t="n">
        <v>0</v>
      </c>
      <c r="AE267" s="6" t="n">
        <v>0</v>
      </c>
      <c r="AF267" s="6" t="n">
        <v>93.48999999999999</v>
      </c>
      <c r="AG267" s="6" t="n">
        <v>0</v>
      </c>
      <c r="AH267" s="6" t="n">
        <v>0</v>
      </c>
      <c r="AI267" s="6" t="inlineStr">
        <is>
          <t>Reserva importada por HubTravel</t>
        </is>
      </c>
      <c r="AJ267" s="6" t="inlineStr">
        <is>
          <t>Finalidade não preenchida! (ACC01)</t>
        </is>
      </c>
      <c r="AK267" s="6" t="inlineStr">
        <is>
          <t>SABRE</t>
        </is>
      </c>
      <c r="AL267" s="6" t="inlineStr">
        <is>
          <t>Finalidade</t>
        </is>
      </c>
      <c r="AM267" s="6" t="inlineStr">
        <is>
          <t>Falta de informação Gerencial</t>
        </is>
      </c>
      <c r="AN267" s="6" t="inlineStr">
        <is>
          <t>Dados do Fornecedor</t>
        </is>
      </c>
      <c r="AO267" s="6" t="inlineStr">
        <is>
          <t>Qualidade dos dados</t>
        </is>
      </c>
      <c r="AP267" s="6" t="inlineStr">
        <is>
          <t>GRUPO KONTIK</t>
        </is>
      </c>
      <c r="AQ267" s="6" t="inlineStr">
        <is>
          <t>Central de Emissão</t>
        </is>
      </c>
    </row>
    <row r="268">
      <c r="A268" s="6" t="n">
        <v>23380999</v>
      </c>
      <c r="B268" s="6" t="n">
        <v>24104711</v>
      </c>
      <c r="C268" s="6" t="inlineStr">
        <is>
          <t>ACC01</t>
        </is>
      </c>
      <c r="D268" s="58" t="n">
        <v>45985.72295138889</v>
      </c>
      <c r="E268" s="58" t="n">
        <v>45986.25420138889</v>
      </c>
      <c r="F268" s="6" t="inlineStr">
        <is>
          <t>0 a 02 dias</t>
        </is>
      </c>
      <c r="G268" s="6" t="inlineStr">
        <is>
          <t>0 a 02 dias</t>
        </is>
      </c>
      <c r="H268" s="6" t="inlineStr">
        <is>
          <t>UJCKVFT</t>
        </is>
      </c>
      <c r="I268" s="6" t="inlineStr">
        <is>
          <t>SABRE</t>
        </is>
      </c>
      <c r="J268" s="6" t="inlineStr">
        <is>
          <t>SILVA FERREIRA/ALINE DE LIRA</t>
        </is>
      </c>
      <c r="K268" s="6" t="inlineStr">
        <is>
          <t>WY</t>
        </is>
      </c>
      <c r="L268" s="6" t="inlineStr">
        <is>
          <t>WY</t>
        </is>
      </c>
      <c r="M268" s="58" t="n">
        <v>45985.30069444444</v>
      </c>
      <c r="N268" s="6" t="inlineStr">
        <is>
          <t>FNTHPA</t>
        </is>
      </c>
      <c r="O268" s="6" t="inlineStr">
        <is>
          <t>-</t>
        </is>
      </c>
      <c r="P268" s="6" t="inlineStr">
        <is>
          <t>OFF LINE</t>
        </is>
      </c>
      <c r="Q268" s="6" t="inlineStr">
        <is>
          <t>Invoice</t>
        </is>
      </c>
      <c r="R268" s="6" t="inlineStr">
        <is>
          <t>Faturado</t>
        </is>
      </c>
      <c r="S268" s="6" t="inlineStr">
        <is>
          <t>Hotel</t>
        </is>
      </c>
      <c r="T268" s="6" t="inlineStr">
        <is>
          <t>N</t>
        </is>
      </c>
      <c r="U268" s="6" t="inlineStr">
        <is>
          <t>Grupo Basf</t>
        </is>
      </c>
      <c r="V268" s="6" t="inlineStr">
        <is>
          <t>Suvinil</t>
        </is>
      </c>
      <c r="W268" s="6" t="inlineStr">
        <is>
          <t>-</t>
        </is>
      </c>
      <c r="X268" s="6" t="inlineStr">
        <is>
          <t>Ibis Sao Bernardo do Campo</t>
        </is>
      </c>
      <c r="Y268" s="6" t="inlineStr">
        <is>
          <t>-</t>
        </is>
      </c>
      <c r="Z268" s="6" t="inlineStr">
        <is>
          <t>FCM-OPE-SAO-PVI-BASF</t>
        </is>
      </c>
      <c r="AA268" s="6" t="inlineStr">
        <is>
          <t>-</t>
        </is>
      </c>
      <c r="AB268" s="6" t="n">
        <v>337</v>
      </c>
      <c r="AC268" s="6" t="n">
        <v>0</v>
      </c>
      <c r="AD268" s="6" t="n">
        <v>0</v>
      </c>
      <c r="AE268" s="6" t="n">
        <v>0</v>
      </c>
      <c r="AF268" s="6" t="n">
        <v>0</v>
      </c>
      <c r="AG268" s="6" t="n">
        <v>0</v>
      </c>
      <c r="AH268" s="6" t="n">
        <v>0</v>
      </c>
      <c r="AI268" s="6" t="inlineStr">
        <is>
          <t>Reserva importada por HubTravel</t>
        </is>
      </c>
      <c r="AJ268" s="6" t="inlineStr">
        <is>
          <t xml:space="preserve">Não foi possível encontrar um contrato válido para o fornecedor 665189 (Código fornecedor) </t>
        </is>
      </c>
      <c r="AK268" s="6" t="inlineStr">
        <is>
          <t>SABRE</t>
        </is>
      </c>
      <c r="AL268" s="6" t="inlineStr">
        <is>
          <t>Contrato de fornecedor</t>
        </is>
      </c>
      <c r="AM268" s="6" t="inlineStr">
        <is>
          <t>Análise Cadastro</t>
        </is>
      </c>
      <c r="AN268" s="6" t="inlineStr">
        <is>
          <t>Dados do Fornecedor</t>
        </is>
      </c>
      <c r="AO268" s="6" t="inlineStr">
        <is>
          <t>Qualidade dos dados</t>
        </is>
      </c>
      <c r="AP268" s="6" t="inlineStr">
        <is>
          <t>KONTIK BUSINESS TRAVEL</t>
        </is>
      </c>
      <c r="AQ268" s="6" t="inlineStr">
        <is>
          <t>Suporte KCS</t>
        </is>
      </c>
    </row>
    <row r="269">
      <c r="A269" s="6" t="n">
        <v>23381003</v>
      </c>
      <c r="B269" s="6" t="n">
        <v>24104714</v>
      </c>
      <c r="C269" s="6" t="inlineStr">
        <is>
          <t>ACC01</t>
        </is>
      </c>
      <c r="D269" s="58" t="n">
        <v>45985.72302083333</v>
      </c>
      <c r="E269" s="58" t="n">
        <v>45986.25421296297</v>
      </c>
      <c r="F269" s="6" t="inlineStr">
        <is>
          <t>0 a 02 dias</t>
        </is>
      </c>
      <c r="G269" s="6" t="inlineStr">
        <is>
          <t>0 a 02 dias</t>
        </is>
      </c>
      <c r="H269" s="6" t="inlineStr">
        <is>
          <t>HZXAFRT</t>
        </is>
      </c>
      <c r="I269" s="6" t="inlineStr">
        <is>
          <t>SABRE</t>
        </is>
      </c>
      <c r="J269" s="6" t="inlineStr">
        <is>
          <t>GABRIELA CABRAL PEDROSA/JULIA</t>
        </is>
      </c>
      <c r="K269" s="6" t="inlineStr">
        <is>
          <t>WY</t>
        </is>
      </c>
      <c r="L269" s="6" t="inlineStr">
        <is>
          <t>WY</t>
        </is>
      </c>
      <c r="M269" s="58" t="n">
        <v>45985.30069444444</v>
      </c>
      <c r="N269" s="6" t="inlineStr">
        <is>
          <t>UN697D</t>
        </is>
      </c>
      <c r="O269" s="6" t="inlineStr">
        <is>
          <t>-</t>
        </is>
      </c>
      <c r="P269" s="6" t="inlineStr">
        <is>
          <t>OFF LINE</t>
        </is>
      </c>
      <c r="Q269" s="6" t="inlineStr">
        <is>
          <t>Invoice</t>
        </is>
      </c>
      <c r="R269" s="6" t="inlineStr">
        <is>
          <t>Faturado</t>
        </is>
      </c>
      <c r="S269" s="6" t="inlineStr">
        <is>
          <t>Hotel</t>
        </is>
      </c>
      <c r="T269" s="6" t="inlineStr">
        <is>
          <t>N</t>
        </is>
      </c>
      <c r="U269" s="6" t="inlineStr">
        <is>
          <t>Grupo Basf</t>
        </is>
      </c>
      <c r="V269" s="6" t="inlineStr">
        <is>
          <t>Suvinil</t>
        </is>
      </c>
      <c r="W269" s="6" t="inlineStr">
        <is>
          <t>-</t>
        </is>
      </c>
      <c r="X269" s="6" t="inlineStr">
        <is>
          <t>Ibis Sao Bernardo do Campo</t>
        </is>
      </c>
      <c r="Y269" s="6" t="inlineStr">
        <is>
          <t>-</t>
        </is>
      </c>
      <c r="Z269" s="6" t="inlineStr">
        <is>
          <t>FCM-OPE-SAO-PVI-BASF</t>
        </is>
      </c>
      <c r="AA269" s="6" t="inlineStr">
        <is>
          <t>-</t>
        </is>
      </c>
      <c r="AB269" s="6" t="n">
        <v>337</v>
      </c>
      <c r="AC269" s="6" t="n">
        <v>0</v>
      </c>
      <c r="AD269" s="6" t="n">
        <v>0</v>
      </c>
      <c r="AE269" s="6" t="n">
        <v>0</v>
      </c>
      <c r="AF269" s="6" t="n">
        <v>0</v>
      </c>
      <c r="AG269" s="6" t="n">
        <v>0</v>
      </c>
      <c r="AH269" s="6" t="n">
        <v>0</v>
      </c>
      <c r="AI269" s="6" t="inlineStr">
        <is>
          <t>Reserva importada por HubTravel</t>
        </is>
      </c>
      <c r="AJ269" s="6" t="inlineStr">
        <is>
          <t xml:space="preserve">Não foi possível encontrar um contrato válido para o fornecedor 665189 (Código fornecedor) </t>
        </is>
      </c>
      <c r="AK269" s="6" t="inlineStr">
        <is>
          <t>SABRE</t>
        </is>
      </c>
      <c r="AL269" s="6" t="inlineStr">
        <is>
          <t>Contrato de fornecedor</t>
        </is>
      </c>
      <c r="AM269" s="6" t="inlineStr">
        <is>
          <t>Análise Cadastro</t>
        </is>
      </c>
      <c r="AN269" s="6" t="inlineStr">
        <is>
          <t>Dados do Fornecedor</t>
        </is>
      </c>
      <c r="AO269" s="6" t="inlineStr">
        <is>
          <t>Qualidade dos dados</t>
        </is>
      </c>
      <c r="AP269" s="6" t="inlineStr">
        <is>
          <t>KONTIK BUSINESS TRAVEL</t>
        </is>
      </c>
      <c r="AQ269" s="6" t="inlineStr">
        <is>
          <t>Suporte KCS</t>
        </is>
      </c>
    </row>
    <row r="270">
      <c r="A270" s="6" t="n">
        <v>23210215</v>
      </c>
      <c r="B270" s="6" t="n">
        <v>23946196</v>
      </c>
      <c r="C270" s="6" t="inlineStr">
        <is>
          <t>ACC01</t>
        </is>
      </c>
      <c r="D270" s="58" t="n">
        <v>45958.59372685185</v>
      </c>
      <c r="E270" s="58" t="n">
        <v>45958.65358796297</v>
      </c>
      <c r="F270" s="59" t="inlineStr">
        <is>
          <t>24 a 31 dias</t>
        </is>
      </c>
      <c r="G270" s="59" t="inlineStr">
        <is>
          <t>24 a 31 dias</t>
        </is>
      </c>
      <c r="H270" s="6" t="inlineStr">
        <is>
          <t>5QJKIC</t>
        </is>
      </c>
      <c r="I270" s="6" t="inlineStr">
        <is>
          <t>TMS</t>
        </is>
      </c>
      <c r="J270" s="6" t="inlineStr">
        <is>
          <t>MARIA DE FATIMA CIRNE</t>
        </is>
      </c>
      <c r="K270" s="6" t="inlineStr">
        <is>
          <t>Adriana Dias de Grano</t>
        </is>
      </c>
      <c r="L270" s="6" t="inlineStr">
        <is>
          <t>Adriana Dias de Grano</t>
        </is>
      </c>
      <c r="M270" s="58" t="n">
        <v>45958.47638888889</v>
      </c>
      <c r="N270" s="6" t="n">
        <v>14980</v>
      </c>
      <c r="O270" s="6" t="inlineStr">
        <is>
          <t>-</t>
        </is>
      </c>
      <c r="P270" s="6" t="inlineStr">
        <is>
          <t>OFF LINE</t>
        </is>
      </c>
      <c r="Q270" s="6" t="inlineStr">
        <is>
          <t>Cartão de crédito</t>
        </is>
      </c>
      <c r="R270" s="6" t="inlineStr">
        <is>
          <t>Faturado</t>
        </is>
      </c>
      <c r="S270" s="6" t="inlineStr">
        <is>
          <t>Hotel</t>
        </is>
      </c>
      <c r="T270" s="6" t="inlineStr">
        <is>
          <t>N</t>
        </is>
      </c>
      <c r="U270" s="6" t="inlineStr">
        <is>
          <t>Grupo Odontoprev</t>
        </is>
      </c>
      <c r="V270" s="6" t="inlineStr">
        <is>
          <t>Odontoprev Servicos Ltda</t>
        </is>
      </c>
      <c r="W270" s="6" t="inlineStr">
        <is>
          <t>-</t>
        </is>
      </c>
      <c r="X270" s="6" t="inlineStr">
        <is>
          <t>-</t>
        </is>
      </c>
      <c r="Y270" s="6" t="inlineStr">
        <is>
          <t>-</t>
        </is>
      </c>
      <c r="Z270" s="6" t="inlineStr">
        <is>
          <t>KON-OPE-SAO-PVI-BTC-ARGO-ODONTOPREV</t>
        </is>
      </c>
      <c r="AA270" s="6" t="inlineStr">
        <is>
          <t>-</t>
        </is>
      </c>
      <c r="AB270" s="6" t="n">
        <v>560</v>
      </c>
      <c r="AC270" s="6" t="n">
        <v>0</v>
      </c>
      <c r="AD270" s="6" t="n">
        <v>0</v>
      </c>
      <c r="AE270" s="6" t="n">
        <v>0</v>
      </c>
      <c r="AF270" s="6" t="n">
        <v>0</v>
      </c>
      <c r="AG270" s="6" t="n">
        <v>0</v>
      </c>
      <c r="AH270" s="6" t="n">
        <v>0</v>
      </c>
      <c r="AI270" s="6" t="inlineStr">
        <is>
          <t>Reserva importada do Sistema TMS. OS: 14980</t>
        </is>
      </c>
      <c r="AJ270" s="6" t="inlineStr">
        <is>
          <t>Fornecedor não preenchido! (ACC01)</t>
        </is>
      </c>
      <c r="AK270" s="6" t="inlineStr">
        <is>
          <t>ARGO(TMS)</t>
        </is>
      </c>
      <c r="AL270" s="6" t="inlineStr">
        <is>
          <t>Falta de Fornecedor</t>
        </is>
      </c>
      <c r="AM270" s="6" t="inlineStr">
        <is>
          <t>Campo Fornecedor</t>
        </is>
      </c>
      <c r="AN270" s="6" t="inlineStr">
        <is>
          <t>Dados do Fornecedor</t>
        </is>
      </c>
      <c r="AO270" s="6" t="inlineStr">
        <is>
          <t>Qualidade dos dados</t>
        </is>
      </c>
      <c r="AP270" s="6" t="inlineStr">
        <is>
          <t>KONTIK BUSINESS TRAVEL</t>
        </is>
      </c>
      <c r="AQ270" s="6" t="inlineStr">
        <is>
          <t>Suporte KCS</t>
        </is>
      </c>
    </row>
    <row r="271">
      <c r="A271" s="6" t="n">
        <v>23212681</v>
      </c>
      <c r="B271" s="6" t="n">
        <v>23948516</v>
      </c>
      <c r="C271" s="6" t="inlineStr">
        <is>
          <t>ACC01</t>
        </is>
      </c>
      <c r="D271" s="58" t="n">
        <v>45958.84501157407</v>
      </c>
      <c r="E271" s="58" t="n">
        <v>45958.90422453704</v>
      </c>
      <c r="F271" s="59" t="inlineStr">
        <is>
          <t>24 a 31 dias</t>
        </is>
      </c>
      <c r="G271" s="59" t="inlineStr">
        <is>
          <t>24 a 31 dias</t>
        </is>
      </c>
      <c r="H271" s="6" t="inlineStr">
        <is>
          <t>5QX45F</t>
        </is>
      </c>
      <c r="I271" s="6" t="inlineStr">
        <is>
          <t>TMS</t>
        </is>
      </c>
      <c r="J271" s="6" t="inlineStr">
        <is>
          <t>ISABEL CHICONELLI G CASQUEIRO</t>
        </is>
      </c>
      <c r="K271" s="6" t="inlineStr">
        <is>
          <t>Tms</t>
        </is>
      </c>
      <c r="L271" s="6" t="inlineStr">
        <is>
          <t>Tms</t>
        </is>
      </c>
      <c r="M271" s="58" t="n">
        <v>45958.64513888889</v>
      </c>
      <c r="N271" s="6" t="n">
        <v>15198</v>
      </c>
      <c r="O271" s="6" t="inlineStr">
        <is>
          <t>-</t>
        </is>
      </c>
      <c r="P271" s="6" t="inlineStr">
        <is>
          <t>ON LINE</t>
        </is>
      </c>
      <c r="Q271" s="6" t="inlineStr">
        <is>
          <t>Cartão de crédito</t>
        </is>
      </c>
      <c r="R271" s="6" t="inlineStr">
        <is>
          <t>Faturado</t>
        </is>
      </c>
      <c r="S271" s="6" t="inlineStr">
        <is>
          <t>Hotel</t>
        </is>
      </c>
      <c r="T271" s="6" t="inlineStr">
        <is>
          <t>N</t>
        </is>
      </c>
      <c r="U271" s="6" t="inlineStr">
        <is>
          <t>Grupo Odontoprev</t>
        </is>
      </c>
      <c r="V271" s="6" t="inlineStr">
        <is>
          <t>Odontoprev S a</t>
        </is>
      </c>
      <c r="W271" s="6" t="inlineStr">
        <is>
          <t>-</t>
        </is>
      </c>
      <c r="X271" s="6" t="inlineStr">
        <is>
          <t>-</t>
        </is>
      </c>
      <c r="Y271" s="6" t="inlineStr">
        <is>
          <t>-</t>
        </is>
      </c>
      <c r="Z271" s="6" t="inlineStr">
        <is>
          <t>KON-OPE-SAO-PVI-BTC-ARGO-ODONTOPREV</t>
        </is>
      </c>
      <c r="AA271" s="6" t="inlineStr">
        <is>
          <t>-</t>
        </is>
      </c>
      <c r="AB271" s="6" t="n">
        <v>282.5</v>
      </c>
      <c r="AC271" s="6" t="n">
        <v>0</v>
      </c>
      <c r="AD271" s="6" t="n">
        <v>0</v>
      </c>
      <c r="AE271" s="6" t="n">
        <v>0</v>
      </c>
      <c r="AF271" s="6" t="n">
        <v>0</v>
      </c>
      <c r="AG271" s="6" t="n">
        <v>0</v>
      </c>
      <c r="AH271" s="6" t="n">
        <v>0</v>
      </c>
      <c r="AI271" s="6" t="inlineStr">
        <is>
          <t>Reserva importada do Sistema TMS. OS: 15198</t>
        </is>
      </c>
      <c r="AJ271" s="6" t="inlineStr">
        <is>
          <t>Fornecedor não preenchido! (ACC01)</t>
        </is>
      </c>
      <c r="AK271" s="6" t="inlineStr">
        <is>
          <t>ARGO(TMS)</t>
        </is>
      </c>
      <c r="AL271" s="6" t="inlineStr">
        <is>
          <t>Falta de Fornecedor</t>
        </is>
      </c>
      <c r="AM271" s="6" t="inlineStr">
        <is>
          <t>Campo Fornecedor</t>
        </is>
      </c>
      <c r="AN271" s="6" t="inlineStr">
        <is>
          <t>Dados do Fornecedor</t>
        </is>
      </c>
      <c r="AO271" s="6" t="inlineStr">
        <is>
          <t>Sistêmico</t>
        </is>
      </c>
      <c r="AP271" s="6" t="inlineStr">
        <is>
          <t>GRUPO KONTIK</t>
        </is>
      </c>
      <c r="AQ271" s="6" t="inlineStr">
        <is>
          <t>Suporte Benner</t>
        </is>
      </c>
    </row>
    <row r="272">
      <c r="A272" s="6" t="n">
        <v>23381509</v>
      </c>
      <c r="B272" s="6" t="n">
        <v>24105206</v>
      </c>
      <c r="C272" s="6" t="inlineStr">
        <is>
          <t>ACC01</t>
        </is>
      </c>
      <c r="D272" s="58" t="n">
        <v>45985.78761574074</v>
      </c>
      <c r="E272" s="58" t="n">
        <v>45985.78770833334</v>
      </c>
      <c r="F272" s="6" t="inlineStr">
        <is>
          <t>0 a 02 dias</t>
        </is>
      </c>
      <c r="G272" s="6" t="inlineStr">
        <is>
          <t>0 a 02 dias</t>
        </is>
      </c>
      <c r="H272" s="6" t="inlineStr">
        <is>
          <t>FALMMVT</t>
        </is>
      </c>
      <c r="I272" s="6" t="inlineStr">
        <is>
          <t>SABRE</t>
        </is>
      </c>
      <c r="J272" s="6" t="inlineStr">
        <is>
          <t>MONTEIRO/NATHALIA PIRES MS</t>
        </is>
      </c>
      <c r="K272" s="6" t="inlineStr">
        <is>
          <t>Adriana Vieira de Freitas dos Santos</t>
        </is>
      </c>
      <c r="L272" s="6" t="inlineStr">
        <is>
          <t>Adriana Vieira de Freitas dos Santos</t>
        </is>
      </c>
      <c r="M272" s="58" t="n">
        <v>45985.64722222222</v>
      </c>
      <c r="N272" s="6" t="inlineStr">
        <is>
          <t>EMAIL</t>
        </is>
      </c>
      <c r="O272" s="6" t="inlineStr">
        <is>
          <t>-</t>
        </is>
      </c>
      <c r="P272" s="6" t="inlineStr">
        <is>
          <t>OFF LINE</t>
        </is>
      </c>
      <c r="Q272" s="6" t="inlineStr">
        <is>
          <t>Pagamento direto</t>
        </is>
      </c>
      <c r="R272" s="6" t="inlineStr">
        <is>
          <t>Pagamento direto</t>
        </is>
      </c>
      <c r="S272" s="6" t="inlineStr">
        <is>
          <t>Hotel</t>
        </is>
      </c>
      <c r="T272" s="6" t="inlineStr">
        <is>
          <t>N</t>
        </is>
      </c>
      <c r="U272" s="6" t="inlineStr">
        <is>
          <t>Grupo Shell</t>
        </is>
      </c>
      <c r="V272" s="6" t="inlineStr">
        <is>
          <t>Shell</t>
        </is>
      </c>
      <c r="W272" s="6" t="inlineStr">
        <is>
          <t>-</t>
        </is>
      </c>
      <c r="X272" s="6" t="inlineStr">
        <is>
          <t>-</t>
        </is>
      </c>
      <c r="Y272" s="6" t="inlineStr">
        <is>
          <t>-</t>
        </is>
      </c>
      <c r="Z272" s="6" t="inlineStr">
        <is>
          <t>FCM-OPE-SAO-PVI-SHELL</t>
        </is>
      </c>
      <c r="AA272" s="6" t="inlineStr">
        <is>
          <t>-</t>
        </is>
      </c>
      <c r="AB272" s="6" t="n">
        <v>4763.808</v>
      </c>
      <c r="AC272" s="6" t="n">
        <v>232.35</v>
      </c>
      <c r="AD272" s="6" t="n">
        <v>0</v>
      </c>
      <c r="AE272" s="6" t="n">
        <v>0</v>
      </c>
      <c r="AF272" s="6" t="n">
        <v>0</v>
      </c>
      <c r="AG272" s="6" t="n">
        <v>0</v>
      </c>
      <c r="AH272" s="6" t="n">
        <v>0</v>
      </c>
      <c r="AI272" s="6" t="inlineStr">
        <is>
          <t>Reserva importada por HubTravel</t>
        </is>
      </c>
      <c r="AJ272" s="6" t="inlineStr">
        <is>
          <t>Fornecedor não preenchido! (ACC01)</t>
        </is>
      </c>
      <c r="AK272" s="6" t="inlineStr">
        <is>
          <t>SABRE</t>
        </is>
      </c>
      <c r="AL272" s="6" t="inlineStr">
        <is>
          <t>Falta de Fornecedor</t>
        </is>
      </c>
      <c r="AM272" s="6" t="inlineStr">
        <is>
          <t>Campo Fornecedor</t>
        </is>
      </c>
      <c r="AN272" s="6" t="inlineStr">
        <is>
          <t>Dados do Fornecedor</t>
        </is>
      </c>
      <c r="AO272" s="6" t="inlineStr">
        <is>
          <t>Qualidade dos dados</t>
        </is>
      </c>
      <c r="AP272" s="6" t="inlineStr">
        <is>
          <t>KONTIK BUSINESS TRAVEL</t>
        </is>
      </c>
      <c r="AQ272" s="6" t="inlineStr">
        <is>
          <t>Suporte KCS</t>
        </is>
      </c>
    </row>
    <row r="273">
      <c r="A273" s="6" t="n">
        <v>23379374</v>
      </c>
      <c r="B273" s="6" t="n">
        <v>24103070</v>
      </c>
      <c r="C273" s="6" t="inlineStr">
        <is>
          <t>ACC01</t>
        </is>
      </c>
      <c r="D273" s="58" t="n">
        <v>45985.5666087963</v>
      </c>
      <c r="E273" s="58" t="n">
        <v>45985.5671875</v>
      </c>
      <c r="F273" s="6" t="inlineStr">
        <is>
          <t>0 a 02 dias</t>
        </is>
      </c>
      <c r="G273" s="6" t="inlineStr">
        <is>
          <t>0 a 02 dias</t>
        </is>
      </c>
      <c r="H273" s="6" t="inlineStr">
        <is>
          <t>NBVMMVT</t>
        </is>
      </c>
      <c r="I273" s="6" t="inlineStr">
        <is>
          <t>SABRE</t>
        </is>
      </c>
      <c r="J273" s="6" t="inlineStr">
        <is>
          <t>CABRAL/LEISE MRS</t>
        </is>
      </c>
      <c r="K273" s="6" t="inlineStr">
        <is>
          <t>Adriana Vieira de Freitas dos Santos</t>
        </is>
      </c>
      <c r="L273" s="6" t="inlineStr">
        <is>
          <t>Adriana Vieira de Freitas dos Santos</t>
        </is>
      </c>
      <c r="M273" s="58" t="n">
        <v>45985.42083333333</v>
      </c>
      <c r="N273" s="6" t="inlineStr">
        <is>
          <t>EMAIL</t>
        </is>
      </c>
      <c r="O273" s="6" t="inlineStr">
        <is>
          <t>-</t>
        </is>
      </c>
      <c r="P273" s="6" t="inlineStr">
        <is>
          <t>OFF LINE</t>
        </is>
      </c>
      <c r="Q273" s="6" t="inlineStr">
        <is>
          <t>Pagamento direto</t>
        </is>
      </c>
      <c r="R273" s="6" t="inlineStr">
        <is>
          <t>Pagamento direto</t>
        </is>
      </c>
      <c r="S273" s="6" t="inlineStr">
        <is>
          <t>Hotel</t>
        </is>
      </c>
      <c r="T273" s="6" t="inlineStr">
        <is>
          <t>N</t>
        </is>
      </c>
      <c r="U273" s="6" t="inlineStr">
        <is>
          <t>Grupo Shell</t>
        </is>
      </c>
      <c r="V273" s="6" t="inlineStr">
        <is>
          <t>Shell</t>
        </is>
      </c>
      <c r="W273" s="6" t="inlineStr">
        <is>
          <t>-</t>
        </is>
      </c>
      <c r="X273" s="6" t="inlineStr">
        <is>
          <t>-</t>
        </is>
      </c>
      <c r="Y273" s="6" t="inlineStr">
        <is>
          <t>-</t>
        </is>
      </c>
      <c r="Z273" s="6" t="inlineStr">
        <is>
          <t>FCM-OPE-SAO-PVI-SHELL</t>
        </is>
      </c>
      <c r="AA273" s="6" t="inlineStr">
        <is>
          <t>-</t>
        </is>
      </c>
      <c r="AB273" s="6" t="n">
        <v>1126</v>
      </c>
      <c r="AC273" s="6" t="n">
        <v>56.3</v>
      </c>
      <c r="AD273" s="6" t="n">
        <v>0</v>
      </c>
      <c r="AE273" s="6" t="n">
        <v>0</v>
      </c>
      <c r="AF273" s="6" t="n">
        <v>0</v>
      </c>
      <c r="AG273" s="6" t="n">
        <v>0</v>
      </c>
      <c r="AH273" s="6" t="n">
        <v>0</v>
      </c>
      <c r="AI273" s="6" t="inlineStr">
        <is>
          <t>Reserva importada por HubTravel</t>
        </is>
      </c>
      <c r="AJ273" s="6" t="inlineStr">
        <is>
          <t>Fornecedor não preenchido! (ACC01)</t>
        </is>
      </c>
      <c r="AK273" s="6" t="inlineStr">
        <is>
          <t>SABRE</t>
        </is>
      </c>
      <c r="AL273" s="6" t="inlineStr">
        <is>
          <t>Falta de Fornecedor</t>
        </is>
      </c>
      <c r="AM273" s="6" t="inlineStr">
        <is>
          <t>Campo Fornecedor</t>
        </is>
      </c>
      <c r="AN273" s="6" t="inlineStr">
        <is>
          <t>Dados do Fornecedor</t>
        </is>
      </c>
      <c r="AO273" s="6" t="inlineStr">
        <is>
          <t>Qualidade dos dados</t>
        </is>
      </c>
      <c r="AP273" s="6" t="inlineStr">
        <is>
          <t>KONTIK BUSINESS TRAVEL</t>
        </is>
      </c>
      <c r="AQ273" s="6" t="inlineStr">
        <is>
          <t>Suporte KCS</t>
        </is>
      </c>
    </row>
    <row r="274">
      <c r="A274" s="6" t="n">
        <v>23349093</v>
      </c>
      <c r="B274" s="6" t="n">
        <v>24076500</v>
      </c>
      <c r="C274" s="6" t="inlineStr">
        <is>
          <t>ACC01</t>
        </is>
      </c>
      <c r="D274" s="58" t="n">
        <v>45979.71886574074</v>
      </c>
      <c r="E274" s="58" t="n">
        <v>45979.73168981481</v>
      </c>
      <c r="F274" s="6" t="inlineStr">
        <is>
          <t>06 a 08 dias</t>
        </is>
      </c>
      <c r="G274" s="6" t="inlineStr">
        <is>
          <t>06 a 08 dias</t>
        </is>
      </c>
      <c r="H274" s="6" t="inlineStr">
        <is>
          <t>JRISZD</t>
        </is>
      </c>
      <c r="I274" s="6" t="inlineStr">
        <is>
          <t>SABRE</t>
        </is>
      </c>
      <c r="J274" s="6" t="inlineStr">
        <is>
          <t>GRIPPA/RHEBEKA</t>
        </is>
      </c>
      <c r="K274" s="6" t="inlineStr">
        <is>
          <t>WS</t>
        </is>
      </c>
      <c r="L274" s="6" t="inlineStr">
        <is>
          <t>WS</t>
        </is>
      </c>
      <c r="M274" s="58" t="n">
        <v>45978.62638888889</v>
      </c>
      <c r="N274" s="6" t="inlineStr">
        <is>
          <t>HZXTTQ</t>
        </is>
      </c>
      <c r="O274" s="6" t="inlineStr">
        <is>
          <t>-</t>
        </is>
      </c>
      <c r="P274" s="6" t="inlineStr">
        <is>
          <t>ON LINE</t>
        </is>
      </c>
      <c r="Q274" s="6" t="inlineStr">
        <is>
          <t>Cartão de crédito</t>
        </is>
      </c>
      <c r="R274" s="6" t="inlineStr">
        <is>
          <t>Cartão AMEX</t>
        </is>
      </c>
      <c r="S274" s="6" t="inlineStr">
        <is>
          <t>Aéreo</t>
        </is>
      </c>
      <c r="T274" s="6" t="inlineStr">
        <is>
          <t>N</t>
        </is>
      </c>
      <c r="U274" s="6" t="inlineStr">
        <is>
          <t>Grupo Adidas</t>
        </is>
      </c>
      <c r="V274" s="6" t="inlineStr">
        <is>
          <t>Adidas do Brasil Ltda</t>
        </is>
      </c>
      <c r="W274" s="6" t="inlineStr">
        <is>
          <t>-</t>
        </is>
      </c>
      <c r="X274" s="6" t="inlineStr">
        <is>
          <t>Gol Linhas Aereas</t>
        </is>
      </c>
      <c r="Y274" s="6" t="n">
        <v>2149693024</v>
      </c>
      <c r="Z274" s="6" t="inlineStr">
        <is>
          <t>FCM-OPE-SAO-PVI-BTC-CONCUR</t>
        </is>
      </c>
      <c r="AA274" s="6" t="inlineStr">
        <is>
          <t>-</t>
        </is>
      </c>
      <c r="AB274" s="6" t="n">
        <v>1400.41</v>
      </c>
      <c r="AC274" s="6" t="n">
        <v>120.57</v>
      </c>
      <c r="AD274" s="6" t="n">
        <v>0</v>
      </c>
      <c r="AE274" s="6" t="n">
        <v>0</v>
      </c>
      <c r="AF274" s="6" t="n">
        <v>0</v>
      </c>
      <c r="AG274" s="6" t="n">
        <v>0</v>
      </c>
      <c r="AH274" s="6" t="n">
        <v>0</v>
      </c>
      <c r="AI274" s="6" t="inlineStr">
        <is>
          <t>Reserva importada por HubTravel</t>
        </is>
      </c>
      <c r="AJ274" s="6" t="inlineStr">
        <is>
          <t>Matrícula não preenchida! (ACC01) Nível funcionário não preenchido! (ACC01)</t>
        </is>
      </c>
      <c r="AK274" s="6" t="inlineStr">
        <is>
          <t>SABRE</t>
        </is>
      </c>
      <c r="AL274" s="6" t="inlineStr">
        <is>
          <t>Mais de um campo não preenchido</t>
        </is>
      </c>
      <c r="AM274" s="6" t="inlineStr">
        <is>
          <t>Falta de informação Gerencial</t>
        </is>
      </c>
      <c r="AN274" s="6" t="inlineStr">
        <is>
          <t>Dados do Fornecedor</t>
        </is>
      </c>
      <c r="AO274" s="6" t="inlineStr">
        <is>
          <t>Qualidade dos dados</t>
        </is>
      </c>
      <c r="AP274" s="6" t="inlineStr">
        <is>
          <t>KONTIK BUSINESS TRAVEL</t>
        </is>
      </c>
      <c r="AQ274" s="6" t="inlineStr">
        <is>
          <t>Suporte KCS</t>
        </is>
      </c>
    </row>
    <row r="275">
      <c r="A275" s="6" t="n">
        <v>23364405</v>
      </c>
      <c r="B275" s="6" t="n">
        <v>24090462</v>
      </c>
      <c r="C275" s="6" t="inlineStr">
        <is>
          <t>ACC01</t>
        </is>
      </c>
      <c r="D275" s="58" t="n">
        <v>45982.37039351852</v>
      </c>
      <c r="E275" s="58" t="n">
        <v>45982.37633101852</v>
      </c>
      <c r="F275" s="6" t="inlineStr">
        <is>
          <t>03 a 05 dias</t>
        </is>
      </c>
      <c r="G275" s="6" t="inlineStr">
        <is>
          <t>03 a 05 dias</t>
        </is>
      </c>
      <c r="H275" s="6" t="inlineStr">
        <is>
          <t>MOJEDKT</t>
        </is>
      </c>
      <c r="I275" s="6" t="inlineStr">
        <is>
          <t>SABRE</t>
        </is>
      </c>
      <c r="J275" s="6" t="inlineStr">
        <is>
          <t>UNGARETTI/MARCOS VINICIUS QUEIROZ</t>
        </is>
      </c>
      <c r="K275" s="6" t="inlineStr">
        <is>
          <t>WS</t>
        </is>
      </c>
      <c r="L275" s="6" t="inlineStr">
        <is>
          <t>WS</t>
        </is>
      </c>
      <c r="M275" s="58" t="n">
        <v>45980.59444444445</v>
      </c>
      <c r="N275" s="6" t="inlineStr">
        <is>
          <t>MOJEDK</t>
        </is>
      </c>
      <c r="O275" s="6" t="inlineStr">
        <is>
          <t>-</t>
        </is>
      </c>
      <c r="P275" s="6" t="inlineStr">
        <is>
          <t>ON LINE</t>
        </is>
      </c>
      <c r="Q275" s="6" t="inlineStr">
        <is>
          <t>Pagamento direto</t>
        </is>
      </c>
      <c r="R275" s="6" t="inlineStr">
        <is>
          <t>Pagamento direto</t>
        </is>
      </c>
      <c r="S275" s="6" t="inlineStr">
        <is>
          <t>Hotel</t>
        </is>
      </c>
      <c r="T275" s="6" t="inlineStr">
        <is>
          <t>N</t>
        </is>
      </c>
      <c r="U275" s="6" t="inlineStr">
        <is>
          <t>Grupo Adidas</t>
        </is>
      </c>
      <c r="V275" s="6" t="inlineStr">
        <is>
          <t>Adidas do Brasil Ltda</t>
        </is>
      </c>
      <c r="W275" s="6" t="inlineStr">
        <is>
          <t>-</t>
        </is>
      </c>
      <c r="X275" s="6" t="inlineStr">
        <is>
          <t>-</t>
        </is>
      </c>
      <c r="Y275" s="6" t="inlineStr">
        <is>
          <t>-</t>
        </is>
      </c>
      <c r="Z275" s="6" t="inlineStr">
        <is>
          <t>FCM-OPE-SAO-PVI-BTC-CONCUR</t>
        </is>
      </c>
      <c r="AA275" s="6" t="inlineStr">
        <is>
          <t>-</t>
        </is>
      </c>
      <c r="AB275" s="6" t="n">
        <v>4802.4</v>
      </c>
      <c r="AC275" s="6" t="n">
        <v>90</v>
      </c>
      <c r="AD275" s="6" t="n">
        <v>0</v>
      </c>
      <c r="AE275" s="6" t="n">
        <v>0</v>
      </c>
      <c r="AF275" s="6" t="n">
        <v>0</v>
      </c>
      <c r="AG275" s="6" t="n">
        <v>0</v>
      </c>
      <c r="AH275" s="6" t="n">
        <v>0</v>
      </c>
      <c r="AI275" s="6" t="inlineStr">
        <is>
          <t>Reserva importada por HubTravel</t>
        </is>
      </c>
      <c r="AJ275" s="6" t="inlineStr">
        <is>
          <t>Fornecedor não preenchido! (ACC01)</t>
        </is>
      </c>
      <c r="AK275" s="6" t="inlineStr">
        <is>
          <t>SABRE</t>
        </is>
      </c>
      <c r="AL275" s="6" t="inlineStr">
        <is>
          <t>Falta de Fornecedor</t>
        </is>
      </c>
      <c r="AM275" s="6" t="inlineStr">
        <is>
          <t>Campo Fornecedor</t>
        </is>
      </c>
      <c r="AN275" s="6" t="inlineStr">
        <is>
          <t>Dados do Fornecedor</t>
        </is>
      </c>
      <c r="AO275" s="6" t="inlineStr">
        <is>
          <t>Sistêmico</t>
        </is>
      </c>
      <c r="AP275" s="6" t="inlineStr">
        <is>
          <t>GRUPO KONTIK</t>
        </is>
      </c>
      <c r="AQ275" s="6" t="inlineStr">
        <is>
          <t>Suporte Benner</t>
        </is>
      </c>
    </row>
    <row r="276">
      <c r="A276" s="6" t="n">
        <v>23342302</v>
      </c>
      <c r="B276" s="6" t="n">
        <v>24070058</v>
      </c>
      <c r="C276" s="6" t="inlineStr">
        <is>
          <t>ACC01</t>
        </is>
      </c>
      <c r="D276" s="58" t="n">
        <v>45978.78766203704</v>
      </c>
      <c r="E276" s="58" t="n">
        <v>45979.59627314815</v>
      </c>
      <c r="F276" s="6" t="inlineStr">
        <is>
          <t>06 a 08 dias</t>
        </is>
      </c>
      <c r="G276" s="6" t="inlineStr">
        <is>
          <t>06 a 08 dias</t>
        </is>
      </c>
      <c r="H276" s="6" t="inlineStr">
        <is>
          <t>EPZHULT</t>
        </is>
      </c>
      <c r="I276" s="6" t="inlineStr">
        <is>
          <t>SABRE</t>
        </is>
      </c>
      <c r="J276" s="6" t="inlineStr">
        <is>
          <t>SDEI/RICARDO</t>
        </is>
      </c>
      <c r="K276" s="6" t="inlineStr">
        <is>
          <t>WS</t>
        </is>
      </c>
      <c r="L276" s="6" t="inlineStr">
        <is>
          <t>WS</t>
        </is>
      </c>
      <c r="M276" s="58" t="n">
        <v>45978.45902777778</v>
      </c>
      <c r="N276" s="6" t="inlineStr">
        <is>
          <t>EPZHUL</t>
        </is>
      </c>
      <c r="O276" s="6" t="inlineStr">
        <is>
          <t>-</t>
        </is>
      </c>
      <c r="P276" s="6" t="inlineStr">
        <is>
          <t>ON LINE</t>
        </is>
      </c>
      <c r="Q276" s="6" t="inlineStr">
        <is>
          <t>Pagamento direto</t>
        </is>
      </c>
      <c r="R276" s="6" t="inlineStr">
        <is>
          <t>Pagamento direto</t>
        </is>
      </c>
      <c r="S276" s="6" t="inlineStr">
        <is>
          <t>Hotel</t>
        </is>
      </c>
      <c r="T276" s="6" t="inlineStr">
        <is>
          <t>N</t>
        </is>
      </c>
      <c r="U276" s="6" t="inlineStr">
        <is>
          <t>Grupo Adidas</t>
        </is>
      </c>
      <c r="V276" s="6" t="inlineStr">
        <is>
          <t>Adidas do Brasil Ltda</t>
        </is>
      </c>
      <c r="W276" s="6" t="inlineStr">
        <is>
          <t>-</t>
        </is>
      </c>
      <c r="X276" s="6" t="inlineStr">
        <is>
          <t>-</t>
        </is>
      </c>
      <c r="Y276" s="6" t="inlineStr">
        <is>
          <t>-</t>
        </is>
      </c>
      <c r="Z276" s="6" t="inlineStr">
        <is>
          <t>FCM-OPE-SAO-PVI-BTC-CONCUR</t>
        </is>
      </c>
      <c r="AA276" s="6" t="inlineStr">
        <is>
          <t>-</t>
        </is>
      </c>
      <c r="AB276" s="6" t="n">
        <v>3730.08</v>
      </c>
      <c r="AC276" s="6" t="n">
        <v>0</v>
      </c>
      <c r="AD276" s="6" t="n">
        <v>0</v>
      </c>
      <c r="AE276" s="6" t="n">
        <v>0</v>
      </c>
      <c r="AF276" s="6" t="n">
        <v>0</v>
      </c>
      <c r="AG276" s="6" t="n">
        <v>0</v>
      </c>
      <c r="AH276" s="6" t="n">
        <v>0</v>
      </c>
      <c r="AI276" s="6" t="inlineStr">
        <is>
          <t>Reserva importada por HubTravel</t>
        </is>
      </c>
      <c r="AJ276" s="6" t="inlineStr">
        <is>
          <t>Fornecedor não preenchido! (ACC01)</t>
        </is>
      </c>
      <c r="AK276" s="6" t="inlineStr">
        <is>
          <t>SABRE</t>
        </is>
      </c>
      <c r="AL276" s="6" t="inlineStr">
        <is>
          <t>Falta de Fornecedor</t>
        </is>
      </c>
      <c r="AM276" s="6" t="inlineStr">
        <is>
          <t>Campo Fornecedor</t>
        </is>
      </c>
      <c r="AN276" s="6" t="inlineStr">
        <is>
          <t>Dados do Fornecedor</t>
        </is>
      </c>
      <c r="AO276" s="6" t="inlineStr">
        <is>
          <t>Sistêmico</t>
        </is>
      </c>
      <c r="AP276" s="6" t="inlineStr">
        <is>
          <t>GRUPO KONTIK</t>
        </is>
      </c>
      <c r="AQ276" s="6" t="inlineStr">
        <is>
          <t>Suporte Benner</t>
        </is>
      </c>
    </row>
    <row r="277">
      <c r="A277" s="6" t="n">
        <v>23308557</v>
      </c>
      <c r="B277" s="6" t="n">
        <v>24038832</v>
      </c>
      <c r="C277" s="6" t="inlineStr">
        <is>
          <t>ACC01</t>
        </is>
      </c>
      <c r="D277" s="58" t="n">
        <v>45973.35739583334</v>
      </c>
      <c r="E277" s="58" t="n">
        <v>45973.35775462963</v>
      </c>
      <c r="F277" s="6" t="inlineStr">
        <is>
          <t>09 a 15 dias</t>
        </is>
      </c>
      <c r="G277" s="6" t="inlineStr">
        <is>
          <t>09 a 15 dias</t>
        </is>
      </c>
      <c r="H277" s="6" t="n">
        <v>4625816</v>
      </c>
      <c r="I277" s="6" t="inlineStr">
        <is>
          <t>GOVER</t>
        </is>
      </c>
      <c r="J277" s="6" t="inlineStr">
        <is>
          <t>FÁBIO SOARES BARBOSA</t>
        </is>
      </c>
      <c r="K277" s="6" t="inlineStr">
        <is>
          <t>Loizy Lima de Oliveira</t>
        </is>
      </c>
      <c r="L277" s="6" t="inlineStr">
        <is>
          <t>Loizy Lima de Oliveira</t>
        </is>
      </c>
      <c r="M277" s="58" t="n">
        <v>45973</v>
      </c>
      <c r="N277" s="6" t="n">
        <v>4625816</v>
      </c>
      <c r="O277" s="6" t="inlineStr">
        <is>
          <t>-</t>
        </is>
      </c>
      <c r="P277" s="6" t="inlineStr">
        <is>
          <t>OFF LINE</t>
        </is>
      </c>
      <c r="Q277" s="6" t="inlineStr">
        <is>
          <t>Cartão de crédito</t>
        </is>
      </c>
      <c r="R277" s="6" t="inlineStr">
        <is>
          <t>Cartão de crédito</t>
        </is>
      </c>
      <c r="S277" s="6" t="inlineStr">
        <is>
          <t>Hotel</t>
        </is>
      </c>
      <c r="T277" s="6" t="inlineStr">
        <is>
          <t>N</t>
        </is>
      </c>
      <c r="U277" s="6" t="inlineStr">
        <is>
          <t>Grupo Patria</t>
        </is>
      </c>
      <c r="V277" s="6" t="inlineStr">
        <is>
          <t>Elis Energia</t>
        </is>
      </c>
      <c r="W277" s="6" t="inlineStr">
        <is>
          <t>-</t>
        </is>
      </c>
      <c r="X277" s="6" t="inlineStr">
        <is>
          <t>-</t>
        </is>
      </c>
      <c r="Y277" s="6" t="inlineStr">
        <is>
          <t>-</t>
        </is>
      </c>
      <c r="Z277" s="6" t="inlineStr">
        <is>
          <t>KON-OPE-RIO-PVI-PATRIA</t>
        </is>
      </c>
      <c r="AA277" s="6" t="inlineStr">
        <is>
          <t>-</t>
        </is>
      </c>
      <c r="AB277" s="6" t="n">
        <v>2340</v>
      </c>
      <c r="AC277" s="6" t="n">
        <v>0</v>
      </c>
      <c r="AD277" s="6" t="n">
        <v>0</v>
      </c>
      <c r="AE277" s="6" t="n">
        <v>0</v>
      </c>
      <c r="AF277" s="6" t="n">
        <v>0</v>
      </c>
      <c r="AG277" s="6" t="n">
        <v>0</v>
      </c>
      <c r="AH277" s="6" t="n">
        <v>0</v>
      </c>
      <c r="AI277" s="6" t="inlineStr">
        <is>
          <t>Reserva importada do sistema Gover. Id: 4625816</t>
        </is>
      </c>
      <c r="AJ277" s="6" t="inlineStr">
        <is>
          <t>Fornecedor não preenchido! (ACC01)</t>
        </is>
      </c>
      <c r="AK277" s="6" t="inlineStr">
        <is>
          <t>GOVER</t>
        </is>
      </c>
      <c r="AL277" s="6" t="inlineStr">
        <is>
          <t>Falta de Fornecedor</t>
        </is>
      </c>
      <c r="AM277" s="6" t="inlineStr">
        <is>
          <t>Campo Fornecedor</t>
        </is>
      </c>
      <c r="AN277" s="6" t="inlineStr">
        <is>
          <t>Dados do Fornecedor</t>
        </is>
      </c>
      <c r="AO277" s="6" t="inlineStr">
        <is>
          <t>Sistêmico</t>
        </is>
      </c>
      <c r="AP277" s="6" t="inlineStr">
        <is>
          <t>GRUPO KONTIK</t>
        </is>
      </c>
      <c r="AQ277" s="6" t="inlineStr">
        <is>
          <t>Suporte Benner</t>
        </is>
      </c>
    </row>
    <row r="278">
      <c r="A278" s="6" t="n">
        <v>23380422</v>
      </c>
      <c r="B278" s="6" t="n">
        <v>24104115</v>
      </c>
      <c r="C278" s="6" t="inlineStr">
        <is>
          <t>ACC01</t>
        </is>
      </c>
      <c r="D278" s="58" t="n">
        <v>45985.70259259259</v>
      </c>
      <c r="E278" s="58" t="n">
        <v>45986.09425925926</v>
      </c>
      <c r="F278" s="6" t="inlineStr">
        <is>
          <t>0 a 02 dias</t>
        </is>
      </c>
      <c r="G278" s="6" t="inlineStr">
        <is>
          <t>0 a 02 dias</t>
        </is>
      </c>
      <c r="H278" s="6" t="inlineStr">
        <is>
          <t>5UY1TX</t>
        </is>
      </c>
      <c r="I278" s="6" t="inlineStr">
        <is>
          <t>TMS</t>
        </is>
      </c>
      <c r="J278" s="6" t="inlineStr">
        <is>
          <t>MARCIO HENRIQUE PEREIRA CAMILO</t>
        </is>
      </c>
      <c r="K278" s="6" t="inlineStr">
        <is>
          <t>Tms</t>
        </is>
      </c>
      <c r="L278" s="6" t="inlineStr">
        <is>
          <t>Tms</t>
        </is>
      </c>
      <c r="M278" s="58" t="n">
        <v>45985.48819444444</v>
      </c>
      <c r="N278" s="6" t="n">
        <v>28356</v>
      </c>
      <c r="O278" s="6" t="inlineStr">
        <is>
          <t>-</t>
        </is>
      </c>
      <c r="P278" s="6" t="inlineStr">
        <is>
          <t>OFF LINE</t>
        </is>
      </c>
      <c r="Q278" s="6" t="inlineStr">
        <is>
          <t>Invoice</t>
        </is>
      </c>
      <c r="R278" s="6" t="inlineStr">
        <is>
          <t>Faturado</t>
        </is>
      </c>
      <c r="S278" s="6" t="inlineStr">
        <is>
          <t>Serviço</t>
        </is>
      </c>
      <c r="T278" s="6" t="inlineStr">
        <is>
          <t>N</t>
        </is>
      </c>
      <c r="U278" s="6" t="inlineStr">
        <is>
          <t>Grupo Enaex</t>
        </is>
      </c>
      <c r="V278" s="6" t="inlineStr">
        <is>
          <t>Enaex</t>
        </is>
      </c>
      <c r="W278" s="6" t="inlineStr">
        <is>
          <t>-</t>
        </is>
      </c>
      <c r="X278" s="6" t="inlineStr">
        <is>
          <t>-</t>
        </is>
      </c>
      <c r="Y278" s="6" t="inlineStr">
        <is>
          <t>-</t>
        </is>
      </c>
      <c r="Z278" s="6" t="inlineStr">
        <is>
          <t>KON-OPE-RIO-PVI-ENAEX</t>
        </is>
      </c>
      <c r="AA278" s="6" t="inlineStr">
        <is>
          <t>-</t>
        </is>
      </c>
      <c r="AB278" s="6" t="n">
        <v>170</v>
      </c>
      <c r="AC278" s="6" t="n">
        <v>41.55</v>
      </c>
      <c r="AD278" s="6" t="n">
        <v>0</v>
      </c>
      <c r="AE278" s="6" t="n">
        <v>0</v>
      </c>
      <c r="AF278" s="6" t="n">
        <v>0</v>
      </c>
      <c r="AG278" s="6" t="n">
        <v>0</v>
      </c>
      <c r="AH278" s="6" t="n">
        <v>0</v>
      </c>
      <c r="AI278" s="6" t="inlineStr">
        <is>
          <t>Reserva importada do Sistema TMS. OS: 28356</t>
        </is>
      </c>
      <c r="AJ278" s="6" t="inlineStr">
        <is>
          <t>Fornecedor não preenchido! (ACC01)</t>
        </is>
      </c>
      <c r="AK278" s="6" t="inlineStr">
        <is>
          <t>ARGO(TMS)</t>
        </is>
      </c>
      <c r="AL278" s="6" t="inlineStr">
        <is>
          <t>Falta de Fornecedor</t>
        </is>
      </c>
      <c r="AM278" s="6" t="inlineStr">
        <is>
          <t>Campo Fornecedor</t>
        </is>
      </c>
      <c r="AN278" s="6" t="inlineStr">
        <is>
          <t>Dados do Fornecedor</t>
        </is>
      </c>
      <c r="AO278" s="6" t="inlineStr">
        <is>
          <t>Qualidade dos dados</t>
        </is>
      </c>
      <c r="AP278" s="6" t="inlineStr">
        <is>
          <t>KONTIK BUSINESS TRAVEL</t>
        </is>
      </c>
      <c r="AQ278" s="6" t="inlineStr">
        <is>
          <t>Suporte KCS</t>
        </is>
      </c>
    </row>
    <row r="279">
      <c r="A279" s="6" t="n">
        <v>23383515</v>
      </c>
      <c r="B279" s="6" t="n">
        <v>24106979</v>
      </c>
      <c r="C279" s="6" t="inlineStr">
        <is>
          <t>ACC01</t>
        </is>
      </c>
      <c r="D279" s="58" t="n">
        <v>45986.20417824074</v>
      </c>
      <c r="E279" s="58" t="n">
        <v>45986.21570601852</v>
      </c>
      <c r="F279" s="6" t="inlineStr">
        <is>
          <t>0 a 02 dias</t>
        </is>
      </c>
      <c r="G279" s="6" t="inlineStr">
        <is>
          <t>0 a 02 dias</t>
        </is>
      </c>
      <c r="H279" s="6" t="inlineStr">
        <is>
          <t>5UDNE3</t>
        </is>
      </c>
      <c r="I279" s="6" t="inlineStr">
        <is>
          <t>TMS</t>
        </is>
      </c>
      <c r="J279" s="6" t="inlineStr">
        <is>
          <t>VANDECARLOS LOURENCO DOS SANTOS</t>
        </is>
      </c>
      <c r="K279" s="6" t="inlineStr">
        <is>
          <t>Loizy Lima de Oliveira</t>
        </is>
      </c>
      <c r="L279" s="6" t="inlineStr">
        <is>
          <t>Loizy Lima de Oliveira</t>
        </is>
      </c>
      <c r="M279" s="58" t="n">
        <v>45985.73888888889</v>
      </c>
      <c r="N279" s="6" t="n">
        <v>28357</v>
      </c>
      <c r="O279" s="6" t="inlineStr">
        <is>
          <t>-</t>
        </is>
      </c>
      <c r="P279" s="6" t="inlineStr">
        <is>
          <t>OFF LINE</t>
        </is>
      </c>
      <c r="Q279" s="6" t="inlineStr">
        <is>
          <t>Invoice</t>
        </is>
      </c>
      <c r="R279" s="6" t="inlineStr">
        <is>
          <t>Faturado</t>
        </is>
      </c>
      <c r="S279" s="6" t="inlineStr">
        <is>
          <t>Serviço</t>
        </is>
      </c>
      <c r="T279" s="6" t="inlineStr">
        <is>
          <t>N</t>
        </is>
      </c>
      <c r="U279" s="6" t="inlineStr">
        <is>
          <t>Grupo Enaex</t>
        </is>
      </c>
      <c r="V279" s="6" t="inlineStr">
        <is>
          <t>Enaex</t>
        </is>
      </c>
      <c r="W279" s="6" t="inlineStr">
        <is>
          <t>-</t>
        </is>
      </c>
      <c r="X279" s="6" t="inlineStr">
        <is>
          <t>-</t>
        </is>
      </c>
      <c r="Y279" s="6" t="inlineStr">
        <is>
          <t>-</t>
        </is>
      </c>
      <c r="Z279" s="6" t="inlineStr">
        <is>
          <t>KON-OPE-RIO-PVI-ENAEX</t>
        </is>
      </c>
      <c r="AA279" s="6" t="inlineStr">
        <is>
          <t>-</t>
        </is>
      </c>
      <c r="AB279" s="6" t="n">
        <v>211.55</v>
      </c>
      <c r="AC279" s="6" t="n">
        <v>0</v>
      </c>
      <c r="AD279" s="6" t="n">
        <v>0</v>
      </c>
      <c r="AE279" s="6" t="n">
        <v>0</v>
      </c>
      <c r="AF279" s="6" t="n">
        <v>0</v>
      </c>
      <c r="AG279" s="6" t="n">
        <v>0</v>
      </c>
      <c r="AH279" s="6" t="n">
        <v>0</v>
      </c>
      <c r="AI279" s="6" t="inlineStr">
        <is>
          <t>Reserva importada do Sistema TMS. OS: 28357</t>
        </is>
      </c>
      <c r="AJ279" s="6" t="inlineStr">
        <is>
          <t>Fornecedor não preenchido! (ACC01)</t>
        </is>
      </c>
      <c r="AK279" s="6" t="inlineStr">
        <is>
          <t>ARGO(TMS)</t>
        </is>
      </c>
      <c r="AL279" s="6" t="inlineStr">
        <is>
          <t>Falta de Fornecedor</t>
        </is>
      </c>
      <c r="AM279" s="6" t="inlineStr">
        <is>
          <t>Campo Fornecedor</t>
        </is>
      </c>
      <c r="AN279" s="6" t="inlineStr">
        <is>
          <t>Dados do Fornecedor</t>
        </is>
      </c>
      <c r="AO279" s="6" t="inlineStr">
        <is>
          <t>Qualidade dos dados</t>
        </is>
      </c>
      <c r="AP279" s="6" t="inlineStr">
        <is>
          <t>KONTIK BUSINESS TRAVEL</t>
        </is>
      </c>
      <c r="AQ279" s="6" t="inlineStr">
        <is>
          <t>Suporte KCS</t>
        </is>
      </c>
    </row>
    <row r="280">
      <c r="A280" s="6" t="n">
        <v>23383516</v>
      </c>
      <c r="B280" s="6" t="n">
        <v>24106980</v>
      </c>
      <c r="C280" s="6" t="inlineStr">
        <is>
          <t>ACC01</t>
        </is>
      </c>
      <c r="D280" s="58" t="n">
        <v>45986.20421296296</v>
      </c>
      <c r="E280" s="58" t="n">
        <v>45986.21570601852</v>
      </c>
      <c r="F280" s="6" t="inlineStr">
        <is>
          <t>0 a 02 dias</t>
        </is>
      </c>
      <c r="G280" s="6" t="inlineStr">
        <is>
          <t>0 a 02 dias</t>
        </is>
      </c>
      <c r="H280" s="6" t="inlineStr">
        <is>
          <t>5UVL3C</t>
        </is>
      </c>
      <c r="I280" s="6" t="inlineStr">
        <is>
          <t>TMS</t>
        </is>
      </c>
      <c r="J280" s="6" t="inlineStr">
        <is>
          <t>ALAILSON SILVA</t>
        </is>
      </c>
      <c r="K280" s="6" t="inlineStr">
        <is>
          <t>Loizy Lima de Oliveira</t>
        </is>
      </c>
      <c r="L280" s="6" t="inlineStr">
        <is>
          <t>Loizy Lima de Oliveira</t>
        </is>
      </c>
      <c r="M280" s="58" t="n">
        <v>45985.74097222222</v>
      </c>
      <c r="N280" s="6" t="n">
        <v>28355</v>
      </c>
      <c r="O280" s="6" t="inlineStr">
        <is>
          <t>-</t>
        </is>
      </c>
      <c r="P280" s="6" t="inlineStr">
        <is>
          <t>OFF LINE</t>
        </is>
      </c>
      <c r="Q280" s="6" t="inlineStr">
        <is>
          <t>Invoice</t>
        </is>
      </c>
      <c r="R280" s="6" t="inlineStr">
        <is>
          <t>Faturado</t>
        </is>
      </c>
      <c r="S280" s="6" t="inlineStr">
        <is>
          <t>Serviço</t>
        </is>
      </c>
      <c r="T280" s="6" t="inlineStr">
        <is>
          <t>N</t>
        </is>
      </c>
      <c r="U280" s="6" t="inlineStr">
        <is>
          <t>Grupo Enaex</t>
        </is>
      </c>
      <c r="V280" s="6" t="inlineStr">
        <is>
          <t>Enaex</t>
        </is>
      </c>
      <c r="W280" s="6" t="inlineStr">
        <is>
          <t>-</t>
        </is>
      </c>
      <c r="X280" s="6" t="inlineStr">
        <is>
          <t>-</t>
        </is>
      </c>
      <c r="Y280" s="6" t="inlineStr">
        <is>
          <t>-</t>
        </is>
      </c>
      <c r="Z280" s="6" t="inlineStr">
        <is>
          <t>KON-OPE-RIO-PVI-ENAEX</t>
        </is>
      </c>
      <c r="AA280" s="6" t="inlineStr">
        <is>
          <t>-</t>
        </is>
      </c>
      <c r="AB280" s="6" t="n">
        <v>211.55</v>
      </c>
      <c r="AC280" s="6" t="n">
        <v>0</v>
      </c>
      <c r="AD280" s="6" t="n">
        <v>0</v>
      </c>
      <c r="AE280" s="6" t="n">
        <v>0</v>
      </c>
      <c r="AF280" s="6" t="n">
        <v>0</v>
      </c>
      <c r="AG280" s="6" t="n">
        <v>0</v>
      </c>
      <c r="AH280" s="6" t="n">
        <v>0</v>
      </c>
      <c r="AI280" s="6" t="inlineStr">
        <is>
          <t>Reserva importada do Sistema TMS. OS: 28355</t>
        </is>
      </c>
      <c r="AJ280" s="6" t="inlineStr">
        <is>
          <t>Fornecedor não preenchido! (ACC01)</t>
        </is>
      </c>
      <c r="AK280" s="6" t="inlineStr">
        <is>
          <t>ARGO(TMS)</t>
        </is>
      </c>
      <c r="AL280" s="6" t="inlineStr">
        <is>
          <t>Falta de Fornecedor</t>
        </is>
      </c>
      <c r="AM280" s="6" t="inlineStr">
        <is>
          <t>Campo Fornecedor</t>
        </is>
      </c>
      <c r="AN280" s="6" t="inlineStr">
        <is>
          <t>Dados do Fornecedor</t>
        </is>
      </c>
      <c r="AO280" s="6" t="inlineStr">
        <is>
          <t>Qualidade dos dados</t>
        </is>
      </c>
      <c r="AP280" s="6" t="inlineStr">
        <is>
          <t>KONTIK BUSINESS TRAVEL</t>
        </is>
      </c>
      <c r="AQ280" s="6" t="inlineStr">
        <is>
          <t>Suporte KCS</t>
        </is>
      </c>
    </row>
    <row r="281">
      <c r="A281" s="6" t="n">
        <v>23383518</v>
      </c>
      <c r="B281" s="6" t="n">
        <v>24106982</v>
      </c>
      <c r="C281" s="6" t="inlineStr">
        <is>
          <t>ACC01</t>
        </is>
      </c>
      <c r="D281" s="58" t="n">
        <v>45986.20425925926</v>
      </c>
      <c r="E281" s="58" t="n">
        <v>45986.2158912037</v>
      </c>
      <c r="F281" s="6" t="inlineStr">
        <is>
          <t>0 a 02 dias</t>
        </is>
      </c>
      <c r="G281" s="6" t="inlineStr">
        <is>
          <t>0 a 02 dias</t>
        </is>
      </c>
      <c r="H281" s="6" t="inlineStr">
        <is>
          <t>5U6ND3</t>
        </is>
      </c>
      <c r="I281" s="6" t="inlineStr">
        <is>
          <t>TMS</t>
        </is>
      </c>
      <c r="J281" s="6" t="inlineStr">
        <is>
          <t>FABIO SANTOS</t>
        </is>
      </c>
      <c r="K281" s="6" t="inlineStr">
        <is>
          <t>Loizy Lima de Oliveira</t>
        </is>
      </c>
      <c r="L281" s="6" t="inlineStr">
        <is>
          <t>Loizy Lima de Oliveira</t>
        </is>
      </c>
      <c r="M281" s="58" t="n">
        <v>45985.74583333333</v>
      </c>
      <c r="N281" s="6" t="n">
        <v>28353</v>
      </c>
      <c r="O281" s="6" t="inlineStr">
        <is>
          <t>-</t>
        </is>
      </c>
      <c r="P281" s="6" t="inlineStr">
        <is>
          <t>OFF LINE</t>
        </is>
      </c>
      <c r="Q281" s="6" t="inlineStr">
        <is>
          <t>Invoice</t>
        </is>
      </c>
      <c r="R281" s="6" t="inlineStr">
        <is>
          <t>Faturado</t>
        </is>
      </c>
      <c r="S281" s="6" t="inlineStr">
        <is>
          <t>Serviço</t>
        </is>
      </c>
      <c r="T281" s="6" t="inlineStr">
        <is>
          <t>N</t>
        </is>
      </c>
      <c r="U281" s="6" t="inlineStr">
        <is>
          <t>Grupo Enaex</t>
        </is>
      </c>
      <c r="V281" s="6" t="inlineStr">
        <is>
          <t>Enaex</t>
        </is>
      </c>
      <c r="W281" s="6" t="inlineStr">
        <is>
          <t>-</t>
        </is>
      </c>
      <c r="X281" s="6" t="inlineStr">
        <is>
          <t>-</t>
        </is>
      </c>
      <c r="Y281" s="6" t="inlineStr">
        <is>
          <t>-</t>
        </is>
      </c>
      <c r="Z281" s="6" t="inlineStr">
        <is>
          <t>KON-OPE-RIO-PVI-ENAEX</t>
        </is>
      </c>
      <c r="AA281" s="6" t="inlineStr">
        <is>
          <t>-</t>
        </is>
      </c>
      <c r="AB281" s="6" t="n">
        <v>211.55</v>
      </c>
      <c r="AC281" s="6" t="n">
        <v>0</v>
      </c>
      <c r="AD281" s="6" t="n">
        <v>0</v>
      </c>
      <c r="AE281" s="6" t="n">
        <v>0</v>
      </c>
      <c r="AF281" s="6" t="n">
        <v>0</v>
      </c>
      <c r="AG281" s="6" t="n">
        <v>0</v>
      </c>
      <c r="AH281" s="6" t="n">
        <v>0</v>
      </c>
      <c r="AI281" s="6" t="inlineStr">
        <is>
          <t>Reserva importada do Sistema TMS. OS: 28353</t>
        </is>
      </c>
      <c r="AJ281" s="6" t="inlineStr">
        <is>
          <t>Fornecedor não preenchido! (ACC01)</t>
        </is>
      </c>
      <c r="AK281" s="6" t="inlineStr">
        <is>
          <t>ARGO(TMS)</t>
        </is>
      </c>
      <c r="AL281" s="6" t="inlineStr">
        <is>
          <t>Falta de Fornecedor</t>
        </is>
      </c>
      <c r="AM281" s="6" t="inlineStr">
        <is>
          <t>Campo Fornecedor</t>
        </is>
      </c>
      <c r="AN281" s="6" t="inlineStr">
        <is>
          <t>Dados do Fornecedor</t>
        </is>
      </c>
      <c r="AO281" s="6" t="inlineStr">
        <is>
          <t>Qualidade dos dados</t>
        </is>
      </c>
      <c r="AP281" s="6" t="inlineStr">
        <is>
          <t>KONTIK BUSINESS TRAVEL</t>
        </is>
      </c>
      <c r="AQ281" s="6" t="inlineStr">
        <is>
          <t>Suporte KCS</t>
        </is>
      </c>
    </row>
    <row r="282">
      <c r="A282" s="6" t="n">
        <v>23366678</v>
      </c>
      <c r="B282" s="6" t="n">
        <v>24092711</v>
      </c>
      <c r="C282" s="6" t="inlineStr">
        <is>
          <t>ACC01</t>
        </is>
      </c>
      <c r="D282" s="58" t="n">
        <v>45982.66163194444</v>
      </c>
      <c r="E282" s="58" t="n">
        <v>45986.09064814815</v>
      </c>
      <c r="F282" s="6" t="inlineStr">
        <is>
          <t>0 a 02 dias</t>
        </is>
      </c>
      <c r="G282" s="6" t="inlineStr">
        <is>
          <t>03 a 05 dias</t>
        </is>
      </c>
      <c r="H282" s="6" t="inlineStr">
        <is>
          <t>5UKSUB</t>
        </is>
      </c>
      <c r="I282" s="6" t="inlineStr">
        <is>
          <t>TMS</t>
        </is>
      </c>
      <c r="J282" s="6" t="inlineStr">
        <is>
          <t>WELSON SILVA</t>
        </is>
      </c>
      <c r="K282" s="6" t="inlineStr">
        <is>
          <t>Tms</t>
        </is>
      </c>
      <c r="L282" s="6" t="inlineStr">
        <is>
          <t>Tms</t>
        </is>
      </c>
      <c r="M282" s="58" t="n">
        <v>45982.42916666667</v>
      </c>
      <c r="N282" s="6" t="n">
        <v>28289</v>
      </c>
      <c r="O282" s="6" t="inlineStr">
        <is>
          <t>-</t>
        </is>
      </c>
      <c r="P282" s="6" t="inlineStr">
        <is>
          <t>OFF LINE</t>
        </is>
      </c>
      <c r="Q282" s="6" t="inlineStr">
        <is>
          <t>Invoice</t>
        </is>
      </c>
      <c r="R282" s="6" t="inlineStr">
        <is>
          <t>Faturado</t>
        </is>
      </c>
      <c r="S282" s="6" t="inlineStr">
        <is>
          <t>Serviço</t>
        </is>
      </c>
      <c r="T282" s="6" t="inlineStr">
        <is>
          <t>N</t>
        </is>
      </c>
      <c r="U282" s="6" t="inlineStr">
        <is>
          <t>Grupo Enaex</t>
        </is>
      </c>
      <c r="V282" s="6" t="inlineStr">
        <is>
          <t>Enaex</t>
        </is>
      </c>
      <c r="W282" s="6" t="inlineStr">
        <is>
          <t>-</t>
        </is>
      </c>
      <c r="X282" s="6" t="inlineStr">
        <is>
          <t>-</t>
        </is>
      </c>
      <c r="Y282" s="6" t="inlineStr">
        <is>
          <t>-</t>
        </is>
      </c>
      <c r="Z282" s="6" t="inlineStr">
        <is>
          <t>KON-OPE-RIO-PVI-ENAEX</t>
        </is>
      </c>
      <c r="AA282" s="6" t="inlineStr">
        <is>
          <t>-</t>
        </is>
      </c>
      <c r="AB282" s="6" t="n">
        <v>389.99</v>
      </c>
      <c r="AC282" s="6" t="n">
        <v>81.14</v>
      </c>
      <c r="AD282" s="6" t="n">
        <v>0</v>
      </c>
      <c r="AE282" s="6" t="n">
        <v>0</v>
      </c>
      <c r="AF282" s="6" t="n">
        <v>0</v>
      </c>
      <c r="AG282" s="6" t="n">
        <v>0</v>
      </c>
      <c r="AH282" s="6" t="n">
        <v>0</v>
      </c>
      <c r="AI282" s="6" t="inlineStr">
        <is>
          <t>Reserva importada do Sistema TMS. OS: 28289</t>
        </is>
      </c>
      <c r="AJ282" s="6" t="inlineStr">
        <is>
          <t>Fornecedor não preenchido! (ACC01)</t>
        </is>
      </c>
      <c r="AK282" s="6" t="inlineStr">
        <is>
          <t>ARGO(TMS)</t>
        </is>
      </c>
      <c r="AL282" s="6" t="inlineStr">
        <is>
          <t>Falta de Fornecedor</t>
        </is>
      </c>
      <c r="AM282" s="6" t="inlineStr">
        <is>
          <t>Campo Fornecedor</t>
        </is>
      </c>
      <c r="AN282" s="6" t="inlineStr">
        <is>
          <t>Dados do Fornecedor</t>
        </is>
      </c>
      <c r="AO282" s="6" t="inlineStr">
        <is>
          <t>Qualidade dos dados</t>
        </is>
      </c>
      <c r="AP282" s="6" t="inlineStr">
        <is>
          <t>KONTIK BUSINESS TRAVEL</t>
        </is>
      </c>
      <c r="AQ282" s="6" t="inlineStr">
        <is>
          <t>Suporte KCS</t>
        </is>
      </c>
    </row>
    <row r="283">
      <c r="A283" s="6" t="n">
        <v>23329217</v>
      </c>
      <c r="B283" s="6" t="n">
        <v>24058651</v>
      </c>
      <c r="C283" s="6" t="inlineStr">
        <is>
          <t>ACC01</t>
        </is>
      </c>
      <c r="D283" s="58" t="n">
        <v>45976.06135416667</v>
      </c>
      <c r="E283" s="58" t="n">
        <v>45976.06626157407</v>
      </c>
      <c r="F283" s="6" t="inlineStr">
        <is>
          <t>09 a 15 dias</t>
        </is>
      </c>
      <c r="G283" s="6" t="inlineStr">
        <is>
          <t>09 a 15 dias</t>
        </is>
      </c>
      <c r="H283" s="6" t="inlineStr">
        <is>
          <t>5T12BG</t>
        </is>
      </c>
      <c r="I283" s="6" t="inlineStr">
        <is>
          <t>TMS</t>
        </is>
      </c>
      <c r="J283" s="6" t="inlineStr">
        <is>
          <t>LUCAS SOUZA</t>
        </is>
      </c>
      <c r="K283" s="6" t="inlineStr">
        <is>
          <t>Alexandre Isidio da Silva</t>
        </is>
      </c>
      <c r="L283" s="6" t="inlineStr">
        <is>
          <t>Alexandre Isidio da Silva</t>
        </is>
      </c>
      <c r="M283" s="58" t="n">
        <v>45975.45694444444</v>
      </c>
      <c r="N283" s="6" t="n">
        <v>28101</v>
      </c>
      <c r="O283" s="6" t="inlineStr">
        <is>
          <t>-</t>
        </is>
      </c>
      <c r="P283" s="6" t="inlineStr">
        <is>
          <t>OFF LINE</t>
        </is>
      </c>
      <c r="Q283" s="6" t="inlineStr">
        <is>
          <t>Cartão de crédito</t>
        </is>
      </c>
      <c r="R283" s="6" t="inlineStr">
        <is>
          <t>Cartão de crédito</t>
        </is>
      </c>
      <c r="S283" s="6" t="inlineStr">
        <is>
          <t>Hotel</t>
        </is>
      </c>
      <c r="T283" s="6" t="inlineStr">
        <is>
          <t>N</t>
        </is>
      </c>
      <c r="U283" s="6" t="inlineStr">
        <is>
          <t>Grupo Enaex</t>
        </is>
      </c>
      <c r="V283" s="6" t="inlineStr">
        <is>
          <t>Enaex</t>
        </is>
      </c>
      <c r="W283" s="6" t="inlineStr">
        <is>
          <t>-</t>
        </is>
      </c>
      <c r="X283" s="6" t="inlineStr">
        <is>
          <t>-</t>
        </is>
      </c>
      <c r="Y283" s="6" t="inlineStr">
        <is>
          <t>-</t>
        </is>
      </c>
      <c r="Z283" s="6" t="inlineStr">
        <is>
          <t>KON-OPE-RIO-PVI-ENAEX</t>
        </is>
      </c>
      <c r="AA283" s="6" t="inlineStr">
        <is>
          <t>-</t>
        </is>
      </c>
      <c r="AB283" s="6" t="n">
        <v>990</v>
      </c>
      <c r="AC283" s="6" t="n">
        <v>0</v>
      </c>
      <c r="AD283" s="6" t="n">
        <v>0</v>
      </c>
      <c r="AE283" s="6" t="n">
        <v>0</v>
      </c>
      <c r="AF283" s="6" t="n">
        <v>0</v>
      </c>
      <c r="AG283" s="6" t="n">
        <v>49.5</v>
      </c>
      <c r="AH283" s="6" t="n">
        <v>0</v>
      </c>
      <c r="AI283" s="6" t="inlineStr">
        <is>
          <t>Reserva importada do Sistema TMS. OS: 28101</t>
        </is>
      </c>
      <c r="AJ283" s="6" t="inlineStr">
        <is>
          <t>Fornecedor não preenchido! (ACC01)</t>
        </is>
      </c>
      <c r="AK283" s="6" t="inlineStr">
        <is>
          <t>ARGO(TMS)</t>
        </is>
      </c>
      <c r="AL283" s="6" t="inlineStr">
        <is>
          <t>Falta de Fornecedor</t>
        </is>
      </c>
      <c r="AM283" s="6" t="inlineStr">
        <is>
          <t>Campo Fornecedor</t>
        </is>
      </c>
      <c r="AN283" s="6" t="inlineStr">
        <is>
          <t>Dados do Fornecedor</t>
        </is>
      </c>
      <c r="AO283" s="6" t="inlineStr">
        <is>
          <t>Qualidade dos dados</t>
        </is>
      </c>
      <c r="AP283" s="6" t="inlineStr">
        <is>
          <t>KONTIK BUSINESS TRAVEL</t>
        </is>
      </c>
      <c r="AQ283" s="6" t="inlineStr">
        <is>
          <t>Suporte KCS</t>
        </is>
      </c>
    </row>
    <row r="284">
      <c r="A284" s="6" t="n">
        <v>23340263</v>
      </c>
      <c r="B284" s="6" t="n">
        <v>24068035</v>
      </c>
      <c r="C284" s="6" t="inlineStr">
        <is>
          <t>ACC01</t>
        </is>
      </c>
      <c r="D284" s="58" t="n">
        <v>45978.6059837963</v>
      </c>
      <c r="E284" s="58" t="n">
        <v>45986.08699074074</v>
      </c>
      <c r="F284" s="6" t="inlineStr">
        <is>
          <t>0 a 02 dias</t>
        </is>
      </c>
      <c r="G284" s="6" t="inlineStr">
        <is>
          <t>06 a 08 dias</t>
        </is>
      </c>
      <c r="H284" s="6" t="inlineStr">
        <is>
          <t>5T1W85</t>
        </is>
      </c>
      <c r="I284" s="6" t="inlineStr">
        <is>
          <t>TMS</t>
        </is>
      </c>
      <c r="J284" s="6" t="inlineStr">
        <is>
          <t>DANIEL SILVA</t>
        </is>
      </c>
      <c r="K284" s="6" t="inlineStr">
        <is>
          <t>Tms</t>
        </is>
      </c>
      <c r="L284" s="6" t="inlineStr">
        <is>
          <t>Tms</t>
        </is>
      </c>
      <c r="M284" s="58" t="n">
        <v>45978.35625</v>
      </c>
      <c r="N284" s="6" t="n">
        <v>28185</v>
      </c>
      <c r="O284" s="6" t="inlineStr">
        <is>
          <t>-</t>
        </is>
      </c>
      <c r="P284" s="6" t="inlineStr">
        <is>
          <t>OFF LINE</t>
        </is>
      </c>
      <c r="Q284" s="6" t="inlineStr">
        <is>
          <t>Invoice</t>
        </is>
      </c>
      <c r="R284" s="6" t="inlineStr">
        <is>
          <t>Faturado</t>
        </is>
      </c>
      <c r="S284" s="6" t="inlineStr">
        <is>
          <t>Serviço</t>
        </is>
      </c>
      <c r="T284" s="6" t="inlineStr">
        <is>
          <t>N</t>
        </is>
      </c>
      <c r="U284" s="6" t="inlineStr">
        <is>
          <t>Grupo Enaex</t>
        </is>
      </c>
      <c r="V284" s="6" t="inlineStr">
        <is>
          <t>Enaex</t>
        </is>
      </c>
      <c r="W284" s="6" t="inlineStr">
        <is>
          <t>-</t>
        </is>
      </c>
      <c r="X284" s="6" t="inlineStr">
        <is>
          <t>-</t>
        </is>
      </c>
      <c r="Y284" s="6" t="inlineStr">
        <is>
          <t>-</t>
        </is>
      </c>
      <c r="Z284" s="6" t="inlineStr">
        <is>
          <t>KON-OPE-RIO-PVI-ENAEX</t>
        </is>
      </c>
      <c r="AA284" s="6" t="inlineStr">
        <is>
          <t>-</t>
        </is>
      </c>
      <c r="AB284" s="6" t="n">
        <v>203.15</v>
      </c>
      <c r="AC284" s="6" t="n">
        <v>32.5</v>
      </c>
      <c r="AD284" s="6" t="n">
        <v>0</v>
      </c>
      <c r="AE284" s="6" t="n">
        <v>0</v>
      </c>
      <c r="AF284" s="6" t="n">
        <v>0</v>
      </c>
      <c r="AG284" s="6" t="n">
        <v>0</v>
      </c>
      <c r="AH284" s="6" t="n">
        <v>0</v>
      </c>
      <c r="AI284" s="6" t="inlineStr">
        <is>
          <t>Reserva importada do Sistema TMS. OS: 28185</t>
        </is>
      </c>
      <c r="AJ284" s="6" t="inlineStr">
        <is>
          <t>Fornecedor não preenchido! (ACC01)</t>
        </is>
      </c>
      <c r="AK284" s="6" t="inlineStr">
        <is>
          <t>ARGO(TMS)</t>
        </is>
      </c>
      <c r="AL284" s="6" t="inlineStr">
        <is>
          <t>Falta de Fornecedor</t>
        </is>
      </c>
      <c r="AM284" s="6" t="inlineStr">
        <is>
          <t>Campo Fornecedor</t>
        </is>
      </c>
      <c r="AN284" s="6" t="inlineStr">
        <is>
          <t>Dados do Fornecedor</t>
        </is>
      </c>
      <c r="AO284" s="6" t="inlineStr">
        <is>
          <t>Qualidade dos dados</t>
        </is>
      </c>
      <c r="AP284" s="6" t="inlineStr">
        <is>
          <t>KONTIK BUSINESS TRAVEL</t>
        </is>
      </c>
      <c r="AQ284" s="6" t="inlineStr">
        <is>
          <t>Suporte KCS</t>
        </is>
      </c>
    </row>
    <row r="285">
      <c r="A285" s="6" t="n">
        <v>23340259</v>
      </c>
      <c r="B285" s="6" t="n">
        <v>24068031</v>
      </c>
      <c r="C285" s="6" t="inlineStr">
        <is>
          <t>ACC01</t>
        </is>
      </c>
      <c r="D285" s="58" t="n">
        <v>45978.60587962963</v>
      </c>
      <c r="E285" s="58" t="n">
        <v>45986.08699074074</v>
      </c>
      <c r="F285" s="6" t="inlineStr">
        <is>
          <t>0 a 02 dias</t>
        </is>
      </c>
      <c r="G285" s="6" t="inlineStr">
        <is>
          <t>06 a 08 dias</t>
        </is>
      </c>
      <c r="H285" s="6" t="inlineStr">
        <is>
          <t>5T7Q8T</t>
        </is>
      </c>
      <c r="I285" s="6" t="inlineStr">
        <is>
          <t>TMS</t>
        </is>
      </c>
      <c r="J285" s="6" t="inlineStr">
        <is>
          <t>VALDECI MARQUES</t>
        </is>
      </c>
      <c r="K285" s="6" t="inlineStr">
        <is>
          <t>Tms</t>
        </is>
      </c>
      <c r="L285" s="6" t="inlineStr">
        <is>
          <t>Tms</t>
        </is>
      </c>
      <c r="M285" s="58" t="n">
        <v>45978.36527777778</v>
      </c>
      <c r="N285" s="6" t="n">
        <v>28187</v>
      </c>
      <c r="O285" s="6" t="inlineStr">
        <is>
          <t>-</t>
        </is>
      </c>
      <c r="P285" s="6" t="inlineStr">
        <is>
          <t>OFF LINE</t>
        </is>
      </c>
      <c r="Q285" s="6" t="inlineStr">
        <is>
          <t>Invoice</t>
        </is>
      </c>
      <c r="R285" s="6" t="inlineStr">
        <is>
          <t>Faturado</t>
        </is>
      </c>
      <c r="S285" s="6" t="inlineStr">
        <is>
          <t>Serviço</t>
        </is>
      </c>
      <c r="T285" s="6" t="inlineStr">
        <is>
          <t>N</t>
        </is>
      </c>
      <c r="U285" s="6" t="inlineStr">
        <is>
          <t>Grupo Enaex</t>
        </is>
      </c>
      <c r="V285" s="6" t="inlineStr">
        <is>
          <t>Enaex</t>
        </is>
      </c>
      <c r="W285" s="6" t="inlineStr">
        <is>
          <t>-</t>
        </is>
      </c>
      <c r="X285" s="6" t="inlineStr">
        <is>
          <t>-</t>
        </is>
      </c>
      <c r="Y285" s="6" t="inlineStr">
        <is>
          <t>-</t>
        </is>
      </c>
      <c r="Z285" s="6" t="inlineStr">
        <is>
          <t>KON-OPE-RIO-PVI-ENAEX</t>
        </is>
      </c>
      <c r="AA285" s="6" t="inlineStr">
        <is>
          <t>-</t>
        </is>
      </c>
      <c r="AB285" s="6" t="n">
        <v>203.15</v>
      </c>
      <c r="AC285" s="6" t="n">
        <v>32.5</v>
      </c>
      <c r="AD285" s="6" t="n">
        <v>0</v>
      </c>
      <c r="AE285" s="6" t="n">
        <v>0</v>
      </c>
      <c r="AF285" s="6" t="n">
        <v>0</v>
      </c>
      <c r="AG285" s="6" t="n">
        <v>0</v>
      </c>
      <c r="AH285" s="6" t="n">
        <v>0</v>
      </c>
      <c r="AI285" s="6" t="inlineStr">
        <is>
          <t>Reserva importada do Sistema TMS. OS: 28187</t>
        </is>
      </c>
      <c r="AJ285" s="6" t="inlineStr">
        <is>
          <t>Fornecedor não preenchido! (ACC01)</t>
        </is>
      </c>
      <c r="AK285" s="6" t="inlineStr">
        <is>
          <t>ARGO(TMS)</t>
        </is>
      </c>
      <c r="AL285" s="6" t="inlineStr">
        <is>
          <t>Falta de Fornecedor</t>
        </is>
      </c>
      <c r="AM285" s="6" t="inlineStr">
        <is>
          <t>Campo Fornecedor</t>
        </is>
      </c>
      <c r="AN285" s="6" t="inlineStr">
        <is>
          <t>Dados do Fornecedor</t>
        </is>
      </c>
      <c r="AO285" s="6" t="inlineStr">
        <is>
          <t>Qualidade dos dados</t>
        </is>
      </c>
      <c r="AP285" s="6" t="inlineStr">
        <is>
          <t>KONTIK BUSINESS TRAVEL</t>
        </is>
      </c>
      <c r="AQ285" s="6" t="inlineStr">
        <is>
          <t>Suporte KCS</t>
        </is>
      </c>
    </row>
    <row r="286">
      <c r="A286" s="6" t="n">
        <v>23340261</v>
      </c>
      <c r="B286" s="6" t="n">
        <v>24068033</v>
      </c>
      <c r="C286" s="6" t="inlineStr">
        <is>
          <t>ACC01</t>
        </is>
      </c>
      <c r="D286" s="58" t="n">
        <v>45978.60592592593</v>
      </c>
      <c r="E286" s="58" t="n">
        <v>45986.08699074074</v>
      </c>
      <c r="F286" s="6" t="inlineStr">
        <is>
          <t>0 a 02 dias</t>
        </is>
      </c>
      <c r="G286" s="6" t="inlineStr">
        <is>
          <t>06 a 08 dias</t>
        </is>
      </c>
      <c r="H286" s="6" t="inlineStr">
        <is>
          <t>5TO185</t>
        </is>
      </c>
      <c r="I286" s="6" t="inlineStr">
        <is>
          <t>TMS</t>
        </is>
      </c>
      <c r="J286" s="6" t="inlineStr">
        <is>
          <t>GILVAN SANTOS</t>
        </is>
      </c>
      <c r="K286" s="6" t="inlineStr">
        <is>
          <t>Tms</t>
        </is>
      </c>
      <c r="L286" s="6" t="inlineStr">
        <is>
          <t>Tms</t>
        </is>
      </c>
      <c r="M286" s="58" t="n">
        <v>45978.36527777778</v>
      </c>
      <c r="N286" s="6" t="n">
        <v>28186</v>
      </c>
      <c r="O286" s="6" t="inlineStr">
        <is>
          <t>-</t>
        </is>
      </c>
      <c r="P286" s="6" t="inlineStr">
        <is>
          <t>OFF LINE</t>
        </is>
      </c>
      <c r="Q286" s="6" t="inlineStr">
        <is>
          <t>Invoice</t>
        </is>
      </c>
      <c r="R286" s="6" t="inlineStr">
        <is>
          <t>Faturado</t>
        </is>
      </c>
      <c r="S286" s="6" t="inlineStr">
        <is>
          <t>Serviço</t>
        </is>
      </c>
      <c r="T286" s="6" t="inlineStr">
        <is>
          <t>N</t>
        </is>
      </c>
      <c r="U286" s="6" t="inlineStr">
        <is>
          <t>Grupo Enaex</t>
        </is>
      </c>
      <c r="V286" s="6" t="inlineStr">
        <is>
          <t>Enaex</t>
        </is>
      </c>
      <c r="W286" s="6" t="inlineStr">
        <is>
          <t>-</t>
        </is>
      </c>
      <c r="X286" s="6" t="inlineStr">
        <is>
          <t>-</t>
        </is>
      </c>
      <c r="Y286" s="6" t="inlineStr">
        <is>
          <t>-</t>
        </is>
      </c>
      <c r="Z286" s="6" t="inlineStr">
        <is>
          <t>KON-OPE-RIO-PVI-ENAEX</t>
        </is>
      </c>
      <c r="AA286" s="6" t="inlineStr">
        <is>
          <t>-</t>
        </is>
      </c>
      <c r="AB286" s="6" t="n">
        <v>203.15</v>
      </c>
      <c r="AC286" s="6" t="n">
        <v>32.5</v>
      </c>
      <c r="AD286" s="6" t="n">
        <v>0</v>
      </c>
      <c r="AE286" s="6" t="n">
        <v>0</v>
      </c>
      <c r="AF286" s="6" t="n">
        <v>0</v>
      </c>
      <c r="AG286" s="6" t="n">
        <v>0</v>
      </c>
      <c r="AH286" s="6" t="n">
        <v>0</v>
      </c>
      <c r="AI286" s="6" t="inlineStr">
        <is>
          <t>Reserva importada do Sistema TMS. OS: 28186</t>
        </is>
      </c>
      <c r="AJ286" s="6" t="inlineStr">
        <is>
          <t>Fornecedor não preenchido! (ACC01)</t>
        </is>
      </c>
      <c r="AK286" s="6" t="inlineStr">
        <is>
          <t>ARGO(TMS)</t>
        </is>
      </c>
      <c r="AL286" s="6" t="inlineStr">
        <is>
          <t>Falta de Fornecedor</t>
        </is>
      </c>
      <c r="AM286" s="6" t="inlineStr">
        <is>
          <t>Campo Fornecedor</t>
        </is>
      </c>
      <c r="AN286" s="6" t="inlineStr">
        <is>
          <t>Dados do Fornecedor</t>
        </is>
      </c>
      <c r="AO286" s="6" t="inlineStr">
        <is>
          <t>Qualidade dos dados</t>
        </is>
      </c>
      <c r="AP286" s="6" t="inlineStr">
        <is>
          <t>KONTIK BUSINESS TRAVEL</t>
        </is>
      </c>
      <c r="AQ286" s="6" t="inlineStr">
        <is>
          <t>Suporte KCS</t>
        </is>
      </c>
    </row>
    <row r="287">
      <c r="A287" s="6" t="n">
        <v>23340243</v>
      </c>
      <c r="B287" s="6" t="n">
        <v>24068017</v>
      </c>
      <c r="C287" s="6" t="inlineStr">
        <is>
          <t>ACC01</t>
        </is>
      </c>
      <c r="D287" s="58" t="n">
        <v>45978.60533564815</v>
      </c>
      <c r="E287" s="58" t="n">
        <v>45986.08699074074</v>
      </c>
      <c r="F287" s="6" t="inlineStr">
        <is>
          <t>0 a 02 dias</t>
        </is>
      </c>
      <c r="G287" s="6" t="inlineStr">
        <is>
          <t>06 a 08 dias</t>
        </is>
      </c>
      <c r="H287" s="6" t="inlineStr">
        <is>
          <t>5THMK5</t>
        </is>
      </c>
      <c r="I287" s="6" t="inlineStr">
        <is>
          <t>TMS</t>
        </is>
      </c>
      <c r="J287" s="6" t="inlineStr">
        <is>
          <t>ALESANDRO SILVA</t>
        </is>
      </c>
      <c r="K287" s="6" t="inlineStr">
        <is>
          <t>Tms</t>
        </is>
      </c>
      <c r="L287" s="6" t="inlineStr">
        <is>
          <t>Tms</t>
        </is>
      </c>
      <c r="M287" s="58" t="n">
        <v>45978.52638888889</v>
      </c>
      <c r="N287" s="6" t="n">
        <v>28210</v>
      </c>
      <c r="O287" s="6" t="inlineStr">
        <is>
          <t>-</t>
        </is>
      </c>
      <c r="P287" s="6" t="inlineStr">
        <is>
          <t>OFF LINE</t>
        </is>
      </c>
      <c r="Q287" s="6" t="inlineStr">
        <is>
          <t>Invoice</t>
        </is>
      </c>
      <c r="R287" s="6" t="inlineStr">
        <is>
          <t>Faturado</t>
        </is>
      </c>
      <c r="S287" s="6" t="inlineStr">
        <is>
          <t>Serviço</t>
        </is>
      </c>
      <c r="T287" s="6" t="inlineStr">
        <is>
          <t>N</t>
        </is>
      </c>
      <c r="U287" s="6" t="inlineStr">
        <is>
          <t>Grupo Enaex</t>
        </is>
      </c>
      <c r="V287" s="6" t="inlineStr">
        <is>
          <t>Enaex</t>
        </is>
      </c>
      <c r="W287" s="6" t="inlineStr">
        <is>
          <t>-</t>
        </is>
      </c>
      <c r="X287" s="6" t="inlineStr">
        <is>
          <t>-</t>
        </is>
      </c>
      <c r="Y287" s="6" t="inlineStr">
        <is>
          <t>-</t>
        </is>
      </c>
      <c r="Z287" s="6" t="inlineStr">
        <is>
          <t>KON-OPE-RIO-PVI-ENAEX</t>
        </is>
      </c>
      <c r="AA287" s="6" t="inlineStr">
        <is>
          <t>-</t>
        </is>
      </c>
      <c r="AB287" s="6" t="n">
        <v>161.87</v>
      </c>
      <c r="AC287" s="6" t="n">
        <v>40.08</v>
      </c>
      <c r="AD287" s="6" t="n">
        <v>0</v>
      </c>
      <c r="AE287" s="6" t="n">
        <v>0</v>
      </c>
      <c r="AF287" s="6" t="n">
        <v>0</v>
      </c>
      <c r="AG287" s="6" t="n">
        <v>0</v>
      </c>
      <c r="AH287" s="6" t="n">
        <v>0</v>
      </c>
      <c r="AI287" s="6" t="inlineStr">
        <is>
          <t>Reserva importada do Sistema TMS. OS: 28210</t>
        </is>
      </c>
      <c r="AJ287" s="6" t="inlineStr">
        <is>
          <t>Fornecedor não preenchido! (ACC01)</t>
        </is>
      </c>
      <c r="AK287" s="6" t="inlineStr">
        <is>
          <t>ARGO(TMS)</t>
        </is>
      </c>
      <c r="AL287" s="6" t="inlineStr">
        <is>
          <t>Falta de Fornecedor</t>
        </is>
      </c>
      <c r="AM287" s="6" t="inlineStr">
        <is>
          <t>Campo Fornecedor</t>
        </is>
      </c>
      <c r="AN287" s="6" t="inlineStr">
        <is>
          <t>Dados do Fornecedor</t>
        </is>
      </c>
      <c r="AO287" s="6" t="inlineStr">
        <is>
          <t>Qualidade dos dados</t>
        </is>
      </c>
      <c r="AP287" s="6" t="inlineStr">
        <is>
          <t>KONTIK BUSINESS TRAVEL</t>
        </is>
      </c>
      <c r="AQ287" s="6" t="inlineStr">
        <is>
          <t>Suporte KCS</t>
        </is>
      </c>
    </row>
    <row r="288">
      <c r="A288" s="6" t="n">
        <v>23347936</v>
      </c>
      <c r="B288" s="6" t="n">
        <v>24075315</v>
      </c>
      <c r="C288" s="6" t="inlineStr">
        <is>
          <t>ACC01</t>
        </is>
      </c>
      <c r="D288" s="58" t="n">
        <v>45979.61758101852</v>
      </c>
      <c r="E288" s="58" t="n">
        <v>45986.08700231482</v>
      </c>
      <c r="F288" s="6" t="inlineStr">
        <is>
          <t>0 a 02 dias</t>
        </is>
      </c>
      <c r="G288" s="6" t="inlineStr">
        <is>
          <t>06 a 08 dias</t>
        </is>
      </c>
      <c r="H288" s="6" t="inlineStr">
        <is>
          <t>5TTHTU</t>
        </is>
      </c>
      <c r="I288" s="6" t="inlineStr">
        <is>
          <t>TMS</t>
        </is>
      </c>
      <c r="J288" s="6" t="inlineStr">
        <is>
          <t>GUSTAVO AZEVEDO MIRANDA</t>
        </is>
      </c>
      <c r="K288" s="6" t="inlineStr">
        <is>
          <t>Tms</t>
        </is>
      </c>
      <c r="L288" s="6" t="inlineStr">
        <is>
          <t>Tms</t>
        </is>
      </c>
      <c r="M288" s="58" t="n">
        <v>45979.58333333334</v>
      </c>
      <c r="N288" s="6" t="n">
        <v>28245</v>
      </c>
      <c r="O288" s="6" t="inlineStr">
        <is>
          <t>-</t>
        </is>
      </c>
      <c r="P288" s="6" t="inlineStr">
        <is>
          <t>OFF LINE</t>
        </is>
      </c>
      <c r="Q288" s="6" t="inlineStr">
        <is>
          <t>Invoice</t>
        </is>
      </c>
      <c r="R288" s="6" t="inlineStr">
        <is>
          <t>Faturado</t>
        </is>
      </c>
      <c r="S288" s="6" t="inlineStr">
        <is>
          <t>Serviço</t>
        </is>
      </c>
      <c r="T288" s="6" t="inlineStr">
        <is>
          <t>N</t>
        </is>
      </c>
      <c r="U288" s="6" t="inlineStr">
        <is>
          <t>Grupo Enaex</t>
        </is>
      </c>
      <c r="V288" s="6" t="inlineStr">
        <is>
          <t>Enaex</t>
        </is>
      </c>
      <c r="W288" s="6" t="inlineStr">
        <is>
          <t>-</t>
        </is>
      </c>
      <c r="X288" s="6" t="inlineStr">
        <is>
          <t>-</t>
        </is>
      </c>
      <c r="Y288" s="6" t="inlineStr">
        <is>
          <t>-</t>
        </is>
      </c>
      <c r="Z288" s="6" t="inlineStr">
        <is>
          <t>KON-OPE-RIO-PVI-ENAEX</t>
        </is>
      </c>
      <c r="AA288" s="6" t="inlineStr">
        <is>
          <t>-</t>
        </is>
      </c>
      <c r="AB288" s="6" t="n">
        <v>170</v>
      </c>
      <c r="AC288" s="6" t="n">
        <v>27.2</v>
      </c>
      <c r="AD288" s="6" t="n">
        <v>0</v>
      </c>
      <c r="AE288" s="6" t="n">
        <v>0</v>
      </c>
      <c r="AF288" s="6" t="n">
        <v>0</v>
      </c>
      <c r="AG288" s="6" t="n">
        <v>0</v>
      </c>
      <c r="AH288" s="6" t="n">
        <v>0</v>
      </c>
      <c r="AI288" s="6" t="inlineStr">
        <is>
          <t>Reserva importada do Sistema TMS. OS: 28245</t>
        </is>
      </c>
      <c r="AJ288" s="6" t="inlineStr">
        <is>
          <t>Fornecedor não preenchido! (ACC01)</t>
        </is>
      </c>
      <c r="AK288" s="6" t="inlineStr">
        <is>
          <t>ARGO(TMS)</t>
        </is>
      </c>
      <c r="AL288" s="6" t="inlineStr">
        <is>
          <t>Falta de Fornecedor</t>
        </is>
      </c>
      <c r="AM288" s="6" t="inlineStr">
        <is>
          <t>Campo Fornecedor</t>
        </is>
      </c>
      <c r="AN288" s="6" t="inlineStr">
        <is>
          <t>Dados do Fornecedor</t>
        </is>
      </c>
      <c r="AO288" s="6" t="inlineStr">
        <is>
          <t>Qualidade dos dados</t>
        </is>
      </c>
      <c r="AP288" s="6" t="inlineStr">
        <is>
          <t>KONTIK BUSINESS TRAVEL</t>
        </is>
      </c>
      <c r="AQ288" s="6" t="inlineStr">
        <is>
          <t>Suporte KCS</t>
        </is>
      </c>
    </row>
    <row r="289">
      <c r="A289" s="6" t="n">
        <v>23383514</v>
      </c>
      <c r="B289" s="6" t="n">
        <v>24106978</v>
      </c>
      <c r="C289" s="6" t="inlineStr">
        <is>
          <t>ACC01</t>
        </is>
      </c>
      <c r="D289" s="58" t="n">
        <v>45986.20415509259</v>
      </c>
      <c r="E289" s="58" t="n">
        <v>45986.21569444444</v>
      </c>
      <c r="F289" s="6" t="inlineStr">
        <is>
          <t>0 a 02 dias</t>
        </is>
      </c>
      <c r="G289" s="6" t="inlineStr">
        <is>
          <t>0 a 02 dias</t>
        </is>
      </c>
      <c r="H289" s="6" t="inlineStr">
        <is>
          <t>5UWLEC</t>
        </is>
      </c>
      <c r="I289" s="6" t="inlineStr">
        <is>
          <t>TMS</t>
        </is>
      </c>
      <c r="J289" s="6" t="inlineStr">
        <is>
          <t>PAULO DINIZ</t>
        </is>
      </c>
      <c r="K289" s="6" t="inlineStr">
        <is>
          <t>Marcia Fernandes de Sousa</t>
        </is>
      </c>
      <c r="L289" s="6" t="inlineStr">
        <is>
          <t>Marcia Fernandes de Sousa</t>
        </is>
      </c>
      <c r="M289" s="58" t="n">
        <v>45985.74583333333</v>
      </c>
      <c r="N289" s="6" t="n">
        <v>28358</v>
      </c>
      <c r="O289" s="6" t="inlineStr">
        <is>
          <t>-</t>
        </is>
      </c>
      <c r="P289" s="6" t="inlineStr">
        <is>
          <t>OFF LINE</t>
        </is>
      </c>
      <c r="Q289" s="6" t="inlineStr">
        <is>
          <t>Invoice</t>
        </is>
      </c>
      <c r="R289" s="6" t="inlineStr">
        <is>
          <t>Faturado</t>
        </is>
      </c>
      <c r="S289" s="6" t="inlineStr">
        <is>
          <t>Serviço</t>
        </is>
      </c>
      <c r="T289" s="6" t="inlineStr">
        <is>
          <t>N</t>
        </is>
      </c>
      <c r="U289" s="6" t="inlineStr">
        <is>
          <t>Grupo Enaex</t>
        </is>
      </c>
      <c r="V289" s="6" t="inlineStr">
        <is>
          <t>Enaex</t>
        </is>
      </c>
      <c r="W289" s="6" t="inlineStr">
        <is>
          <t>-</t>
        </is>
      </c>
      <c r="X289" s="6" t="inlineStr">
        <is>
          <t>-</t>
        </is>
      </c>
      <c r="Y289" s="6" t="inlineStr">
        <is>
          <t>-</t>
        </is>
      </c>
      <c r="Z289" s="6" t="inlineStr">
        <is>
          <t>KON-OPE-RIO-PVI-ENAEX</t>
        </is>
      </c>
      <c r="AA289" s="6" t="inlineStr">
        <is>
          <t>-</t>
        </is>
      </c>
      <c r="AB289" s="6" t="n">
        <v>160</v>
      </c>
      <c r="AC289" s="6" t="n">
        <v>0</v>
      </c>
      <c r="AD289" s="6" t="n">
        <v>0</v>
      </c>
      <c r="AE289" s="6" t="n">
        <v>0</v>
      </c>
      <c r="AF289" s="6" t="n">
        <v>0</v>
      </c>
      <c r="AG289" s="6" t="n">
        <v>0</v>
      </c>
      <c r="AH289" s="6" t="n">
        <v>0</v>
      </c>
      <c r="AI289" s="6" t="inlineStr">
        <is>
          <t>Reserva importada do Sistema TMS. OS: 28358</t>
        </is>
      </c>
      <c r="AJ289" s="6" t="inlineStr">
        <is>
          <t>Fornecedor não preenchido! (ACC01)</t>
        </is>
      </c>
      <c r="AK289" s="6" t="inlineStr">
        <is>
          <t>ARGO(TMS)</t>
        </is>
      </c>
      <c r="AL289" s="6" t="inlineStr">
        <is>
          <t>Falta de Fornecedor</t>
        </is>
      </c>
      <c r="AM289" s="6" t="inlineStr">
        <is>
          <t>Campo Fornecedor</t>
        </is>
      </c>
      <c r="AN289" s="6" t="inlineStr">
        <is>
          <t>Dados do Fornecedor</t>
        </is>
      </c>
      <c r="AO289" s="6" t="inlineStr">
        <is>
          <t>Qualidade dos dados</t>
        </is>
      </c>
      <c r="AP289" s="6" t="inlineStr">
        <is>
          <t>KONTIK BUSINESS TRAVEL</t>
        </is>
      </c>
      <c r="AQ289" s="6" t="inlineStr">
        <is>
          <t>Suporte KCS</t>
        </is>
      </c>
    </row>
    <row r="290">
      <c r="A290" s="6" t="n">
        <v>23383524</v>
      </c>
      <c r="B290" s="6" t="n">
        <v>24106988</v>
      </c>
      <c r="C290" s="6" t="inlineStr">
        <is>
          <t>ACC01</t>
        </is>
      </c>
      <c r="D290" s="58" t="n">
        <v>45986.20443287037</v>
      </c>
      <c r="E290" s="58" t="n">
        <v>45986.216875</v>
      </c>
      <c r="F290" s="6" t="inlineStr">
        <is>
          <t>0 a 02 dias</t>
        </is>
      </c>
      <c r="G290" s="6" t="inlineStr">
        <is>
          <t>0 a 02 dias</t>
        </is>
      </c>
      <c r="H290" s="6" t="inlineStr">
        <is>
          <t>5U2BVE</t>
        </is>
      </c>
      <c r="I290" s="6" t="inlineStr">
        <is>
          <t>TMS</t>
        </is>
      </c>
      <c r="J290" s="6" t="inlineStr">
        <is>
          <t>AMADEU VERSIANI</t>
        </is>
      </c>
      <c r="K290" s="6" t="inlineStr">
        <is>
          <t>Marcia Fernandes de Sousa</t>
        </is>
      </c>
      <c r="L290" s="6" t="inlineStr">
        <is>
          <t>Marcia Fernandes de Sousa</t>
        </is>
      </c>
      <c r="M290" s="58" t="n">
        <v>45985.72708333333</v>
      </c>
      <c r="N290" s="6" t="n">
        <v>28305</v>
      </c>
      <c r="O290" s="6" t="inlineStr">
        <is>
          <t>-</t>
        </is>
      </c>
      <c r="P290" s="6" t="inlineStr">
        <is>
          <t>OFF LINE</t>
        </is>
      </c>
      <c r="Q290" s="6" t="inlineStr">
        <is>
          <t>Invoice</t>
        </is>
      </c>
      <c r="R290" s="6" t="inlineStr">
        <is>
          <t>Faturado</t>
        </is>
      </c>
      <c r="S290" s="6" t="inlineStr">
        <is>
          <t>Serviço</t>
        </is>
      </c>
      <c r="T290" s="6" t="inlineStr">
        <is>
          <t>N</t>
        </is>
      </c>
      <c r="U290" s="6" t="inlineStr">
        <is>
          <t>Grupo Enaex</t>
        </is>
      </c>
      <c r="V290" s="6" t="inlineStr">
        <is>
          <t>Enaex</t>
        </is>
      </c>
      <c r="W290" s="6" t="inlineStr">
        <is>
          <t>-</t>
        </is>
      </c>
      <c r="X290" s="6" t="inlineStr">
        <is>
          <t>-</t>
        </is>
      </c>
      <c r="Y290" s="6" t="inlineStr">
        <is>
          <t>-</t>
        </is>
      </c>
      <c r="Z290" s="6" t="inlineStr">
        <is>
          <t>KON-OPE-RIO-PVI-ENAEX</t>
        </is>
      </c>
      <c r="AA290" s="6" t="inlineStr">
        <is>
          <t>-</t>
        </is>
      </c>
      <c r="AB290" s="6" t="n">
        <v>49.15</v>
      </c>
      <c r="AC290" s="6" t="n">
        <v>0</v>
      </c>
      <c r="AD290" s="6" t="n">
        <v>0</v>
      </c>
      <c r="AE290" s="6" t="n">
        <v>0</v>
      </c>
      <c r="AF290" s="6" t="n">
        <v>0</v>
      </c>
      <c r="AG290" s="6" t="n">
        <v>0</v>
      </c>
      <c r="AH290" s="6" t="n">
        <v>0</v>
      </c>
      <c r="AI290" s="6" t="inlineStr">
        <is>
          <t>Reserva importada do Sistema TMS. OS: 28305</t>
        </is>
      </c>
      <c r="AJ290" s="6" t="inlineStr">
        <is>
          <t>Fornecedor não preenchido! (ACC01)</t>
        </is>
      </c>
      <c r="AK290" s="6" t="inlineStr">
        <is>
          <t>ARGO(TMS)</t>
        </is>
      </c>
      <c r="AL290" s="6" t="inlineStr">
        <is>
          <t>Falta de Fornecedor</t>
        </is>
      </c>
      <c r="AM290" s="6" t="inlineStr">
        <is>
          <t>Campo Fornecedor</t>
        </is>
      </c>
      <c r="AN290" s="6" t="inlineStr">
        <is>
          <t>Dados do Fornecedor</t>
        </is>
      </c>
      <c r="AO290" s="6" t="inlineStr">
        <is>
          <t>Qualidade dos dados</t>
        </is>
      </c>
      <c r="AP290" s="6" t="inlineStr">
        <is>
          <t>KONTIK BUSINESS TRAVEL</t>
        </is>
      </c>
      <c r="AQ290" s="6" t="inlineStr">
        <is>
          <t>Suporte KCS</t>
        </is>
      </c>
    </row>
    <row r="291">
      <c r="A291" s="6" t="n">
        <v>23380439</v>
      </c>
      <c r="B291" s="6" t="n">
        <v>24104130</v>
      </c>
      <c r="C291" s="6" t="inlineStr">
        <is>
          <t>ACC01</t>
        </is>
      </c>
      <c r="D291" s="58" t="n">
        <v>45985.70311342592</v>
      </c>
      <c r="E291" s="58" t="n">
        <v>45985.73795138889</v>
      </c>
      <c r="F291" s="6" t="inlineStr">
        <is>
          <t>0 a 02 dias</t>
        </is>
      </c>
      <c r="G291" s="6" t="inlineStr">
        <is>
          <t>0 a 02 dias</t>
        </is>
      </c>
      <c r="H291" s="6" t="inlineStr">
        <is>
          <t>5UMCGW</t>
        </is>
      </c>
      <c r="I291" s="6" t="inlineStr">
        <is>
          <t>TMS</t>
        </is>
      </c>
      <c r="J291" s="6" t="inlineStr">
        <is>
          <t>ROQUE SIMON</t>
        </is>
      </c>
      <c r="K291" s="6" t="inlineStr">
        <is>
          <t>Marcia Fernandes de Sousa</t>
        </is>
      </c>
      <c r="L291" s="6" t="inlineStr">
        <is>
          <t>Marcia Fernandes de Sousa</t>
        </is>
      </c>
      <c r="M291" s="58" t="n">
        <v>45985.51527777778</v>
      </c>
      <c r="N291" s="6" t="n">
        <v>28329</v>
      </c>
      <c r="O291" s="6" t="inlineStr">
        <is>
          <t>-</t>
        </is>
      </c>
      <c r="P291" s="6" t="inlineStr">
        <is>
          <t>OFF LINE</t>
        </is>
      </c>
      <c r="Q291" s="6" t="inlineStr">
        <is>
          <t>Cartão de crédito</t>
        </is>
      </c>
      <c r="R291" s="6" t="inlineStr">
        <is>
          <t>Cartão de crédito</t>
        </is>
      </c>
      <c r="S291" s="6" t="inlineStr">
        <is>
          <t>Hotel</t>
        </is>
      </c>
      <c r="T291" s="6" t="inlineStr">
        <is>
          <t>N</t>
        </is>
      </c>
      <c r="U291" s="6" t="inlineStr">
        <is>
          <t>Grupo Enaex</t>
        </is>
      </c>
      <c r="V291" s="6" t="inlineStr">
        <is>
          <t>Enaex</t>
        </is>
      </c>
      <c r="W291" s="6" t="inlineStr">
        <is>
          <t>-</t>
        </is>
      </c>
      <c r="X291" s="6" t="inlineStr">
        <is>
          <t>-</t>
        </is>
      </c>
      <c r="Y291" s="6" t="inlineStr">
        <is>
          <t>-</t>
        </is>
      </c>
      <c r="Z291" s="6" t="inlineStr">
        <is>
          <t>KON-OPE-RIO-PVI-ENAEX</t>
        </is>
      </c>
      <c r="AA291" s="6" t="inlineStr">
        <is>
          <t>-</t>
        </is>
      </c>
      <c r="AB291" s="6" t="n">
        <v>540</v>
      </c>
      <c r="AC291" s="6" t="n">
        <v>0</v>
      </c>
      <c r="AD291" s="6" t="n">
        <v>0</v>
      </c>
      <c r="AE291" s="6" t="n">
        <v>0</v>
      </c>
      <c r="AF291" s="6" t="n">
        <v>0</v>
      </c>
      <c r="AG291" s="6" t="n">
        <v>27</v>
      </c>
      <c r="AH291" s="6" t="n">
        <v>0</v>
      </c>
      <c r="AI291" s="6" t="inlineStr">
        <is>
          <t>Reserva importada do Sistema TMS. OS: 28329</t>
        </is>
      </c>
      <c r="AJ291" s="6" t="inlineStr">
        <is>
          <t>Fornecedor não preenchido! (ACC01)</t>
        </is>
      </c>
      <c r="AK291" s="6" t="inlineStr">
        <is>
          <t>ARGO(TMS)</t>
        </is>
      </c>
      <c r="AL291" s="6" t="inlineStr">
        <is>
          <t>Falta de Fornecedor</t>
        </is>
      </c>
      <c r="AM291" s="6" t="inlineStr">
        <is>
          <t>Campo Fornecedor</t>
        </is>
      </c>
      <c r="AN291" s="6" t="inlineStr">
        <is>
          <t>Dados do Fornecedor</t>
        </is>
      </c>
      <c r="AO291" s="6" t="inlineStr">
        <is>
          <t>Qualidade dos dados</t>
        </is>
      </c>
      <c r="AP291" s="6" t="inlineStr">
        <is>
          <t>KONTIK BUSINESS TRAVEL</t>
        </is>
      </c>
      <c r="AQ291" s="6" t="inlineStr">
        <is>
          <t>Suporte KCS</t>
        </is>
      </c>
    </row>
    <row r="292">
      <c r="A292" s="6" t="n">
        <v>23366677</v>
      </c>
      <c r="B292" s="6" t="n">
        <v>24092710</v>
      </c>
      <c r="C292" s="6" t="inlineStr">
        <is>
          <t>ACC01</t>
        </is>
      </c>
      <c r="D292" s="58" t="n">
        <v>45982.66159722222</v>
      </c>
      <c r="E292" s="58" t="n">
        <v>45982.69577546296</v>
      </c>
      <c r="F292" s="6" t="inlineStr">
        <is>
          <t>03 a 05 dias</t>
        </is>
      </c>
      <c r="G292" s="6" t="inlineStr">
        <is>
          <t>03 a 05 dias</t>
        </is>
      </c>
      <c r="H292" s="6" t="inlineStr">
        <is>
          <t>5UU2JB</t>
        </is>
      </c>
      <c r="I292" s="6" t="inlineStr">
        <is>
          <t>TMS</t>
        </is>
      </c>
      <c r="J292" s="6" t="inlineStr">
        <is>
          <t>IANKA SIMÕES</t>
        </is>
      </c>
      <c r="K292" s="6" t="inlineStr">
        <is>
          <t>Marcia Fernandes de Sousa</t>
        </is>
      </c>
      <c r="L292" s="6" t="inlineStr">
        <is>
          <t>Marcia Fernandes de Sousa</t>
        </is>
      </c>
      <c r="M292" s="58" t="n">
        <v>45982.41041666667</v>
      </c>
      <c r="N292" s="6" t="n">
        <v>28291</v>
      </c>
      <c r="O292" s="6" t="inlineStr">
        <is>
          <t>-</t>
        </is>
      </c>
      <c r="P292" s="6" t="inlineStr">
        <is>
          <t>OFF LINE</t>
        </is>
      </c>
      <c r="Q292" s="6" t="inlineStr">
        <is>
          <t>Cartão de crédito</t>
        </is>
      </c>
      <c r="R292" s="6" t="inlineStr">
        <is>
          <t>Cartão de crédito</t>
        </is>
      </c>
      <c r="S292" s="6" t="inlineStr">
        <is>
          <t>Serviço</t>
        </is>
      </c>
      <c r="T292" s="6" t="inlineStr">
        <is>
          <t>N</t>
        </is>
      </c>
      <c r="U292" s="6" t="inlineStr">
        <is>
          <t>Grupo Enaex</t>
        </is>
      </c>
      <c r="V292" s="6" t="inlineStr">
        <is>
          <t>Enaex</t>
        </is>
      </c>
      <c r="W292" s="6" t="inlineStr">
        <is>
          <t>-</t>
        </is>
      </c>
      <c r="X292" s="6" t="inlineStr">
        <is>
          <t>-</t>
        </is>
      </c>
      <c r="Y292" s="6" t="inlineStr">
        <is>
          <t>-</t>
        </is>
      </c>
      <c r="Z292" s="6" t="inlineStr">
        <is>
          <t>KON-OPE-RIO-PVI-ENAEX</t>
        </is>
      </c>
      <c r="AA292" s="6" t="inlineStr">
        <is>
          <t>-</t>
        </is>
      </c>
      <c r="AB292" s="6" t="n">
        <v>233</v>
      </c>
      <c r="AC292" s="6" t="n">
        <v>0</v>
      </c>
      <c r="AD292" s="6" t="n">
        <v>0</v>
      </c>
      <c r="AE292" s="6" t="n">
        <v>0</v>
      </c>
      <c r="AF292" s="6" t="n">
        <v>0</v>
      </c>
      <c r="AG292" s="6" t="n">
        <v>0</v>
      </c>
      <c r="AH292" s="6" t="n">
        <v>0</v>
      </c>
      <c r="AI292" s="6" t="inlineStr">
        <is>
          <t>Reserva importada do Sistema TMS. OS: 28291</t>
        </is>
      </c>
      <c r="AJ292" s="6" t="inlineStr">
        <is>
          <t>Fornecedor não preenchido! (ACC01)</t>
        </is>
      </c>
      <c r="AK292" s="6" t="inlineStr">
        <is>
          <t>ARGO(TMS)</t>
        </is>
      </c>
      <c r="AL292" s="6" t="inlineStr">
        <is>
          <t>Falta de Fornecedor</t>
        </is>
      </c>
      <c r="AM292" s="6" t="inlineStr">
        <is>
          <t>Campo Fornecedor</t>
        </is>
      </c>
      <c r="AN292" s="6" t="inlineStr">
        <is>
          <t>Dados do Fornecedor</t>
        </is>
      </c>
      <c r="AO292" s="6" t="inlineStr">
        <is>
          <t>Qualidade dos dados</t>
        </is>
      </c>
      <c r="AP292" s="6" t="inlineStr">
        <is>
          <t>KONTIK BUSINESS TRAVEL</t>
        </is>
      </c>
      <c r="AQ292" s="6" t="inlineStr">
        <is>
          <t>Suporte KCS</t>
        </is>
      </c>
    </row>
    <row r="293">
      <c r="A293" s="6" t="n">
        <v>23368805</v>
      </c>
      <c r="B293" s="6" t="n">
        <v>24094764</v>
      </c>
      <c r="C293" s="6" t="inlineStr">
        <is>
          <t>ACC01</t>
        </is>
      </c>
      <c r="D293" s="58" t="n">
        <v>45982.91457175926</v>
      </c>
      <c r="E293" s="58" t="n">
        <v>45982.9488425926</v>
      </c>
      <c r="F293" s="6" t="inlineStr">
        <is>
          <t>03 a 05 dias</t>
        </is>
      </c>
      <c r="G293" s="6" t="inlineStr">
        <is>
          <t>03 a 05 dias</t>
        </is>
      </c>
      <c r="H293" s="6" t="inlineStr">
        <is>
          <t>5UWYCZ</t>
        </is>
      </c>
      <c r="I293" s="6" t="inlineStr">
        <is>
          <t>TMS</t>
        </is>
      </c>
      <c r="J293" s="6" t="inlineStr">
        <is>
          <t>JEOBANNE COELHO</t>
        </is>
      </c>
      <c r="K293" s="6" t="inlineStr">
        <is>
          <t>Marcia Fernandes de Sousa</t>
        </is>
      </c>
      <c r="L293" s="6" t="inlineStr">
        <is>
          <t>Marcia Fernandes de Sousa</t>
        </is>
      </c>
      <c r="M293" s="58" t="n">
        <v>45982.78472222222</v>
      </c>
      <c r="N293" s="6" t="n">
        <v>27974</v>
      </c>
      <c r="O293" s="6" t="inlineStr">
        <is>
          <t>-</t>
        </is>
      </c>
      <c r="P293" s="6" t="inlineStr">
        <is>
          <t>OFF LINE</t>
        </is>
      </c>
      <c r="Q293" s="6" t="inlineStr">
        <is>
          <t>Cartão de crédito</t>
        </is>
      </c>
      <c r="R293" s="6" t="inlineStr">
        <is>
          <t>Cartão de crédito</t>
        </is>
      </c>
      <c r="S293" s="6" t="inlineStr">
        <is>
          <t>Serviço</t>
        </is>
      </c>
      <c r="T293" s="6" t="inlineStr">
        <is>
          <t>N</t>
        </is>
      </c>
      <c r="U293" s="6" t="inlineStr">
        <is>
          <t>Grupo Enaex</t>
        </is>
      </c>
      <c r="V293" s="6" t="inlineStr">
        <is>
          <t>Enaex</t>
        </is>
      </c>
      <c r="W293" s="6" t="inlineStr">
        <is>
          <t>-</t>
        </is>
      </c>
      <c r="X293" s="6" t="inlineStr">
        <is>
          <t>-</t>
        </is>
      </c>
      <c r="Y293" s="6" t="inlineStr">
        <is>
          <t>-</t>
        </is>
      </c>
      <c r="Z293" s="6" t="inlineStr">
        <is>
          <t>KON-OPE-RIO-PVI-ENAEX</t>
        </is>
      </c>
      <c r="AA293" s="6" t="inlineStr">
        <is>
          <t>-</t>
        </is>
      </c>
      <c r="AB293" s="6" t="n">
        <v>40.5</v>
      </c>
      <c r="AC293" s="6" t="n">
        <v>0</v>
      </c>
      <c r="AD293" s="6" t="n">
        <v>0</v>
      </c>
      <c r="AE293" s="6" t="n">
        <v>0</v>
      </c>
      <c r="AF293" s="6" t="n">
        <v>0</v>
      </c>
      <c r="AG293" s="6" t="n">
        <v>0</v>
      </c>
      <c r="AH293" s="6" t="n">
        <v>0</v>
      </c>
      <c r="AI293" s="6" t="inlineStr">
        <is>
          <t>Reserva importada do Sistema TMS. OS: 27974</t>
        </is>
      </c>
      <c r="AJ293" s="6" t="inlineStr">
        <is>
          <t>Fornecedor não preenchido! (ACC01)</t>
        </is>
      </c>
      <c r="AK293" s="6" t="inlineStr">
        <is>
          <t>ARGO(TMS)</t>
        </is>
      </c>
      <c r="AL293" s="6" t="inlineStr">
        <is>
          <t>Falta de Fornecedor</t>
        </is>
      </c>
      <c r="AM293" s="6" t="inlineStr">
        <is>
          <t>Campo Fornecedor</t>
        </is>
      </c>
      <c r="AN293" s="6" t="inlineStr">
        <is>
          <t>Dados do Fornecedor</t>
        </is>
      </c>
      <c r="AO293" s="6" t="inlineStr">
        <is>
          <t>Qualidade dos dados</t>
        </is>
      </c>
      <c r="AP293" s="6" t="inlineStr">
        <is>
          <t>KONTIK BUSINESS TRAVEL</t>
        </is>
      </c>
      <c r="AQ293" s="6" t="inlineStr">
        <is>
          <t>Suporte KCS</t>
        </is>
      </c>
    </row>
    <row r="294">
      <c r="A294" s="6" t="n">
        <v>23366681</v>
      </c>
      <c r="B294" s="6" t="n">
        <v>24092714</v>
      </c>
      <c r="C294" s="6" t="inlineStr">
        <is>
          <t>ACC01</t>
        </is>
      </c>
      <c r="D294" s="58" t="n">
        <v>45982.66175925926</v>
      </c>
      <c r="E294" s="58" t="n">
        <v>45982.69608796296</v>
      </c>
      <c r="F294" s="6" t="inlineStr">
        <is>
          <t>03 a 05 dias</t>
        </is>
      </c>
      <c r="G294" s="6" t="inlineStr">
        <is>
          <t>03 a 05 dias</t>
        </is>
      </c>
      <c r="H294" s="6" t="inlineStr">
        <is>
          <t>5UZ3UB</t>
        </is>
      </c>
      <c r="I294" s="6" t="inlineStr">
        <is>
          <t>TMS</t>
        </is>
      </c>
      <c r="J294" s="6" t="inlineStr">
        <is>
          <t>GUILHERME VANZO</t>
        </is>
      </c>
      <c r="K294" s="6" t="inlineStr">
        <is>
          <t>Marcia Fernandes de Sousa</t>
        </is>
      </c>
      <c r="L294" s="6" t="inlineStr">
        <is>
          <t>Marcia Fernandes de Sousa</t>
        </is>
      </c>
      <c r="M294" s="58" t="n">
        <v>45982.46041666667</v>
      </c>
      <c r="N294" s="6" t="n">
        <v>28261</v>
      </c>
      <c r="O294" s="6" t="inlineStr">
        <is>
          <t>-</t>
        </is>
      </c>
      <c r="P294" s="6" t="inlineStr">
        <is>
          <t>OFF LINE</t>
        </is>
      </c>
      <c r="Q294" s="6" t="inlineStr">
        <is>
          <t>Cartão de crédito</t>
        </is>
      </c>
      <c r="R294" s="6" t="inlineStr">
        <is>
          <t>Cartão de crédito</t>
        </is>
      </c>
      <c r="S294" s="6" t="inlineStr">
        <is>
          <t>Serviço</t>
        </is>
      </c>
      <c r="T294" s="6" t="inlineStr">
        <is>
          <t>N</t>
        </is>
      </c>
      <c r="U294" s="6" t="inlineStr">
        <is>
          <t>Grupo Enaex</t>
        </is>
      </c>
      <c r="V294" s="6" t="inlineStr">
        <is>
          <t>Enaex</t>
        </is>
      </c>
      <c r="W294" s="6" t="inlineStr">
        <is>
          <t>-</t>
        </is>
      </c>
      <c r="X294" s="6" t="inlineStr">
        <is>
          <t>-</t>
        </is>
      </c>
      <c r="Y294" s="6" t="inlineStr">
        <is>
          <t>-</t>
        </is>
      </c>
      <c r="Z294" s="6" t="inlineStr">
        <is>
          <t>KON-OPE-RIO-PVI-ENAEX</t>
        </is>
      </c>
      <c r="AA294" s="6" t="inlineStr">
        <is>
          <t>-</t>
        </is>
      </c>
      <c r="AB294" s="6" t="n">
        <v>327</v>
      </c>
      <c r="AC294" s="6" t="n">
        <v>0</v>
      </c>
      <c r="AD294" s="6" t="n">
        <v>0</v>
      </c>
      <c r="AE294" s="6" t="n">
        <v>0</v>
      </c>
      <c r="AF294" s="6" t="n">
        <v>0</v>
      </c>
      <c r="AG294" s="6" t="n">
        <v>0</v>
      </c>
      <c r="AH294" s="6" t="n">
        <v>0</v>
      </c>
      <c r="AI294" s="6" t="inlineStr">
        <is>
          <t>Reserva importada do Sistema TMS. OS: 28261</t>
        </is>
      </c>
      <c r="AJ294" s="6" t="inlineStr">
        <is>
          <t>Fornecedor não preenchido! (ACC01)</t>
        </is>
      </c>
      <c r="AK294" s="6" t="inlineStr">
        <is>
          <t>ARGO(TMS)</t>
        </is>
      </c>
      <c r="AL294" s="6" t="inlineStr">
        <is>
          <t>Falta de Fornecedor</t>
        </is>
      </c>
      <c r="AM294" s="6" t="inlineStr">
        <is>
          <t>Campo Fornecedor</t>
        </is>
      </c>
      <c r="AN294" s="6" t="inlineStr">
        <is>
          <t>Dados do Fornecedor</t>
        </is>
      </c>
      <c r="AO294" s="6" t="inlineStr">
        <is>
          <t>Qualidade dos dados</t>
        </is>
      </c>
      <c r="AP294" s="6" t="inlineStr">
        <is>
          <t>KONTIK BUSINESS TRAVEL</t>
        </is>
      </c>
      <c r="AQ294" s="6" t="inlineStr">
        <is>
          <t>Suporte KCS</t>
        </is>
      </c>
    </row>
    <row r="295">
      <c r="A295" s="6" t="n">
        <v>23074121</v>
      </c>
      <c r="B295" s="6" t="n">
        <v>23826271</v>
      </c>
      <c r="C295" s="6" t="inlineStr">
        <is>
          <t>ACC01</t>
        </is>
      </c>
      <c r="D295" s="58" t="n">
        <v>45938.81770833334</v>
      </c>
      <c r="E295" s="58" t="n">
        <v>45938.87190972222</v>
      </c>
      <c r="F295" s="59" t="inlineStr">
        <is>
          <t>31 dias ou +</t>
        </is>
      </c>
      <c r="G295" s="59" t="inlineStr">
        <is>
          <t>31 dias ou +</t>
        </is>
      </c>
      <c r="H295" s="6" t="inlineStr">
        <is>
          <t>5O5X2M</t>
        </is>
      </c>
      <c r="I295" s="6" t="inlineStr">
        <is>
          <t>TMS</t>
        </is>
      </c>
      <c r="J295" s="6" t="inlineStr">
        <is>
          <t>MARCOS LEITE</t>
        </is>
      </c>
      <c r="K295" s="6" t="inlineStr">
        <is>
          <t>Deise Fernanda Franca de Souza</t>
        </is>
      </c>
      <c r="L295" s="6" t="inlineStr">
        <is>
          <t>Deise Fernanda Franca de Souza</t>
        </is>
      </c>
      <c r="M295" s="58" t="n">
        <v>45938.73125</v>
      </c>
      <c r="N295" s="6" t="n">
        <v>5992</v>
      </c>
      <c r="O295" s="6" t="inlineStr">
        <is>
          <t>-</t>
        </is>
      </c>
      <c r="P295" s="6" t="inlineStr">
        <is>
          <t>OFF LINE</t>
        </is>
      </c>
      <c r="Q295" s="6" t="inlineStr">
        <is>
          <t>Cartão de crédito</t>
        </is>
      </c>
      <c r="R295" s="6" t="inlineStr">
        <is>
          <t>Cartão de crédito</t>
        </is>
      </c>
      <c r="S295" s="6" t="inlineStr">
        <is>
          <t>Hotel</t>
        </is>
      </c>
      <c r="T295" s="6" t="inlineStr">
        <is>
          <t>N</t>
        </is>
      </c>
      <c r="U295" s="6" t="inlineStr">
        <is>
          <t>Grupo Ferreira Costa</t>
        </is>
      </c>
      <c r="V295" s="6" t="inlineStr">
        <is>
          <t>Ferreira Costa - Corporativo (imb)</t>
        </is>
      </c>
      <c r="W295" s="6" t="inlineStr">
        <is>
          <t>-</t>
        </is>
      </c>
      <c r="X295" s="6" t="inlineStr">
        <is>
          <t>-</t>
        </is>
      </c>
      <c r="Y295" s="6" t="inlineStr">
        <is>
          <t>-</t>
        </is>
      </c>
      <c r="Z295" s="6" t="inlineStr">
        <is>
          <t>KON-OPE-RIO-PVI-FERREIRA COSTA</t>
        </is>
      </c>
      <c r="AA295" s="6" t="inlineStr">
        <is>
          <t>-</t>
        </is>
      </c>
      <c r="AB295" s="6" t="n">
        <v>700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inlineStr">
        <is>
          <t>Reserva importada do Sistema TMS. OS: 5992</t>
        </is>
      </c>
      <c r="AJ295" s="6" t="inlineStr">
        <is>
          <t>Fornecedor não preenchido! (ACC01)</t>
        </is>
      </c>
      <c r="AK295" s="6" t="inlineStr">
        <is>
          <t>ARGO(TMS)</t>
        </is>
      </c>
      <c r="AL295" s="6" t="inlineStr">
        <is>
          <t>Falta de Fornecedor</t>
        </is>
      </c>
      <c r="AM295" s="6" t="inlineStr">
        <is>
          <t>Campo Fornecedor</t>
        </is>
      </c>
      <c r="AN295" s="6" t="inlineStr">
        <is>
          <t>Dados do Fornecedor</t>
        </is>
      </c>
      <c r="AO295" s="6" t="inlineStr">
        <is>
          <t>Qualidade dos dados</t>
        </is>
      </c>
      <c r="AP295" s="6" t="inlineStr">
        <is>
          <t>KONTIK BUSINESS TRAVEL</t>
        </is>
      </c>
      <c r="AQ295" s="6" t="inlineStr">
        <is>
          <t>Suporte KCS</t>
        </is>
      </c>
    </row>
    <row r="296">
      <c r="A296" s="6" t="n">
        <v>23378310</v>
      </c>
      <c r="B296" s="6" t="n">
        <v>24102099</v>
      </c>
      <c r="C296" s="6" t="inlineStr">
        <is>
          <t>ACC01</t>
        </is>
      </c>
      <c r="D296" s="58" t="n">
        <v>45985.41835648148</v>
      </c>
      <c r="E296" s="58" t="n">
        <v>45985.42203703704</v>
      </c>
      <c r="F296" s="6" t="inlineStr">
        <is>
          <t>0 a 02 dias</t>
        </is>
      </c>
      <c r="G296" s="6" t="inlineStr">
        <is>
          <t>0 a 02 dias</t>
        </is>
      </c>
      <c r="H296" s="6" t="inlineStr">
        <is>
          <t>5UF5I1</t>
        </is>
      </c>
      <c r="I296" s="6" t="inlineStr">
        <is>
          <t>LEMONTECH</t>
        </is>
      </c>
      <c r="J296" s="6" t="inlineStr">
        <is>
          <t>FREITAS/ULISSES</t>
        </is>
      </c>
      <c r="K296" s="6" t="inlineStr">
        <is>
          <t>Lemontech</t>
        </is>
      </c>
      <c r="L296" s="6" t="inlineStr">
        <is>
          <t>Lemontech</t>
        </is>
      </c>
      <c r="M296" s="58" t="n">
        <v>45985</v>
      </c>
      <c r="N296" s="6" t="n">
        <v>18085230</v>
      </c>
      <c r="O296" s="6" t="inlineStr">
        <is>
          <t>-</t>
        </is>
      </c>
      <c r="P296" s="6" t="inlineStr">
        <is>
          <t>ON LINE</t>
        </is>
      </c>
      <c r="Q296" s="6" t="inlineStr">
        <is>
          <t>Cartão de crédito</t>
        </is>
      </c>
      <c r="R296" s="6" t="inlineStr">
        <is>
          <t>Cartão de crédito</t>
        </is>
      </c>
      <c r="S296" s="6" t="inlineStr">
        <is>
          <t>Hotel</t>
        </is>
      </c>
      <c r="T296" s="6" t="inlineStr">
        <is>
          <t>N</t>
        </is>
      </c>
      <c r="U296" s="6" t="inlineStr">
        <is>
          <t>Grupo Biolab</t>
        </is>
      </c>
      <c r="V296" s="6" t="inlineStr">
        <is>
          <t>Biolab Centro Administrativo - Escritorio</t>
        </is>
      </c>
      <c r="W296" s="6" t="inlineStr">
        <is>
          <t>-</t>
        </is>
      </c>
      <c r="X296" s="6" t="inlineStr">
        <is>
          <t>-</t>
        </is>
      </c>
      <c r="Y296" s="6" t="inlineStr">
        <is>
          <t>-</t>
        </is>
      </c>
      <c r="Z296" s="6" t="inlineStr">
        <is>
          <t>KON-OPE-SAO-PVI-BIOLAB</t>
        </is>
      </c>
      <c r="AA296" s="6" t="inlineStr">
        <is>
          <t>-</t>
        </is>
      </c>
      <c r="AB296" s="6" t="n">
        <v>324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12.96</v>
      </c>
      <c r="AH296" s="6" t="n">
        <v>0</v>
      </c>
      <c r="AI296" s="6" t="inlineStr">
        <is>
          <t>Reserva importada do Sistema Lemontech. Solicitação: 18085230</t>
        </is>
      </c>
      <c r="AJ296" s="6" t="inlineStr">
        <is>
          <t>Fornecedor não preenchido! (ACC01)</t>
        </is>
      </c>
      <c r="AK296" s="6" t="inlineStr">
        <is>
          <t>LEMONTECH</t>
        </is>
      </c>
      <c r="AL296" s="6" t="inlineStr">
        <is>
          <t>Falta de Fornecedor</t>
        </is>
      </c>
      <c r="AM296" s="6" t="inlineStr">
        <is>
          <t>Campo Fornecedor</t>
        </is>
      </c>
      <c r="AN296" s="6" t="inlineStr">
        <is>
          <t>Dados do Fornecedor</t>
        </is>
      </c>
      <c r="AO296" s="6" t="inlineStr">
        <is>
          <t>Qualidade dos dados</t>
        </is>
      </c>
      <c r="AP296" s="6" t="inlineStr">
        <is>
          <t>KONTIK BUSINESS TRAVEL</t>
        </is>
      </c>
      <c r="AQ296" s="6" t="inlineStr">
        <is>
          <t>Suporte KCS</t>
        </is>
      </c>
    </row>
    <row r="297">
      <c r="A297" s="6" t="n">
        <v>23378293</v>
      </c>
      <c r="B297" s="6" t="n">
        <v>24102081</v>
      </c>
      <c r="C297" s="6" t="inlineStr">
        <is>
          <t>ACC01</t>
        </is>
      </c>
      <c r="D297" s="58" t="n">
        <v>45985.41709490741</v>
      </c>
      <c r="E297" s="58" t="n">
        <v>45985.41736111111</v>
      </c>
      <c r="F297" s="6" t="inlineStr">
        <is>
          <t>0 a 02 dias</t>
        </is>
      </c>
      <c r="G297" s="6" t="inlineStr">
        <is>
          <t>0 a 02 dias</t>
        </is>
      </c>
      <c r="H297" s="6" t="inlineStr">
        <is>
          <t>5U5R8Q</t>
        </is>
      </c>
      <c r="I297" s="6" t="inlineStr">
        <is>
          <t>LEMONTECH</t>
        </is>
      </c>
      <c r="J297" s="6" t="inlineStr">
        <is>
          <t>DA SILVA/ANDERSON</t>
        </is>
      </c>
      <c r="K297" s="6" t="inlineStr">
        <is>
          <t>Lemontech</t>
        </is>
      </c>
      <c r="L297" s="6" t="inlineStr">
        <is>
          <t>Lemontech</t>
        </is>
      </c>
      <c r="M297" s="58" t="n">
        <v>45980</v>
      </c>
      <c r="N297" s="6" t="n">
        <v>18073311</v>
      </c>
      <c r="O297" s="6" t="inlineStr">
        <is>
          <t>-</t>
        </is>
      </c>
      <c r="P297" s="6" t="inlineStr">
        <is>
          <t>ON LINE</t>
        </is>
      </c>
      <c r="Q297" s="6" t="inlineStr">
        <is>
          <t>Cartão de crédito</t>
        </is>
      </c>
      <c r="R297" s="6" t="inlineStr">
        <is>
          <t>Cartão de crédito</t>
        </is>
      </c>
      <c r="S297" s="6" t="inlineStr">
        <is>
          <t>Hotel</t>
        </is>
      </c>
      <c r="T297" s="6" t="inlineStr">
        <is>
          <t>N</t>
        </is>
      </c>
      <c r="U297" s="6" t="inlineStr">
        <is>
          <t>Grupo Biolab</t>
        </is>
      </c>
      <c r="V297" s="6" t="inlineStr">
        <is>
          <t>Biolab Centro Administrativo - Escritorio</t>
        </is>
      </c>
      <c r="W297" s="6" t="inlineStr">
        <is>
          <t>-</t>
        </is>
      </c>
      <c r="X297" s="6" t="inlineStr">
        <is>
          <t>-</t>
        </is>
      </c>
      <c r="Y297" s="6" t="inlineStr">
        <is>
          <t>-</t>
        </is>
      </c>
      <c r="Z297" s="6" t="inlineStr">
        <is>
          <t>KON-OPE-SAO-PVI-BIOLAB</t>
        </is>
      </c>
      <c r="AA297" s="6" t="inlineStr">
        <is>
          <t>-</t>
        </is>
      </c>
      <c r="AB297" s="6" t="n">
        <v>324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12.96</v>
      </c>
      <c r="AH297" s="6" t="n">
        <v>0</v>
      </c>
      <c r="AI297" s="6" t="inlineStr">
        <is>
          <t>Reserva importada do Sistema Lemontech. Solicitação: 18073311</t>
        </is>
      </c>
      <c r="AJ297" s="6" t="inlineStr">
        <is>
          <t>Fornecedor não preenchido! (ACC01)</t>
        </is>
      </c>
      <c r="AK297" s="6" t="inlineStr">
        <is>
          <t>LEMONTECH</t>
        </is>
      </c>
      <c r="AL297" s="6" t="inlineStr">
        <is>
          <t>Falta de Fornecedor</t>
        </is>
      </c>
      <c r="AM297" s="6" t="inlineStr">
        <is>
          <t>Campo Fornecedor</t>
        </is>
      </c>
      <c r="AN297" s="6" t="inlineStr">
        <is>
          <t>Dados do Fornecedor</t>
        </is>
      </c>
      <c r="AO297" s="6" t="inlineStr">
        <is>
          <t>Qualidade dos dados</t>
        </is>
      </c>
      <c r="AP297" s="6" t="inlineStr">
        <is>
          <t>KONTIK BUSINESS TRAVEL</t>
        </is>
      </c>
      <c r="AQ297" s="6" t="inlineStr">
        <is>
          <t>Suporte KCS</t>
        </is>
      </c>
    </row>
    <row r="298">
      <c r="A298" s="6" t="n">
        <v>23379910</v>
      </c>
      <c r="B298" s="6" t="n">
        <v>24103597</v>
      </c>
      <c r="C298" s="6" t="inlineStr">
        <is>
          <t>ACC01</t>
        </is>
      </c>
      <c r="D298" s="58" t="n">
        <v>45985.6677199074</v>
      </c>
      <c r="E298" s="58" t="n">
        <v>45985.67258101852</v>
      </c>
      <c r="F298" s="6" t="inlineStr">
        <is>
          <t>0 a 02 dias</t>
        </is>
      </c>
      <c r="G298" s="6" t="inlineStr">
        <is>
          <t>0 a 02 dias</t>
        </is>
      </c>
      <c r="H298" s="6" t="inlineStr">
        <is>
          <t>5U27W2</t>
        </is>
      </c>
      <c r="I298" s="6" t="inlineStr">
        <is>
          <t>LEMONTECH</t>
        </is>
      </c>
      <c r="J298" s="6" t="inlineStr">
        <is>
          <t>FARIA/LUCAS</t>
        </is>
      </c>
      <c r="K298" s="6" t="inlineStr">
        <is>
          <t>Lemontech</t>
        </is>
      </c>
      <c r="L298" s="6" t="inlineStr">
        <is>
          <t>Lemontech</t>
        </is>
      </c>
      <c r="M298" s="58" t="n">
        <v>45985</v>
      </c>
      <c r="N298" s="6" t="n">
        <v>18087849</v>
      </c>
      <c r="O298" s="6" t="inlineStr">
        <is>
          <t>-</t>
        </is>
      </c>
      <c r="P298" s="6" t="inlineStr">
        <is>
          <t>ON LINE</t>
        </is>
      </c>
      <c r="Q298" s="6" t="inlineStr">
        <is>
          <t>Cartão de crédito</t>
        </is>
      </c>
      <c r="R298" s="6" t="inlineStr">
        <is>
          <t>Cartão de crédito</t>
        </is>
      </c>
      <c r="S298" s="6" t="inlineStr">
        <is>
          <t>Hotel</t>
        </is>
      </c>
      <c r="T298" s="6" t="inlineStr">
        <is>
          <t>N</t>
        </is>
      </c>
      <c r="U298" s="6" t="inlineStr">
        <is>
          <t>Grupo Biolab</t>
        </is>
      </c>
      <c r="V298" s="6" t="inlineStr">
        <is>
          <t>Biolab Centro Administrativo - Escritorio</t>
        </is>
      </c>
      <c r="W298" s="6" t="inlineStr">
        <is>
          <t>-</t>
        </is>
      </c>
      <c r="X298" s="6" t="inlineStr">
        <is>
          <t>-</t>
        </is>
      </c>
      <c r="Y298" s="6" t="inlineStr">
        <is>
          <t>-</t>
        </is>
      </c>
      <c r="Z298" s="6" t="inlineStr">
        <is>
          <t>KON-OPE-SAO-PVI-BIOLAB</t>
        </is>
      </c>
      <c r="AA298" s="6" t="inlineStr">
        <is>
          <t>-</t>
        </is>
      </c>
      <c r="AB298" s="6" t="n">
        <v>324</v>
      </c>
      <c r="AC298" s="6" t="n">
        <v>0</v>
      </c>
      <c r="AD298" s="6" t="n">
        <v>0</v>
      </c>
      <c r="AE298" s="6" t="n">
        <v>0</v>
      </c>
      <c r="AF298" s="6" t="n">
        <v>0</v>
      </c>
      <c r="AG298" s="6" t="n">
        <v>12.96</v>
      </c>
      <c r="AH298" s="6" t="n">
        <v>0</v>
      </c>
      <c r="AI298" s="6" t="inlineStr">
        <is>
          <t>Reserva importada do Sistema Lemontech. Solicitação: 18087849</t>
        </is>
      </c>
      <c r="AJ298" s="6" t="inlineStr">
        <is>
          <t>Fornecedor não preenchido! (ACC01)</t>
        </is>
      </c>
      <c r="AK298" s="6" t="inlineStr">
        <is>
          <t>LEMONTECH</t>
        </is>
      </c>
      <c r="AL298" s="6" t="inlineStr">
        <is>
          <t>Falta de Fornecedor</t>
        </is>
      </c>
      <c r="AM298" s="6" t="inlineStr">
        <is>
          <t>Campo Fornecedor</t>
        </is>
      </c>
      <c r="AN298" s="6" t="inlineStr">
        <is>
          <t>Dados do Fornecedor</t>
        </is>
      </c>
      <c r="AO298" s="6" t="inlineStr">
        <is>
          <t>Qualidade dos dados</t>
        </is>
      </c>
      <c r="AP298" s="6" t="inlineStr">
        <is>
          <t>KONTIK BUSINESS TRAVEL</t>
        </is>
      </c>
      <c r="AQ298" s="6" t="inlineStr">
        <is>
          <t>Suporte KCS</t>
        </is>
      </c>
    </row>
    <row r="299">
      <c r="A299" s="6" t="n">
        <v>23378963</v>
      </c>
      <c r="B299" s="6" t="n">
        <v>24102711</v>
      </c>
      <c r="C299" s="6" t="inlineStr">
        <is>
          <t>ACC01</t>
        </is>
      </c>
      <c r="D299" s="58" t="n">
        <v>45985.50090277778</v>
      </c>
      <c r="E299" s="58" t="n">
        <v>45985.50420138889</v>
      </c>
      <c r="F299" s="6" t="inlineStr">
        <is>
          <t>0 a 02 dias</t>
        </is>
      </c>
      <c r="G299" s="6" t="inlineStr">
        <is>
          <t>0 a 02 dias</t>
        </is>
      </c>
      <c r="H299" s="6" t="inlineStr">
        <is>
          <t>5U860S</t>
        </is>
      </c>
      <c r="I299" s="6" t="inlineStr">
        <is>
          <t>LEMONTECH</t>
        </is>
      </c>
      <c r="J299" s="6" t="inlineStr">
        <is>
          <t>HERGERT BARG/PATRICIA</t>
        </is>
      </c>
      <c r="K299" s="6" t="inlineStr">
        <is>
          <t>Lemontech</t>
        </is>
      </c>
      <c r="L299" s="6" t="inlineStr">
        <is>
          <t>Lemontech</t>
        </is>
      </c>
      <c r="M299" s="58" t="n">
        <v>45985</v>
      </c>
      <c r="N299" s="6" t="n">
        <v>18086688</v>
      </c>
      <c r="O299" s="6" t="inlineStr">
        <is>
          <t>-</t>
        </is>
      </c>
      <c r="P299" s="6" t="inlineStr">
        <is>
          <t>ON LINE</t>
        </is>
      </c>
      <c r="Q299" s="6" t="inlineStr">
        <is>
          <t>Cartão de crédito</t>
        </is>
      </c>
      <c r="R299" s="6" t="inlineStr">
        <is>
          <t>Cartão de crédito</t>
        </is>
      </c>
      <c r="S299" s="6" t="inlineStr">
        <is>
          <t>Hotel</t>
        </is>
      </c>
      <c r="T299" s="6" t="inlineStr">
        <is>
          <t>N</t>
        </is>
      </c>
      <c r="U299" s="6" t="inlineStr">
        <is>
          <t>Grupo Biolab</t>
        </is>
      </c>
      <c r="V299" s="6" t="inlineStr">
        <is>
          <t>Biolab Centro Administrativo - Escritorio</t>
        </is>
      </c>
      <c r="W299" s="6" t="inlineStr">
        <is>
          <t>-</t>
        </is>
      </c>
      <c r="X299" s="6" t="inlineStr">
        <is>
          <t>-</t>
        </is>
      </c>
      <c r="Y299" s="6" t="inlineStr">
        <is>
          <t>-</t>
        </is>
      </c>
      <c r="Z299" s="6" t="inlineStr">
        <is>
          <t>KON-OPE-SAO-PVI-BIOLAB</t>
        </is>
      </c>
      <c r="AA299" s="6" t="inlineStr">
        <is>
          <t>-</t>
        </is>
      </c>
      <c r="AB299" s="6" t="n">
        <v>544</v>
      </c>
      <c r="AC299" s="6" t="n">
        <v>0</v>
      </c>
      <c r="AD299" s="6" t="n">
        <v>0</v>
      </c>
      <c r="AE299" s="6" t="n">
        <v>0</v>
      </c>
      <c r="AF299" s="6" t="n">
        <v>0</v>
      </c>
      <c r="AG299" s="6" t="n">
        <v>27.2</v>
      </c>
      <c r="AH299" s="6" t="n">
        <v>0</v>
      </c>
      <c r="AI299" s="6" t="inlineStr">
        <is>
          <t>Reserva importada do Sistema Lemontech. Solicitação: 18086688</t>
        </is>
      </c>
      <c r="AJ299" s="6" t="inlineStr">
        <is>
          <t>Fornecedor não preenchido! (ACC01)</t>
        </is>
      </c>
      <c r="AK299" s="6" t="inlineStr">
        <is>
          <t>LEMONTECH</t>
        </is>
      </c>
      <c r="AL299" s="6" t="inlineStr">
        <is>
          <t>Falta de Fornecedor</t>
        </is>
      </c>
      <c r="AM299" s="6" t="inlineStr">
        <is>
          <t>Campo Fornecedor</t>
        </is>
      </c>
      <c r="AN299" s="6" t="inlineStr">
        <is>
          <t>Dados do Fornecedor</t>
        </is>
      </c>
      <c r="AO299" s="6" t="inlineStr">
        <is>
          <t>Qualidade dos dados</t>
        </is>
      </c>
      <c r="AP299" s="6" t="inlineStr">
        <is>
          <t>KONTIK BUSINESS TRAVEL</t>
        </is>
      </c>
      <c r="AQ299" s="6" t="inlineStr">
        <is>
          <t>Suporte KCS</t>
        </is>
      </c>
    </row>
    <row r="300">
      <c r="A300" s="6" t="n">
        <v>23381326</v>
      </c>
      <c r="B300" s="6" t="n">
        <v>24105034</v>
      </c>
      <c r="C300" s="6" t="inlineStr">
        <is>
          <t>ACC01</t>
        </is>
      </c>
      <c r="D300" s="58" t="n">
        <v>45985.75114583333</v>
      </c>
      <c r="E300" s="58" t="n">
        <v>45985.75519675926</v>
      </c>
      <c r="F300" s="6" t="inlineStr">
        <is>
          <t>0 a 02 dias</t>
        </is>
      </c>
      <c r="G300" s="6" t="inlineStr">
        <is>
          <t>0 a 02 dias</t>
        </is>
      </c>
      <c r="H300" s="6" t="inlineStr">
        <is>
          <t>5UUE9X</t>
        </is>
      </c>
      <c r="I300" s="6" t="inlineStr">
        <is>
          <t>LEMONTECH</t>
        </is>
      </c>
      <c r="J300" s="6" t="inlineStr">
        <is>
          <t>FARIAS/ATANA</t>
        </is>
      </c>
      <c r="K300" s="6" t="inlineStr">
        <is>
          <t>Lemontech</t>
        </is>
      </c>
      <c r="L300" s="6" t="inlineStr">
        <is>
          <t>Lemontech</t>
        </is>
      </c>
      <c r="M300" s="58" t="n">
        <v>45985</v>
      </c>
      <c r="N300" s="6" t="n">
        <v>18094284</v>
      </c>
      <c r="O300" s="6" t="inlineStr">
        <is>
          <t>-</t>
        </is>
      </c>
      <c r="P300" s="6" t="inlineStr">
        <is>
          <t>ON LINE</t>
        </is>
      </c>
      <c r="Q300" s="6" t="inlineStr">
        <is>
          <t>Cartão de crédito</t>
        </is>
      </c>
      <c r="R300" s="6" t="inlineStr">
        <is>
          <t>Cartão de crédito</t>
        </is>
      </c>
      <c r="S300" s="6" t="inlineStr">
        <is>
          <t>Hotel</t>
        </is>
      </c>
      <c r="T300" s="6" t="inlineStr">
        <is>
          <t>N</t>
        </is>
      </c>
      <c r="U300" s="6" t="inlineStr">
        <is>
          <t>Grupo Biolab</t>
        </is>
      </c>
      <c r="V300" s="6" t="inlineStr">
        <is>
          <t>Biolab Centro Administrativo - Escritorio</t>
        </is>
      </c>
      <c r="W300" s="6" t="inlineStr">
        <is>
          <t>-</t>
        </is>
      </c>
      <c r="X300" s="6" t="inlineStr">
        <is>
          <t>-</t>
        </is>
      </c>
      <c r="Y300" s="6" t="inlineStr">
        <is>
          <t>-</t>
        </is>
      </c>
      <c r="Z300" s="6" t="inlineStr">
        <is>
          <t>KON-OPE-SAO-PVI-BIOLAB</t>
        </is>
      </c>
      <c r="AA300" s="6" t="inlineStr">
        <is>
          <t>-</t>
        </is>
      </c>
      <c r="AB300" s="6" t="n">
        <v>1445.4</v>
      </c>
      <c r="AC300" s="6" t="n">
        <v>0</v>
      </c>
      <c r="AD300" s="6" t="n">
        <v>0</v>
      </c>
      <c r="AE300" s="6" t="n">
        <v>0</v>
      </c>
      <c r="AF300" s="6" t="n">
        <v>0</v>
      </c>
      <c r="AG300" s="6" t="n">
        <v>170</v>
      </c>
      <c r="AH300" s="6" t="n">
        <v>0</v>
      </c>
      <c r="AI300" s="6" t="inlineStr">
        <is>
          <t>Reserva importada do Sistema Lemontech. Solicitação: 18094284</t>
        </is>
      </c>
      <c r="AJ300" s="6" t="inlineStr">
        <is>
          <t>Fornecedor não preenchido! (ACC01)</t>
        </is>
      </c>
      <c r="AK300" s="6" t="inlineStr">
        <is>
          <t>LEMONTECH</t>
        </is>
      </c>
      <c r="AL300" s="6" t="inlineStr">
        <is>
          <t>Falta de Fornecedor</t>
        </is>
      </c>
      <c r="AM300" s="6" t="inlineStr">
        <is>
          <t>Campo Fornecedor</t>
        </is>
      </c>
      <c r="AN300" s="6" t="inlineStr">
        <is>
          <t>Dados do Fornecedor</t>
        </is>
      </c>
      <c r="AO300" s="6" t="inlineStr">
        <is>
          <t>Qualidade dos dados</t>
        </is>
      </c>
      <c r="AP300" s="6" t="inlineStr">
        <is>
          <t>KONTIK BUSINESS TRAVEL</t>
        </is>
      </c>
      <c r="AQ300" s="6" t="inlineStr">
        <is>
          <t>Suporte KCS</t>
        </is>
      </c>
    </row>
    <row r="301">
      <c r="A301" s="6" t="n">
        <v>23355489</v>
      </c>
      <c r="B301" s="6" t="n">
        <v>24082462</v>
      </c>
      <c r="C301" s="6" t="inlineStr">
        <is>
          <t>ACC01</t>
        </is>
      </c>
      <c r="D301" s="58" t="n">
        <v>45980.66841435185</v>
      </c>
      <c r="E301" s="58" t="n">
        <v>45980.67186342592</v>
      </c>
      <c r="F301" s="6" t="inlineStr">
        <is>
          <t>06 a 08 dias</t>
        </is>
      </c>
      <c r="G301" s="6" t="inlineStr">
        <is>
          <t>06 a 08 dias</t>
        </is>
      </c>
      <c r="H301" s="6" t="inlineStr">
        <is>
          <t>5TC4WL</t>
        </is>
      </c>
      <c r="I301" s="6" t="inlineStr">
        <is>
          <t>LEMONTECH</t>
        </is>
      </c>
      <c r="J301" s="6" t="inlineStr">
        <is>
          <t>MELIATO BARTELEGA/RICHELEY</t>
        </is>
      </c>
      <c r="K301" s="6" t="inlineStr">
        <is>
          <t>Maria Clara Landeira Mezavila</t>
        </is>
      </c>
      <c r="L301" s="6" t="inlineStr">
        <is>
          <t>Maria Clara Landeira Mezavila</t>
        </is>
      </c>
      <c r="M301" s="58" t="n">
        <v>45980</v>
      </c>
      <c r="N301" s="6" t="n">
        <v>18060359</v>
      </c>
      <c r="O301" s="6" t="inlineStr">
        <is>
          <t>-</t>
        </is>
      </c>
      <c r="P301" s="6" t="inlineStr">
        <is>
          <t>OFF LINE</t>
        </is>
      </c>
      <c r="Q301" s="6" t="inlineStr">
        <is>
          <t>Cartão de crédito</t>
        </is>
      </c>
      <c r="R301" s="6" t="inlineStr">
        <is>
          <t>Cartão de crédito</t>
        </is>
      </c>
      <c r="S301" s="6" t="inlineStr">
        <is>
          <t>Hotel</t>
        </is>
      </c>
      <c r="T301" s="6" t="inlineStr">
        <is>
          <t>N</t>
        </is>
      </c>
      <c r="U301" s="6" t="inlineStr">
        <is>
          <t>Grupo Biolab</t>
        </is>
      </c>
      <c r="V301" s="6" t="inlineStr">
        <is>
          <t>Biolab Centro Administrativo - Escritorio</t>
        </is>
      </c>
      <c r="W301" s="6" t="inlineStr">
        <is>
          <t>-</t>
        </is>
      </c>
      <c r="X301" s="6" t="inlineStr">
        <is>
          <t>-</t>
        </is>
      </c>
      <c r="Y301" s="6" t="inlineStr">
        <is>
          <t>-</t>
        </is>
      </c>
      <c r="Z301" s="6" t="inlineStr">
        <is>
          <t>KON-OPE-SAO-PVI-BIOLAB</t>
        </is>
      </c>
      <c r="AA301" s="6" t="inlineStr">
        <is>
          <t>-</t>
        </is>
      </c>
      <c r="AB301" s="6" t="n">
        <v>645.2</v>
      </c>
      <c r="AC301" s="6" t="n">
        <v>0</v>
      </c>
      <c r="AD301" s="6" t="n">
        <v>0</v>
      </c>
      <c r="AE301" s="6" t="n">
        <v>0</v>
      </c>
      <c r="AF301" s="6" t="n">
        <v>0</v>
      </c>
      <c r="AG301" s="6" t="n">
        <v>16.13</v>
      </c>
      <c r="AH301" s="6" t="n">
        <v>0</v>
      </c>
      <c r="AI301" s="6" t="inlineStr">
        <is>
          <t>Reserva importada do Sistema Lemontech. Solicitação: 18060359</t>
        </is>
      </c>
      <c r="AJ301" s="6" t="inlineStr">
        <is>
          <t>Fornecedor não preenchido! (ACC01)</t>
        </is>
      </c>
      <c r="AK301" s="6" t="inlineStr">
        <is>
          <t>LEMONTECH</t>
        </is>
      </c>
      <c r="AL301" s="6" t="inlineStr">
        <is>
          <t>Falta de Fornecedor</t>
        </is>
      </c>
      <c r="AM301" s="6" t="inlineStr">
        <is>
          <t>Campo Fornecedor</t>
        </is>
      </c>
      <c r="AN301" s="6" t="inlineStr">
        <is>
          <t>Dados do Fornecedor</t>
        </is>
      </c>
      <c r="AO301" s="6" t="inlineStr">
        <is>
          <t>Qualidade dos dados</t>
        </is>
      </c>
      <c r="AP301" s="6" t="inlineStr">
        <is>
          <t>KONTIK BUSINESS TRAVEL</t>
        </is>
      </c>
      <c r="AQ301" s="6" t="inlineStr">
        <is>
          <t>Suporte KCS</t>
        </is>
      </c>
    </row>
    <row r="302">
      <c r="A302" s="6" t="n">
        <v>23355852</v>
      </c>
      <c r="B302" s="6" t="n">
        <v>24082823</v>
      </c>
      <c r="C302" s="6" t="inlineStr">
        <is>
          <t>ACC01</t>
        </is>
      </c>
      <c r="D302" s="58" t="n">
        <v>45980.70913194444</v>
      </c>
      <c r="E302" s="58" t="n">
        <v>45980.71300925926</v>
      </c>
      <c r="F302" s="6" t="inlineStr">
        <is>
          <t>06 a 08 dias</t>
        </is>
      </c>
      <c r="G302" s="6" t="inlineStr">
        <is>
          <t>06 a 08 dias</t>
        </is>
      </c>
      <c r="H302" s="6" t="inlineStr">
        <is>
          <t>5TJ6XL</t>
        </is>
      </c>
      <c r="I302" s="6" t="inlineStr">
        <is>
          <t>LEMONTECH</t>
        </is>
      </c>
      <c r="J302" s="6" t="inlineStr">
        <is>
          <t>SILVA SANTANA/WALLAS</t>
        </is>
      </c>
      <c r="K302" s="6" t="inlineStr">
        <is>
          <t>Maria Clara Landeira Mezavila</t>
        </is>
      </c>
      <c r="L302" s="6" t="inlineStr">
        <is>
          <t>Maria Clara Landeira Mezavila</t>
        </is>
      </c>
      <c r="M302" s="58" t="n">
        <v>45980</v>
      </c>
      <c r="N302" s="6" t="n">
        <v>18039491</v>
      </c>
      <c r="O302" s="6" t="inlineStr">
        <is>
          <t>-</t>
        </is>
      </c>
      <c r="P302" s="6" t="inlineStr">
        <is>
          <t>OFF LINE</t>
        </is>
      </c>
      <c r="Q302" s="6" t="inlineStr">
        <is>
          <t>Cartão de crédito</t>
        </is>
      </c>
      <c r="R302" s="6" t="inlineStr">
        <is>
          <t>Cartão de crédito</t>
        </is>
      </c>
      <c r="S302" s="6" t="inlineStr">
        <is>
          <t>Hotel</t>
        </is>
      </c>
      <c r="T302" s="6" t="inlineStr">
        <is>
          <t>N</t>
        </is>
      </c>
      <c r="U302" s="6" t="inlineStr">
        <is>
          <t>Grupo Biolab</t>
        </is>
      </c>
      <c r="V302" s="6" t="inlineStr">
        <is>
          <t>Biolab Centro Administrativo - Escritorio</t>
        </is>
      </c>
      <c r="W302" s="6" t="inlineStr">
        <is>
          <t>-</t>
        </is>
      </c>
      <c r="X302" s="6" t="inlineStr">
        <is>
          <t>-</t>
        </is>
      </c>
      <c r="Y302" s="6" t="inlineStr">
        <is>
          <t>-</t>
        </is>
      </c>
      <c r="Z302" s="6" t="inlineStr">
        <is>
          <t>KON-OPE-SAO-PVI-BIOLAB</t>
        </is>
      </c>
      <c r="AA302" s="6" t="inlineStr">
        <is>
          <t>-</t>
        </is>
      </c>
      <c r="AB302" s="6" t="n">
        <v>216.41</v>
      </c>
      <c r="AC302" s="6" t="n">
        <v>0</v>
      </c>
      <c r="AD302" s="6" t="n">
        <v>0</v>
      </c>
      <c r="AE302" s="6" t="n">
        <v>0</v>
      </c>
      <c r="AF302" s="6" t="n">
        <v>0</v>
      </c>
      <c r="AG302" s="6" t="n">
        <v>0</v>
      </c>
      <c r="AH302" s="6" t="n">
        <v>0</v>
      </c>
      <c r="AI302" s="6" t="inlineStr">
        <is>
          <t>Reserva importada do Sistema Lemontech. Solicitação: 18039491</t>
        </is>
      </c>
      <c r="AJ302" s="6" t="inlineStr">
        <is>
          <t>Fornecedor não preenchido! (ACC01)</t>
        </is>
      </c>
      <c r="AK302" s="6" t="inlineStr">
        <is>
          <t>LEMONTECH</t>
        </is>
      </c>
      <c r="AL302" s="6" t="inlineStr">
        <is>
          <t>Falta de Fornecedor</t>
        </is>
      </c>
      <c r="AM302" s="6" t="inlineStr">
        <is>
          <t>Campo Fornecedor</t>
        </is>
      </c>
      <c r="AN302" s="6" t="inlineStr">
        <is>
          <t>Dados do Fornecedor</t>
        </is>
      </c>
      <c r="AO302" s="6" t="inlineStr">
        <is>
          <t>Qualidade dos dados</t>
        </is>
      </c>
      <c r="AP302" s="6" t="inlineStr">
        <is>
          <t>KONTIK BUSINESS TRAVEL</t>
        </is>
      </c>
      <c r="AQ302" s="6" t="inlineStr">
        <is>
          <t>Suporte KCS</t>
        </is>
      </c>
    </row>
    <row r="303">
      <c r="A303" s="6" t="n">
        <v>23379911</v>
      </c>
      <c r="B303" s="6" t="n">
        <v>24103598</v>
      </c>
      <c r="C303" s="6" t="inlineStr">
        <is>
          <t>ACC01</t>
        </is>
      </c>
      <c r="D303" s="58" t="n">
        <v>45985.66775462963</v>
      </c>
      <c r="E303" s="58" t="n">
        <v>45985.67258101852</v>
      </c>
      <c r="F303" s="6" t="inlineStr">
        <is>
          <t>0 a 02 dias</t>
        </is>
      </c>
      <c r="G303" s="6" t="inlineStr">
        <is>
          <t>0 a 02 dias</t>
        </is>
      </c>
      <c r="H303" s="6" t="inlineStr">
        <is>
          <t>5UDUSW</t>
        </is>
      </c>
      <c r="I303" s="6" t="inlineStr">
        <is>
          <t>LEMONTECH</t>
        </is>
      </c>
      <c r="J303" s="6" t="inlineStr">
        <is>
          <t>DE SOUSA/LAYO</t>
        </is>
      </c>
      <c r="K303" s="6" t="inlineStr">
        <is>
          <t>Maria Clara Landeira Mezavila</t>
        </is>
      </c>
      <c r="L303" s="6" t="inlineStr">
        <is>
          <t>Maria Clara Landeira Mezavila</t>
        </is>
      </c>
      <c r="M303" s="58" t="n">
        <v>45985</v>
      </c>
      <c r="N303" s="6" t="n">
        <v>18090218</v>
      </c>
      <c r="O303" s="6" t="inlineStr">
        <is>
          <t>-</t>
        </is>
      </c>
      <c r="P303" s="6" t="inlineStr">
        <is>
          <t>OFF LINE</t>
        </is>
      </c>
      <c r="Q303" s="6" t="inlineStr">
        <is>
          <t>Cartão de crédito</t>
        </is>
      </c>
      <c r="R303" s="6" t="inlineStr">
        <is>
          <t>Cartão de crédito</t>
        </is>
      </c>
      <c r="S303" s="6" t="inlineStr">
        <is>
          <t>Hotel</t>
        </is>
      </c>
      <c r="T303" s="6" t="inlineStr">
        <is>
          <t>N</t>
        </is>
      </c>
      <c r="U303" s="6" t="inlineStr">
        <is>
          <t>Grupo Biolab</t>
        </is>
      </c>
      <c r="V303" s="6" t="inlineStr">
        <is>
          <t>Biolab Centro Administrativo - Escritorio</t>
        </is>
      </c>
      <c r="W303" s="6" t="inlineStr">
        <is>
          <t>-</t>
        </is>
      </c>
      <c r="X303" s="6" t="inlineStr">
        <is>
          <t>-</t>
        </is>
      </c>
      <c r="Y303" s="6" t="inlineStr">
        <is>
          <t>-</t>
        </is>
      </c>
      <c r="Z303" s="6" t="inlineStr">
        <is>
          <t>KON-OPE-SAO-PVI-BIOLAB</t>
        </is>
      </c>
      <c r="AA303" s="6" t="inlineStr">
        <is>
          <t>-</t>
        </is>
      </c>
      <c r="AB303" s="6" t="n">
        <v>1002.96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inlineStr">
        <is>
          <t>Reserva importada do Sistema Lemontech. Solicitação: 18090218</t>
        </is>
      </c>
      <c r="AJ303" s="6" t="inlineStr">
        <is>
          <t>Fornecedor não preenchido! (ACC01)</t>
        </is>
      </c>
      <c r="AK303" s="6" t="inlineStr">
        <is>
          <t>LEMONTECH</t>
        </is>
      </c>
      <c r="AL303" s="6" t="inlineStr">
        <is>
          <t>Falta de Fornecedor</t>
        </is>
      </c>
      <c r="AM303" s="6" t="inlineStr">
        <is>
          <t>Campo Fornecedor</t>
        </is>
      </c>
      <c r="AN303" s="6" t="inlineStr">
        <is>
          <t>Dados do Fornecedor</t>
        </is>
      </c>
      <c r="AO303" s="6" t="inlineStr">
        <is>
          <t>Qualidade dos dados</t>
        </is>
      </c>
      <c r="AP303" s="6" t="inlineStr">
        <is>
          <t>KONTIK BUSINESS TRAVEL</t>
        </is>
      </c>
      <c r="AQ303" s="6" t="inlineStr">
        <is>
          <t>Suporte KCS</t>
        </is>
      </c>
    </row>
    <row r="304">
      <c r="A304" s="6" t="n">
        <v>23379908</v>
      </c>
      <c r="B304" s="6" t="n">
        <v>24103595</v>
      </c>
      <c r="C304" s="6" t="inlineStr">
        <is>
          <t>ACC01</t>
        </is>
      </c>
      <c r="D304" s="58" t="n">
        <v>45985.66766203703</v>
      </c>
      <c r="E304" s="58" t="n">
        <v>45985.67256944445</v>
      </c>
      <c r="F304" s="6" t="inlineStr">
        <is>
          <t>0 a 02 dias</t>
        </is>
      </c>
      <c r="G304" s="6" t="inlineStr">
        <is>
          <t>0 a 02 dias</t>
        </is>
      </c>
      <c r="H304" s="6" t="inlineStr">
        <is>
          <t>5U1U2W</t>
        </is>
      </c>
      <c r="I304" s="6" t="inlineStr">
        <is>
          <t>LEMONTECH</t>
        </is>
      </c>
      <c r="J304" s="6" t="inlineStr">
        <is>
          <t>THEODORO GONCALVES/EVERTON</t>
        </is>
      </c>
      <c r="K304" s="6" t="inlineStr">
        <is>
          <t>Maria Clara Landeira Mezavila</t>
        </is>
      </c>
      <c r="L304" s="6" t="inlineStr">
        <is>
          <t>Maria Clara Landeira Mezavila</t>
        </is>
      </c>
      <c r="M304" s="58" t="n">
        <v>45985</v>
      </c>
      <c r="N304" s="6" t="n">
        <v>18085972</v>
      </c>
      <c r="O304" s="6" t="inlineStr">
        <is>
          <t>-</t>
        </is>
      </c>
      <c r="P304" s="6" t="inlineStr">
        <is>
          <t>OFF LINE</t>
        </is>
      </c>
      <c r="Q304" s="6" t="inlineStr">
        <is>
          <t>Cartão de crédito</t>
        </is>
      </c>
      <c r="R304" s="6" t="inlineStr">
        <is>
          <t>Cartão de crédito</t>
        </is>
      </c>
      <c r="S304" s="6" t="inlineStr">
        <is>
          <t>Hotel</t>
        </is>
      </c>
      <c r="T304" s="6" t="inlineStr">
        <is>
          <t>N</t>
        </is>
      </c>
      <c r="U304" s="6" t="inlineStr">
        <is>
          <t>Grupo Biolab</t>
        </is>
      </c>
      <c r="V304" s="6" t="inlineStr">
        <is>
          <t>Biolab Centro Administrativo - Escritorio</t>
        </is>
      </c>
      <c r="W304" s="6" t="inlineStr">
        <is>
          <t>-</t>
        </is>
      </c>
      <c r="X304" s="6" t="inlineStr">
        <is>
          <t>-</t>
        </is>
      </c>
      <c r="Y304" s="6" t="inlineStr">
        <is>
          <t>-</t>
        </is>
      </c>
      <c r="Z304" s="6" t="inlineStr">
        <is>
          <t>KON-OPE-SAO-PVI-BIOLAB</t>
        </is>
      </c>
      <c r="AA304" s="6" t="inlineStr">
        <is>
          <t>-</t>
        </is>
      </c>
      <c r="AB304" s="6" t="n">
        <v>570.34</v>
      </c>
      <c r="AC304" s="6" t="n">
        <v>0</v>
      </c>
      <c r="AD304" s="6" t="n">
        <v>0</v>
      </c>
      <c r="AE304" s="6" t="n">
        <v>0</v>
      </c>
      <c r="AF304" s="6" t="n">
        <v>0</v>
      </c>
      <c r="AG304" s="6" t="n">
        <v>0</v>
      </c>
      <c r="AH304" s="6" t="n">
        <v>0</v>
      </c>
      <c r="AI304" s="6" t="inlineStr">
        <is>
          <t>Reserva importada do Sistema Lemontech. Solicitação: 18085972</t>
        </is>
      </c>
      <c r="AJ304" s="6" t="inlineStr">
        <is>
          <t>Fornecedor não preenchido! (ACC01)</t>
        </is>
      </c>
      <c r="AK304" s="6" t="inlineStr">
        <is>
          <t>LEMONTECH</t>
        </is>
      </c>
      <c r="AL304" s="6" t="inlineStr">
        <is>
          <t>Falta de Fornecedor</t>
        </is>
      </c>
      <c r="AM304" s="6" t="inlineStr">
        <is>
          <t>Campo Fornecedor</t>
        </is>
      </c>
      <c r="AN304" s="6" t="inlineStr">
        <is>
          <t>Dados do Fornecedor</t>
        </is>
      </c>
      <c r="AO304" s="6" t="inlineStr">
        <is>
          <t>Qualidade dos dados</t>
        </is>
      </c>
      <c r="AP304" s="6" t="inlineStr">
        <is>
          <t>KONTIK BUSINESS TRAVEL</t>
        </is>
      </c>
      <c r="AQ304" s="6" t="inlineStr">
        <is>
          <t>Suporte KCS</t>
        </is>
      </c>
    </row>
    <row r="305">
      <c r="A305" s="6" t="n">
        <v>23355488</v>
      </c>
      <c r="B305" s="6" t="n">
        <v>24082461</v>
      </c>
      <c r="C305" s="6" t="inlineStr">
        <is>
          <t>ACC01</t>
        </is>
      </c>
      <c r="D305" s="58" t="n">
        <v>45980.66841435185</v>
      </c>
      <c r="E305" s="58" t="n">
        <v>45980.67185185185</v>
      </c>
      <c r="F305" s="6" t="inlineStr">
        <is>
          <t>06 a 08 dias</t>
        </is>
      </c>
      <c r="G305" s="6" t="inlineStr">
        <is>
          <t>06 a 08 dias</t>
        </is>
      </c>
      <c r="H305" s="6" t="inlineStr">
        <is>
          <t>5T2FSL</t>
        </is>
      </c>
      <c r="I305" s="6" t="inlineStr">
        <is>
          <t>LEMONTECH</t>
        </is>
      </c>
      <c r="J305" s="6" t="inlineStr">
        <is>
          <t>FERNANDES DA SILVA/JULIANA</t>
        </is>
      </c>
      <c r="K305" s="6" t="inlineStr">
        <is>
          <t>Ana Clara Saturnino Lima</t>
        </is>
      </c>
      <c r="L305" s="6" t="inlineStr">
        <is>
          <t>Ana Clara Saturnino Lima</t>
        </is>
      </c>
      <c r="M305" s="58" t="n">
        <v>45980</v>
      </c>
      <c r="N305" s="6" t="n">
        <v>18060255</v>
      </c>
      <c r="O305" s="6" t="inlineStr">
        <is>
          <t>-</t>
        </is>
      </c>
      <c r="P305" s="6" t="inlineStr">
        <is>
          <t>ON LINE</t>
        </is>
      </c>
      <c r="Q305" s="6" t="inlineStr">
        <is>
          <t>Invoice</t>
        </is>
      </c>
      <c r="R305" s="6" t="inlineStr">
        <is>
          <t>Faturado</t>
        </is>
      </c>
      <c r="S305" s="6" t="inlineStr">
        <is>
          <t>Hotel</t>
        </is>
      </c>
      <c r="T305" s="6" t="inlineStr">
        <is>
          <t>N</t>
        </is>
      </c>
      <c r="U305" s="6" t="inlineStr">
        <is>
          <t>Grupo Biolab</t>
        </is>
      </c>
      <c r="V305" s="6" t="inlineStr">
        <is>
          <t>Biolab Centro Administrativo - Escritorio</t>
        </is>
      </c>
      <c r="W305" s="6" t="inlineStr">
        <is>
          <t>-</t>
        </is>
      </c>
      <c r="X305" s="6" t="inlineStr">
        <is>
          <t>-</t>
        </is>
      </c>
      <c r="Y305" s="6" t="inlineStr">
        <is>
          <t>-</t>
        </is>
      </c>
      <c r="Z305" s="6" t="inlineStr">
        <is>
          <t>KON-OPE-SAO-PVI-BIOLAB</t>
        </is>
      </c>
      <c r="AA305" s="6" t="inlineStr">
        <is>
          <t>-</t>
        </is>
      </c>
      <c r="AB305" s="6" t="n">
        <v>1585</v>
      </c>
      <c r="AC305" s="6" t="n">
        <v>0</v>
      </c>
      <c r="AD305" s="6" t="n">
        <v>0</v>
      </c>
      <c r="AE305" s="6" t="n">
        <v>0</v>
      </c>
      <c r="AF305" s="6" t="n">
        <v>0</v>
      </c>
      <c r="AG305" s="6" t="n">
        <v>0</v>
      </c>
      <c r="AH305" s="6" t="n">
        <v>0</v>
      </c>
      <c r="AI305" s="6" t="inlineStr">
        <is>
          <t>Reserva importada do Sistema Lemontech. Solicitação: 18060255</t>
        </is>
      </c>
      <c r="AJ305" s="6" t="inlineStr">
        <is>
          <t>Fornecedor não preenchido! (ACC01)</t>
        </is>
      </c>
      <c r="AK305" s="6" t="inlineStr">
        <is>
          <t>LEMONTECH</t>
        </is>
      </c>
      <c r="AL305" s="6" t="inlineStr">
        <is>
          <t>Falta de Fornecedor</t>
        </is>
      </c>
      <c r="AM305" s="6" t="inlineStr">
        <is>
          <t>Campo Fornecedor</t>
        </is>
      </c>
      <c r="AN305" s="6" t="inlineStr">
        <is>
          <t>Dados do Fornecedor</t>
        </is>
      </c>
      <c r="AO305" s="6" t="inlineStr">
        <is>
          <t>Qualidade dos dados</t>
        </is>
      </c>
      <c r="AP305" s="6" t="inlineStr">
        <is>
          <t>KONTIK BUSINESS TRAVEL</t>
        </is>
      </c>
      <c r="AQ305" s="6" t="inlineStr">
        <is>
          <t>Suporte KCS</t>
        </is>
      </c>
    </row>
    <row r="306">
      <c r="A306" s="6" t="n">
        <v>23325005</v>
      </c>
      <c r="B306" s="6" t="n">
        <v>24054480</v>
      </c>
      <c r="C306" s="6" t="inlineStr">
        <is>
          <t>ACC01</t>
        </is>
      </c>
      <c r="D306" s="58" t="n">
        <v>45975.58510416667</v>
      </c>
      <c r="E306" s="58" t="n">
        <v>45975.58777777778</v>
      </c>
      <c r="F306" s="6" t="inlineStr">
        <is>
          <t>09 a 15 dias</t>
        </is>
      </c>
      <c r="G306" s="6" t="inlineStr">
        <is>
          <t>09 a 15 dias</t>
        </is>
      </c>
      <c r="H306" s="6" t="inlineStr">
        <is>
          <t>5TD32V</t>
        </is>
      </c>
      <c r="I306" s="6" t="inlineStr">
        <is>
          <t>LEMONTECH</t>
        </is>
      </c>
      <c r="J306" s="6" t="inlineStr">
        <is>
          <t>FERNANDES DA SILVA/JULIANA</t>
        </is>
      </c>
      <c r="K306" s="6" t="inlineStr">
        <is>
          <t>Fernando Augusto Santiago da Silva</t>
        </is>
      </c>
      <c r="L306" s="6" t="inlineStr">
        <is>
          <t>Fernando Augusto Santiago da Silva</t>
        </is>
      </c>
      <c r="M306" s="58" t="n">
        <v>45974.59097222222</v>
      </c>
      <c r="N306" s="6" t="n">
        <v>18021983</v>
      </c>
      <c r="O306" s="6" t="inlineStr">
        <is>
          <t>-</t>
        </is>
      </c>
      <c r="P306" s="6" t="inlineStr">
        <is>
          <t>OFF LINE</t>
        </is>
      </c>
      <c r="Q306" s="6" t="inlineStr">
        <is>
          <t>Cartão de crédito</t>
        </is>
      </c>
      <c r="R306" s="6" t="inlineStr">
        <is>
          <t>Cartão de crédito</t>
        </is>
      </c>
      <c r="S306" s="6" t="inlineStr">
        <is>
          <t>Serviço</t>
        </is>
      </c>
      <c r="T306" s="6" t="inlineStr">
        <is>
          <t>N</t>
        </is>
      </c>
      <c r="U306" s="6" t="inlineStr">
        <is>
          <t>Grupo Biolab</t>
        </is>
      </c>
      <c r="V306" s="6" t="inlineStr">
        <is>
          <t>Biolab Centro Administrativo - Escritorio</t>
        </is>
      </c>
      <c r="W306" s="6" t="inlineStr">
        <is>
          <t>-</t>
        </is>
      </c>
      <c r="X306" s="6" t="inlineStr">
        <is>
          <t>-</t>
        </is>
      </c>
      <c r="Y306" s="6" t="inlineStr">
        <is>
          <t>-</t>
        </is>
      </c>
      <c r="Z306" s="6" t="inlineStr">
        <is>
          <t>KON-OPE-SAO-PVI-BIOLAB</t>
        </is>
      </c>
      <c r="AA306" s="6" t="inlineStr">
        <is>
          <t>-</t>
        </is>
      </c>
      <c r="AB306" s="6" t="n">
        <v>29038.89</v>
      </c>
      <c r="AC306" s="6" t="n">
        <v>0</v>
      </c>
      <c r="AD306" s="6" t="n">
        <v>0</v>
      </c>
      <c r="AE306" s="6" t="n">
        <v>0</v>
      </c>
      <c r="AF306" s="6" t="n">
        <v>0</v>
      </c>
      <c r="AG306" s="6" t="n">
        <v>0</v>
      </c>
      <c r="AH306" s="6" t="n">
        <v>0</v>
      </c>
      <c r="AI306" s="6" t="inlineStr">
        <is>
          <t>Reserva importada do Sistema Lemontech. Solicitação: 18021983</t>
        </is>
      </c>
      <c r="AJ306" s="6" t="inlineStr">
        <is>
          <t>Fornecedor não preenchido! (ACC01)</t>
        </is>
      </c>
      <c r="AK306" s="6" t="inlineStr">
        <is>
          <t>LEMONTECH</t>
        </is>
      </c>
      <c r="AL306" s="6" t="inlineStr">
        <is>
          <t>Falta de Fornecedor</t>
        </is>
      </c>
      <c r="AM306" s="6" t="inlineStr">
        <is>
          <t>Campo Fornecedor</t>
        </is>
      </c>
      <c r="AN306" s="6" t="inlineStr">
        <is>
          <t>Dados do Fornecedor</t>
        </is>
      </c>
      <c r="AO306" s="6" t="inlineStr">
        <is>
          <t>Qualidade dos dados</t>
        </is>
      </c>
      <c r="AP306" s="6" t="inlineStr">
        <is>
          <t>KONTIK BUSINESS TRAVEL</t>
        </is>
      </c>
      <c r="AQ306" s="6" t="inlineStr">
        <is>
          <t>Suporte KCS</t>
        </is>
      </c>
    </row>
    <row r="307">
      <c r="A307" s="6" t="n">
        <v>23355868</v>
      </c>
      <c r="B307" s="6" t="n">
        <v>24082840</v>
      </c>
      <c r="C307" s="6" t="inlineStr">
        <is>
          <t>ACC01</t>
        </is>
      </c>
      <c r="D307" s="58" t="n">
        <v>45980.71009259259</v>
      </c>
      <c r="E307" s="58" t="n">
        <v>45980.71430555556</v>
      </c>
      <c r="F307" s="6" t="inlineStr">
        <is>
          <t>06 a 08 dias</t>
        </is>
      </c>
      <c r="G307" s="6" t="inlineStr">
        <is>
          <t>06 a 08 dias</t>
        </is>
      </c>
      <c r="H307" s="6" t="inlineStr">
        <is>
          <t>5TNJXN</t>
        </is>
      </c>
      <c r="I307" s="6" t="inlineStr">
        <is>
          <t>LEMONTECH</t>
        </is>
      </c>
      <c r="J307" s="6" t="inlineStr">
        <is>
          <t>FERNANDES DA SILVA/JULIANA</t>
        </is>
      </c>
      <c r="K307" s="6" t="inlineStr">
        <is>
          <t>Fernando Augusto Santiago da Silva</t>
        </is>
      </c>
      <c r="L307" s="6" t="inlineStr">
        <is>
          <t>Fernando Augusto Santiago da Silva</t>
        </is>
      </c>
      <c r="M307" s="58" t="n">
        <v>45980.44236111111</v>
      </c>
      <c r="N307" s="6" t="n">
        <v>18064803</v>
      </c>
      <c r="O307" s="6" t="inlineStr">
        <is>
          <t>-</t>
        </is>
      </c>
      <c r="P307" s="6" t="inlineStr">
        <is>
          <t>OFF LINE</t>
        </is>
      </c>
      <c r="Q307" s="6" t="inlineStr">
        <is>
          <t>Invoice</t>
        </is>
      </c>
      <c r="R307" s="6" t="inlineStr">
        <is>
          <t>Faturado</t>
        </is>
      </c>
      <c r="S307" s="6" t="inlineStr">
        <is>
          <t>Serviço</t>
        </is>
      </c>
      <c r="T307" s="6" t="inlineStr">
        <is>
          <t>N</t>
        </is>
      </c>
      <c r="U307" s="6" t="inlineStr">
        <is>
          <t>Grupo Biolab</t>
        </is>
      </c>
      <c r="V307" s="6" t="inlineStr">
        <is>
          <t>Biolab Centro Administrativo - Escritorio</t>
        </is>
      </c>
      <c r="W307" s="6" t="inlineStr">
        <is>
          <t>-</t>
        </is>
      </c>
      <c r="X307" s="6" t="inlineStr">
        <is>
          <t>-</t>
        </is>
      </c>
      <c r="Y307" s="6" t="inlineStr">
        <is>
          <t>-</t>
        </is>
      </c>
      <c r="Z307" s="6" t="inlineStr">
        <is>
          <t>KON-OPE-SAO-PVI-BIOLAB</t>
        </is>
      </c>
      <c r="AA307" s="6" t="inlineStr">
        <is>
          <t>-</t>
        </is>
      </c>
      <c r="AB307" s="6" t="n">
        <v>20319.25</v>
      </c>
      <c r="AC307" s="6" t="n">
        <v>0</v>
      </c>
      <c r="AD307" s="6" t="n">
        <v>0</v>
      </c>
      <c r="AE307" s="6" t="n">
        <v>0</v>
      </c>
      <c r="AF307" s="6" t="n">
        <v>0</v>
      </c>
      <c r="AG307" s="6" t="n">
        <v>0</v>
      </c>
      <c r="AH307" s="6" t="n">
        <v>0</v>
      </c>
      <c r="AI307" s="6" t="inlineStr">
        <is>
          <t>Reserva importada do Sistema Lemontech. Solicitação: 18064803</t>
        </is>
      </c>
      <c r="AJ307" s="6" t="inlineStr">
        <is>
          <t>Fornecedor não preenchido! (ACC01)</t>
        </is>
      </c>
      <c r="AK307" s="6" t="inlineStr">
        <is>
          <t>LEMONTECH</t>
        </is>
      </c>
      <c r="AL307" s="6" t="inlineStr">
        <is>
          <t>Falta de Fornecedor</t>
        </is>
      </c>
      <c r="AM307" s="6" t="inlineStr">
        <is>
          <t>Campo Fornecedor</t>
        </is>
      </c>
      <c r="AN307" s="6" t="inlineStr">
        <is>
          <t>Dados do Fornecedor</t>
        </is>
      </c>
      <c r="AO307" s="6" t="inlineStr">
        <is>
          <t>Qualidade dos dados</t>
        </is>
      </c>
      <c r="AP307" s="6" t="inlineStr">
        <is>
          <t>KONTIK BUSINESS TRAVEL</t>
        </is>
      </c>
      <c r="AQ307" s="6" t="inlineStr">
        <is>
          <t>Suporte KCS</t>
        </is>
      </c>
    </row>
    <row r="308">
      <c r="A308" s="6" t="n">
        <v>23354500</v>
      </c>
      <c r="B308" s="6" t="n">
        <v>24081466</v>
      </c>
      <c r="C308" s="6" t="inlineStr">
        <is>
          <t>ACC01</t>
        </is>
      </c>
      <c r="D308" s="58" t="n">
        <v>45980.61438657407</v>
      </c>
      <c r="E308" s="58" t="n">
        <v>45980.61528935185</v>
      </c>
      <c r="F308" s="6" t="inlineStr">
        <is>
          <t>06 a 08 dias</t>
        </is>
      </c>
      <c r="G308" s="6" t="inlineStr">
        <is>
          <t>06 a 08 dias</t>
        </is>
      </c>
      <c r="H308" s="6" t="n">
        <v>5197274</v>
      </c>
      <c r="I308" s="6" t="inlineStr">
        <is>
          <t>GOVER</t>
        </is>
      </c>
      <c r="J308" s="6" t="inlineStr">
        <is>
          <t>Marcus Vinicius Santana de Novaes</t>
        </is>
      </c>
      <c r="K308" s="6" t="inlineStr">
        <is>
          <t>Rafaela Leitao Oliveira</t>
        </is>
      </c>
      <c r="L308" s="6" t="inlineStr">
        <is>
          <t>Rafaela Leitao Oliveira</t>
        </is>
      </c>
      <c r="M308" s="58" t="n">
        <v>45980</v>
      </c>
      <c r="N308" s="6" t="n">
        <v>4629948</v>
      </c>
      <c r="O308" s="6" t="inlineStr">
        <is>
          <t>-</t>
        </is>
      </c>
      <c r="P308" s="6" t="inlineStr">
        <is>
          <t>OFF LINE</t>
        </is>
      </c>
      <c r="Q308" s="6" t="inlineStr">
        <is>
          <t>Invoice</t>
        </is>
      </c>
      <c r="R308" s="6" t="inlineStr">
        <is>
          <t>Faturado</t>
        </is>
      </c>
      <c r="S308" s="6" t="inlineStr">
        <is>
          <t>Hotel</t>
        </is>
      </c>
      <c r="T308" s="6" t="inlineStr">
        <is>
          <t>N</t>
        </is>
      </c>
      <c r="U308" s="6" t="inlineStr">
        <is>
          <t>Grupo Tec Toy</t>
        </is>
      </c>
      <c r="V308" s="6" t="inlineStr">
        <is>
          <t>Tec Toy</t>
        </is>
      </c>
      <c r="W308" s="6" t="inlineStr">
        <is>
          <t>-</t>
        </is>
      </c>
      <c r="X308" s="6" t="inlineStr">
        <is>
          <t>Brasil 21 Convention Affiliated By Melia - Inativo</t>
        </is>
      </c>
      <c r="Y308" s="6" t="inlineStr">
        <is>
          <t>-</t>
        </is>
      </c>
      <c r="Z308" s="6" t="inlineStr">
        <is>
          <t>HOT LINE - RIO DE JANEIRO</t>
        </is>
      </c>
      <c r="AA308" s="6" t="inlineStr">
        <is>
          <t>-</t>
        </is>
      </c>
      <c r="AB308" s="6" t="n">
        <v>5182.8</v>
      </c>
      <c r="AC308" s="6" t="n">
        <v>0</v>
      </c>
      <c r="AD308" s="6" t="n">
        <v>0</v>
      </c>
      <c r="AE308" s="6" t="n">
        <v>0</v>
      </c>
      <c r="AF308" s="6" t="n">
        <v>0</v>
      </c>
      <c r="AG308" s="6" t="n">
        <v>0</v>
      </c>
      <c r="AH308" s="6" t="n">
        <v>0</v>
      </c>
      <c r="AI308" s="6" t="inlineStr">
        <is>
          <t>Reserva importada do sistema Gover. Id: 4629948</t>
        </is>
      </c>
      <c r="AJ308" s="6" t="inlineStr">
        <is>
          <t xml:space="preserve">Não foi possível encontrar um contrato válido para o fornecedor 70512 (Código fornecedor) </t>
        </is>
      </c>
      <c r="AK308" s="6" t="inlineStr">
        <is>
          <t>GOVER</t>
        </is>
      </c>
      <c r="AL308" s="6" t="inlineStr">
        <is>
          <t>Contrato de fornecedor</t>
        </is>
      </c>
      <c r="AM308" s="6" t="inlineStr">
        <is>
          <t>Análise Cadastro</t>
        </is>
      </c>
      <c r="AN308" s="6" t="inlineStr">
        <is>
          <t>Dados do Fornecedor</t>
        </is>
      </c>
      <c r="AO308" s="6" t="inlineStr">
        <is>
          <t>Qualidade dos dados</t>
        </is>
      </c>
      <c r="AP308" s="6" t="inlineStr">
        <is>
          <t>KONTIK BUSINESS TRAVEL</t>
        </is>
      </c>
      <c r="AQ308" s="6" t="inlineStr">
        <is>
          <t>Suporte KCS</t>
        </is>
      </c>
    </row>
    <row r="309">
      <c r="A309" s="6" t="n">
        <v>23354500</v>
      </c>
      <c r="B309" s="6" t="n">
        <v>24081467</v>
      </c>
      <c r="C309" s="6" t="inlineStr">
        <is>
          <t>ACC02</t>
        </is>
      </c>
      <c r="D309" s="58" t="n">
        <v>45980.61438657407</v>
      </c>
      <c r="E309" s="58" t="n">
        <v>45980.61528935185</v>
      </c>
      <c r="F309" s="6" t="inlineStr">
        <is>
          <t>06 a 08 dias</t>
        </is>
      </c>
      <c r="G309" s="6" t="inlineStr">
        <is>
          <t>06 a 08 dias</t>
        </is>
      </c>
      <c r="H309" s="6" t="n">
        <v>5197274</v>
      </c>
      <c r="I309" s="6" t="inlineStr">
        <is>
          <t>GOVER</t>
        </is>
      </c>
      <c r="J309" s="6" t="inlineStr">
        <is>
          <t>Telma Cristina  Zago Momesso</t>
        </is>
      </c>
      <c r="K309" s="6" t="inlineStr">
        <is>
          <t>Rafaela Leitao Oliveira</t>
        </is>
      </c>
      <c r="L309" s="6" t="inlineStr">
        <is>
          <t>Rafaela Leitao Oliveira</t>
        </is>
      </c>
      <c r="M309" s="58" t="n">
        <v>45980</v>
      </c>
      <c r="N309" s="6" t="n">
        <v>4629948</v>
      </c>
      <c r="O309" s="6" t="inlineStr">
        <is>
          <t>-</t>
        </is>
      </c>
      <c r="P309" s="6" t="inlineStr">
        <is>
          <t>OFF LINE</t>
        </is>
      </c>
      <c r="Q309" s="6" t="inlineStr">
        <is>
          <t>Invoice</t>
        </is>
      </c>
      <c r="R309" s="6" t="inlineStr">
        <is>
          <t>Faturado</t>
        </is>
      </c>
      <c r="S309" s="6" t="inlineStr">
        <is>
          <t>Hotel</t>
        </is>
      </c>
      <c r="T309" s="6" t="inlineStr">
        <is>
          <t>N</t>
        </is>
      </c>
      <c r="U309" s="6" t="inlineStr">
        <is>
          <t>Grupo Tec Toy</t>
        </is>
      </c>
      <c r="V309" s="6" t="inlineStr">
        <is>
          <t>Tec Toy</t>
        </is>
      </c>
      <c r="W309" s="6" t="inlineStr">
        <is>
          <t>-</t>
        </is>
      </c>
      <c r="X309" s="6" t="inlineStr">
        <is>
          <t>Brasil 21 Convention Affiliated By Melia - Inativo</t>
        </is>
      </c>
      <c r="Y309" s="6" t="inlineStr">
        <is>
          <t>-</t>
        </is>
      </c>
      <c r="Z309" s="6" t="inlineStr">
        <is>
          <t>HOT LINE - RIO DE JANEIRO</t>
        </is>
      </c>
      <c r="AA309" s="6" t="inlineStr">
        <is>
          <t>-</t>
        </is>
      </c>
      <c r="AB309" s="6" t="n">
        <v>5182.8</v>
      </c>
      <c r="AC309" s="6" t="n">
        <v>0</v>
      </c>
      <c r="AD309" s="6" t="n">
        <v>0</v>
      </c>
      <c r="AE309" s="6" t="n">
        <v>0</v>
      </c>
      <c r="AF309" s="6" t="n">
        <v>0</v>
      </c>
      <c r="AG309" s="6" t="n">
        <v>0</v>
      </c>
      <c r="AH309" s="6" t="n">
        <v>0</v>
      </c>
      <c r="AI309" s="6" t="inlineStr">
        <is>
          <t>Reserva importada do sistema Gover. Id: 4629948</t>
        </is>
      </c>
      <c r="AJ309" s="6" t="inlineStr">
        <is>
          <t xml:space="preserve">Não foi possível encontrar um contrato válido para o fornecedor 70512 (Código fornecedor) </t>
        </is>
      </c>
      <c r="AK309" s="6" t="inlineStr">
        <is>
          <t>GOVER</t>
        </is>
      </c>
      <c r="AL309" s="6" t="inlineStr">
        <is>
          <t>Contrato de fornecedor</t>
        </is>
      </c>
      <c r="AM309" s="6" t="inlineStr">
        <is>
          <t>Análise Cadastro</t>
        </is>
      </c>
      <c r="AN309" s="6" t="inlineStr">
        <is>
          <t>Dados do Fornecedor</t>
        </is>
      </c>
      <c r="AO309" s="6" t="inlineStr">
        <is>
          <t>Qualidade dos dados</t>
        </is>
      </c>
      <c r="AP309" s="6" t="inlineStr">
        <is>
          <t>KONTIK BUSINESS TRAVEL</t>
        </is>
      </c>
      <c r="AQ309" s="6" t="inlineStr">
        <is>
          <t>Suporte KCS</t>
        </is>
      </c>
    </row>
    <row r="310">
      <c r="A310" s="6" t="n">
        <v>23273241</v>
      </c>
      <c r="B310" s="6" t="n">
        <v>24005863</v>
      </c>
      <c r="C310" s="6" t="inlineStr">
        <is>
          <t>ACC01</t>
        </is>
      </c>
      <c r="D310" s="58" t="n">
        <v>45967.72153935185</v>
      </c>
      <c r="E310" s="58" t="n">
        <v>45967.7684375</v>
      </c>
      <c r="F310" s="59" t="inlineStr">
        <is>
          <t>16 a 23 dias</t>
        </is>
      </c>
      <c r="G310" s="59" t="inlineStr">
        <is>
          <t>16 a 23 dias</t>
        </is>
      </c>
      <c r="H310" s="6" t="inlineStr">
        <is>
          <t>5RO10T</t>
        </is>
      </c>
      <c r="I310" s="6" t="inlineStr">
        <is>
          <t>TMS</t>
        </is>
      </c>
      <c r="J310" s="6" t="inlineStr">
        <is>
          <t>CARLOS HENRIQUE AZEVEDO</t>
        </is>
      </c>
      <c r="K310" s="6" t="inlineStr">
        <is>
          <t>Nataly Franca Regal de Castro</t>
        </is>
      </c>
      <c r="L310" s="6" t="inlineStr">
        <is>
          <t>Nataly Franca Regal de Castro</t>
        </is>
      </c>
      <c r="M310" s="58" t="n">
        <v>45967.67291666667</v>
      </c>
      <c r="N310" s="6" t="n">
        <v>88019</v>
      </c>
      <c r="O310" s="6" t="inlineStr">
        <is>
          <t>-</t>
        </is>
      </c>
      <c r="P310" s="6" t="inlineStr">
        <is>
          <t>OFF LINE</t>
        </is>
      </c>
      <c r="Q310" s="6" t="inlineStr">
        <is>
          <t>Invoice</t>
        </is>
      </c>
      <c r="R310" s="6" t="inlineStr">
        <is>
          <t>Faturado</t>
        </is>
      </c>
      <c r="S310" s="6" t="inlineStr">
        <is>
          <t>Serviço</t>
        </is>
      </c>
      <c r="T310" s="6" t="inlineStr">
        <is>
          <t>N</t>
        </is>
      </c>
      <c r="U310" s="6" t="inlineStr">
        <is>
          <t>Grupo Ocean Pact</t>
        </is>
      </c>
      <c r="V310" s="6" t="inlineStr">
        <is>
          <t>Up Offshore Apoio Maritimo</t>
        </is>
      </c>
      <c r="W310" s="6" t="inlineStr">
        <is>
          <t>-</t>
        </is>
      </c>
      <c r="X310" s="6" t="inlineStr">
        <is>
          <t>-</t>
        </is>
      </c>
      <c r="Y310" s="6" t="inlineStr">
        <is>
          <t>-</t>
        </is>
      </c>
      <c r="Z310" s="6" t="inlineStr">
        <is>
          <t>KON-OPE-RIO-POS-OCEANPACT</t>
        </is>
      </c>
      <c r="AA310" s="6" t="inlineStr">
        <is>
          <t>-</t>
        </is>
      </c>
      <c r="AB310" s="6" t="n">
        <v>428.7</v>
      </c>
      <c r="AC310" s="6" t="n">
        <v>0</v>
      </c>
      <c r="AD310" s="6" t="n">
        <v>0</v>
      </c>
      <c r="AE310" s="6" t="n">
        <v>0</v>
      </c>
      <c r="AF310" s="6" t="n">
        <v>0</v>
      </c>
      <c r="AG310" s="6" t="n">
        <v>0</v>
      </c>
      <c r="AH310" s="6" t="n">
        <v>0</v>
      </c>
      <c r="AI310" s="6" t="inlineStr">
        <is>
          <t>Reserva importada do Sistema TMS. OS: 88019</t>
        </is>
      </c>
      <c r="AJ310" s="6" t="inlineStr">
        <is>
          <t>Fornecedor não preenchido! (ACC01)</t>
        </is>
      </c>
      <c r="AK310" s="6" t="inlineStr">
        <is>
          <t>ARGO(TMS)</t>
        </is>
      </c>
      <c r="AL310" s="6" t="inlineStr">
        <is>
          <t>Falta de Fornecedor</t>
        </is>
      </c>
      <c r="AM310" s="6" t="inlineStr">
        <is>
          <t>Campo Fornecedor</t>
        </is>
      </c>
      <c r="AN310" s="6" t="inlineStr">
        <is>
          <t>Dados do Fornecedor</t>
        </is>
      </c>
      <c r="AO310" s="6" t="inlineStr">
        <is>
          <t>Qualidade dos dados</t>
        </is>
      </c>
      <c r="AP310" s="6" t="inlineStr">
        <is>
          <t>KONTIK BUSINESS TRAVEL</t>
        </is>
      </c>
      <c r="AQ310" s="6" t="inlineStr">
        <is>
          <t>Suporte KCS</t>
        </is>
      </c>
    </row>
    <row r="311">
      <c r="A311" s="6" t="n">
        <v>23302459</v>
      </c>
      <c r="B311" s="6" t="n">
        <v>24033096</v>
      </c>
      <c r="C311" s="6" t="inlineStr">
        <is>
          <t>ACC01</t>
        </is>
      </c>
      <c r="D311" s="58" t="n">
        <v>45972.52552083333</v>
      </c>
      <c r="E311" s="58" t="n">
        <v>45972.56101851852</v>
      </c>
      <c r="F311" s="6" t="inlineStr">
        <is>
          <t>09 a 15 dias</t>
        </is>
      </c>
      <c r="G311" s="6" t="inlineStr">
        <is>
          <t>09 a 15 dias</t>
        </is>
      </c>
      <c r="H311" s="6" t="inlineStr">
        <is>
          <t>5RLG39</t>
        </is>
      </c>
      <c r="I311" s="6" t="inlineStr">
        <is>
          <t>TMS</t>
        </is>
      </c>
      <c r="J311" s="6" t="inlineStr">
        <is>
          <t>LEANDRO BEZERRA SALES</t>
        </is>
      </c>
      <c r="K311" s="6" t="inlineStr">
        <is>
          <t>Nataly Franca Regal de Castro</t>
        </is>
      </c>
      <c r="L311" s="6" t="inlineStr">
        <is>
          <t>Nataly Franca Regal de Castro</t>
        </is>
      </c>
      <c r="M311" s="58" t="n">
        <v>45972.47430555556</v>
      </c>
      <c r="N311" s="6" t="n">
        <v>88488</v>
      </c>
      <c r="O311" s="6" t="inlineStr">
        <is>
          <t>-</t>
        </is>
      </c>
      <c r="P311" s="6" t="inlineStr">
        <is>
          <t>OFF LINE</t>
        </is>
      </c>
      <c r="Q311" s="6" t="inlineStr">
        <is>
          <t>Invoice</t>
        </is>
      </c>
      <c r="R311" s="6" t="inlineStr">
        <is>
          <t>Faturado</t>
        </is>
      </c>
      <c r="S311" s="6" t="inlineStr">
        <is>
          <t>Serviço</t>
        </is>
      </c>
      <c r="T311" s="6" t="inlineStr">
        <is>
          <t>N</t>
        </is>
      </c>
      <c r="U311" s="6" t="inlineStr">
        <is>
          <t>Grupo Ocean Pact</t>
        </is>
      </c>
      <c r="V311" s="6" t="inlineStr">
        <is>
          <t>Oceanpact Servicos Maritimos</t>
        </is>
      </c>
      <c r="W311" s="6" t="inlineStr">
        <is>
          <t>-</t>
        </is>
      </c>
      <c r="X311" s="6" t="inlineStr">
        <is>
          <t>-</t>
        </is>
      </c>
      <c r="Y311" s="6" t="inlineStr">
        <is>
          <t>-</t>
        </is>
      </c>
      <c r="Z311" s="6" t="inlineStr">
        <is>
          <t>KON-OPE-RIO-POS-OCEANPACT</t>
        </is>
      </c>
      <c r="AA311" s="6" t="inlineStr">
        <is>
          <t>-</t>
        </is>
      </c>
      <c r="AB311" s="6" t="n">
        <v>214.35</v>
      </c>
      <c r="AC311" s="6" t="n">
        <v>0</v>
      </c>
      <c r="AD311" s="6" t="n">
        <v>0</v>
      </c>
      <c r="AE311" s="6" t="n">
        <v>0</v>
      </c>
      <c r="AF311" s="6" t="n">
        <v>0</v>
      </c>
      <c r="AG311" s="6" t="n">
        <v>0</v>
      </c>
      <c r="AH311" s="6" t="n">
        <v>0</v>
      </c>
      <c r="AI311" s="6" t="inlineStr">
        <is>
          <t>Reserva importada do Sistema TMS. OS: 88488</t>
        </is>
      </c>
      <c r="AJ311" s="6" t="inlineStr">
        <is>
          <t>Fornecedor não preenchido! (ACC01)</t>
        </is>
      </c>
      <c r="AK311" s="6" t="inlineStr">
        <is>
          <t>ARGO(TMS)</t>
        </is>
      </c>
      <c r="AL311" s="6" t="inlineStr">
        <is>
          <t>Falta de Fornecedor</t>
        </is>
      </c>
      <c r="AM311" s="6" t="inlineStr">
        <is>
          <t>Campo Fornecedor</t>
        </is>
      </c>
      <c r="AN311" s="6" t="inlineStr">
        <is>
          <t>Dados do Fornecedor</t>
        </is>
      </c>
      <c r="AO311" s="6" t="inlineStr">
        <is>
          <t>Qualidade dos dados</t>
        </is>
      </c>
      <c r="AP311" s="6" t="inlineStr">
        <is>
          <t>KONTIK BUSINESS TRAVEL</t>
        </is>
      </c>
      <c r="AQ311" s="6" t="inlineStr">
        <is>
          <t>Suporte KCS</t>
        </is>
      </c>
    </row>
    <row r="312">
      <c r="A312" s="6" t="n">
        <v>23383720</v>
      </c>
      <c r="B312" s="6" t="n">
        <v>24107181</v>
      </c>
      <c r="C312" s="6" t="inlineStr">
        <is>
          <t>ACC01</t>
        </is>
      </c>
      <c r="D312" s="58" t="n">
        <v>45986.21155092592</v>
      </c>
      <c r="E312" s="58" t="n">
        <v>45986.23460648148</v>
      </c>
      <c r="F312" s="6" t="inlineStr">
        <is>
          <t>0 a 02 dias</t>
        </is>
      </c>
      <c r="G312" s="6" t="inlineStr">
        <is>
          <t>0 a 02 dias</t>
        </is>
      </c>
      <c r="H312" s="6" t="inlineStr">
        <is>
          <t>5UFU4C</t>
        </is>
      </c>
      <c r="I312" s="6" t="inlineStr">
        <is>
          <t>TMS</t>
        </is>
      </c>
      <c r="J312" s="6" t="inlineStr">
        <is>
          <t>EDNO DE OLIVEIRA JUNIOR</t>
        </is>
      </c>
      <c r="K312" s="6" t="inlineStr">
        <is>
          <t>Leandra Vitória Gomes Santos</t>
        </is>
      </c>
      <c r="L312" s="6" t="inlineStr">
        <is>
          <t>Leandra Vitória Gomes Santos</t>
        </is>
      </c>
      <c r="M312" s="58" t="n">
        <v>45985.70347222222</v>
      </c>
      <c r="N312" s="6" t="n">
        <v>90076</v>
      </c>
      <c r="O312" s="6" t="inlineStr">
        <is>
          <t>-</t>
        </is>
      </c>
      <c r="P312" s="6" t="inlineStr">
        <is>
          <t>OFF LINE</t>
        </is>
      </c>
      <c r="Q312" s="6" t="inlineStr">
        <is>
          <t>Invoice</t>
        </is>
      </c>
      <c r="R312" s="6" t="inlineStr">
        <is>
          <t>Faturado</t>
        </is>
      </c>
      <c r="S312" s="6" t="inlineStr">
        <is>
          <t>Serviço</t>
        </is>
      </c>
      <c r="T312" s="6" t="inlineStr">
        <is>
          <t>N</t>
        </is>
      </c>
      <c r="U312" s="6" t="inlineStr">
        <is>
          <t>Grupo Ocean Pact</t>
        </is>
      </c>
      <c r="V312" s="6" t="inlineStr">
        <is>
          <t>Oceanpact Servicos Maritimos</t>
        </is>
      </c>
      <c r="W312" s="6" t="inlineStr">
        <is>
          <t>-</t>
        </is>
      </c>
      <c r="X312" s="6" t="inlineStr">
        <is>
          <t>-</t>
        </is>
      </c>
      <c r="Y312" s="6" t="inlineStr">
        <is>
          <t>-</t>
        </is>
      </c>
      <c r="Z312" s="6" t="inlineStr">
        <is>
          <t>KON-OPE-RIO-POS-OCEANPACT</t>
        </is>
      </c>
      <c r="AA312" s="6" t="inlineStr">
        <is>
          <t>-</t>
        </is>
      </c>
      <c r="AB312" s="6" t="n">
        <v>180</v>
      </c>
      <c r="AC312" s="6" t="n">
        <v>0</v>
      </c>
      <c r="AD312" s="6" t="n">
        <v>0</v>
      </c>
      <c r="AE312" s="6" t="n">
        <v>0</v>
      </c>
      <c r="AF312" s="6" t="n">
        <v>0</v>
      </c>
      <c r="AG312" s="6" t="n">
        <v>0</v>
      </c>
      <c r="AH312" s="6" t="n">
        <v>0</v>
      </c>
      <c r="AI312" s="6" t="inlineStr">
        <is>
          <t>Reserva importada do Sistema TMS. OS: 90076</t>
        </is>
      </c>
      <c r="AJ312" s="6" t="inlineStr">
        <is>
          <t>Fornecedor não preenchido! (ACC01)</t>
        </is>
      </c>
      <c r="AK312" s="6" t="inlineStr">
        <is>
          <t>ARGO(TMS)</t>
        </is>
      </c>
      <c r="AL312" s="6" t="inlineStr">
        <is>
          <t>Falta de Fornecedor</t>
        </is>
      </c>
      <c r="AM312" s="6" t="inlineStr">
        <is>
          <t>Campo Fornecedor</t>
        </is>
      </c>
      <c r="AN312" s="6" t="inlineStr">
        <is>
          <t>Dados do Fornecedor</t>
        </is>
      </c>
      <c r="AO312" s="6" t="inlineStr">
        <is>
          <t>Qualidade dos dados</t>
        </is>
      </c>
      <c r="AP312" s="6" t="inlineStr">
        <is>
          <t>KONTIK BUSINESS TRAVEL</t>
        </is>
      </c>
      <c r="AQ312" s="6" t="inlineStr">
        <is>
          <t>Suporte KCS</t>
        </is>
      </c>
    </row>
    <row r="313">
      <c r="A313" s="6" t="n">
        <v>23383717</v>
      </c>
      <c r="B313" s="6" t="n">
        <v>24107179</v>
      </c>
      <c r="C313" s="6" t="inlineStr">
        <is>
          <t>ACC01</t>
        </is>
      </c>
      <c r="D313" s="58" t="n">
        <v>45986.21143518519</v>
      </c>
      <c r="E313" s="58" t="n">
        <v>45986.23449074074</v>
      </c>
      <c r="F313" s="6" t="inlineStr">
        <is>
          <t>0 a 02 dias</t>
        </is>
      </c>
      <c r="G313" s="6" t="inlineStr">
        <is>
          <t>0 a 02 dias</t>
        </is>
      </c>
      <c r="H313" s="6" t="inlineStr">
        <is>
          <t>5UW7FE</t>
        </is>
      </c>
      <c r="I313" s="6" t="inlineStr">
        <is>
          <t>TMS</t>
        </is>
      </c>
      <c r="J313" s="6" t="inlineStr">
        <is>
          <t>IVAN BENICIO CAVALCANTE</t>
        </is>
      </c>
      <c r="K313" s="6" t="inlineStr">
        <is>
          <t>RAIANY DA PAZ VIDAL CORREIA DA SILVA</t>
        </is>
      </c>
      <c r="L313" s="6" t="inlineStr">
        <is>
          <t>RAIANY DA PAZ VIDAL CORREIA DA SILVA</t>
        </is>
      </c>
      <c r="M313" s="58" t="n">
        <v>45985.77986111111</v>
      </c>
      <c r="N313" s="6" t="n">
        <v>90097</v>
      </c>
      <c r="O313" s="6" t="inlineStr">
        <is>
          <t>-</t>
        </is>
      </c>
      <c r="P313" s="6" t="inlineStr">
        <is>
          <t>OFF LINE</t>
        </is>
      </c>
      <c r="Q313" s="6" t="inlineStr">
        <is>
          <t>Invoice</t>
        </is>
      </c>
      <c r="R313" s="6" t="inlineStr">
        <is>
          <t>Faturado</t>
        </is>
      </c>
      <c r="S313" s="6" t="inlineStr">
        <is>
          <t>Serviço</t>
        </is>
      </c>
      <c r="T313" s="6" t="inlineStr">
        <is>
          <t>N</t>
        </is>
      </c>
      <c r="U313" s="6" t="inlineStr">
        <is>
          <t>Grupo Ocean Pact</t>
        </is>
      </c>
      <c r="V313" s="6" t="inlineStr">
        <is>
          <t>Oceanpact Geociencias</t>
        </is>
      </c>
      <c r="W313" s="6" t="inlineStr">
        <is>
          <t>-</t>
        </is>
      </c>
      <c r="X313" s="6" t="inlineStr">
        <is>
          <t>-</t>
        </is>
      </c>
      <c r="Y313" s="6" t="inlineStr">
        <is>
          <t>-</t>
        </is>
      </c>
      <c r="Z313" s="6" t="inlineStr">
        <is>
          <t>KON-OPE-RIO-POS-OCEANPACT</t>
        </is>
      </c>
      <c r="AA313" s="6" t="inlineStr">
        <is>
          <t>-</t>
        </is>
      </c>
      <c r="AB313" s="6" t="n">
        <v>85.34</v>
      </c>
      <c r="AC313" s="6" t="n">
        <v>0</v>
      </c>
      <c r="AD313" s="6" t="n">
        <v>0</v>
      </c>
      <c r="AE313" s="6" t="n">
        <v>0</v>
      </c>
      <c r="AF313" s="6" t="n">
        <v>0</v>
      </c>
      <c r="AG313" s="6" t="n">
        <v>0</v>
      </c>
      <c r="AH313" s="6" t="n">
        <v>0</v>
      </c>
      <c r="AI313" s="6" t="inlineStr">
        <is>
          <t>Reserva importada do Sistema TMS. OS: 90097</t>
        </is>
      </c>
      <c r="AJ313" s="6" t="inlineStr">
        <is>
          <t>Fornecedor não preenchido! (ACC01)</t>
        </is>
      </c>
      <c r="AK313" s="6" t="inlineStr">
        <is>
          <t>ARGO(TMS)</t>
        </is>
      </c>
      <c r="AL313" s="6" t="inlineStr">
        <is>
          <t>Falta de Fornecedor</t>
        </is>
      </c>
      <c r="AM313" s="6" t="inlineStr">
        <is>
          <t>Campo Fornecedor</t>
        </is>
      </c>
      <c r="AN313" s="6" t="inlineStr">
        <is>
          <t>Dados do Fornecedor</t>
        </is>
      </c>
      <c r="AO313" s="6" t="inlineStr">
        <is>
          <t>Qualidade dos dados</t>
        </is>
      </c>
      <c r="AP313" s="6" t="inlineStr">
        <is>
          <t>KONTIK BUSINESS TRAVEL</t>
        </is>
      </c>
      <c r="AQ313" s="6" t="inlineStr">
        <is>
          <t>Suporte KCS</t>
        </is>
      </c>
    </row>
    <row r="314">
      <c r="A314" s="6" t="n">
        <v>23380638</v>
      </c>
      <c r="B314" s="6" t="n">
        <v>24104332</v>
      </c>
      <c r="C314" s="6" t="inlineStr">
        <is>
          <t>ACC01</t>
        </is>
      </c>
      <c r="D314" s="58" t="n">
        <v>45985.70920138889</v>
      </c>
      <c r="E314" s="58" t="n">
        <v>45986.09428240741</v>
      </c>
      <c r="F314" s="6" t="inlineStr">
        <is>
          <t>0 a 02 dias</t>
        </is>
      </c>
      <c r="G314" s="6" t="inlineStr">
        <is>
          <t>0 a 02 dias</t>
        </is>
      </c>
      <c r="H314" s="6" t="inlineStr">
        <is>
          <t>5U4RY2</t>
        </is>
      </c>
      <c r="I314" s="6" t="inlineStr">
        <is>
          <t>TMS</t>
        </is>
      </c>
      <c r="J314" s="6" t="inlineStr">
        <is>
          <t>WHELIGTON DE AZEVEDO</t>
        </is>
      </c>
      <c r="K314" s="6" t="inlineStr">
        <is>
          <t>Tms</t>
        </is>
      </c>
      <c r="L314" s="6" t="inlineStr">
        <is>
          <t>Tms</t>
        </is>
      </c>
      <c r="M314" s="58" t="n">
        <v>45985.65694444445</v>
      </c>
      <c r="N314" s="6" t="n">
        <v>90108</v>
      </c>
      <c r="O314" s="6" t="inlineStr">
        <is>
          <t>-</t>
        </is>
      </c>
      <c r="P314" s="6" t="inlineStr">
        <is>
          <t>OFF LINE</t>
        </is>
      </c>
      <c r="Q314" s="6" t="inlineStr">
        <is>
          <t>Invoice</t>
        </is>
      </c>
      <c r="R314" s="6" t="inlineStr">
        <is>
          <t>Faturado</t>
        </is>
      </c>
      <c r="S314" s="6" t="inlineStr">
        <is>
          <t>Serviço</t>
        </is>
      </c>
      <c r="T314" s="6" t="inlineStr">
        <is>
          <t>N</t>
        </is>
      </c>
      <c r="U314" s="6" t="inlineStr">
        <is>
          <t>Grupo Ocean Pact</t>
        </is>
      </c>
      <c r="V314" s="6" t="inlineStr">
        <is>
          <t>Oceanpact Servicos Maritimos</t>
        </is>
      </c>
      <c r="W314" s="6" t="inlineStr">
        <is>
          <t>-</t>
        </is>
      </c>
      <c r="X314" s="6" t="inlineStr">
        <is>
          <t>-</t>
        </is>
      </c>
      <c r="Y314" s="6" t="inlineStr">
        <is>
          <t>-</t>
        </is>
      </c>
      <c r="Z314" s="6" t="inlineStr">
        <is>
          <t>KON-OPE-RIO-POS-OCEANPACT</t>
        </is>
      </c>
      <c r="AA314" s="6" t="inlineStr">
        <is>
          <t>-</t>
        </is>
      </c>
      <c r="AB314" s="6" t="n">
        <v>180.4</v>
      </c>
      <c r="AC314" s="6" t="n">
        <v>42.42</v>
      </c>
      <c r="AD314" s="6" t="n">
        <v>0</v>
      </c>
      <c r="AE314" s="6" t="n">
        <v>0</v>
      </c>
      <c r="AF314" s="6" t="n">
        <v>0</v>
      </c>
      <c r="AG314" s="6" t="n">
        <v>0</v>
      </c>
      <c r="AH314" s="6" t="n">
        <v>0</v>
      </c>
      <c r="AI314" s="6" t="inlineStr">
        <is>
          <t>Reserva importada do Sistema TMS. OS: 90108</t>
        </is>
      </c>
      <c r="AJ314" s="6" t="inlineStr">
        <is>
          <t>Fornecedor não preenchido! (ACC01)</t>
        </is>
      </c>
      <c r="AK314" s="6" t="inlineStr">
        <is>
          <t>ARGO(TMS)</t>
        </is>
      </c>
      <c r="AL314" s="6" t="inlineStr">
        <is>
          <t>Falta de Fornecedor</t>
        </is>
      </c>
      <c r="AM314" s="6" t="inlineStr">
        <is>
          <t>Campo Fornecedor</t>
        </is>
      </c>
      <c r="AN314" s="6" t="inlineStr">
        <is>
          <t>Dados do Fornecedor</t>
        </is>
      </c>
      <c r="AO314" s="6" t="inlineStr">
        <is>
          <t>Qualidade dos dados</t>
        </is>
      </c>
      <c r="AP314" s="6" t="inlineStr">
        <is>
          <t>KONTIK BUSINESS TRAVEL</t>
        </is>
      </c>
      <c r="AQ314" s="6" t="inlineStr">
        <is>
          <t>Suporte KCS</t>
        </is>
      </c>
    </row>
    <row r="315">
      <c r="A315" s="6" t="n">
        <v>23380666</v>
      </c>
      <c r="B315" s="6" t="n">
        <v>24104362</v>
      </c>
      <c r="C315" s="6" t="inlineStr">
        <is>
          <t>ACC01</t>
        </is>
      </c>
      <c r="D315" s="58" t="n">
        <v>45985.70983796296</v>
      </c>
      <c r="E315" s="58" t="n">
        <v>45986.09428240741</v>
      </c>
      <c r="F315" s="6" t="inlineStr">
        <is>
          <t>0 a 02 dias</t>
        </is>
      </c>
      <c r="G315" s="6" t="inlineStr">
        <is>
          <t>0 a 02 dias</t>
        </is>
      </c>
      <c r="H315" s="6" t="inlineStr">
        <is>
          <t>5U35YS</t>
        </is>
      </c>
      <c r="I315" s="6" t="inlineStr">
        <is>
          <t>TMS</t>
        </is>
      </c>
      <c r="J315" s="6" t="inlineStr">
        <is>
          <t>EDUARDO EDUARDO RODRIGUES</t>
        </is>
      </c>
      <c r="K315" s="6" t="inlineStr">
        <is>
          <t>Tms</t>
        </is>
      </c>
      <c r="L315" s="6" t="inlineStr">
        <is>
          <t>Tms</t>
        </is>
      </c>
      <c r="M315" s="58" t="n">
        <v>45985.63055555556</v>
      </c>
      <c r="N315" s="6" t="n">
        <v>90084</v>
      </c>
      <c r="O315" s="6" t="inlineStr">
        <is>
          <t>-</t>
        </is>
      </c>
      <c r="P315" s="6" t="inlineStr">
        <is>
          <t>OFF LINE</t>
        </is>
      </c>
      <c r="Q315" s="6" t="inlineStr">
        <is>
          <t>Invoice</t>
        </is>
      </c>
      <c r="R315" s="6" t="inlineStr">
        <is>
          <t>Faturado</t>
        </is>
      </c>
      <c r="S315" s="6" t="inlineStr">
        <is>
          <t>Serviço</t>
        </is>
      </c>
      <c r="T315" s="6" t="inlineStr">
        <is>
          <t>N</t>
        </is>
      </c>
      <c r="U315" s="6" t="inlineStr">
        <is>
          <t>Grupo Ocean Pact</t>
        </is>
      </c>
      <c r="V315" s="6" t="inlineStr">
        <is>
          <t>Oceanpact Servicos Maritimos</t>
        </is>
      </c>
      <c r="W315" s="6" t="inlineStr">
        <is>
          <t>-</t>
        </is>
      </c>
      <c r="X315" s="6" t="inlineStr">
        <is>
          <t>-</t>
        </is>
      </c>
      <c r="Y315" s="6" t="inlineStr">
        <is>
          <t>-</t>
        </is>
      </c>
      <c r="Z315" s="6" t="inlineStr">
        <is>
          <t>KON-OPE-RIO-POS-OCEANPACT</t>
        </is>
      </c>
      <c r="AA315" s="6" t="inlineStr">
        <is>
          <t>-</t>
        </is>
      </c>
      <c r="AB315" s="6" t="n">
        <v>101.92</v>
      </c>
      <c r="AC315" s="6" t="n">
        <v>16.31</v>
      </c>
      <c r="AD315" s="6" t="n">
        <v>0</v>
      </c>
      <c r="AE315" s="6" t="n">
        <v>0</v>
      </c>
      <c r="AF315" s="6" t="n">
        <v>0</v>
      </c>
      <c r="AG315" s="6" t="n">
        <v>0</v>
      </c>
      <c r="AH315" s="6" t="n">
        <v>0</v>
      </c>
      <c r="AI315" s="6" t="inlineStr">
        <is>
          <t>Reserva importada do Sistema TMS. OS: 90084</t>
        </is>
      </c>
      <c r="AJ315" s="6" t="inlineStr">
        <is>
          <t>Fornecedor não preenchido! (ACC01)</t>
        </is>
      </c>
      <c r="AK315" s="6" t="inlineStr">
        <is>
          <t>ARGO(TMS)</t>
        </is>
      </c>
      <c r="AL315" s="6" t="inlineStr">
        <is>
          <t>Falta de Fornecedor</t>
        </is>
      </c>
      <c r="AM315" s="6" t="inlineStr">
        <is>
          <t>Campo Fornecedor</t>
        </is>
      </c>
      <c r="AN315" s="6" t="inlineStr">
        <is>
          <t>Dados do Fornecedor</t>
        </is>
      </c>
      <c r="AO315" s="6" t="inlineStr">
        <is>
          <t>Qualidade dos dados</t>
        </is>
      </c>
      <c r="AP315" s="6" t="inlineStr">
        <is>
          <t>KONTIK BUSINESS TRAVEL</t>
        </is>
      </c>
      <c r="AQ315" s="6" t="inlineStr">
        <is>
          <t>Suporte KCS</t>
        </is>
      </c>
    </row>
    <row r="316">
      <c r="A316" s="6" t="n">
        <v>23380669</v>
      </c>
      <c r="B316" s="6" t="n">
        <v>24104365</v>
      </c>
      <c r="C316" s="6" t="inlineStr">
        <is>
          <t>ACC01</t>
        </is>
      </c>
      <c r="D316" s="58" t="n">
        <v>45985.70993055555</v>
      </c>
      <c r="E316" s="58" t="n">
        <v>45986.09428240741</v>
      </c>
      <c r="F316" s="6" t="inlineStr">
        <is>
          <t>0 a 02 dias</t>
        </is>
      </c>
      <c r="G316" s="6" t="inlineStr">
        <is>
          <t>0 a 02 dias</t>
        </is>
      </c>
      <c r="H316" s="6" t="inlineStr">
        <is>
          <t>5U5G6W</t>
        </is>
      </c>
      <c r="I316" s="6" t="inlineStr">
        <is>
          <t>TMS</t>
        </is>
      </c>
      <c r="J316" s="6" t="inlineStr">
        <is>
          <t>ORLANDO MONTEIRO VIEIRA</t>
        </is>
      </c>
      <c r="K316" s="6" t="inlineStr">
        <is>
          <t>Tms</t>
        </is>
      </c>
      <c r="L316" s="6" t="inlineStr">
        <is>
          <t>Tms</t>
        </is>
      </c>
      <c r="M316" s="58" t="n">
        <v>45985.62847222222</v>
      </c>
      <c r="N316" s="6" t="n">
        <v>90080</v>
      </c>
      <c r="O316" s="6" t="inlineStr">
        <is>
          <t>-</t>
        </is>
      </c>
      <c r="P316" s="6" t="inlineStr">
        <is>
          <t>OFF LINE</t>
        </is>
      </c>
      <c r="Q316" s="6" t="inlineStr">
        <is>
          <t>Invoice</t>
        </is>
      </c>
      <c r="R316" s="6" t="inlineStr">
        <is>
          <t>Faturado</t>
        </is>
      </c>
      <c r="S316" s="6" t="inlineStr">
        <is>
          <t>Serviço</t>
        </is>
      </c>
      <c r="T316" s="6" t="inlineStr">
        <is>
          <t>N</t>
        </is>
      </c>
      <c r="U316" s="6" t="inlineStr">
        <is>
          <t>Grupo Ocean Pact</t>
        </is>
      </c>
      <c r="V316" s="6" t="inlineStr">
        <is>
          <t>Oceanpact Servicos Maritimos</t>
        </is>
      </c>
      <c r="W316" s="6" t="inlineStr">
        <is>
          <t>-</t>
        </is>
      </c>
      <c r="X316" s="6" t="inlineStr">
        <is>
          <t>-</t>
        </is>
      </c>
      <c r="Y316" s="6" t="inlineStr">
        <is>
          <t>-</t>
        </is>
      </c>
      <c r="Z316" s="6" t="inlineStr">
        <is>
          <t>KON-OPE-RIO-POS-OCEANPACT</t>
        </is>
      </c>
      <c r="AA316" s="6" t="inlineStr">
        <is>
          <t>-</t>
        </is>
      </c>
      <c r="AB316" s="6" t="n">
        <v>147.48</v>
      </c>
      <c r="AC316" s="6" t="n">
        <v>23.6</v>
      </c>
      <c r="AD316" s="6" t="n">
        <v>0</v>
      </c>
      <c r="AE316" s="6" t="n">
        <v>0</v>
      </c>
      <c r="AF316" s="6" t="n">
        <v>0</v>
      </c>
      <c r="AG316" s="6" t="n">
        <v>0</v>
      </c>
      <c r="AH316" s="6" t="n">
        <v>0</v>
      </c>
      <c r="AI316" s="6" t="inlineStr">
        <is>
          <t>Reserva importada do Sistema TMS. OS: 90080</t>
        </is>
      </c>
      <c r="AJ316" s="6" t="inlineStr">
        <is>
          <t>Fornecedor não preenchido! (ACC01)</t>
        </is>
      </c>
      <c r="AK316" s="6" t="inlineStr">
        <is>
          <t>ARGO(TMS)</t>
        </is>
      </c>
      <c r="AL316" s="6" t="inlineStr">
        <is>
          <t>Falta de Fornecedor</t>
        </is>
      </c>
      <c r="AM316" s="6" t="inlineStr">
        <is>
          <t>Campo Fornecedor</t>
        </is>
      </c>
      <c r="AN316" s="6" t="inlineStr">
        <is>
          <t>Dados do Fornecedor</t>
        </is>
      </c>
      <c r="AO316" s="6" t="inlineStr">
        <is>
          <t>Qualidade dos dados</t>
        </is>
      </c>
      <c r="AP316" s="6" t="inlineStr">
        <is>
          <t>KONTIK BUSINESS TRAVEL</t>
        </is>
      </c>
      <c r="AQ316" s="6" t="inlineStr">
        <is>
          <t>Suporte KCS</t>
        </is>
      </c>
    </row>
    <row r="317">
      <c r="A317" s="6" t="n">
        <v>23380698</v>
      </c>
      <c r="B317" s="6" t="n">
        <v>24104392</v>
      </c>
      <c r="C317" s="6" t="inlineStr">
        <is>
          <t>ACC01</t>
        </is>
      </c>
      <c r="D317" s="58" t="n">
        <v>45985.7106712963</v>
      </c>
      <c r="E317" s="58" t="n">
        <v>45986.09429398148</v>
      </c>
      <c r="F317" s="6" t="inlineStr">
        <is>
          <t>0 a 02 dias</t>
        </is>
      </c>
      <c r="G317" s="6" t="inlineStr">
        <is>
          <t>0 a 02 dias</t>
        </is>
      </c>
      <c r="H317" s="6" t="inlineStr">
        <is>
          <t>5UWHHS</t>
        </is>
      </c>
      <c r="I317" s="6" t="inlineStr">
        <is>
          <t>TMS</t>
        </is>
      </c>
      <c r="J317" s="6" t="inlineStr">
        <is>
          <t>JURANDYR SANTIAGO JUNIOR</t>
        </is>
      </c>
      <c r="K317" s="6" t="inlineStr">
        <is>
          <t>Tms</t>
        </is>
      </c>
      <c r="L317" s="6" t="inlineStr">
        <is>
          <t>Tms</t>
        </is>
      </c>
      <c r="M317" s="58" t="n">
        <v>45985.58402777778</v>
      </c>
      <c r="N317" s="6" t="n">
        <v>90043</v>
      </c>
      <c r="O317" s="6" t="inlineStr">
        <is>
          <t>-</t>
        </is>
      </c>
      <c r="P317" s="6" t="inlineStr">
        <is>
          <t>OFF LINE</t>
        </is>
      </c>
      <c r="Q317" s="6" t="inlineStr">
        <is>
          <t>Invoice</t>
        </is>
      </c>
      <c r="R317" s="6" t="inlineStr">
        <is>
          <t>Faturado</t>
        </is>
      </c>
      <c r="S317" s="6" t="inlineStr">
        <is>
          <t>Serviço</t>
        </is>
      </c>
      <c r="T317" s="6" t="inlineStr">
        <is>
          <t>N</t>
        </is>
      </c>
      <c r="U317" s="6" t="inlineStr">
        <is>
          <t>Grupo Ocean Pact</t>
        </is>
      </c>
      <c r="V317" s="6" t="inlineStr">
        <is>
          <t>Oceanpact Servicos Maritimos</t>
        </is>
      </c>
      <c r="W317" s="6" t="inlineStr">
        <is>
          <t>-</t>
        </is>
      </c>
      <c r="X317" s="6" t="inlineStr">
        <is>
          <t>-</t>
        </is>
      </c>
      <c r="Y317" s="6" t="inlineStr">
        <is>
          <t>-</t>
        </is>
      </c>
      <c r="Z317" s="6" t="inlineStr">
        <is>
          <t>KON-OPE-RIO-POS-OCEANPACT</t>
        </is>
      </c>
      <c r="AA317" s="6" t="inlineStr">
        <is>
          <t>-</t>
        </is>
      </c>
      <c r="AB317" s="6" t="n">
        <v>138.62</v>
      </c>
      <c r="AC317" s="6" t="n">
        <v>22.18</v>
      </c>
      <c r="AD317" s="6" t="n">
        <v>0</v>
      </c>
      <c r="AE317" s="6" t="n">
        <v>0</v>
      </c>
      <c r="AF317" s="6" t="n">
        <v>0</v>
      </c>
      <c r="AG317" s="6" t="n">
        <v>0</v>
      </c>
      <c r="AH317" s="6" t="n">
        <v>0</v>
      </c>
      <c r="AI317" s="6" t="inlineStr">
        <is>
          <t>Reserva importada do Sistema TMS. OS: 90043</t>
        </is>
      </c>
      <c r="AJ317" s="6" t="inlineStr">
        <is>
          <t>Fornecedor não preenchido! (ACC01)</t>
        </is>
      </c>
      <c r="AK317" s="6" t="inlineStr">
        <is>
          <t>ARGO(TMS)</t>
        </is>
      </c>
      <c r="AL317" s="6" t="inlineStr">
        <is>
          <t>Falta de Fornecedor</t>
        </is>
      </c>
      <c r="AM317" s="6" t="inlineStr">
        <is>
          <t>Campo Fornecedor</t>
        </is>
      </c>
      <c r="AN317" s="6" t="inlineStr">
        <is>
          <t>Dados do Fornecedor</t>
        </is>
      </c>
      <c r="AO317" s="6" t="inlineStr">
        <is>
          <t>Qualidade dos dados</t>
        </is>
      </c>
      <c r="AP317" s="6" t="inlineStr">
        <is>
          <t>KONTIK BUSINESS TRAVEL</t>
        </is>
      </c>
      <c r="AQ317" s="6" t="inlineStr">
        <is>
          <t>Suporte KCS</t>
        </is>
      </c>
    </row>
    <row r="318">
      <c r="A318" s="6" t="n">
        <v>23380741</v>
      </c>
      <c r="B318" s="6" t="n">
        <v>24104434</v>
      </c>
      <c r="C318" s="6" t="inlineStr">
        <is>
          <t>ACC01</t>
        </is>
      </c>
      <c r="D318" s="58" t="n">
        <v>45985.71165509259</v>
      </c>
      <c r="E318" s="58" t="n">
        <v>45986.09429398148</v>
      </c>
      <c r="F318" s="6" t="inlineStr">
        <is>
          <t>0 a 02 dias</t>
        </is>
      </c>
      <c r="G318" s="6" t="inlineStr">
        <is>
          <t>0 a 02 dias</t>
        </is>
      </c>
      <c r="H318" s="6" t="inlineStr">
        <is>
          <t>5UK6YS</t>
        </is>
      </c>
      <c r="I318" s="6" t="inlineStr">
        <is>
          <t>TMS</t>
        </is>
      </c>
      <c r="J318" s="6" t="inlineStr">
        <is>
          <t>RAFAEL FERNANDES</t>
        </is>
      </c>
      <c r="K318" s="6" t="inlineStr">
        <is>
          <t>Tms</t>
        </is>
      </c>
      <c r="L318" s="6" t="inlineStr">
        <is>
          <t>Tms</t>
        </is>
      </c>
      <c r="M318" s="58" t="n">
        <v>45985.48402777778</v>
      </c>
      <c r="N318" s="6" t="n">
        <v>89975</v>
      </c>
      <c r="O318" s="6" t="inlineStr">
        <is>
          <t>-</t>
        </is>
      </c>
      <c r="P318" s="6" t="inlineStr">
        <is>
          <t>OFF LINE</t>
        </is>
      </c>
      <c r="Q318" s="6" t="inlineStr">
        <is>
          <t>Invoice</t>
        </is>
      </c>
      <c r="R318" s="6" t="inlineStr">
        <is>
          <t>Faturado</t>
        </is>
      </c>
      <c r="S318" s="6" t="inlineStr">
        <is>
          <t>Serviço</t>
        </is>
      </c>
      <c r="T318" s="6" t="inlineStr">
        <is>
          <t>N</t>
        </is>
      </c>
      <c r="U318" s="6" t="inlineStr">
        <is>
          <t>Grupo Ocean Pact</t>
        </is>
      </c>
      <c r="V318" s="6" t="inlineStr">
        <is>
          <t>Oceanpact Geociencias</t>
        </is>
      </c>
      <c r="W318" s="6" t="inlineStr">
        <is>
          <t>-</t>
        </is>
      </c>
      <c r="X318" s="6" t="inlineStr">
        <is>
          <t>-</t>
        </is>
      </c>
      <c r="Y318" s="6" t="inlineStr">
        <is>
          <t>-</t>
        </is>
      </c>
      <c r="Z318" s="6" t="inlineStr">
        <is>
          <t>KON-OPE-RIO-POS-OCEANPACT</t>
        </is>
      </c>
      <c r="AA318" s="6" t="inlineStr">
        <is>
          <t>-</t>
        </is>
      </c>
      <c r="AB318" s="6" t="n">
        <v>74.54000000000001</v>
      </c>
      <c r="AC318" s="6" t="n">
        <v>11.93</v>
      </c>
      <c r="AD318" s="6" t="n">
        <v>0</v>
      </c>
      <c r="AE318" s="6" t="n">
        <v>0</v>
      </c>
      <c r="AF318" s="6" t="n">
        <v>0</v>
      </c>
      <c r="AG318" s="6" t="n">
        <v>0</v>
      </c>
      <c r="AH318" s="6" t="n">
        <v>0</v>
      </c>
      <c r="AI318" s="6" t="inlineStr">
        <is>
          <t>Reserva importada do Sistema TMS. OS: 89975</t>
        </is>
      </c>
      <c r="AJ318" s="6" t="inlineStr">
        <is>
          <t>Fornecedor não preenchido! (ACC01)</t>
        </is>
      </c>
      <c r="AK318" s="6" t="inlineStr">
        <is>
          <t>ARGO(TMS)</t>
        </is>
      </c>
      <c r="AL318" s="6" t="inlineStr">
        <is>
          <t>Falta de Fornecedor</t>
        </is>
      </c>
      <c r="AM318" s="6" t="inlineStr">
        <is>
          <t>Campo Fornecedor</t>
        </is>
      </c>
      <c r="AN318" s="6" t="inlineStr">
        <is>
          <t>Dados do Fornecedor</t>
        </is>
      </c>
      <c r="AO318" s="6" t="inlineStr">
        <is>
          <t>Qualidade dos dados</t>
        </is>
      </c>
      <c r="AP318" s="6" t="inlineStr">
        <is>
          <t>KONTIK BUSINESS TRAVEL</t>
        </is>
      </c>
      <c r="AQ318" s="6" t="inlineStr">
        <is>
          <t>Suporte KCS</t>
        </is>
      </c>
    </row>
    <row r="319">
      <c r="A319" s="6" t="n">
        <v>23380766</v>
      </c>
      <c r="B319" s="6" t="n">
        <v>24104456</v>
      </c>
      <c r="C319" s="6" t="inlineStr">
        <is>
          <t>ACC01</t>
        </is>
      </c>
      <c r="D319" s="58" t="n">
        <v>45985.71224537037</v>
      </c>
      <c r="E319" s="58" t="n">
        <v>45986.09429398148</v>
      </c>
      <c r="F319" s="6" t="inlineStr">
        <is>
          <t>0 a 02 dias</t>
        </is>
      </c>
      <c r="G319" s="6" t="inlineStr">
        <is>
          <t>0 a 02 dias</t>
        </is>
      </c>
      <c r="H319" s="6" t="inlineStr">
        <is>
          <t>5UI7YW</t>
        </is>
      </c>
      <c r="I319" s="6" t="inlineStr">
        <is>
          <t>TMS</t>
        </is>
      </c>
      <c r="J319" s="6" t="inlineStr">
        <is>
          <t>ELIOMAR SILVA</t>
        </is>
      </c>
      <c r="K319" s="6" t="inlineStr">
        <is>
          <t>Tms</t>
        </is>
      </c>
      <c r="L319" s="6" t="inlineStr">
        <is>
          <t>Tms</t>
        </is>
      </c>
      <c r="M319" s="58" t="n">
        <v>45985.45</v>
      </c>
      <c r="N319" s="6" t="n">
        <v>89945</v>
      </c>
      <c r="O319" s="6" t="inlineStr">
        <is>
          <t>-</t>
        </is>
      </c>
      <c r="P319" s="6" t="inlineStr">
        <is>
          <t>OFF LINE</t>
        </is>
      </c>
      <c r="Q319" s="6" t="inlineStr">
        <is>
          <t>Invoice</t>
        </is>
      </c>
      <c r="R319" s="6" t="inlineStr">
        <is>
          <t>Faturado</t>
        </is>
      </c>
      <c r="S319" s="6" t="inlineStr">
        <is>
          <t>Serviço</t>
        </is>
      </c>
      <c r="T319" s="6" t="inlineStr">
        <is>
          <t>N</t>
        </is>
      </c>
      <c r="U319" s="6" t="inlineStr">
        <is>
          <t>Grupo Ocean Pact</t>
        </is>
      </c>
      <c r="V319" s="6" t="inlineStr">
        <is>
          <t>Oceanpact Marau Navegacao</t>
        </is>
      </c>
      <c r="W319" s="6" t="inlineStr">
        <is>
          <t>-</t>
        </is>
      </c>
      <c r="X319" s="6" t="inlineStr">
        <is>
          <t>-</t>
        </is>
      </c>
      <c r="Y319" s="6" t="inlineStr">
        <is>
          <t>-</t>
        </is>
      </c>
      <c r="Z319" s="6" t="inlineStr">
        <is>
          <t>KON-OPE-RIO-POS-OCEANPACT</t>
        </is>
      </c>
      <c r="AA319" s="6" t="inlineStr">
        <is>
          <t>-</t>
        </is>
      </c>
      <c r="AB319" s="6" t="n">
        <v>40.4</v>
      </c>
      <c r="AC319" s="6" t="n">
        <v>6.46</v>
      </c>
      <c r="AD319" s="6" t="n">
        <v>0</v>
      </c>
      <c r="AE319" s="6" t="n">
        <v>0</v>
      </c>
      <c r="AF319" s="6" t="n">
        <v>0</v>
      </c>
      <c r="AG319" s="6" t="n">
        <v>0</v>
      </c>
      <c r="AH319" s="6" t="n">
        <v>0</v>
      </c>
      <c r="AI319" s="6" t="inlineStr">
        <is>
          <t>Reserva importada do Sistema TMS. OS: 89945</t>
        </is>
      </c>
      <c r="AJ319" s="6" t="inlineStr">
        <is>
          <t>Fornecedor não preenchido! (ACC01)</t>
        </is>
      </c>
      <c r="AK319" s="6" t="inlineStr">
        <is>
          <t>ARGO(TMS)</t>
        </is>
      </c>
      <c r="AL319" s="6" t="inlineStr">
        <is>
          <t>Falta de Fornecedor</t>
        </is>
      </c>
      <c r="AM319" s="6" t="inlineStr">
        <is>
          <t>Campo Fornecedor</t>
        </is>
      </c>
      <c r="AN319" s="6" t="inlineStr">
        <is>
          <t>Dados do Fornecedor</t>
        </is>
      </c>
      <c r="AO319" s="6" t="inlineStr">
        <is>
          <t>Qualidade dos dados</t>
        </is>
      </c>
      <c r="AP319" s="6" t="inlineStr">
        <is>
          <t>KONTIK BUSINESS TRAVEL</t>
        </is>
      </c>
      <c r="AQ319" s="6" t="inlineStr">
        <is>
          <t>Suporte KCS</t>
        </is>
      </c>
    </row>
    <row r="320">
      <c r="A320" s="6" t="n">
        <v>23380770</v>
      </c>
      <c r="B320" s="6" t="n">
        <v>24104460</v>
      </c>
      <c r="C320" s="6" t="inlineStr">
        <is>
          <t>ACC01</t>
        </is>
      </c>
      <c r="D320" s="58" t="n">
        <v>45985.71239583333</v>
      </c>
      <c r="E320" s="58" t="n">
        <v>45986.09747685185</v>
      </c>
      <c r="F320" s="6" t="inlineStr">
        <is>
          <t>0 a 02 dias</t>
        </is>
      </c>
      <c r="G320" s="6" t="inlineStr">
        <is>
          <t>0 a 02 dias</t>
        </is>
      </c>
      <c r="H320" s="6" t="inlineStr">
        <is>
          <t>5U1KHS</t>
        </is>
      </c>
      <c r="I320" s="6" t="inlineStr">
        <is>
          <t>TMS</t>
        </is>
      </c>
      <c r="J320" s="6" t="inlineStr">
        <is>
          <t>EDINALDO NOGUEIRA TORRES</t>
        </is>
      </c>
      <c r="K320" s="6" t="inlineStr">
        <is>
          <t>Tms</t>
        </is>
      </c>
      <c r="L320" s="6" t="inlineStr">
        <is>
          <t>Tms</t>
        </is>
      </c>
      <c r="M320" s="58" t="n">
        <v>45985.4375</v>
      </c>
      <c r="N320" s="6" t="n">
        <v>89939</v>
      </c>
      <c r="O320" s="6" t="inlineStr">
        <is>
          <t>-</t>
        </is>
      </c>
      <c r="P320" s="6" t="inlineStr">
        <is>
          <t>OFF LINE</t>
        </is>
      </c>
      <c r="Q320" s="6" t="inlineStr">
        <is>
          <t>Invoice</t>
        </is>
      </c>
      <c r="R320" s="6" t="inlineStr">
        <is>
          <t>Faturado</t>
        </is>
      </c>
      <c r="S320" s="6" t="inlineStr">
        <is>
          <t>Serviço</t>
        </is>
      </c>
      <c r="T320" s="6" t="inlineStr">
        <is>
          <t>N</t>
        </is>
      </c>
      <c r="U320" s="6" t="inlineStr">
        <is>
          <t>Grupo Ocean Pact</t>
        </is>
      </c>
      <c r="V320" s="6" t="inlineStr">
        <is>
          <t>Oceanpact Servicos Maritimos</t>
        </is>
      </c>
      <c r="W320" s="6" t="inlineStr">
        <is>
          <t>-</t>
        </is>
      </c>
      <c r="X320" s="6" t="inlineStr">
        <is>
          <t>-</t>
        </is>
      </c>
      <c r="Y320" s="6" t="inlineStr">
        <is>
          <t>-</t>
        </is>
      </c>
      <c r="Z320" s="6" t="inlineStr">
        <is>
          <t>KON-OPE-RIO-POS-OCEANPACT</t>
        </is>
      </c>
      <c r="AA320" s="6" t="inlineStr">
        <is>
          <t>-</t>
        </is>
      </c>
      <c r="AB320" s="6" t="n">
        <v>89.75</v>
      </c>
      <c r="AC320" s="6" t="n">
        <v>14.36</v>
      </c>
      <c r="AD320" s="6" t="n">
        <v>0</v>
      </c>
      <c r="AE320" s="6" t="n">
        <v>0</v>
      </c>
      <c r="AF320" s="6" t="n">
        <v>0</v>
      </c>
      <c r="AG320" s="6" t="n">
        <v>0</v>
      </c>
      <c r="AH320" s="6" t="n">
        <v>0</v>
      </c>
      <c r="AI320" s="6" t="inlineStr">
        <is>
          <t>Reserva importada do Sistema TMS. OS: 89939</t>
        </is>
      </c>
      <c r="AJ320" s="6" t="inlineStr">
        <is>
          <t>Fornecedor não preenchido! (ACC01)</t>
        </is>
      </c>
      <c r="AK320" s="6" t="inlineStr">
        <is>
          <t>ARGO(TMS)</t>
        </is>
      </c>
      <c r="AL320" s="6" t="inlineStr">
        <is>
          <t>Falta de Fornecedor</t>
        </is>
      </c>
      <c r="AM320" s="6" t="inlineStr">
        <is>
          <t>Campo Fornecedor</t>
        </is>
      </c>
      <c r="AN320" s="6" t="inlineStr">
        <is>
          <t>Dados do Fornecedor</t>
        </is>
      </c>
      <c r="AO320" s="6" t="inlineStr">
        <is>
          <t>Qualidade dos dados</t>
        </is>
      </c>
      <c r="AP320" s="6" t="inlineStr">
        <is>
          <t>KONTIK BUSINESS TRAVEL</t>
        </is>
      </c>
      <c r="AQ320" s="6" t="inlineStr">
        <is>
          <t>Suporte KCS</t>
        </is>
      </c>
    </row>
    <row r="321">
      <c r="A321" s="6" t="n">
        <v>23380773</v>
      </c>
      <c r="B321" s="6" t="n">
        <v>24104463</v>
      </c>
      <c r="C321" s="6" t="inlineStr">
        <is>
          <t>ACC01</t>
        </is>
      </c>
      <c r="D321" s="58" t="n">
        <v>45985.7125</v>
      </c>
      <c r="E321" s="58" t="n">
        <v>45986.09748842593</v>
      </c>
      <c r="F321" s="6" t="inlineStr">
        <is>
          <t>0 a 02 dias</t>
        </is>
      </c>
      <c r="G321" s="6" t="inlineStr">
        <is>
          <t>0 a 02 dias</t>
        </is>
      </c>
      <c r="H321" s="6" t="inlineStr">
        <is>
          <t>5U38H2</t>
        </is>
      </c>
      <c r="I321" s="6" t="inlineStr">
        <is>
          <t>TMS</t>
        </is>
      </c>
      <c r="J321" s="6" t="inlineStr">
        <is>
          <t>JOSE SILVA FILHO</t>
        </is>
      </c>
      <c r="K321" s="6" t="inlineStr">
        <is>
          <t>Tms</t>
        </is>
      </c>
      <c r="L321" s="6" t="inlineStr">
        <is>
          <t>Tms</t>
        </is>
      </c>
      <c r="M321" s="58" t="n">
        <v>45985.42708333334</v>
      </c>
      <c r="N321" s="6" t="n">
        <v>89935</v>
      </c>
      <c r="O321" s="6" t="inlineStr">
        <is>
          <t>-</t>
        </is>
      </c>
      <c r="P321" s="6" t="inlineStr">
        <is>
          <t>OFF LINE</t>
        </is>
      </c>
      <c r="Q321" s="6" t="inlineStr">
        <is>
          <t>Invoice</t>
        </is>
      </c>
      <c r="R321" s="6" t="inlineStr">
        <is>
          <t>Faturado</t>
        </is>
      </c>
      <c r="S321" s="6" t="inlineStr">
        <is>
          <t>Serviço</t>
        </is>
      </c>
      <c r="T321" s="6" t="inlineStr">
        <is>
          <t>N</t>
        </is>
      </c>
      <c r="U321" s="6" t="inlineStr">
        <is>
          <t>Grupo Ocean Pact</t>
        </is>
      </c>
      <c r="V321" s="6" t="inlineStr">
        <is>
          <t>Oceanpact Servicos Maritimos</t>
        </is>
      </c>
      <c r="W321" s="6" t="inlineStr">
        <is>
          <t>-</t>
        </is>
      </c>
      <c r="X321" s="6" t="inlineStr">
        <is>
          <t>-</t>
        </is>
      </c>
      <c r="Y321" s="6" t="inlineStr">
        <is>
          <t>-</t>
        </is>
      </c>
      <c r="Z321" s="6" t="inlineStr">
        <is>
          <t>KON-OPE-RIO-POS-OCEANPACT</t>
        </is>
      </c>
      <c r="AA321" s="6" t="inlineStr">
        <is>
          <t>-</t>
        </is>
      </c>
      <c r="AB321" s="6" t="n">
        <v>67.23</v>
      </c>
      <c r="AC321" s="6" t="n">
        <v>22.05</v>
      </c>
      <c r="AD321" s="6" t="n">
        <v>0</v>
      </c>
      <c r="AE321" s="6" t="n">
        <v>0</v>
      </c>
      <c r="AF321" s="6" t="n">
        <v>0</v>
      </c>
      <c r="AG321" s="6" t="n">
        <v>0</v>
      </c>
      <c r="AH321" s="6" t="n">
        <v>0</v>
      </c>
      <c r="AI321" s="6" t="inlineStr">
        <is>
          <t>Reserva importada do Sistema TMS. OS: 89935</t>
        </is>
      </c>
      <c r="AJ321" s="6" t="inlineStr">
        <is>
          <t>Fornecedor não preenchido! (ACC01)</t>
        </is>
      </c>
      <c r="AK321" s="6" t="inlineStr">
        <is>
          <t>ARGO(TMS)</t>
        </is>
      </c>
      <c r="AL321" s="6" t="inlineStr">
        <is>
          <t>Falta de Fornecedor</t>
        </is>
      </c>
      <c r="AM321" s="6" t="inlineStr">
        <is>
          <t>Campo Fornecedor</t>
        </is>
      </c>
      <c r="AN321" s="6" t="inlineStr">
        <is>
          <t>Dados do Fornecedor</t>
        </is>
      </c>
      <c r="AO321" s="6" t="inlineStr">
        <is>
          <t>Qualidade dos dados</t>
        </is>
      </c>
      <c r="AP321" s="6" t="inlineStr">
        <is>
          <t>KONTIK BUSINESS TRAVEL</t>
        </is>
      </c>
      <c r="AQ321" s="6" t="inlineStr">
        <is>
          <t>Suporte KCS</t>
        </is>
      </c>
    </row>
    <row r="322">
      <c r="A322" s="6" t="n">
        <v>23380784</v>
      </c>
      <c r="B322" s="6" t="n">
        <v>24104474</v>
      </c>
      <c r="C322" s="6" t="inlineStr">
        <is>
          <t>ACC01</t>
        </is>
      </c>
      <c r="D322" s="58" t="n">
        <v>45985.71282407407</v>
      </c>
      <c r="E322" s="58" t="n">
        <v>45986.0975</v>
      </c>
      <c r="F322" s="6" t="inlineStr">
        <is>
          <t>0 a 02 dias</t>
        </is>
      </c>
      <c r="G322" s="6" t="inlineStr">
        <is>
          <t>0 a 02 dias</t>
        </is>
      </c>
      <c r="H322" s="6" t="inlineStr">
        <is>
          <t>5U1OHX</t>
        </is>
      </c>
      <c r="I322" s="6" t="inlineStr">
        <is>
          <t>TMS</t>
        </is>
      </c>
      <c r="J322" s="6" t="inlineStr">
        <is>
          <t>JUDSON ROBERTO PEREIRA</t>
        </is>
      </c>
      <c r="K322" s="6" t="inlineStr">
        <is>
          <t>Tms</t>
        </is>
      </c>
      <c r="L322" s="6" t="inlineStr">
        <is>
          <t>Tms</t>
        </is>
      </c>
      <c r="M322" s="58" t="n">
        <v>45985.3</v>
      </c>
      <c r="N322" s="6" t="n">
        <v>89926</v>
      </c>
      <c r="O322" s="6" t="inlineStr">
        <is>
          <t>-</t>
        </is>
      </c>
      <c r="P322" s="6" t="inlineStr">
        <is>
          <t>OFF LINE</t>
        </is>
      </c>
      <c r="Q322" s="6" t="inlineStr">
        <is>
          <t>Invoice</t>
        </is>
      </c>
      <c r="R322" s="6" t="inlineStr">
        <is>
          <t>Faturado</t>
        </is>
      </c>
      <c r="S322" s="6" t="inlineStr">
        <is>
          <t>Serviço</t>
        </is>
      </c>
      <c r="T322" s="6" t="inlineStr">
        <is>
          <t>N</t>
        </is>
      </c>
      <c r="U322" s="6" t="inlineStr">
        <is>
          <t>Grupo Ocean Pact</t>
        </is>
      </c>
      <c r="V322" s="6" t="inlineStr">
        <is>
          <t>Up Offshore Apoio Maritimo</t>
        </is>
      </c>
      <c r="W322" s="6" t="inlineStr">
        <is>
          <t>-</t>
        </is>
      </c>
      <c r="X322" s="6" t="inlineStr">
        <is>
          <t>-</t>
        </is>
      </c>
      <c r="Y322" s="6" t="inlineStr">
        <is>
          <t>-</t>
        </is>
      </c>
      <c r="Z322" s="6" t="inlineStr">
        <is>
          <t>KON-OPE-RIO-POS-OCEANPACT</t>
        </is>
      </c>
      <c r="AA322" s="6" t="inlineStr">
        <is>
          <t>-</t>
        </is>
      </c>
      <c r="AB322" s="6" t="n">
        <v>131.93</v>
      </c>
      <c r="AC322" s="6" t="n">
        <v>21.11</v>
      </c>
      <c r="AD322" s="6" t="n">
        <v>0</v>
      </c>
      <c r="AE322" s="6" t="n">
        <v>0</v>
      </c>
      <c r="AF322" s="6" t="n">
        <v>0</v>
      </c>
      <c r="AG322" s="6" t="n">
        <v>0</v>
      </c>
      <c r="AH322" s="6" t="n">
        <v>0</v>
      </c>
      <c r="AI322" s="6" t="inlineStr">
        <is>
          <t>Reserva importada do Sistema TMS. OS: 89926</t>
        </is>
      </c>
      <c r="AJ322" s="6" t="inlineStr">
        <is>
          <t>Fornecedor não preenchido! (ACC01)</t>
        </is>
      </c>
      <c r="AK322" s="6" t="inlineStr">
        <is>
          <t>ARGO(TMS)</t>
        </is>
      </c>
      <c r="AL322" s="6" t="inlineStr">
        <is>
          <t>Falta de Fornecedor</t>
        </is>
      </c>
      <c r="AM322" s="6" t="inlineStr">
        <is>
          <t>Campo Fornecedor</t>
        </is>
      </c>
      <c r="AN322" s="6" t="inlineStr">
        <is>
          <t>Dados do Fornecedor</t>
        </is>
      </c>
      <c r="AO322" s="6" t="inlineStr">
        <is>
          <t>Qualidade dos dados</t>
        </is>
      </c>
      <c r="AP322" s="6" t="inlineStr">
        <is>
          <t>KONTIK BUSINESS TRAVEL</t>
        </is>
      </c>
      <c r="AQ322" s="6" t="inlineStr">
        <is>
          <t>Suporte KCS</t>
        </is>
      </c>
    </row>
    <row r="323">
      <c r="A323" s="6" t="n">
        <v>23366813</v>
      </c>
      <c r="B323" s="6" t="n">
        <v>24092841</v>
      </c>
      <c r="C323" s="6" t="inlineStr">
        <is>
          <t>ACC01</t>
        </is>
      </c>
      <c r="D323" s="58" t="n">
        <v>45982.66600694445</v>
      </c>
      <c r="E323" s="58" t="n">
        <v>45986.09421296296</v>
      </c>
      <c r="F323" s="6" t="inlineStr">
        <is>
          <t>0 a 02 dias</t>
        </is>
      </c>
      <c r="G323" s="6" t="inlineStr">
        <is>
          <t>03 a 05 dias</t>
        </is>
      </c>
      <c r="H323" s="6" t="inlineStr">
        <is>
          <t>5UN87M</t>
        </is>
      </c>
      <c r="I323" s="6" t="inlineStr">
        <is>
          <t>TMS</t>
        </is>
      </c>
      <c r="J323" s="6" t="inlineStr">
        <is>
          <t>ADELSON SOUZA RAMOS</t>
        </is>
      </c>
      <c r="K323" s="6" t="inlineStr">
        <is>
          <t>Tms</t>
        </is>
      </c>
      <c r="L323" s="6" t="inlineStr">
        <is>
          <t>Tms</t>
        </is>
      </c>
      <c r="M323" s="58" t="n">
        <v>45982.62638888889</v>
      </c>
      <c r="N323" s="6" t="n">
        <v>89852</v>
      </c>
      <c r="O323" s="6" t="inlineStr">
        <is>
          <t>-</t>
        </is>
      </c>
      <c r="P323" s="6" t="inlineStr">
        <is>
          <t>OFF LINE</t>
        </is>
      </c>
      <c r="Q323" s="6" t="inlineStr">
        <is>
          <t>Invoice</t>
        </is>
      </c>
      <c r="R323" s="6" t="inlineStr">
        <is>
          <t>Faturado</t>
        </is>
      </c>
      <c r="S323" s="6" t="inlineStr">
        <is>
          <t>Serviço</t>
        </is>
      </c>
      <c r="T323" s="6" t="inlineStr">
        <is>
          <t>N</t>
        </is>
      </c>
      <c r="U323" s="6" t="inlineStr">
        <is>
          <t>Grupo Ocean Pact</t>
        </is>
      </c>
      <c r="V323" s="6" t="inlineStr">
        <is>
          <t>Oceanpact Servicos Maritimos</t>
        </is>
      </c>
      <c r="W323" s="6" t="inlineStr">
        <is>
          <t>-</t>
        </is>
      </c>
      <c r="X323" s="6" t="inlineStr">
        <is>
          <t>-</t>
        </is>
      </c>
      <c r="Y323" s="6" t="inlineStr">
        <is>
          <t>-</t>
        </is>
      </c>
      <c r="Z323" s="6" t="inlineStr">
        <is>
          <t>KON-OPE-RIO-POS-OCEANPACT</t>
        </is>
      </c>
      <c r="AA323" s="6" t="inlineStr">
        <is>
          <t>-</t>
        </is>
      </c>
      <c r="AB323" s="6" t="n">
        <v>76.33</v>
      </c>
      <c r="AC323" s="6" t="n">
        <v>12.21</v>
      </c>
      <c r="AD323" s="6" t="n">
        <v>0</v>
      </c>
      <c r="AE323" s="6" t="n">
        <v>0</v>
      </c>
      <c r="AF323" s="6" t="n">
        <v>0</v>
      </c>
      <c r="AG323" s="6" t="n">
        <v>0</v>
      </c>
      <c r="AH323" s="6" t="n">
        <v>0</v>
      </c>
      <c r="AI323" s="6" t="inlineStr">
        <is>
          <t>Reserva importada do Sistema TMS. OS: 89852</t>
        </is>
      </c>
      <c r="AJ323" s="6" t="inlineStr">
        <is>
          <t>Fornecedor não preenchido! (ACC01)</t>
        </is>
      </c>
      <c r="AK323" s="6" t="inlineStr">
        <is>
          <t>ARGO(TMS)</t>
        </is>
      </c>
      <c r="AL323" s="6" t="inlineStr">
        <is>
          <t>Falta de Fornecedor</t>
        </is>
      </c>
      <c r="AM323" s="6" t="inlineStr">
        <is>
          <t>Campo Fornecedor</t>
        </is>
      </c>
      <c r="AN323" s="6" t="inlineStr">
        <is>
          <t>Dados do Fornecedor</t>
        </is>
      </c>
      <c r="AO323" s="6" t="inlineStr">
        <is>
          <t>Qualidade dos dados</t>
        </is>
      </c>
      <c r="AP323" s="6" t="inlineStr">
        <is>
          <t>KONTIK BUSINESS TRAVEL</t>
        </is>
      </c>
      <c r="AQ323" s="6" t="inlineStr">
        <is>
          <t>Suporte KCS</t>
        </is>
      </c>
    </row>
    <row r="324">
      <c r="A324" s="6" t="n">
        <v>23366814</v>
      </c>
      <c r="B324" s="6" t="n">
        <v>24092842</v>
      </c>
      <c r="C324" s="6" t="inlineStr">
        <is>
          <t>ACC01</t>
        </is>
      </c>
      <c r="D324" s="58" t="n">
        <v>45982.66601851852</v>
      </c>
      <c r="E324" s="58" t="n">
        <v>45986.09421296296</v>
      </c>
      <c r="F324" s="6" t="inlineStr">
        <is>
          <t>0 a 02 dias</t>
        </is>
      </c>
      <c r="G324" s="6" t="inlineStr">
        <is>
          <t>03 a 05 dias</t>
        </is>
      </c>
      <c r="H324" s="6" t="inlineStr">
        <is>
          <t>5UB97M</t>
        </is>
      </c>
      <c r="I324" s="6" t="inlineStr">
        <is>
          <t>TMS</t>
        </is>
      </c>
      <c r="J324" s="6" t="inlineStr">
        <is>
          <t>ADELSON SOUZA RAMOS</t>
        </is>
      </c>
      <c r="K324" s="6" t="inlineStr">
        <is>
          <t>Tms</t>
        </is>
      </c>
      <c r="L324" s="6" t="inlineStr">
        <is>
          <t>Tms</t>
        </is>
      </c>
      <c r="M324" s="58" t="n">
        <v>45982.62638888889</v>
      </c>
      <c r="N324" s="6" t="n">
        <v>89852</v>
      </c>
      <c r="O324" s="6" t="inlineStr">
        <is>
          <t>-</t>
        </is>
      </c>
      <c r="P324" s="6" t="inlineStr">
        <is>
          <t>OFF LINE</t>
        </is>
      </c>
      <c r="Q324" s="6" t="inlineStr">
        <is>
          <t>Invoice</t>
        </is>
      </c>
      <c r="R324" s="6" t="inlineStr">
        <is>
          <t>Faturado</t>
        </is>
      </c>
      <c r="S324" s="6" t="inlineStr">
        <is>
          <t>Serviço</t>
        </is>
      </c>
      <c r="T324" s="6" t="inlineStr">
        <is>
          <t>N</t>
        </is>
      </c>
      <c r="U324" s="6" t="inlineStr">
        <is>
          <t>Grupo Ocean Pact</t>
        </is>
      </c>
      <c r="V324" s="6" t="inlineStr">
        <is>
          <t>Oceanpact Servicos Maritimos</t>
        </is>
      </c>
      <c r="W324" s="6" t="inlineStr">
        <is>
          <t>-</t>
        </is>
      </c>
      <c r="X324" s="6" t="inlineStr">
        <is>
          <t>-</t>
        </is>
      </c>
      <c r="Y324" s="6" t="inlineStr">
        <is>
          <t>-</t>
        </is>
      </c>
      <c r="Z324" s="6" t="inlineStr">
        <is>
          <t>KON-OPE-RIO-POS-OCEANPACT</t>
        </is>
      </c>
      <c r="AA324" s="6" t="inlineStr">
        <is>
          <t>-</t>
        </is>
      </c>
      <c r="AB324" s="6" t="n">
        <v>105.82</v>
      </c>
      <c r="AC324" s="6" t="n">
        <v>16.93</v>
      </c>
      <c r="AD324" s="6" t="n">
        <v>0</v>
      </c>
      <c r="AE324" s="6" t="n">
        <v>0</v>
      </c>
      <c r="AF324" s="6" t="n">
        <v>0</v>
      </c>
      <c r="AG324" s="6" t="n">
        <v>0</v>
      </c>
      <c r="AH324" s="6" t="n">
        <v>0</v>
      </c>
      <c r="AI324" s="6" t="inlineStr">
        <is>
          <t>Reserva importada do Sistema TMS. OS: 89852</t>
        </is>
      </c>
      <c r="AJ324" s="6" t="inlineStr">
        <is>
          <t>Fornecedor não preenchido! (ACC01)</t>
        </is>
      </c>
      <c r="AK324" s="6" t="inlineStr">
        <is>
          <t>ARGO(TMS)</t>
        </is>
      </c>
      <c r="AL324" s="6" t="inlineStr">
        <is>
          <t>Falta de Fornecedor</t>
        </is>
      </c>
      <c r="AM324" s="6" t="inlineStr">
        <is>
          <t>Campo Fornecedor</t>
        </is>
      </c>
      <c r="AN324" s="6" t="inlineStr">
        <is>
          <t>Dados do Fornecedor</t>
        </is>
      </c>
      <c r="AO324" s="6" t="inlineStr">
        <is>
          <t>Qualidade dos dados</t>
        </is>
      </c>
      <c r="AP324" s="6" t="inlineStr">
        <is>
          <t>KONTIK BUSINESS TRAVEL</t>
        </is>
      </c>
      <c r="AQ324" s="6" t="inlineStr">
        <is>
          <t>Suporte KCS</t>
        </is>
      </c>
    </row>
    <row r="325">
      <c r="A325" s="6" t="n">
        <v>23366888</v>
      </c>
      <c r="B325" s="6" t="n">
        <v>24092918</v>
      </c>
      <c r="C325" s="6" t="inlineStr">
        <is>
          <t>ACC01</t>
        </is>
      </c>
      <c r="D325" s="58" t="n">
        <v>45982.66892361111</v>
      </c>
      <c r="E325" s="58" t="n">
        <v>45986.09422453704</v>
      </c>
      <c r="F325" s="6" t="inlineStr">
        <is>
          <t>0 a 02 dias</t>
        </is>
      </c>
      <c r="G325" s="6" t="inlineStr">
        <is>
          <t>03 a 05 dias</t>
        </is>
      </c>
      <c r="H325" s="6" t="inlineStr">
        <is>
          <t>5UX38B</t>
        </is>
      </c>
      <c r="I325" s="6" t="inlineStr">
        <is>
          <t>TMS</t>
        </is>
      </c>
      <c r="J325" s="6" t="inlineStr">
        <is>
          <t>EVANIO DE ARAUJO</t>
        </is>
      </c>
      <c r="K325" s="6" t="inlineStr">
        <is>
          <t>Tms</t>
        </is>
      </c>
      <c r="L325" s="6" t="inlineStr">
        <is>
          <t>Tms</t>
        </is>
      </c>
      <c r="M325" s="58" t="n">
        <v>45982.45972222222</v>
      </c>
      <c r="N325" s="6" t="n">
        <v>89774</v>
      </c>
      <c r="O325" s="6" t="inlineStr">
        <is>
          <t>-</t>
        </is>
      </c>
      <c r="P325" s="6" t="inlineStr">
        <is>
          <t>OFF LINE</t>
        </is>
      </c>
      <c r="Q325" s="6" t="inlineStr">
        <is>
          <t>Invoice</t>
        </is>
      </c>
      <c r="R325" s="6" t="inlineStr">
        <is>
          <t>Faturado</t>
        </is>
      </c>
      <c r="S325" s="6" t="inlineStr">
        <is>
          <t>Serviço</t>
        </is>
      </c>
      <c r="T325" s="6" t="inlineStr">
        <is>
          <t>N</t>
        </is>
      </c>
      <c r="U325" s="6" t="inlineStr">
        <is>
          <t>Grupo Ocean Pact</t>
        </is>
      </c>
      <c r="V325" s="6" t="inlineStr">
        <is>
          <t>Oceanpact Marau Navegacao</t>
        </is>
      </c>
      <c r="W325" s="6" t="inlineStr">
        <is>
          <t>-</t>
        </is>
      </c>
      <c r="X325" s="6" t="inlineStr">
        <is>
          <t>-</t>
        </is>
      </c>
      <c r="Y325" s="6" t="inlineStr">
        <is>
          <t>-</t>
        </is>
      </c>
      <c r="Z325" s="6" t="inlineStr">
        <is>
          <t>KON-OPE-RIO-POS-OCEANPACT</t>
        </is>
      </c>
      <c r="AA325" s="6" t="inlineStr">
        <is>
          <t>-</t>
        </is>
      </c>
      <c r="AB325" s="6" t="n">
        <v>120.07</v>
      </c>
      <c r="AC325" s="6" t="n">
        <v>19.21</v>
      </c>
      <c r="AD325" s="6" t="n">
        <v>0</v>
      </c>
      <c r="AE325" s="6" t="n">
        <v>0</v>
      </c>
      <c r="AF325" s="6" t="n">
        <v>0</v>
      </c>
      <c r="AG325" s="6" t="n">
        <v>0</v>
      </c>
      <c r="AH325" s="6" t="n">
        <v>0</v>
      </c>
      <c r="AI325" s="6" t="inlineStr">
        <is>
          <t>Reserva importada do Sistema TMS. OS: 89774</t>
        </is>
      </c>
      <c r="AJ325" s="6" t="inlineStr">
        <is>
          <t>Fornecedor não preenchido! (ACC01)</t>
        </is>
      </c>
      <c r="AK325" s="6" t="inlineStr">
        <is>
          <t>ARGO(TMS)</t>
        </is>
      </c>
      <c r="AL325" s="6" t="inlineStr">
        <is>
          <t>Falta de Fornecedor</t>
        </is>
      </c>
      <c r="AM325" s="6" t="inlineStr">
        <is>
          <t>Campo Fornecedor</t>
        </is>
      </c>
      <c r="AN325" s="6" t="inlineStr">
        <is>
          <t>Dados do Fornecedor</t>
        </is>
      </c>
      <c r="AO325" s="6" t="inlineStr">
        <is>
          <t>Qualidade dos dados</t>
        </is>
      </c>
      <c r="AP325" s="6" t="inlineStr">
        <is>
          <t>KONTIK BUSINESS TRAVEL</t>
        </is>
      </c>
      <c r="AQ325" s="6" t="inlineStr">
        <is>
          <t>Suporte KCS</t>
        </is>
      </c>
    </row>
    <row r="326">
      <c r="A326" s="6" t="n">
        <v>23366908</v>
      </c>
      <c r="B326" s="6" t="n">
        <v>24092934</v>
      </c>
      <c r="C326" s="6" t="inlineStr">
        <is>
          <t>ACC01</t>
        </is>
      </c>
      <c r="D326" s="58" t="n">
        <v>45982.66949074074</v>
      </c>
      <c r="E326" s="58" t="n">
        <v>45986.09422453704</v>
      </c>
      <c r="F326" s="6" t="inlineStr">
        <is>
          <t>0 a 02 dias</t>
        </is>
      </c>
      <c r="G326" s="6" t="inlineStr">
        <is>
          <t>03 a 05 dias</t>
        </is>
      </c>
      <c r="H326" s="6" t="inlineStr">
        <is>
          <t>5UFV80</t>
        </is>
      </c>
      <c r="I326" s="6" t="inlineStr">
        <is>
          <t>TMS</t>
        </is>
      </c>
      <c r="J326" s="6" t="inlineStr">
        <is>
          <t>ERICK THURLER</t>
        </is>
      </c>
      <c r="K326" s="6" t="inlineStr">
        <is>
          <t>Tms</t>
        </is>
      </c>
      <c r="L326" s="6" t="inlineStr">
        <is>
          <t>Tms</t>
        </is>
      </c>
      <c r="M326" s="58" t="n">
        <v>45982.45347222222</v>
      </c>
      <c r="N326" s="6" t="n">
        <v>89761</v>
      </c>
      <c r="O326" s="6" t="inlineStr">
        <is>
          <t>-</t>
        </is>
      </c>
      <c r="P326" s="6" t="inlineStr">
        <is>
          <t>OFF LINE</t>
        </is>
      </c>
      <c r="Q326" s="6" t="inlineStr">
        <is>
          <t>Invoice</t>
        </is>
      </c>
      <c r="R326" s="6" t="inlineStr">
        <is>
          <t>Faturado</t>
        </is>
      </c>
      <c r="S326" s="6" t="inlineStr">
        <is>
          <t>Serviço</t>
        </is>
      </c>
      <c r="T326" s="6" t="inlineStr">
        <is>
          <t>N</t>
        </is>
      </c>
      <c r="U326" s="6" t="inlineStr">
        <is>
          <t>Grupo Ocean Pact</t>
        </is>
      </c>
      <c r="V326" s="6" t="inlineStr">
        <is>
          <t>Oceanpact Marau Navegacao</t>
        </is>
      </c>
      <c r="W326" s="6" t="inlineStr">
        <is>
          <t>-</t>
        </is>
      </c>
      <c r="X326" s="6" t="inlineStr">
        <is>
          <t>-</t>
        </is>
      </c>
      <c r="Y326" s="6" t="inlineStr">
        <is>
          <t>-</t>
        </is>
      </c>
      <c r="Z326" s="6" t="inlineStr">
        <is>
          <t>KON-OPE-RIO-POS-OCEANPACT</t>
        </is>
      </c>
      <c r="AA326" s="6" t="inlineStr">
        <is>
          <t>-</t>
        </is>
      </c>
      <c r="AB326" s="6" t="n">
        <v>42.95</v>
      </c>
      <c r="AC326" s="6" t="n">
        <v>6.87</v>
      </c>
      <c r="AD326" s="6" t="n">
        <v>0</v>
      </c>
      <c r="AE326" s="6" t="n">
        <v>0</v>
      </c>
      <c r="AF326" s="6" t="n">
        <v>0</v>
      </c>
      <c r="AG326" s="6" t="n">
        <v>0</v>
      </c>
      <c r="AH326" s="6" t="n">
        <v>0</v>
      </c>
      <c r="AI326" s="6" t="inlineStr">
        <is>
          <t>Reserva importada do Sistema TMS. OS: 89761</t>
        </is>
      </c>
      <c r="AJ326" s="6" t="inlineStr">
        <is>
          <t>Fornecedor não preenchido! (ACC01)</t>
        </is>
      </c>
      <c r="AK326" s="6" t="inlineStr">
        <is>
          <t>ARGO(TMS)</t>
        </is>
      </c>
      <c r="AL326" s="6" t="inlineStr">
        <is>
          <t>Falta de Fornecedor</t>
        </is>
      </c>
      <c r="AM326" s="6" t="inlineStr">
        <is>
          <t>Campo Fornecedor</t>
        </is>
      </c>
      <c r="AN326" s="6" t="inlineStr">
        <is>
          <t>Dados do Fornecedor</t>
        </is>
      </c>
      <c r="AO326" s="6" t="inlineStr">
        <is>
          <t>Qualidade dos dados</t>
        </is>
      </c>
      <c r="AP326" s="6" t="inlineStr">
        <is>
          <t>KONTIK BUSINESS TRAVEL</t>
        </is>
      </c>
      <c r="AQ326" s="6" t="inlineStr">
        <is>
          <t>Suporte KCS</t>
        </is>
      </c>
    </row>
    <row r="327">
      <c r="A327" s="6" t="n">
        <v>23366910</v>
      </c>
      <c r="B327" s="6" t="n">
        <v>24092936</v>
      </c>
      <c r="C327" s="6" t="inlineStr">
        <is>
          <t>ACC01</t>
        </is>
      </c>
      <c r="D327" s="58" t="n">
        <v>45982.66950231481</v>
      </c>
      <c r="E327" s="58" t="n">
        <v>45986.09423611111</v>
      </c>
      <c r="F327" s="6" t="inlineStr">
        <is>
          <t>0 a 02 dias</t>
        </is>
      </c>
      <c r="G327" s="6" t="inlineStr">
        <is>
          <t>03 a 05 dias</t>
        </is>
      </c>
      <c r="H327" s="6" t="inlineStr">
        <is>
          <t>5UTFI0</t>
        </is>
      </c>
      <c r="I327" s="6" t="inlineStr">
        <is>
          <t>TMS</t>
        </is>
      </c>
      <c r="J327" s="6" t="inlineStr">
        <is>
          <t>ERICK THURLER</t>
        </is>
      </c>
      <c r="K327" s="6" t="inlineStr">
        <is>
          <t>Tms</t>
        </is>
      </c>
      <c r="L327" s="6" t="inlineStr">
        <is>
          <t>Tms</t>
        </is>
      </c>
      <c r="M327" s="58" t="n">
        <v>45982.45347222222</v>
      </c>
      <c r="N327" s="6" t="n">
        <v>89761</v>
      </c>
      <c r="O327" s="6" t="inlineStr">
        <is>
          <t>-</t>
        </is>
      </c>
      <c r="P327" s="6" t="inlineStr">
        <is>
          <t>OFF LINE</t>
        </is>
      </c>
      <c r="Q327" s="6" t="inlineStr">
        <is>
          <t>Invoice</t>
        </is>
      </c>
      <c r="R327" s="6" t="inlineStr">
        <is>
          <t>Faturado</t>
        </is>
      </c>
      <c r="S327" s="6" t="inlineStr">
        <is>
          <t>Serviço</t>
        </is>
      </c>
      <c r="T327" s="6" t="inlineStr">
        <is>
          <t>N</t>
        </is>
      </c>
      <c r="U327" s="6" t="inlineStr">
        <is>
          <t>Grupo Ocean Pact</t>
        </is>
      </c>
      <c r="V327" s="6" t="inlineStr">
        <is>
          <t>Oceanpact Marau Navegacao</t>
        </is>
      </c>
      <c r="W327" s="6" t="inlineStr">
        <is>
          <t>-</t>
        </is>
      </c>
      <c r="X327" s="6" t="inlineStr">
        <is>
          <t>-</t>
        </is>
      </c>
      <c r="Y327" s="6" t="inlineStr">
        <is>
          <t>-</t>
        </is>
      </c>
      <c r="Z327" s="6" t="inlineStr">
        <is>
          <t>KON-OPE-RIO-POS-OCEANPACT</t>
        </is>
      </c>
      <c r="AA327" s="6" t="inlineStr">
        <is>
          <t>-</t>
        </is>
      </c>
      <c r="AB327" s="6" t="n">
        <v>22.1</v>
      </c>
      <c r="AC327" s="6" t="n">
        <v>3.54</v>
      </c>
      <c r="AD327" s="6" t="n">
        <v>0</v>
      </c>
      <c r="AE327" s="6" t="n">
        <v>0</v>
      </c>
      <c r="AF327" s="6" t="n">
        <v>0</v>
      </c>
      <c r="AG327" s="6" t="n">
        <v>0</v>
      </c>
      <c r="AH327" s="6" t="n">
        <v>0</v>
      </c>
      <c r="AI327" s="6" t="inlineStr">
        <is>
          <t>Reserva importada do Sistema TMS. OS: 89761</t>
        </is>
      </c>
      <c r="AJ327" s="6" t="inlineStr">
        <is>
          <t>Fornecedor não preenchido! (ACC01)</t>
        </is>
      </c>
      <c r="AK327" s="6" t="inlineStr">
        <is>
          <t>ARGO(TMS)</t>
        </is>
      </c>
      <c r="AL327" s="6" t="inlineStr">
        <is>
          <t>Falta de Fornecedor</t>
        </is>
      </c>
      <c r="AM327" s="6" t="inlineStr">
        <is>
          <t>Campo Fornecedor</t>
        </is>
      </c>
      <c r="AN327" s="6" t="inlineStr">
        <is>
          <t>Dados do Fornecedor</t>
        </is>
      </c>
      <c r="AO327" s="6" t="inlineStr">
        <is>
          <t>Qualidade dos dados</t>
        </is>
      </c>
      <c r="AP327" s="6" t="inlineStr">
        <is>
          <t>KONTIK BUSINESS TRAVEL</t>
        </is>
      </c>
      <c r="AQ327" s="6" t="inlineStr">
        <is>
          <t>Suporte KCS</t>
        </is>
      </c>
    </row>
    <row r="328">
      <c r="A328" s="6" t="n">
        <v>23355129</v>
      </c>
      <c r="B328" s="6" t="n">
        <v>24082109</v>
      </c>
      <c r="C328" s="6" t="inlineStr">
        <is>
          <t>ACC01</t>
        </is>
      </c>
      <c r="D328" s="58" t="n">
        <v>45980.64076388889</v>
      </c>
      <c r="E328" s="58" t="n">
        <v>45986.09060185185</v>
      </c>
      <c r="F328" s="6" t="inlineStr">
        <is>
          <t>0 a 02 dias</t>
        </is>
      </c>
      <c r="G328" s="6" t="inlineStr">
        <is>
          <t>06 a 08 dias</t>
        </is>
      </c>
      <c r="H328" s="6" t="inlineStr">
        <is>
          <t>5TFUPO</t>
        </is>
      </c>
      <c r="I328" s="6" t="inlineStr">
        <is>
          <t>TMS</t>
        </is>
      </c>
      <c r="J328" s="6" t="inlineStr">
        <is>
          <t>DOUGLAS DOS SANTOS</t>
        </is>
      </c>
      <c r="K328" s="6" t="inlineStr">
        <is>
          <t>Tms</t>
        </is>
      </c>
      <c r="L328" s="6" t="inlineStr">
        <is>
          <t>Tms</t>
        </is>
      </c>
      <c r="M328" s="58" t="n">
        <v>45979.71319444444</v>
      </c>
      <c r="N328" s="6" t="n">
        <v>89491</v>
      </c>
      <c r="O328" s="6" t="inlineStr">
        <is>
          <t>-</t>
        </is>
      </c>
      <c r="P328" s="6" t="inlineStr">
        <is>
          <t>OFF LINE</t>
        </is>
      </c>
      <c r="Q328" s="6" t="inlineStr">
        <is>
          <t>Invoice</t>
        </is>
      </c>
      <c r="R328" s="6" t="inlineStr">
        <is>
          <t>Faturado</t>
        </is>
      </c>
      <c r="S328" s="6" t="inlineStr">
        <is>
          <t>Serviço</t>
        </is>
      </c>
      <c r="T328" s="6" t="inlineStr">
        <is>
          <t>N</t>
        </is>
      </c>
      <c r="U328" s="6" t="inlineStr">
        <is>
          <t>Grupo Ocean Pact</t>
        </is>
      </c>
      <c r="V328" s="6" t="inlineStr">
        <is>
          <t>Oceanpact Servicos Maritimos</t>
        </is>
      </c>
      <c r="W328" s="6" t="inlineStr">
        <is>
          <t>-</t>
        </is>
      </c>
      <c r="X328" s="6" t="inlineStr">
        <is>
          <t>-</t>
        </is>
      </c>
      <c r="Y328" s="6" t="inlineStr">
        <is>
          <t>-</t>
        </is>
      </c>
      <c r="Z328" s="6" t="inlineStr">
        <is>
          <t>KON-OPE-RIO-POS-OCEANPACT</t>
        </is>
      </c>
      <c r="AA328" s="6" t="inlineStr">
        <is>
          <t>-</t>
        </is>
      </c>
      <c r="AB328" s="6" t="n">
        <v>100.7</v>
      </c>
      <c r="AC328" s="6" t="n">
        <v>16.11</v>
      </c>
      <c r="AD328" s="6" t="n">
        <v>0</v>
      </c>
      <c r="AE328" s="6" t="n">
        <v>0</v>
      </c>
      <c r="AF328" s="6" t="n">
        <v>0</v>
      </c>
      <c r="AG328" s="6" t="n">
        <v>0</v>
      </c>
      <c r="AH328" s="6" t="n">
        <v>0</v>
      </c>
      <c r="AI328" s="6" t="inlineStr">
        <is>
          <t>Reserva importada do Sistema TMS. OS: 89491</t>
        </is>
      </c>
      <c r="AJ328" s="6" t="inlineStr">
        <is>
          <t>Fornecedor não preenchido! (ACC01)</t>
        </is>
      </c>
      <c r="AK328" s="6" t="inlineStr">
        <is>
          <t>ARGO(TMS)</t>
        </is>
      </c>
      <c r="AL328" s="6" t="inlineStr">
        <is>
          <t>Falta de Fornecedor</t>
        </is>
      </c>
      <c r="AM328" s="6" t="inlineStr">
        <is>
          <t>Campo Fornecedor</t>
        </is>
      </c>
      <c r="AN328" s="6" t="inlineStr">
        <is>
          <t>Dados do Fornecedor</t>
        </is>
      </c>
      <c r="AO328" s="6" t="inlineStr">
        <is>
          <t>Qualidade dos dados</t>
        </is>
      </c>
      <c r="AP328" s="6" t="inlineStr">
        <is>
          <t>KONTIK BUSINESS TRAVEL</t>
        </is>
      </c>
      <c r="AQ328" s="6" t="inlineStr">
        <is>
          <t>Suporte KCS</t>
        </is>
      </c>
    </row>
    <row r="329">
      <c r="A329" s="6" t="n">
        <v>23366931</v>
      </c>
      <c r="B329" s="6" t="n">
        <v>24092954</v>
      </c>
      <c r="C329" s="6" t="inlineStr">
        <is>
          <t>ACC01</t>
        </is>
      </c>
      <c r="D329" s="58" t="n">
        <v>45982.66995370371</v>
      </c>
      <c r="E329" s="58" t="n">
        <v>45986.09424768519</v>
      </c>
      <c r="F329" s="6" t="inlineStr">
        <is>
          <t>0 a 02 dias</t>
        </is>
      </c>
      <c r="G329" s="6" t="inlineStr">
        <is>
          <t>03 a 05 dias</t>
        </is>
      </c>
      <c r="H329" s="6" t="inlineStr">
        <is>
          <t>5UFG8P</t>
        </is>
      </c>
      <c r="I329" s="6" t="inlineStr">
        <is>
          <t>TMS</t>
        </is>
      </c>
      <c r="J329" s="6" t="inlineStr">
        <is>
          <t>DEIVISON SILVA</t>
        </is>
      </c>
      <c r="K329" s="6" t="inlineStr">
        <is>
          <t>Tms</t>
        </is>
      </c>
      <c r="L329" s="6" t="inlineStr">
        <is>
          <t>Tms</t>
        </is>
      </c>
      <c r="M329" s="58" t="n">
        <v>45982.56666666667</v>
      </c>
      <c r="N329" s="6" t="n">
        <v>89747</v>
      </c>
      <c r="O329" s="6" t="inlineStr">
        <is>
          <t>-</t>
        </is>
      </c>
      <c r="P329" s="6" t="inlineStr">
        <is>
          <t>OFF LINE</t>
        </is>
      </c>
      <c r="Q329" s="6" t="inlineStr">
        <is>
          <t>Invoice</t>
        </is>
      </c>
      <c r="R329" s="6" t="inlineStr">
        <is>
          <t>Faturado</t>
        </is>
      </c>
      <c r="S329" s="6" t="inlineStr">
        <is>
          <t>Serviço</t>
        </is>
      </c>
      <c r="T329" s="6" t="inlineStr">
        <is>
          <t>N</t>
        </is>
      </c>
      <c r="U329" s="6" t="inlineStr">
        <is>
          <t>Grupo Ocean Pact</t>
        </is>
      </c>
      <c r="V329" s="6" t="inlineStr">
        <is>
          <t>Oceanpact Servicos Maritimos</t>
        </is>
      </c>
      <c r="W329" s="6" t="inlineStr">
        <is>
          <t>-</t>
        </is>
      </c>
      <c r="X329" s="6" t="inlineStr">
        <is>
          <t>-</t>
        </is>
      </c>
      <c r="Y329" s="6" t="inlineStr">
        <is>
          <t>-</t>
        </is>
      </c>
      <c r="Z329" s="6" t="inlineStr">
        <is>
          <t>KON-OPE-RIO-POS-OCEANPACT</t>
        </is>
      </c>
      <c r="AA329" s="6" t="inlineStr">
        <is>
          <t>-</t>
        </is>
      </c>
      <c r="AB329" s="6" t="n">
        <v>121.93</v>
      </c>
      <c r="AC329" s="6" t="n">
        <v>19.51</v>
      </c>
      <c r="AD329" s="6" t="n">
        <v>0</v>
      </c>
      <c r="AE329" s="6" t="n">
        <v>0</v>
      </c>
      <c r="AF329" s="6" t="n">
        <v>0</v>
      </c>
      <c r="AG329" s="6" t="n">
        <v>0</v>
      </c>
      <c r="AH329" s="6" t="n">
        <v>0</v>
      </c>
      <c r="AI329" s="6" t="inlineStr">
        <is>
          <t>Reserva importada do Sistema TMS. OS: 89747</t>
        </is>
      </c>
      <c r="AJ329" s="6" t="inlineStr">
        <is>
          <t>Fornecedor não preenchido! (ACC01)</t>
        </is>
      </c>
      <c r="AK329" s="6" t="inlineStr">
        <is>
          <t>ARGO(TMS)</t>
        </is>
      </c>
      <c r="AL329" s="6" t="inlineStr">
        <is>
          <t>Falta de Fornecedor</t>
        </is>
      </c>
      <c r="AM329" s="6" t="inlineStr">
        <is>
          <t>Campo Fornecedor</t>
        </is>
      </c>
      <c r="AN329" s="6" t="inlineStr">
        <is>
          <t>Dados do Fornecedor</t>
        </is>
      </c>
      <c r="AO329" s="6" t="inlineStr">
        <is>
          <t>Qualidade dos dados</t>
        </is>
      </c>
      <c r="AP329" s="6" t="inlineStr">
        <is>
          <t>KONTIK BUSINESS TRAVEL</t>
        </is>
      </c>
      <c r="AQ329" s="6" t="inlineStr">
        <is>
          <t>Suporte KCS</t>
        </is>
      </c>
    </row>
    <row r="330">
      <c r="A330" s="6" t="n">
        <v>23366928</v>
      </c>
      <c r="B330" s="6" t="n">
        <v>24092951</v>
      </c>
      <c r="C330" s="6" t="inlineStr">
        <is>
          <t>ACC01</t>
        </is>
      </c>
      <c r="D330" s="58" t="n">
        <v>45982.66982638889</v>
      </c>
      <c r="E330" s="58" t="n">
        <v>45986.09423611111</v>
      </c>
      <c r="F330" s="6" t="inlineStr">
        <is>
          <t>0 a 02 dias</t>
        </is>
      </c>
      <c r="G330" s="6" t="inlineStr">
        <is>
          <t>03 a 05 dias</t>
        </is>
      </c>
      <c r="H330" s="6" t="inlineStr">
        <is>
          <t>5UA5KB</t>
        </is>
      </c>
      <c r="I330" s="6" t="inlineStr">
        <is>
          <t>TMS</t>
        </is>
      </c>
      <c r="J330" s="6" t="inlineStr">
        <is>
          <t>DEIVISON SILVA</t>
        </is>
      </c>
      <c r="K330" s="6" t="inlineStr">
        <is>
          <t>Tms</t>
        </is>
      </c>
      <c r="L330" s="6" t="inlineStr">
        <is>
          <t>Tms</t>
        </is>
      </c>
      <c r="M330" s="58" t="n">
        <v>45982.56666666667</v>
      </c>
      <c r="N330" s="6" t="n">
        <v>89752</v>
      </c>
      <c r="O330" s="6" t="inlineStr">
        <is>
          <t>-</t>
        </is>
      </c>
      <c r="P330" s="6" t="inlineStr">
        <is>
          <t>OFF LINE</t>
        </is>
      </c>
      <c r="Q330" s="6" t="inlineStr">
        <is>
          <t>Invoice</t>
        </is>
      </c>
      <c r="R330" s="6" t="inlineStr">
        <is>
          <t>Faturado</t>
        </is>
      </c>
      <c r="S330" s="6" t="inlineStr">
        <is>
          <t>Serviço</t>
        </is>
      </c>
      <c r="T330" s="6" t="inlineStr">
        <is>
          <t>N</t>
        </is>
      </c>
      <c r="U330" s="6" t="inlineStr">
        <is>
          <t>Grupo Ocean Pact</t>
        </is>
      </c>
      <c r="V330" s="6" t="inlineStr">
        <is>
          <t>Oceanpact Servicos Maritimos</t>
        </is>
      </c>
      <c r="W330" s="6" t="inlineStr">
        <is>
          <t>-</t>
        </is>
      </c>
      <c r="X330" s="6" t="inlineStr">
        <is>
          <t>-</t>
        </is>
      </c>
      <c r="Y330" s="6" t="inlineStr">
        <is>
          <t>-</t>
        </is>
      </c>
      <c r="Z330" s="6" t="inlineStr">
        <is>
          <t>KON-OPE-RIO-POS-OCEANPACT</t>
        </is>
      </c>
      <c r="AA330" s="6" t="inlineStr">
        <is>
          <t>-</t>
        </is>
      </c>
      <c r="AB330" s="6" t="n">
        <v>118.09</v>
      </c>
      <c r="AC330" s="6" t="n">
        <v>18.89</v>
      </c>
      <c r="AD330" s="6" t="n">
        <v>0</v>
      </c>
      <c r="AE330" s="6" t="n">
        <v>0</v>
      </c>
      <c r="AF330" s="6" t="n">
        <v>0</v>
      </c>
      <c r="AG330" s="6" t="n">
        <v>0</v>
      </c>
      <c r="AH330" s="6" t="n">
        <v>0</v>
      </c>
      <c r="AI330" s="6" t="inlineStr">
        <is>
          <t>Reserva importada do Sistema TMS. OS: 89752</t>
        </is>
      </c>
      <c r="AJ330" s="6" t="inlineStr">
        <is>
          <t>Fornecedor não preenchido! (ACC01)</t>
        </is>
      </c>
      <c r="AK330" s="6" t="inlineStr">
        <is>
          <t>ARGO(TMS)</t>
        </is>
      </c>
      <c r="AL330" s="6" t="inlineStr">
        <is>
          <t>Falta de Fornecedor</t>
        </is>
      </c>
      <c r="AM330" s="6" t="inlineStr">
        <is>
          <t>Campo Fornecedor</t>
        </is>
      </c>
      <c r="AN330" s="6" t="inlineStr">
        <is>
          <t>Dados do Fornecedor</t>
        </is>
      </c>
      <c r="AO330" s="6" t="inlineStr">
        <is>
          <t>Qualidade dos dados</t>
        </is>
      </c>
      <c r="AP330" s="6" t="inlineStr">
        <is>
          <t>KONTIK BUSINESS TRAVEL</t>
        </is>
      </c>
      <c r="AQ330" s="6" t="inlineStr">
        <is>
          <t>Suporte KCS</t>
        </is>
      </c>
    </row>
    <row r="331">
      <c r="A331" s="6" t="n">
        <v>23357745</v>
      </c>
      <c r="B331" s="6" t="n">
        <v>24084749</v>
      </c>
      <c r="C331" s="6" t="inlineStr">
        <is>
          <t>ACC01</t>
        </is>
      </c>
      <c r="D331" s="58" t="n">
        <v>45980.89475694444</v>
      </c>
      <c r="E331" s="58" t="n">
        <v>45986.090625</v>
      </c>
      <c r="F331" s="6" t="inlineStr">
        <is>
          <t>0 a 02 dias</t>
        </is>
      </c>
      <c r="G331" s="6" t="inlineStr">
        <is>
          <t>06 a 08 dias</t>
        </is>
      </c>
      <c r="H331" s="6" t="inlineStr">
        <is>
          <t>5TEJ6L</t>
        </is>
      </c>
      <c r="I331" s="6" t="inlineStr">
        <is>
          <t>TMS</t>
        </is>
      </c>
      <c r="J331" s="6" t="inlineStr">
        <is>
          <t>LEANDRO BEZERRA SALES</t>
        </is>
      </c>
      <c r="K331" s="6" t="inlineStr">
        <is>
          <t>Tms</t>
        </is>
      </c>
      <c r="L331" s="6" t="inlineStr">
        <is>
          <t>Tms</t>
        </is>
      </c>
      <c r="M331" s="58" t="n">
        <v>45980.68819444445</v>
      </c>
      <c r="N331" s="6" t="n">
        <v>89686</v>
      </c>
      <c r="O331" s="6" t="inlineStr">
        <is>
          <t>-</t>
        </is>
      </c>
      <c r="P331" s="6" t="inlineStr">
        <is>
          <t>OFF LINE</t>
        </is>
      </c>
      <c r="Q331" s="6" t="inlineStr">
        <is>
          <t>Invoice</t>
        </is>
      </c>
      <c r="R331" s="6" t="inlineStr">
        <is>
          <t>Faturado</t>
        </is>
      </c>
      <c r="S331" s="6" t="inlineStr">
        <is>
          <t>Serviço</t>
        </is>
      </c>
      <c r="T331" s="6" t="inlineStr">
        <is>
          <t>N</t>
        </is>
      </c>
      <c r="U331" s="6" t="inlineStr">
        <is>
          <t>Grupo Ocean Pact</t>
        </is>
      </c>
      <c r="V331" s="6" t="inlineStr">
        <is>
          <t>Oceanpact Servicos Maritimos</t>
        </is>
      </c>
      <c r="W331" s="6" t="inlineStr">
        <is>
          <t>-</t>
        </is>
      </c>
      <c r="X331" s="6" t="inlineStr">
        <is>
          <t>-</t>
        </is>
      </c>
      <c r="Y331" s="6" t="inlineStr">
        <is>
          <t>-</t>
        </is>
      </c>
      <c r="Z331" s="6" t="inlineStr">
        <is>
          <t>KON-OPE-RIO-POS-OCEANPACT</t>
        </is>
      </c>
      <c r="AA331" s="6" t="inlineStr">
        <is>
          <t>-</t>
        </is>
      </c>
      <c r="AB331" s="6" t="n">
        <v>151.99</v>
      </c>
      <c r="AC331" s="6" t="n">
        <v>24.32</v>
      </c>
      <c r="AD331" s="6" t="n">
        <v>0</v>
      </c>
      <c r="AE331" s="6" t="n">
        <v>0</v>
      </c>
      <c r="AF331" s="6" t="n">
        <v>0</v>
      </c>
      <c r="AG331" s="6" t="n">
        <v>0</v>
      </c>
      <c r="AH331" s="6" t="n">
        <v>0</v>
      </c>
      <c r="AI331" s="6" t="inlineStr">
        <is>
          <t>Reserva importada do Sistema TMS. OS: 89686</t>
        </is>
      </c>
      <c r="AJ331" s="6" t="inlineStr">
        <is>
          <t>Fornecedor não preenchido! (ACC01)</t>
        </is>
      </c>
      <c r="AK331" s="6" t="inlineStr">
        <is>
          <t>ARGO(TMS)</t>
        </is>
      </c>
      <c r="AL331" s="6" t="inlineStr">
        <is>
          <t>Falta de Fornecedor</t>
        </is>
      </c>
      <c r="AM331" s="6" t="inlineStr">
        <is>
          <t>Campo Fornecedor</t>
        </is>
      </c>
      <c r="AN331" s="6" t="inlineStr">
        <is>
          <t>Dados do Fornecedor</t>
        </is>
      </c>
      <c r="AO331" s="6" t="inlineStr">
        <is>
          <t>Qualidade dos dados</t>
        </is>
      </c>
      <c r="AP331" s="6" t="inlineStr">
        <is>
          <t>KONTIK BUSINESS TRAVEL</t>
        </is>
      </c>
      <c r="AQ331" s="6" t="inlineStr">
        <is>
          <t>Suporte KCS</t>
        </is>
      </c>
    </row>
    <row r="332">
      <c r="A332" s="6" t="n">
        <v>23357748</v>
      </c>
      <c r="B332" s="6" t="n">
        <v>24084752</v>
      </c>
      <c r="C332" s="6" t="inlineStr">
        <is>
          <t>ACC01</t>
        </is>
      </c>
      <c r="D332" s="58" t="n">
        <v>45980.89487268519</v>
      </c>
      <c r="E332" s="58" t="n">
        <v>45986.09063657407</v>
      </c>
      <c r="F332" s="6" t="inlineStr">
        <is>
          <t>0 a 02 dias</t>
        </is>
      </c>
      <c r="G332" s="6" t="inlineStr">
        <is>
          <t>06 a 08 dias</t>
        </is>
      </c>
      <c r="H332" s="6" t="inlineStr">
        <is>
          <t>5THJ69</t>
        </is>
      </c>
      <c r="I332" s="6" t="inlineStr">
        <is>
          <t>TMS</t>
        </is>
      </c>
      <c r="J332" s="6" t="inlineStr">
        <is>
          <t>EDILBERTO RIBEIRO DUARTE</t>
        </is>
      </c>
      <c r="K332" s="6" t="inlineStr">
        <is>
          <t>Tms</t>
        </is>
      </c>
      <c r="L332" s="6" t="inlineStr">
        <is>
          <t>Tms</t>
        </is>
      </c>
      <c r="M332" s="58" t="n">
        <v>45980.66041666667</v>
      </c>
      <c r="N332" s="6" t="n">
        <v>89673</v>
      </c>
      <c r="O332" s="6" t="inlineStr">
        <is>
          <t>-</t>
        </is>
      </c>
      <c r="P332" s="6" t="inlineStr">
        <is>
          <t>OFF LINE</t>
        </is>
      </c>
      <c r="Q332" s="6" t="inlineStr">
        <is>
          <t>Invoice</t>
        </is>
      </c>
      <c r="R332" s="6" t="inlineStr">
        <is>
          <t>Faturado</t>
        </is>
      </c>
      <c r="S332" s="6" t="inlineStr">
        <is>
          <t>Serviço</t>
        </is>
      </c>
      <c r="T332" s="6" t="inlineStr">
        <is>
          <t>N</t>
        </is>
      </c>
      <c r="U332" s="6" t="inlineStr">
        <is>
          <t>Grupo Ocean Pact</t>
        </is>
      </c>
      <c r="V332" s="6" t="inlineStr">
        <is>
          <t>Up Offshore Apoio Maritimo</t>
        </is>
      </c>
      <c r="W332" s="6" t="inlineStr">
        <is>
          <t>-</t>
        </is>
      </c>
      <c r="X332" s="6" t="inlineStr">
        <is>
          <t>-</t>
        </is>
      </c>
      <c r="Y332" s="6" t="inlineStr">
        <is>
          <t>-</t>
        </is>
      </c>
      <c r="Z332" s="6" t="inlineStr">
        <is>
          <t>KON-OPE-RIO-POS-OCEANPACT</t>
        </is>
      </c>
      <c r="AA332" s="6" t="inlineStr">
        <is>
          <t>-</t>
        </is>
      </c>
      <c r="AB332" s="6" t="n">
        <v>131.53</v>
      </c>
      <c r="AC332" s="6" t="n">
        <v>21.04</v>
      </c>
      <c r="AD332" s="6" t="n">
        <v>0</v>
      </c>
      <c r="AE332" s="6" t="n">
        <v>0</v>
      </c>
      <c r="AF332" s="6" t="n">
        <v>0</v>
      </c>
      <c r="AG332" s="6" t="n">
        <v>0</v>
      </c>
      <c r="AH332" s="6" t="n">
        <v>0</v>
      </c>
      <c r="AI332" s="6" t="inlineStr">
        <is>
          <t>Reserva importada do Sistema TMS. OS: 89673</t>
        </is>
      </c>
      <c r="AJ332" s="6" t="inlineStr">
        <is>
          <t>Fornecedor não preenchido! (ACC01)</t>
        </is>
      </c>
      <c r="AK332" s="6" t="inlineStr">
        <is>
          <t>ARGO(TMS)</t>
        </is>
      </c>
      <c r="AL332" s="6" t="inlineStr">
        <is>
          <t>Falta de Fornecedor</t>
        </is>
      </c>
      <c r="AM332" s="6" t="inlineStr">
        <is>
          <t>Campo Fornecedor</t>
        </is>
      </c>
      <c r="AN332" s="6" t="inlineStr">
        <is>
          <t>Dados do Fornecedor</t>
        </is>
      </c>
      <c r="AO332" s="6" t="inlineStr">
        <is>
          <t>Qualidade dos dados</t>
        </is>
      </c>
      <c r="AP332" s="6" t="inlineStr">
        <is>
          <t>KONTIK BUSINESS TRAVEL</t>
        </is>
      </c>
      <c r="AQ332" s="6" t="inlineStr">
        <is>
          <t>Suporte KCS</t>
        </is>
      </c>
    </row>
    <row r="333">
      <c r="A333" s="6" t="n">
        <v>23371892</v>
      </c>
      <c r="B333" s="6" t="n">
        <v>24097207</v>
      </c>
      <c r="C333" s="6" t="inlineStr">
        <is>
          <t>ACC01</t>
        </is>
      </c>
      <c r="D333" s="58" t="n">
        <v>45983.66473379629</v>
      </c>
      <c r="E333" s="58" t="n">
        <v>45986.09425925926</v>
      </c>
      <c r="F333" s="6" t="inlineStr">
        <is>
          <t>0 a 02 dias</t>
        </is>
      </c>
      <c r="G333" s="6" t="inlineStr">
        <is>
          <t>03 a 05 dias</t>
        </is>
      </c>
      <c r="H333" s="6" t="inlineStr">
        <is>
          <t>5U77YA</t>
        </is>
      </c>
      <c r="I333" s="6" t="inlineStr">
        <is>
          <t>TMS</t>
        </is>
      </c>
      <c r="J333" s="6" t="inlineStr">
        <is>
          <t>NICOLAU KALOTT JUNIOR</t>
        </is>
      </c>
      <c r="K333" s="6" t="inlineStr">
        <is>
          <t>Tms</t>
        </is>
      </c>
      <c r="L333" s="6" t="inlineStr">
        <is>
          <t>Tms</t>
        </is>
      </c>
      <c r="M333" s="58" t="n">
        <v>45983.40416666667</v>
      </c>
      <c r="N333" s="6" t="n">
        <v>89912</v>
      </c>
      <c r="O333" s="6" t="inlineStr">
        <is>
          <t>-</t>
        </is>
      </c>
      <c r="P333" s="6" t="inlineStr">
        <is>
          <t>OFF LINE</t>
        </is>
      </c>
      <c r="Q333" s="6" t="inlineStr">
        <is>
          <t>Invoice</t>
        </is>
      </c>
      <c r="R333" s="6" t="inlineStr">
        <is>
          <t>Faturado</t>
        </is>
      </c>
      <c r="S333" s="6" t="inlineStr">
        <is>
          <t>Serviço</t>
        </is>
      </c>
      <c r="T333" s="6" t="inlineStr">
        <is>
          <t>N</t>
        </is>
      </c>
      <c r="U333" s="6" t="inlineStr">
        <is>
          <t>Grupo Ocean Pact</t>
        </is>
      </c>
      <c r="V333" s="6" t="inlineStr">
        <is>
          <t>Oceanpact Servicos Maritimos</t>
        </is>
      </c>
      <c r="W333" s="6" t="inlineStr">
        <is>
          <t>-</t>
        </is>
      </c>
      <c r="X333" s="6" t="inlineStr">
        <is>
          <t>-</t>
        </is>
      </c>
      <c r="Y333" s="6" t="inlineStr">
        <is>
          <t>-</t>
        </is>
      </c>
      <c r="Z333" s="6" t="inlineStr">
        <is>
          <t>KON-OPE-RIO-POS-OCEANPACT</t>
        </is>
      </c>
      <c r="AA333" s="6" t="inlineStr">
        <is>
          <t>-</t>
        </is>
      </c>
      <c r="AB333" s="6" t="n">
        <v>409.92</v>
      </c>
      <c r="AC333" s="6" t="n">
        <v>84.73</v>
      </c>
      <c r="AD333" s="6" t="n">
        <v>0</v>
      </c>
      <c r="AE333" s="6" t="n">
        <v>0</v>
      </c>
      <c r="AF333" s="6" t="n">
        <v>0</v>
      </c>
      <c r="AG333" s="6" t="n">
        <v>0</v>
      </c>
      <c r="AH333" s="6" t="n">
        <v>0</v>
      </c>
      <c r="AI333" s="6" t="inlineStr">
        <is>
          <t>Reserva importada do Sistema TMS. OS: 89912</t>
        </is>
      </c>
      <c r="AJ333" s="6" t="inlineStr">
        <is>
          <t>Fornecedor não preenchido! (ACC01)</t>
        </is>
      </c>
      <c r="AK333" s="6" t="inlineStr">
        <is>
          <t>ARGO(TMS)</t>
        </is>
      </c>
      <c r="AL333" s="6" t="inlineStr">
        <is>
          <t>Falta de Fornecedor</t>
        </is>
      </c>
      <c r="AM333" s="6" t="inlineStr">
        <is>
          <t>Campo Fornecedor</t>
        </is>
      </c>
      <c r="AN333" s="6" t="inlineStr">
        <is>
          <t>Dados do Fornecedor</t>
        </is>
      </c>
      <c r="AO333" s="6" t="inlineStr">
        <is>
          <t>Qualidade dos dados</t>
        </is>
      </c>
      <c r="AP333" s="6" t="inlineStr">
        <is>
          <t>KONTIK BUSINESS TRAVEL</t>
        </is>
      </c>
      <c r="AQ333" s="6" t="inlineStr">
        <is>
          <t>Suporte KCS</t>
        </is>
      </c>
    </row>
    <row r="334">
      <c r="A334" s="6" t="n">
        <v>23355092</v>
      </c>
      <c r="B334" s="6" t="n">
        <v>24082073</v>
      </c>
      <c r="C334" s="6" t="inlineStr">
        <is>
          <t>ACC01</t>
        </is>
      </c>
      <c r="D334" s="58" t="n">
        <v>45980.63957175926</v>
      </c>
      <c r="E334" s="58" t="n">
        <v>45986.09060185185</v>
      </c>
      <c r="F334" s="6" t="inlineStr">
        <is>
          <t>0 a 02 dias</t>
        </is>
      </c>
      <c r="G334" s="6" t="inlineStr">
        <is>
          <t>06 a 08 dias</t>
        </is>
      </c>
      <c r="H334" s="6" t="inlineStr">
        <is>
          <t>5T8FB9</t>
        </is>
      </c>
      <c r="I334" s="6" t="inlineStr">
        <is>
          <t>TMS</t>
        </is>
      </c>
      <c r="J334" s="6" t="inlineStr">
        <is>
          <t>DOUVIS DE OLIVEIRA</t>
        </is>
      </c>
      <c r="K334" s="6" t="inlineStr">
        <is>
          <t>Tms</t>
        </is>
      </c>
      <c r="L334" s="6" t="inlineStr">
        <is>
          <t>Tms</t>
        </is>
      </c>
      <c r="M334" s="58" t="n">
        <v>45980.46736111111</v>
      </c>
      <c r="N334" s="6" t="n">
        <v>89542</v>
      </c>
      <c r="O334" s="6" t="inlineStr">
        <is>
          <t>-</t>
        </is>
      </c>
      <c r="P334" s="6" t="inlineStr">
        <is>
          <t>OFF LINE</t>
        </is>
      </c>
      <c r="Q334" s="6" t="inlineStr">
        <is>
          <t>Invoice</t>
        </is>
      </c>
      <c r="R334" s="6" t="inlineStr">
        <is>
          <t>Faturado</t>
        </is>
      </c>
      <c r="S334" s="6" t="inlineStr">
        <is>
          <t>Serviço</t>
        </is>
      </c>
      <c r="T334" s="6" t="inlineStr">
        <is>
          <t>N</t>
        </is>
      </c>
      <c r="U334" s="6" t="inlineStr">
        <is>
          <t>Grupo Ocean Pact</t>
        </is>
      </c>
      <c r="V334" s="6" t="inlineStr">
        <is>
          <t>Up Offshore Apoio Maritimo</t>
        </is>
      </c>
      <c r="W334" s="6" t="inlineStr">
        <is>
          <t>-</t>
        </is>
      </c>
      <c r="X334" s="6" t="inlineStr">
        <is>
          <t>-</t>
        </is>
      </c>
      <c r="Y334" s="6" t="inlineStr">
        <is>
          <t>-</t>
        </is>
      </c>
      <c r="Z334" s="6" t="inlineStr">
        <is>
          <t>KON-OPE-RIO-POS-OCEANPACT</t>
        </is>
      </c>
      <c r="AA334" s="6" t="inlineStr">
        <is>
          <t>-</t>
        </is>
      </c>
      <c r="AB334" s="6" t="n">
        <v>68.02</v>
      </c>
      <c r="AC334" s="6" t="n">
        <v>10.88</v>
      </c>
      <c r="AD334" s="6" t="n">
        <v>0</v>
      </c>
      <c r="AE334" s="6" t="n">
        <v>0</v>
      </c>
      <c r="AF334" s="6" t="n">
        <v>0</v>
      </c>
      <c r="AG334" s="6" t="n">
        <v>0</v>
      </c>
      <c r="AH334" s="6" t="n">
        <v>0</v>
      </c>
      <c r="AI334" s="6" t="inlineStr">
        <is>
          <t>Reserva importada do Sistema TMS. OS: 89542</t>
        </is>
      </c>
      <c r="AJ334" s="6" t="inlineStr">
        <is>
          <t>Fornecedor não preenchido! (ACC01)</t>
        </is>
      </c>
      <c r="AK334" s="6" t="inlineStr">
        <is>
          <t>ARGO(TMS)</t>
        </is>
      </c>
      <c r="AL334" s="6" t="inlineStr">
        <is>
          <t>Falta de Fornecedor</t>
        </is>
      </c>
      <c r="AM334" s="6" t="inlineStr">
        <is>
          <t>Campo Fornecedor</t>
        </is>
      </c>
      <c r="AN334" s="6" t="inlineStr">
        <is>
          <t>Dados do Fornecedor</t>
        </is>
      </c>
      <c r="AO334" s="6" t="inlineStr">
        <is>
          <t>Qualidade dos dados</t>
        </is>
      </c>
      <c r="AP334" s="6" t="inlineStr">
        <is>
          <t>KONTIK BUSINESS TRAVEL</t>
        </is>
      </c>
      <c r="AQ334" s="6" t="inlineStr">
        <is>
          <t>Suporte KCS</t>
        </is>
      </c>
    </row>
    <row r="335">
      <c r="A335" s="6" t="n">
        <v>23355100</v>
      </c>
      <c r="B335" s="6" t="n">
        <v>24082082</v>
      </c>
      <c r="C335" s="6" t="inlineStr">
        <is>
          <t>ACC01</t>
        </is>
      </c>
      <c r="D335" s="58" t="n">
        <v>45980.63981481481</v>
      </c>
      <c r="E335" s="58" t="n">
        <v>45986.09060185185</v>
      </c>
      <c r="F335" s="6" t="inlineStr">
        <is>
          <t>0 a 02 dias</t>
        </is>
      </c>
      <c r="G335" s="6" t="inlineStr">
        <is>
          <t>06 a 08 dias</t>
        </is>
      </c>
      <c r="H335" s="6" t="inlineStr">
        <is>
          <t>5TDTMN</t>
        </is>
      </c>
      <c r="I335" s="6" t="inlineStr">
        <is>
          <t>TMS</t>
        </is>
      </c>
      <c r="J335" s="6" t="inlineStr">
        <is>
          <t>LEONARDO PEREIRA</t>
        </is>
      </c>
      <c r="K335" s="6" t="inlineStr">
        <is>
          <t>Tms</t>
        </is>
      </c>
      <c r="L335" s="6" t="inlineStr">
        <is>
          <t>Tms</t>
        </is>
      </c>
      <c r="M335" s="58" t="n">
        <v>45980.44722222222</v>
      </c>
      <c r="N335" s="6" t="n">
        <v>89536</v>
      </c>
      <c r="O335" s="6" t="inlineStr">
        <is>
          <t>-</t>
        </is>
      </c>
      <c r="P335" s="6" t="inlineStr">
        <is>
          <t>OFF LINE</t>
        </is>
      </c>
      <c r="Q335" s="6" t="inlineStr">
        <is>
          <t>Invoice</t>
        </is>
      </c>
      <c r="R335" s="6" t="inlineStr">
        <is>
          <t>Faturado</t>
        </is>
      </c>
      <c r="S335" s="6" t="inlineStr">
        <is>
          <t>Serviço</t>
        </is>
      </c>
      <c r="T335" s="6" t="inlineStr">
        <is>
          <t>N</t>
        </is>
      </c>
      <c r="U335" s="6" t="inlineStr">
        <is>
          <t>Grupo Ocean Pact</t>
        </is>
      </c>
      <c r="V335" s="6" t="inlineStr">
        <is>
          <t>Oceanpact Marau Navegacao</t>
        </is>
      </c>
      <c r="W335" s="6" t="inlineStr">
        <is>
          <t>-</t>
        </is>
      </c>
      <c r="X335" s="6" t="inlineStr">
        <is>
          <t>-</t>
        </is>
      </c>
      <c r="Y335" s="6" t="inlineStr">
        <is>
          <t>-</t>
        </is>
      </c>
      <c r="Z335" s="6" t="inlineStr">
        <is>
          <t>KON-OPE-RIO-POS-OCEANPACT</t>
        </is>
      </c>
      <c r="AA335" s="6" t="inlineStr">
        <is>
          <t>-</t>
        </is>
      </c>
      <c r="AB335" s="6" t="n">
        <v>57.2</v>
      </c>
      <c r="AC335" s="6" t="n">
        <v>20.24</v>
      </c>
      <c r="AD335" s="6" t="n">
        <v>0</v>
      </c>
      <c r="AE335" s="6" t="n">
        <v>0</v>
      </c>
      <c r="AF335" s="6" t="n">
        <v>0</v>
      </c>
      <c r="AG335" s="6" t="n">
        <v>0</v>
      </c>
      <c r="AH335" s="6" t="n">
        <v>0</v>
      </c>
      <c r="AI335" s="6" t="inlineStr">
        <is>
          <t>Reserva importada do Sistema TMS. OS: 89536</t>
        </is>
      </c>
      <c r="AJ335" s="6" t="inlineStr">
        <is>
          <t>Fornecedor não preenchido! (ACC01)</t>
        </is>
      </c>
      <c r="AK335" s="6" t="inlineStr">
        <is>
          <t>ARGO(TMS)</t>
        </is>
      </c>
      <c r="AL335" s="6" t="inlineStr">
        <is>
          <t>Falta de Fornecedor</t>
        </is>
      </c>
      <c r="AM335" s="6" t="inlineStr">
        <is>
          <t>Campo Fornecedor</t>
        </is>
      </c>
      <c r="AN335" s="6" t="inlineStr">
        <is>
          <t>Dados do Fornecedor</t>
        </is>
      </c>
      <c r="AO335" s="6" t="inlineStr">
        <is>
          <t>Qualidade dos dados</t>
        </is>
      </c>
      <c r="AP335" s="6" t="inlineStr">
        <is>
          <t>KONTIK BUSINESS TRAVEL</t>
        </is>
      </c>
      <c r="AQ335" s="6" t="inlineStr">
        <is>
          <t>Suporte KCS</t>
        </is>
      </c>
    </row>
    <row r="336">
      <c r="A336" s="6" t="n">
        <v>23368928</v>
      </c>
      <c r="B336" s="6" t="n">
        <v>24094888</v>
      </c>
      <c r="C336" s="6" t="inlineStr">
        <is>
          <t>ACC01</t>
        </is>
      </c>
      <c r="D336" s="58" t="n">
        <v>45982.91858796297</v>
      </c>
      <c r="E336" s="58" t="n">
        <v>45986.09424768519</v>
      </c>
      <c r="F336" s="6" t="inlineStr">
        <is>
          <t>0 a 02 dias</t>
        </is>
      </c>
      <c r="G336" s="6" t="inlineStr">
        <is>
          <t>03 a 05 dias</t>
        </is>
      </c>
      <c r="H336" s="6" t="inlineStr">
        <is>
          <t>5UHFFZ</t>
        </is>
      </c>
      <c r="I336" s="6" t="inlineStr">
        <is>
          <t>TMS</t>
        </is>
      </c>
      <c r="J336" s="6" t="inlineStr">
        <is>
          <t>ANSELMO DE JESUS</t>
        </is>
      </c>
      <c r="K336" s="6" t="inlineStr">
        <is>
          <t>Tms</t>
        </is>
      </c>
      <c r="L336" s="6" t="inlineStr">
        <is>
          <t>Tms</t>
        </is>
      </c>
      <c r="M336" s="58" t="n">
        <v>45982.68472222222</v>
      </c>
      <c r="N336" s="6" t="n">
        <v>89878</v>
      </c>
      <c r="O336" s="6" t="inlineStr">
        <is>
          <t>-</t>
        </is>
      </c>
      <c r="P336" s="6" t="inlineStr">
        <is>
          <t>OFF LINE</t>
        </is>
      </c>
      <c r="Q336" s="6" t="inlineStr">
        <is>
          <t>Invoice</t>
        </is>
      </c>
      <c r="R336" s="6" t="inlineStr">
        <is>
          <t>Faturado</t>
        </is>
      </c>
      <c r="S336" s="6" t="inlineStr">
        <is>
          <t>Serviço</t>
        </is>
      </c>
      <c r="T336" s="6" t="inlineStr">
        <is>
          <t>N</t>
        </is>
      </c>
      <c r="U336" s="6" t="inlineStr">
        <is>
          <t>Grupo Ocean Pact</t>
        </is>
      </c>
      <c r="V336" s="6" t="inlineStr">
        <is>
          <t>Oceanpact Servicos Maritimos</t>
        </is>
      </c>
      <c r="W336" s="6" t="inlineStr">
        <is>
          <t>-</t>
        </is>
      </c>
      <c r="X336" s="6" t="inlineStr">
        <is>
          <t>-</t>
        </is>
      </c>
      <c r="Y336" s="6" t="inlineStr">
        <is>
          <t>-</t>
        </is>
      </c>
      <c r="Z336" s="6" t="inlineStr">
        <is>
          <t>KON-OPE-RIO-POS-OCEANPACT</t>
        </is>
      </c>
      <c r="AA336" s="6" t="inlineStr">
        <is>
          <t>-</t>
        </is>
      </c>
      <c r="AB336" s="6" t="n">
        <v>78.67</v>
      </c>
      <c r="AC336" s="6" t="n">
        <v>12.59</v>
      </c>
      <c r="AD336" s="6" t="n">
        <v>0</v>
      </c>
      <c r="AE336" s="6" t="n">
        <v>0</v>
      </c>
      <c r="AF336" s="6" t="n">
        <v>0</v>
      </c>
      <c r="AG336" s="6" t="n">
        <v>0</v>
      </c>
      <c r="AH336" s="6" t="n">
        <v>0</v>
      </c>
      <c r="AI336" s="6" t="inlineStr">
        <is>
          <t>Reserva importada do Sistema TMS. OS: 89878</t>
        </is>
      </c>
      <c r="AJ336" s="6" t="inlineStr">
        <is>
          <t>Fornecedor não preenchido! (ACC01)</t>
        </is>
      </c>
      <c r="AK336" s="6" t="inlineStr">
        <is>
          <t>ARGO(TMS)</t>
        </is>
      </c>
      <c r="AL336" s="6" t="inlineStr">
        <is>
          <t>Falta de Fornecedor</t>
        </is>
      </c>
      <c r="AM336" s="6" t="inlineStr">
        <is>
          <t>Campo Fornecedor</t>
        </is>
      </c>
      <c r="AN336" s="6" t="inlineStr">
        <is>
          <t>Dados do Fornecedor</t>
        </is>
      </c>
      <c r="AO336" s="6" t="inlineStr">
        <is>
          <t>Qualidade dos dados</t>
        </is>
      </c>
      <c r="AP336" s="6" t="inlineStr">
        <is>
          <t>KONTIK BUSINESS TRAVEL</t>
        </is>
      </c>
      <c r="AQ336" s="6" t="inlineStr">
        <is>
          <t>Suporte KCS</t>
        </is>
      </c>
    </row>
    <row r="337">
      <c r="A337" s="6" t="n">
        <v>23368982</v>
      </c>
      <c r="B337" s="6" t="n">
        <v>24094938</v>
      </c>
      <c r="C337" s="6" t="inlineStr">
        <is>
          <t>ACC01</t>
        </is>
      </c>
      <c r="D337" s="58" t="n">
        <v>45982.92020833334</v>
      </c>
      <c r="E337" s="58" t="n">
        <v>45986.09424768519</v>
      </c>
      <c r="F337" s="6" t="inlineStr">
        <is>
          <t>0 a 02 dias</t>
        </is>
      </c>
      <c r="G337" s="6" t="inlineStr">
        <is>
          <t>03 a 05 dias</t>
        </is>
      </c>
      <c r="H337" s="6" t="inlineStr">
        <is>
          <t>5UP8VZ</t>
        </is>
      </c>
      <c r="I337" s="6" t="inlineStr">
        <is>
          <t>TMS</t>
        </is>
      </c>
      <c r="J337" s="6" t="inlineStr">
        <is>
          <t>DRIELLIE DE MELO</t>
        </is>
      </c>
      <c r="K337" s="6" t="inlineStr">
        <is>
          <t>Tms</t>
        </is>
      </c>
      <c r="L337" s="6" t="inlineStr">
        <is>
          <t>Tms</t>
        </is>
      </c>
      <c r="M337" s="58" t="n">
        <v>45982.65138888889</v>
      </c>
      <c r="N337" s="6" t="n">
        <v>89743</v>
      </c>
      <c r="O337" s="6" t="inlineStr">
        <is>
          <t>-</t>
        </is>
      </c>
      <c r="P337" s="6" t="inlineStr">
        <is>
          <t>OFF LINE</t>
        </is>
      </c>
      <c r="Q337" s="6" t="inlineStr">
        <is>
          <t>Invoice</t>
        </is>
      </c>
      <c r="R337" s="6" t="inlineStr">
        <is>
          <t>Faturado</t>
        </is>
      </c>
      <c r="S337" s="6" t="inlineStr">
        <is>
          <t>Serviço</t>
        </is>
      </c>
      <c r="T337" s="6" t="inlineStr">
        <is>
          <t>N</t>
        </is>
      </c>
      <c r="U337" s="6" t="inlineStr">
        <is>
          <t>Grupo Ocean Pact</t>
        </is>
      </c>
      <c r="V337" s="6" t="inlineStr">
        <is>
          <t>Aiuka</t>
        </is>
      </c>
      <c r="W337" s="6" t="inlineStr">
        <is>
          <t>-</t>
        </is>
      </c>
      <c r="X337" s="6" t="inlineStr">
        <is>
          <t>-</t>
        </is>
      </c>
      <c r="Y337" s="6" t="inlineStr">
        <is>
          <t>-</t>
        </is>
      </c>
      <c r="Z337" s="6" t="inlineStr">
        <is>
          <t>KON-OPE-RIO-POS-OCEANPACT</t>
        </is>
      </c>
      <c r="AA337" s="6" t="inlineStr">
        <is>
          <t>-</t>
        </is>
      </c>
      <c r="AB337" s="6" t="n">
        <v>43.65</v>
      </c>
      <c r="AC337" s="6" t="n">
        <v>6.98</v>
      </c>
      <c r="AD337" s="6" t="n">
        <v>0</v>
      </c>
      <c r="AE337" s="6" t="n">
        <v>0</v>
      </c>
      <c r="AF337" s="6" t="n">
        <v>0</v>
      </c>
      <c r="AG337" s="6" t="n">
        <v>0</v>
      </c>
      <c r="AH337" s="6" t="n">
        <v>0</v>
      </c>
      <c r="AI337" s="6" t="inlineStr">
        <is>
          <t>Reserva importada do Sistema TMS. OS: 89743</t>
        </is>
      </c>
      <c r="AJ337" s="6" t="inlineStr">
        <is>
          <t>Fornecedor não preenchido! (ACC01)</t>
        </is>
      </c>
      <c r="AK337" s="6" t="inlineStr">
        <is>
          <t>ARGO(TMS)</t>
        </is>
      </c>
      <c r="AL337" s="6" t="inlineStr">
        <is>
          <t>Falta de Fornecedor</t>
        </is>
      </c>
      <c r="AM337" s="6" t="inlineStr">
        <is>
          <t>Campo Fornecedor</t>
        </is>
      </c>
      <c r="AN337" s="6" t="inlineStr">
        <is>
          <t>Dados do Fornecedor</t>
        </is>
      </c>
      <c r="AO337" s="6" t="inlineStr">
        <is>
          <t>Qualidade dos dados</t>
        </is>
      </c>
      <c r="AP337" s="6" t="inlineStr">
        <is>
          <t>KONTIK BUSINESS TRAVEL</t>
        </is>
      </c>
      <c r="AQ337" s="6" t="inlineStr">
        <is>
          <t>Suporte KCS</t>
        </is>
      </c>
    </row>
    <row r="338">
      <c r="A338" s="6" t="n">
        <v>23355132</v>
      </c>
      <c r="B338" s="6" t="n">
        <v>24082112</v>
      </c>
      <c r="C338" s="6" t="inlineStr">
        <is>
          <t>ACC01</t>
        </is>
      </c>
      <c r="D338" s="58" t="n">
        <v>45980.64085648148</v>
      </c>
      <c r="E338" s="58" t="n">
        <v>45986.09061342593</v>
      </c>
      <c r="F338" s="6" t="inlineStr">
        <is>
          <t>0 a 02 dias</t>
        </is>
      </c>
      <c r="G338" s="6" t="inlineStr">
        <is>
          <t>06 a 08 dias</t>
        </is>
      </c>
      <c r="H338" s="6" t="inlineStr">
        <is>
          <t>5T6UMN</t>
        </is>
      </c>
      <c r="I338" s="6" t="inlineStr">
        <is>
          <t>TMS</t>
        </is>
      </c>
      <c r="J338" s="6" t="inlineStr">
        <is>
          <t>LEONIDAS RODENBUSCH</t>
        </is>
      </c>
      <c r="K338" s="6" t="inlineStr">
        <is>
          <t>Tms</t>
        </is>
      </c>
      <c r="L338" s="6" t="inlineStr">
        <is>
          <t>Tms</t>
        </is>
      </c>
      <c r="M338" s="58" t="n">
        <v>45979.7125</v>
      </c>
      <c r="N338" s="6" t="n">
        <v>89482</v>
      </c>
      <c r="O338" s="6" t="inlineStr">
        <is>
          <t>-</t>
        </is>
      </c>
      <c r="P338" s="6" t="inlineStr">
        <is>
          <t>OFF LINE</t>
        </is>
      </c>
      <c r="Q338" s="6" t="inlineStr">
        <is>
          <t>Invoice</t>
        </is>
      </c>
      <c r="R338" s="6" t="inlineStr">
        <is>
          <t>Faturado</t>
        </is>
      </c>
      <c r="S338" s="6" t="inlineStr">
        <is>
          <t>Serviço</t>
        </is>
      </c>
      <c r="T338" s="6" t="inlineStr">
        <is>
          <t>N</t>
        </is>
      </c>
      <c r="U338" s="6" t="inlineStr">
        <is>
          <t>Grupo Ocean Pact</t>
        </is>
      </c>
      <c r="V338" s="6" t="inlineStr">
        <is>
          <t>Oceanpact Marau Navegacao</t>
        </is>
      </c>
      <c r="W338" s="6" t="inlineStr">
        <is>
          <t>-</t>
        </is>
      </c>
      <c r="X338" s="6" t="inlineStr">
        <is>
          <t>-</t>
        </is>
      </c>
      <c r="Y338" s="6" t="inlineStr">
        <is>
          <t>-</t>
        </is>
      </c>
      <c r="Z338" s="6" t="inlineStr">
        <is>
          <t>KON-OPE-RIO-POS-OCEANPACT</t>
        </is>
      </c>
      <c r="AA338" s="6" t="inlineStr">
        <is>
          <t>-</t>
        </is>
      </c>
      <c r="AB338" s="6" t="n">
        <v>58.9</v>
      </c>
      <c r="AC338" s="6" t="n">
        <v>20.55</v>
      </c>
      <c r="AD338" s="6" t="n">
        <v>0</v>
      </c>
      <c r="AE338" s="6" t="n">
        <v>0</v>
      </c>
      <c r="AF338" s="6" t="n">
        <v>0</v>
      </c>
      <c r="AG338" s="6" t="n">
        <v>0</v>
      </c>
      <c r="AH338" s="6" t="n">
        <v>0</v>
      </c>
      <c r="AI338" s="6" t="inlineStr">
        <is>
          <t>Reserva importada do Sistema TMS. OS: 89482</t>
        </is>
      </c>
      <c r="AJ338" s="6" t="inlineStr">
        <is>
          <t>Fornecedor não preenchido! (ACC01)</t>
        </is>
      </c>
      <c r="AK338" s="6" t="inlineStr">
        <is>
          <t>ARGO(TMS)</t>
        </is>
      </c>
      <c r="AL338" s="6" t="inlineStr">
        <is>
          <t>Falta de Fornecedor</t>
        </is>
      </c>
      <c r="AM338" s="6" t="inlineStr">
        <is>
          <t>Campo Fornecedor</t>
        </is>
      </c>
      <c r="AN338" s="6" t="inlineStr">
        <is>
          <t>Dados do Fornecedor</t>
        </is>
      </c>
      <c r="AO338" s="6" t="inlineStr">
        <is>
          <t>Qualidade dos dados</t>
        </is>
      </c>
      <c r="AP338" s="6" t="inlineStr">
        <is>
          <t>KONTIK BUSINESS TRAVEL</t>
        </is>
      </c>
      <c r="AQ338" s="6" t="inlineStr">
        <is>
          <t>Suporte KCS</t>
        </is>
      </c>
    </row>
    <row r="339">
      <c r="A339" s="6" t="n">
        <v>23310206</v>
      </c>
      <c r="B339" s="6" t="n">
        <v>24040514</v>
      </c>
      <c r="C339" s="6" t="inlineStr">
        <is>
          <t>ACC01</t>
        </is>
      </c>
      <c r="D339" s="58" t="n">
        <v>45973.53806712963</v>
      </c>
      <c r="E339" s="58" t="n">
        <v>45973.54416666667</v>
      </c>
      <c r="F339" s="6" t="inlineStr">
        <is>
          <t>09 a 15 dias</t>
        </is>
      </c>
      <c r="G339" s="6" t="inlineStr">
        <is>
          <t>09 a 15 dias</t>
        </is>
      </c>
      <c r="H339" s="6" t="inlineStr">
        <is>
          <t>5TU0ZZ</t>
        </is>
      </c>
      <c r="I339" s="6" t="inlineStr">
        <is>
          <t>TMS</t>
        </is>
      </c>
      <c r="J339" s="6" t="inlineStr">
        <is>
          <t>ANDRADE/FLAVIO</t>
        </is>
      </c>
      <c r="K339" s="6" t="inlineStr">
        <is>
          <t>JOSE ALEXANDRE SOARES CALDAS</t>
        </is>
      </c>
      <c r="L339" s="6" t="inlineStr">
        <is>
          <t>JOSE ALEXANDRE SOARES CALDAS</t>
        </is>
      </c>
      <c r="M339" s="58" t="n">
        <v>45973.42777777778</v>
      </c>
      <c r="N339" s="6" t="n">
        <v>88667</v>
      </c>
      <c r="O339" s="6" t="inlineStr">
        <is>
          <t>-</t>
        </is>
      </c>
      <c r="P339" s="6" t="inlineStr">
        <is>
          <t>OFF LINE</t>
        </is>
      </c>
      <c r="Q339" s="6" t="inlineStr">
        <is>
          <t>Invoice</t>
        </is>
      </c>
      <c r="R339" s="6" t="inlineStr">
        <is>
          <t>Faturado</t>
        </is>
      </c>
      <c r="S339" s="6" t="inlineStr">
        <is>
          <t>Aéreo</t>
        </is>
      </c>
      <c r="T339" s="6" t="inlineStr">
        <is>
          <t>N</t>
        </is>
      </c>
      <c r="U339" s="6" t="inlineStr">
        <is>
          <t>Grupo Ocean Pact</t>
        </is>
      </c>
      <c r="V339" s="6" t="inlineStr">
        <is>
          <t>Oceanpact Servicos Maritimos</t>
        </is>
      </c>
      <c r="W339" s="6" t="inlineStr">
        <is>
          <t>-</t>
        </is>
      </c>
      <c r="X339" s="6" t="inlineStr">
        <is>
          <t>Latam Airlines Brasil</t>
        </is>
      </c>
      <c r="Y339" s="6" t="n">
        <v>2259206953</v>
      </c>
      <c r="Z339" s="6" t="inlineStr">
        <is>
          <t>KON-OPE-RIO-POS-OCEANPACT</t>
        </is>
      </c>
      <c r="AA339" s="6" t="inlineStr">
        <is>
          <t>-</t>
        </is>
      </c>
      <c r="AB339" s="6" t="n">
        <v>0</v>
      </c>
      <c r="AC339" s="6" t="n">
        <v>90.95</v>
      </c>
      <c r="AD339" s="6" t="n">
        <v>0</v>
      </c>
      <c r="AE339" s="6" t="n">
        <v>0</v>
      </c>
      <c r="AF339" s="6" t="n">
        <v>0</v>
      </c>
      <c r="AG339" s="6" t="n">
        <v>0</v>
      </c>
      <c r="AH339" s="6" t="n">
        <v>0</v>
      </c>
      <c r="AI339" s="6" t="inlineStr">
        <is>
          <t>Reserva importada do Sistema TMS. OS: 88667</t>
        </is>
      </c>
      <c r="AJ339" s="6" t="inlineStr">
        <is>
          <t>Empenho/departamento não preenchido! (ACC01)</t>
        </is>
      </c>
      <c r="AK339" s="6" t="inlineStr">
        <is>
          <t>ARGO(TMS)</t>
        </is>
      </c>
      <c r="AL339" s="6" t="inlineStr">
        <is>
          <t>Empenho/departamento</t>
        </is>
      </c>
      <c r="AM339" s="6" t="inlineStr">
        <is>
          <t>Falta de informação Gerencial</t>
        </is>
      </c>
      <c r="AN339" s="6" t="inlineStr">
        <is>
          <t>Dados do Fornecedor</t>
        </is>
      </c>
      <c r="AO339" s="6" t="inlineStr">
        <is>
          <t>Qualidade dos dados</t>
        </is>
      </c>
      <c r="AP339" s="6" t="inlineStr">
        <is>
          <t>KONTIK BUSINESS TRAVEL</t>
        </is>
      </c>
      <c r="AQ339" s="6" t="inlineStr">
        <is>
          <t>Operações - CORP</t>
        </is>
      </c>
    </row>
    <row r="340">
      <c r="A340" s="6" t="n">
        <v>23351884</v>
      </c>
      <c r="B340" s="6" t="n">
        <v>24079169</v>
      </c>
      <c r="C340" s="6" t="inlineStr">
        <is>
          <t>ACC01</t>
        </is>
      </c>
      <c r="D340" s="58" t="n">
        <v>45980.1196412037</v>
      </c>
      <c r="E340" s="58" t="n">
        <v>45980.13059027777</v>
      </c>
      <c r="F340" s="6" t="inlineStr">
        <is>
          <t>06 a 08 dias</t>
        </is>
      </c>
      <c r="G340" s="6" t="inlineStr">
        <is>
          <t>06 a 08 dias</t>
        </is>
      </c>
      <c r="H340" s="6" t="inlineStr">
        <is>
          <t>5TKEC8</t>
        </is>
      </c>
      <c r="I340" s="6" t="inlineStr">
        <is>
          <t>TMS</t>
        </is>
      </c>
      <c r="J340" s="6" t="inlineStr">
        <is>
          <t>LUIZ SOARES PINTO</t>
        </is>
      </c>
      <c r="K340" s="6" t="inlineStr">
        <is>
          <t>JOSE ALEXANDRE SOARES CALDAS</t>
        </is>
      </c>
      <c r="L340" s="6" t="inlineStr">
        <is>
          <t>JOSE ALEXANDRE SOARES CALDAS</t>
        </is>
      </c>
      <c r="M340" s="58" t="n">
        <v>45979.61736111111</v>
      </c>
      <c r="N340" s="6" t="n">
        <v>89331</v>
      </c>
      <c r="O340" s="6" t="inlineStr">
        <is>
          <t>-</t>
        </is>
      </c>
      <c r="P340" s="6" t="inlineStr">
        <is>
          <t>OFF LINE</t>
        </is>
      </c>
      <c r="Q340" s="6" t="inlineStr">
        <is>
          <t>Invoice</t>
        </is>
      </c>
      <c r="R340" s="6" t="inlineStr">
        <is>
          <t>Faturado</t>
        </is>
      </c>
      <c r="S340" s="6" t="inlineStr">
        <is>
          <t>Serviço</t>
        </is>
      </c>
      <c r="T340" s="6" t="inlineStr">
        <is>
          <t>N</t>
        </is>
      </c>
      <c r="U340" s="6" t="inlineStr">
        <is>
          <t>Grupo Ocean Pact</t>
        </is>
      </c>
      <c r="V340" s="6" t="inlineStr">
        <is>
          <t>Oceanpact Navegacao</t>
        </is>
      </c>
      <c r="W340" s="6" t="inlineStr">
        <is>
          <t>-</t>
        </is>
      </c>
      <c r="X340" s="6" t="inlineStr">
        <is>
          <t>-</t>
        </is>
      </c>
      <c r="Y340" s="6" t="inlineStr">
        <is>
          <t>-</t>
        </is>
      </c>
      <c r="Z340" s="6" t="inlineStr">
        <is>
          <t>KON-OPE-RIO-POS-OCEANPACT</t>
        </is>
      </c>
      <c r="AA340" s="6" t="inlineStr">
        <is>
          <t>-</t>
        </is>
      </c>
      <c r="AB340" s="6" t="n">
        <v>1600</v>
      </c>
      <c r="AC340" s="6" t="n">
        <v>0</v>
      </c>
      <c r="AD340" s="6" t="n">
        <v>0</v>
      </c>
      <c r="AE340" s="6" t="n">
        <v>0</v>
      </c>
      <c r="AF340" s="6" t="n">
        <v>0</v>
      </c>
      <c r="AG340" s="6" t="n">
        <v>0</v>
      </c>
      <c r="AH340" s="6" t="n">
        <v>0</v>
      </c>
      <c r="AI340" s="6" t="inlineStr">
        <is>
          <t>Reserva importada do Sistema TMS. OS: 89331</t>
        </is>
      </c>
      <c r="AJ340" s="6" t="inlineStr">
        <is>
          <t>Fornecedor não preenchido! (ACC01)</t>
        </is>
      </c>
      <c r="AK340" s="6" t="inlineStr">
        <is>
          <t>ARGO(TMS)</t>
        </is>
      </c>
      <c r="AL340" s="6" t="inlineStr">
        <is>
          <t>Falta de Fornecedor</t>
        </is>
      </c>
      <c r="AM340" s="6" t="inlineStr">
        <is>
          <t>Campo Fornecedor</t>
        </is>
      </c>
      <c r="AN340" s="6" t="inlineStr">
        <is>
          <t>Dados do Fornecedor</t>
        </is>
      </c>
      <c r="AO340" s="6" t="inlineStr">
        <is>
          <t>Qualidade dos dados</t>
        </is>
      </c>
      <c r="AP340" s="6" t="inlineStr">
        <is>
          <t>KONTIK BUSINESS TRAVEL</t>
        </is>
      </c>
      <c r="AQ340" s="6" t="inlineStr">
        <is>
          <t>Suporte KCS</t>
        </is>
      </c>
    </row>
    <row r="341">
      <c r="A341" s="6" t="n">
        <v>23380812</v>
      </c>
      <c r="B341" s="6" t="n">
        <v>24104501</v>
      </c>
      <c r="C341" s="6" t="inlineStr">
        <is>
          <t>ACC01</t>
        </is>
      </c>
      <c r="D341" s="58" t="n">
        <v>45985.71375</v>
      </c>
      <c r="E341" s="58" t="n">
        <v>45985.78021990741</v>
      </c>
      <c r="F341" s="6" t="inlineStr">
        <is>
          <t>0 a 02 dias</t>
        </is>
      </c>
      <c r="G341" s="6" t="inlineStr">
        <is>
          <t>0 a 02 dias</t>
        </is>
      </c>
      <c r="H341" s="6" t="inlineStr">
        <is>
          <t>5U21U2</t>
        </is>
      </c>
      <c r="I341" s="6" t="inlineStr">
        <is>
          <t>TMS</t>
        </is>
      </c>
      <c r="J341" s="6" t="inlineStr">
        <is>
          <t>FRANCISCO DAS CHAGAS FERREIRA</t>
        </is>
      </c>
      <c r="K341" s="6" t="inlineStr">
        <is>
          <t>Danielly Bronizio Lopes</t>
        </is>
      </c>
      <c r="L341" s="6" t="inlineStr">
        <is>
          <t>Danielly Bronizio Lopes</t>
        </is>
      </c>
      <c r="M341" s="58" t="n">
        <v>45985.45555555556</v>
      </c>
      <c r="N341" s="6" t="n">
        <v>89694</v>
      </c>
      <c r="O341" s="6" t="inlineStr">
        <is>
          <t>-</t>
        </is>
      </c>
      <c r="P341" s="6" t="inlineStr">
        <is>
          <t>OFF LINE</t>
        </is>
      </c>
      <c r="Q341" s="6" t="inlineStr">
        <is>
          <t>Cartão de crédito</t>
        </is>
      </c>
      <c r="R341" s="6" t="inlineStr">
        <is>
          <t>Cartão de crédito</t>
        </is>
      </c>
      <c r="S341" s="6" t="inlineStr">
        <is>
          <t>Hotel</t>
        </is>
      </c>
      <c r="T341" s="6" t="inlineStr">
        <is>
          <t>N</t>
        </is>
      </c>
      <c r="U341" s="6" t="inlineStr">
        <is>
          <t>Grupo Ocean Pact</t>
        </is>
      </c>
      <c r="V341" s="6" t="inlineStr">
        <is>
          <t>Oceanpact Servicos Maritimos</t>
        </is>
      </c>
      <c r="W341" s="6" t="inlineStr">
        <is>
          <t>-</t>
        </is>
      </c>
      <c r="X341" s="6" t="inlineStr">
        <is>
          <t>-</t>
        </is>
      </c>
      <c r="Y341" s="6" t="inlineStr">
        <is>
          <t>-</t>
        </is>
      </c>
      <c r="Z341" s="6" t="inlineStr">
        <is>
          <t>KON-OPE-RIO-POS-OCEANPACT</t>
        </is>
      </c>
      <c r="AA341" s="6" t="inlineStr">
        <is>
          <t>-</t>
        </is>
      </c>
      <c r="AB341" s="6" t="n">
        <v>310</v>
      </c>
      <c r="AC341" s="6" t="n">
        <v>0</v>
      </c>
      <c r="AD341" s="6" t="n">
        <v>0</v>
      </c>
      <c r="AE341" s="6" t="n">
        <v>0</v>
      </c>
      <c r="AF341" s="6" t="n">
        <v>0</v>
      </c>
      <c r="AG341" s="6" t="n">
        <v>0</v>
      </c>
      <c r="AH341" s="6" t="n">
        <v>0</v>
      </c>
      <c r="AI341" s="6" t="inlineStr">
        <is>
          <t>Reserva importada do Sistema TMS. OS: 89694</t>
        </is>
      </c>
      <c r="AJ341" s="6" t="inlineStr">
        <is>
          <t>Fornecedor não preenchido! (ACC01)</t>
        </is>
      </c>
      <c r="AK341" s="6" t="inlineStr">
        <is>
          <t>ARGO(TMS)</t>
        </is>
      </c>
      <c r="AL341" s="6" t="inlineStr">
        <is>
          <t>Falta de Fornecedor</t>
        </is>
      </c>
      <c r="AM341" s="6" t="inlineStr">
        <is>
          <t>Campo Fornecedor</t>
        </is>
      </c>
      <c r="AN341" s="6" t="inlineStr">
        <is>
          <t>Dados do Fornecedor</t>
        </is>
      </c>
      <c r="AO341" s="6" t="inlineStr">
        <is>
          <t>Qualidade dos dados</t>
        </is>
      </c>
      <c r="AP341" s="6" t="inlineStr">
        <is>
          <t>KONTIK BUSINESS TRAVEL</t>
        </is>
      </c>
      <c r="AQ341" s="6" t="inlineStr">
        <is>
          <t>Suporte KCS</t>
        </is>
      </c>
    </row>
    <row r="342">
      <c r="A342" s="6" t="n">
        <v>23380814</v>
      </c>
      <c r="B342" s="6" t="n">
        <v>24104503</v>
      </c>
      <c r="C342" s="6" t="inlineStr">
        <is>
          <t>ACC01</t>
        </is>
      </c>
      <c r="D342" s="58" t="n">
        <v>45985.7137962963</v>
      </c>
      <c r="E342" s="58" t="n">
        <v>45985.78021990741</v>
      </c>
      <c r="F342" s="6" t="inlineStr">
        <is>
          <t>0 a 02 dias</t>
        </is>
      </c>
      <c r="G342" s="6" t="inlineStr">
        <is>
          <t>0 a 02 dias</t>
        </is>
      </c>
      <c r="H342" s="6" t="inlineStr">
        <is>
          <t>5UFZU2</t>
        </is>
      </c>
      <c r="I342" s="6" t="inlineStr">
        <is>
          <t>TMS</t>
        </is>
      </c>
      <c r="J342" s="6" t="inlineStr">
        <is>
          <t>ALEXANDRE COSTA CABRAL</t>
        </is>
      </c>
      <c r="K342" s="6" t="inlineStr">
        <is>
          <t>Danielly Bronizio Lopes</t>
        </is>
      </c>
      <c r="L342" s="6" t="inlineStr">
        <is>
          <t>Danielly Bronizio Lopes</t>
        </is>
      </c>
      <c r="M342" s="58" t="n">
        <v>45985.45069444444</v>
      </c>
      <c r="N342" s="6" t="n">
        <v>89681</v>
      </c>
      <c r="O342" s="6" t="inlineStr">
        <is>
          <t>-</t>
        </is>
      </c>
      <c r="P342" s="6" t="inlineStr">
        <is>
          <t>OFF LINE</t>
        </is>
      </c>
      <c r="Q342" s="6" t="inlineStr">
        <is>
          <t>Cartão de crédito</t>
        </is>
      </c>
      <c r="R342" s="6" t="inlineStr">
        <is>
          <t>Cartão de crédito</t>
        </is>
      </c>
      <c r="S342" s="6" t="inlineStr">
        <is>
          <t>Hotel</t>
        </is>
      </c>
      <c r="T342" s="6" t="inlineStr">
        <is>
          <t>N</t>
        </is>
      </c>
      <c r="U342" s="6" t="inlineStr">
        <is>
          <t>Grupo Ocean Pact</t>
        </is>
      </c>
      <c r="V342" s="6" t="inlineStr">
        <is>
          <t>Oceanpact Servicos Maritimos</t>
        </is>
      </c>
      <c r="W342" s="6" t="inlineStr">
        <is>
          <t>-</t>
        </is>
      </c>
      <c r="X342" s="6" t="inlineStr">
        <is>
          <t>-</t>
        </is>
      </c>
      <c r="Y342" s="6" t="inlineStr">
        <is>
          <t>-</t>
        </is>
      </c>
      <c r="Z342" s="6" t="inlineStr">
        <is>
          <t>KON-OPE-RIO-POS-OCEANPACT</t>
        </is>
      </c>
      <c r="AA342" s="6" t="inlineStr">
        <is>
          <t>-</t>
        </is>
      </c>
      <c r="AB342" s="6" t="n">
        <v>370</v>
      </c>
      <c r="AC342" s="6" t="n">
        <v>0</v>
      </c>
      <c r="AD342" s="6" t="n">
        <v>0</v>
      </c>
      <c r="AE342" s="6" t="n">
        <v>0</v>
      </c>
      <c r="AF342" s="6" t="n">
        <v>0</v>
      </c>
      <c r="AG342" s="6" t="n">
        <v>0</v>
      </c>
      <c r="AH342" s="6" t="n">
        <v>0</v>
      </c>
      <c r="AI342" s="6" t="inlineStr">
        <is>
          <t>Reserva importada do Sistema TMS. OS: 89681</t>
        </is>
      </c>
      <c r="AJ342" s="6" t="inlineStr">
        <is>
          <t>Fornecedor não preenchido! (ACC01)</t>
        </is>
      </c>
      <c r="AK342" s="6" t="inlineStr">
        <is>
          <t>ARGO(TMS)</t>
        </is>
      </c>
      <c r="AL342" s="6" t="inlineStr">
        <is>
          <t>Falta de Fornecedor</t>
        </is>
      </c>
      <c r="AM342" s="6" t="inlineStr">
        <is>
          <t>Campo Fornecedor</t>
        </is>
      </c>
      <c r="AN342" s="6" t="inlineStr">
        <is>
          <t>Dados do Fornecedor</t>
        </is>
      </c>
      <c r="AO342" s="6" t="inlineStr">
        <is>
          <t>Qualidade dos dados</t>
        </is>
      </c>
      <c r="AP342" s="6" t="inlineStr">
        <is>
          <t>KONTIK BUSINESS TRAVEL</t>
        </is>
      </c>
      <c r="AQ342" s="6" t="inlineStr">
        <is>
          <t>Suporte KCS</t>
        </is>
      </c>
    </row>
    <row r="343">
      <c r="A343" s="6" t="n">
        <v>23380815</v>
      </c>
      <c r="B343" s="6" t="n">
        <v>24104506</v>
      </c>
      <c r="C343" s="6" t="inlineStr">
        <is>
          <t>ACC01</t>
        </is>
      </c>
      <c r="D343" s="58" t="n">
        <v>45985.71386574074</v>
      </c>
      <c r="E343" s="58" t="n">
        <v>45985.78021990741</v>
      </c>
      <c r="F343" s="6" t="inlineStr">
        <is>
          <t>0 a 02 dias</t>
        </is>
      </c>
      <c r="G343" s="6" t="inlineStr">
        <is>
          <t>0 a 02 dias</t>
        </is>
      </c>
      <c r="H343" s="6" t="inlineStr">
        <is>
          <t>5U5Q72</t>
        </is>
      </c>
      <c r="I343" s="6" t="inlineStr">
        <is>
          <t>TMS</t>
        </is>
      </c>
      <c r="J343" s="6" t="inlineStr">
        <is>
          <t>JORGE DRUMMOND PEREIRA</t>
        </is>
      </c>
      <c r="K343" s="6" t="inlineStr">
        <is>
          <t>Danielly Bronizio Lopes</t>
        </is>
      </c>
      <c r="L343" s="6" t="inlineStr">
        <is>
          <t>Danielly Bronizio Lopes</t>
        </is>
      </c>
      <c r="M343" s="58" t="n">
        <v>45985.45416666667</v>
      </c>
      <c r="N343" s="6" t="n">
        <v>89680</v>
      </c>
      <c r="O343" s="6" t="inlineStr">
        <is>
          <t>-</t>
        </is>
      </c>
      <c r="P343" s="6" t="inlineStr">
        <is>
          <t>OFF LINE</t>
        </is>
      </c>
      <c r="Q343" s="6" t="inlineStr">
        <is>
          <t>Cartão de crédito</t>
        </is>
      </c>
      <c r="R343" s="6" t="inlineStr">
        <is>
          <t>Cartão de crédito</t>
        </is>
      </c>
      <c r="S343" s="6" t="inlineStr">
        <is>
          <t>Hotel</t>
        </is>
      </c>
      <c r="T343" s="6" t="inlineStr">
        <is>
          <t>N</t>
        </is>
      </c>
      <c r="U343" s="6" t="inlineStr">
        <is>
          <t>Grupo Ocean Pact</t>
        </is>
      </c>
      <c r="V343" s="6" t="inlineStr">
        <is>
          <t>Oceanpact Servicos Maritimos</t>
        </is>
      </c>
      <c r="W343" s="6" t="inlineStr">
        <is>
          <t>-</t>
        </is>
      </c>
      <c r="X343" s="6" t="inlineStr">
        <is>
          <t>-</t>
        </is>
      </c>
      <c r="Y343" s="6" t="inlineStr">
        <is>
          <t>-</t>
        </is>
      </c>
      <c r="Z343" s="6" t="inlineStr">
        <is>
          <t>KON-OPE-RIO-POS-OCEANPACT</t>
        </is>
      </c>
      <c r="AA343" s="6" t="inlineStr">
        <is>
          <t>-</t>
        </is>
      </c>
      <c r="AB343" s="6" t="n">
        <v>310</v>
      </c>
      <c r="AC343" s="6" t="n">
        <v>0</v>
      </c>
      <c r="AD343" s="6" t="n">
        <v>0</v>
      </c>
      <c r="AE343" s="6" t="n">
        <v>0</v>
      </c>
      <c r="AF343" s="6" t="n">
        <v>0</v>
      </c>
      <c r="AG343" s="6" t="n">
        <v>0</v>
      </c>
      <c r="AH343" s="6" t="n">
        <v>0</v>
      </c>
      <c r="AI343" s="6" t="inlineStr">
        <is>
          <t>Reserva importada do Sistema TMS. OS: 89680</t>
        </is>
      </c>
      <c r="AJ343" s="6" t="inlineStr">
        <is>
          <t>Fornecedor não preenchido! (ACC01)</t>
        </is>
      </c>
      <c r="AK343" s="6" t="inlineStr">
        <is>
          <t>ARGO(TMS)</t>
        </is>
      </c>
      <c r="AL343" s="6" t="inlineStr">
        <is>
          <t>Falta de Fornecedor</t>
        </is>
      </c>
      <c r="AM343" s="6" t="inlineStr">
        <is>
          <t>Campo Fornecedor</t>
        </is>
      </c>
      <c r="AN343" s="6" t="inlineStr">
        <is>
          <t>Dados do Fornecedor</t>
        </is>
      </c>
      <c r="AO343" s="6" t="inlineStr">
        <is>
          <t>Qualidade dos dados</t>
        </is>
      </c>
      <c r="AP343" s="6" t="inlineStr">
        <is>
          <t>KONTIK BUSINESS TRAVEL</t>
        </is>
      </c>
      <c r="AQ343" s="6" t="inlineStr">
        <is>
          <t>Suporte KCS</t>
        </is>
      </c>
    </row>
    <row r="344">
      <c r="A344" s="6" t="n">
        <v>23380816</v>
      </c>
      <c r="B344" s="6" t="n">
        <v>24104507</v>
      </c>
      <c r="C344" s="6" t="inlineStr">
        <is>
          <t>ACC01</t>
        </is>
      </c>
      <c r="D344" s="58" t="n">
        <v>45985.71391203703</v>
      </c>
      <c r="E344" s="58" t="n">
        <v>45985.78023148148</v>
      </c>
      <c r="F344" s="6" t="inlineStr">
        <is>
          <t>0 a 02 dias</t>
        </is>
      </c>
      <c r="G344" s="6" t="inlineStr">
        <is>
          <t>0 a 02 dias</t>
        </is>
      </c>
      <c r="H344" s="6" t="inlineStr">
        <is>
          <t>5UYQJS</t>
        </is>
      </c>
      <c r="I344" s="6" t="inlineStr">
        <is>
          <t>TMS</t>
        </is>
      </c>
      <c r="J344" s="6" t="inlineStr">
        <is>
          <t>VAGNER DA SILVA</t>
        </is>
      </c>
      <c r="K344" s="6" t="inlineStr">
        <is>
          <t>Danielly Bronizio Lopes</t>
        </is>
      </c>
      <c r="L344" s="6" t="inlineStr">
        <is>
          <t>Danielly Bronizio Lopes</t>
        </is>
      </c>
      <c r="M344" s="58" t="n">
        <v>45985.45486111111</v>
      </c>
      <c r="N344" s="6" t="n">
        <v>89679</v>
      </c>
      <c r="O344" s="6" t="inlineStr">
        <is>
          <t>-</t>
        </is>
      </c>
      <c r="P344" s="6" t="inlineStr">
        <is>
          <t>OFF LINE</t>
        </is>
      </c>
      <c r="Q344" s="6" t="inlineStr">
        <is>
          <t>Cartão de crédito</t>
        </is>
      </c>
      <c r="R344" s="6" t="inlineStr">
        <is>
          <t>Cartão de crédito</t>
        </is>
      </c>
      <c r="S344" s="6" t="inlineStr">
        <is>
          <t>Hotel</t>
        </is>
      </c>
      <c r="T344" s="6" t="inlineStr">
        <is>
          <t>N</t>
        </is>
      </c>
      <c r="U344" s="6" t="inlineStr">
        <is>
          <t>Grupo Ocean Pact</t>
        </is>
      </c>
      <c r="V344" s="6" t="inlineStr">
        <is>
          <t>Oceanpact Servicos Maritimos</t>
        </is>
      </c>
      <c r="W344" s="6" t="inlineStr">
        <is>
          <t>-</t>
        </is>
      </c>
      <c r="X344" s="6" t="inlineStr">
        <is>
          <t>-</t>
        </is>
      </c>
      <c r="Y344" s="6" t="inlineStr">
        <is>
          <t>-</t>
        </is>
      </c>
      <c r="Z344" s="6" t="inlineStr">
        <is>
          <t>KON-OPE-RIO-POS-OCEANPACT</t>
        </is>
      </c>
      <c r="AA344" s="6" t="inlineStr">
        <is>
          <t>-</t>
        </is>
      </c>
      <c r="AB344" s="6" t="n">
        <v>310</v>
      </c>
      <c r="AC344" s="6" t="n">
        <v>0</v>
      </c>
      <c r="AD344" s="6" t="n">
        <v>0</v>
      </c>
      <c r="AE344" s="6" t="n">
        <v>0</v>
      </c>
      <c r="AF344" s="6" t="n">
        <v>0</v>
      </c>
      <c r="AG344" s="6" t="n">
        <v>0</v>
      </c>
      <c r="AH344" s="6" t="n">
        <v>0</v>
      </c>
      <c r="AI344" s="6" t="inlineStr">
        <is>
          <t>Reserva importada do Sistema TMS. OS: 89679</t>
        </is>
      </c>
      <c r="AJ344" s="6" t="inlineStr">
        <is>
          <t>Fornecedor não preenchido! (ACC01)</t>
        </is>
      </c>
      <c r="AK344" s="6" t="inlineStr">
        <is>
          <t>ARGO(TMS)</t>
        </is>
      </c>
      <c r="AL344" s="6" t="inlineStr">
        <is>
          <t>Falta de Fornecedor</t>
        </is>
      </c>
      <c r="AM344" s="6" t="inlineStr">
        <is>
          <t>Campo Fornecedor</t>
        </is>
      </c>
      <c r="AN344" s="6" t="inlineStr">
        <is>
          <t>Dados do Fornecedor</t>
        </is>
      </c>
      <c r="AO344" s="6" t="inlineStr">
        <is>
          <t>Qualidade dos dados</t>
        </is>
      </c>
      <c r="AP344" s="6" t="inlineStr">
        <is>
          <t>KONTIK BUSINESS TRAVEL</t>
        </is>
      </c>
      <c r="AQ344" s="6" t="inlineStr">
        <is>
          <t>Suporte KCS</t>
        </is>
      </c>
    </row>
    <row r="345">
      <c r="A345" s="6" t="n">
        <v>23380817</v>
      </c>
      <c r="B345" s="6" t="n">
        <v>24104508</v>
      </c>
      <c r="C345" s="6" t="inlineStr">
        <is>
          <t>ACC01</t>
        </is>
      </c>
      <c r="D345" s="58" t="n">
        <v>45985.71396990741</v>
      </c>
      <c r="E345" s="58" t="n">
        <v>45985.78023148148</v>
      </c>
      <c r="F345" s="6" t="inlineStr">
        <is>
          <t>0 a 02 dias</t>
        </is>
      </c>
      <c r="G345" s="6" t="inlineStr">
        <is>
          <t>0 a 02 dias</t>
        </is>
      </c>
      <c r="H345" s="6" t="inlineStr">
        <is>
          <t>5UJAJX</t>
        </is>
      </c>
      <c r="I345" s="6" t="inlineStr">
        <is>
          <t>TMS</t>
        </is>
      </c>
      <c r="J345" s="6" t="inlineStr">
        <is>
          <t>ANDRE MENDES RAMBALDUCCI</t>
        </is>
      </c>
      <c r="K345" s="6" t="inlineStr">
        <is>
          <t>Danielly Bronizio Lopes</t>
        </is>
      </c>
      <c r="L345" s="6" t="inlineStr">
        <is>
          <t>Danielly Bronizio Lopes</t>
        </is>
      </c>
      <c r="M345" s="58" t="n">
        <v>45985.44722222222</v>
      </c>
      <c r="N345" s="6" t="n">
        <v>89678</v>
      </c>
      <c r="O345" s="6" t="inlineStr">
        <is>
          <t>-</t>
        </is>
      </c>
      <c r="P345" s="6" t="inlineStr">
        <is>
          <t>OFF LINE</t>
        </is>
      </c>
      <c r="Q345" s="6" t="inlineStr">
        <is>
          <t>Cartão de crédito</t>
        </is>
      </c>
      <c r="R345" s="6" t="inlineStr">
        <is>
          <t>Cartão de crédito</t>
        </is>
      </c>
      <c r="S345" s="6" t="inlineStr">
        <is>
          <t>Hotel</t>
        </is>
      </c>
      <c r="T345" s="6" t="inlineStr">
        <is>
          <t>N</t>
        </is>
      </c>
      <c r="U345" s="6" t="inlineStr">
        <is>
          <t>Grupo Ocean Pact</t>
        </is>
      </c>
      <c r="V345" s="6" t="inlineStr">
        <is>
          <t>Oceanpact Servicos Maritimos</t>
        </is>
      </c>
      <c r="W345" s="6" t="inlineStr">
        <is>
          <t>-</t>
        </is>
      </c>
      <c r="X345" s="6" t="inlineStr">
        <is>
          <t>-</t>
        </is>
      </c>
      <c r="Y345" s="6" t="inlineStr">
        <is>
          <t>-</t>
        </is>
      </c>
      <c r="Z345" s="6" t="inlineStr">
        <is>
          <t>KON-OPE-RIO-POS-OCEANPACT</t>
        </is>
      </c>
      <c r="AA345" s="6" t="inlineStr">
        <is>
          <t>-</t>
        </is>
      </c>
      <c r="AB345" s="6" t="n">
        <v>370</v>
      </c>
      <c r="AC345" s="6" t="n">
        <v>0</v>
      </c>
      <c r="AD345" s="6" t="n">
        <v>0</v>
      </c>
      <c r="AE345" s="6" t="n">
        <v>0</v>
      </c>
      <c r="AF345" s="6" t="n">
        <v>0</v>
      </c>
      <c r="AG345" s="6" t="n">
        <v>0</v>
      </c>
      <c r="AH345" s="6" t="n">
        <v>0</v>
      </c>
      <c r="AI345" s="6" t="inlineStr">
        <is>
          <t>Reserva importada do Sistema TMS. OS: 89678</t>
        </is>
      </c>
      <c r="AJ345" s="6" t="inlineStr">
        <is>
          <t>Fornecedor não preenchido! (ACC01)</t>
        </is>
      </c>
      <c r="AK345" s="6" t="inlineStr">
        <is>
          <t>ARGO(TMS)</t>
        </is>
      </c>
      <c r="AL345" s="6" t="inlineStr">
        <is>
          <t>Falta de Fornecedor</t>
        </is>
      </c>
      <c r="AM345" s="6" t="inlineStr">
        <is>
          <t>Campo Fornecedor</t>
        </is>
      </c>
      <c r="AN345" s="6" t="inlineStr">
        <is>
          <t>Dados do Fornecedor</t>
        </is>
      </c>
      <c r="AO345" s="6" t="inlineStr">
        <is>
          <t>Qualidade dos dados</t>
        </is>
      </c>
      <c r="AP345" s="6" t="inlineStr">
        <is>
          <t>KONTIK BUSINESS TRAVEL</t>
        </is>
      </c>
      <c r="AQ345" s="6" t="inlineStr">
        <is>
          <t>Suporte KCS</t>
        </is>
      </c>
    </row>
    <row r="346">
      <c r="A346" s="6" t="n">
        <v>23380818</v>
      </c>
      <c r="B346" s="6" t="n">
        <v>24104509</v>
      </c>
      <c r="C346" s="6" t="inlineStr">
        <is>
          <t>ACC01</t>
        </is>
      </c>
      <c r="D346" s="58" t="n">
        <v>45985.7140162037</v>
      </c>
      <c r="E346" s="58" t="n">
        <v>45985.78023148148</v>
      </c>
      <c r="F346" s="6" t="inlineStr">
        <is>
          <t>0 a 02 dias</t>
        </is>
      </c>
      <c r="G346" s="6" t="inlineStr">
        <is>
          <t>0 a 02 dias</t>
        </is>
      </c>
      <c r="H346" s="6" t="inlineStr">
        <is>
          <t>5UI1US</t>
        </is>
      </c>
      <c r="I346" s="6" t="inlineStr">
        <is>
          <t>TMS</t>
        </is>
      </c>
      <c r="J346" s="6" t="inlineStr">
        <is>
          <t>UMBERTO DETOMMASO</t>
        </is>
      </c>
      <c r="K346" s="6" t="inlineStr">
        <is>
          <t>Danielly Bronizio Lopes</t>
        </is>
      </c>
      <c r="L346" s="6" t="inlineStr">
        <is>
          <t>Danielly Bronizio Lopes</t>
        </is>
      </c>
      <c r="M346" s="58" t="n">
        <v>45985.44861111111</v>
      </c>
      <c r="N346" s="6" t="n">
        <v>89677</v>
      </c>
      <c r="O346" s="6" t="inlineStr">
        <is>
          <t>-</t>
        </is>
      </c>
      <c r="P346" s="6" t="inlineStr">
        <is>
          <t>OFF LINE</t>
        </is>
      </c>
      <c r="Q346" s="6" t="inlineStr">
        <is>
          <t>Cartão de crédito</t>
        </is>
      </c>
      <c r="R346" s="6" t="inlineStr">
        <is>
          <t>Cartão de crédito</t>
        </is>
      </c>
      <c r="S346" s="6" t="inlineStr">
        <is>
          <t>Hotel</t>
        </is>
      </c>
      <c r="T346" s="6" t="inlineStr">
        <is>
          <t>N</t>
        </is>
      </c>
      <c r="U346" s="6" t="inlineStr">
        <is>
          <t>Grupo Ocean Pact</t>
        </is>
      </c>
      <c r="V346" s="6" t="inlineStr">
        <is>
          <t>Oceanpact Servicos Maritimos</t>
        </is>
      </c>
      <c r="W346" s="6" t="inlineStr">
        <is>
          <t>-</t>
        </is>
      </c>
      <c r="X346" s="6" t="inlineStr">
        <is>
          <t>-</t>
        </is>
      </c>
      <c r="Y346" s="6" t="inlineStr">
        <is>
          <t>-</t>
        </is>
      </c>
      <c r="Z346" s="6" t="inlineStr">
        <is>
          <t>KON-OPE-RIO-POS-OCEANPACT</t>
        </is>
      </c>
      <c r="AA346" s="6" t="inlineStr">
        <is>
          <t>-</t>
        </is>
      </c>
      <c r="AB346" s="6" t="n">
        <v>370</v>
      </c>
      <c r="AC346" s="6" t="n">
        <v>0</v>
      </c>
      <c r="AD346" s="6" t="n">
        <v>0</v>
      </c>
      <c r="AE346" s="6" t="n">
        <v>0</v>
      </c>
      <c r="AF346" s="6" t="n">
        <v>0</v>
      </c>
      <c r="AG346" s="6" t="n">
        <v>0</v>
      </c>
      <c r="AH346" s="6" t="n">
        <v>0</v>
      </c>
      <c r="AI346" s="6" t="inlineStr">
        <is>
          <t>Reserva importada do Sistema TMS. OS: 89677</t>
        </is>
      </c>
      <c r="AJ346" s="6" t="inlineStr">
        <is>
          <t>Fornecedor não preenchido! (ACC01)</t>
        </is>
      </c>
      <c r="AK346" s="6" t="inlineStr">
        <is>
          <t>ARGO(TMS)</t>
        </is>
      </c>
      <c r="AL346" s="6" t="inlineStr">
        <is>
          <t>Falta de Fornecedor</t>
        </is>
      </c>
      <c r="AM346" s="6" t="inlineStr">
        <is>
          <t>Campo Fornecedor</t>
        </is>
      </c>
      <c r="AN346" s="6" t="inlineStr">
        <is>
          <t>Dados do Fornecedor</t>
        </is>
      </c>
      <c r="AO346" s="6" t="inlineStr">
        <is>
          <t>Qualidade dos dados</t>
        </is>
      </c>
      <c r="AP346" s="6" t="inlineStr">
        <is>
          <t>KONTIK BUSINESS TRAVEL</t>
        </is>
      </c>
      <c r="AQ346" s="6" t="inlineStr">
        <is>
          <t>Suporte KCS</t>
        </is>
      </c>
    </row>
    <row r="347">
      <c r="A347" s="6" t="n">
        <v>23380819</v>
      </c>
      <c r="B347" s="6" t="n">
        <v>24104510</v>
      </c>
      <c r="C347" s="6" t="inlineStr">
        <is>
          <t>ACC01</t>
        </is>
      </c>
      <c r="D347" s="58" t="n">
        <v>45985.71408564815</v>
      </c>
      <c r="E347" s="58" t="n">
        <v>45985.7815625</v>
      </c>
      <c r="F347" s="6" t="inlineStr">
        <is>
          <t>0 a 02 dias</t>
        </is>
      </c>
      <c r="G347" s="6" t="inlineStr">
        <is>
          <t>0 a 02 dias</t>
        </is>
      </c>
      <c r="H347" s="6" t="inlineStr">
        <is>
          <t>5U9Z72</t>
        </is>
      </c>
      <c r="I347" s="6" t="inlineStr">
        <is>
          <t>TMS</t>
        </is>
      </c>
      <c r="J347" s="6" t="inlineStr">
        <is>
          <t>MANOEL CHAVES NETO</t>
        </is>
      </c>
      <c r="K347" s="6" t="inlineStr">
        <is>
          <t>Danielly Bronizio Lopes</t>
        </is>
      </c>
      <c r="L347" s="6" t="inlineStr">
        <is>
          <t>Danielly Bronizio Lopes</t>
        </is>
      </c>
      <c r="M347" s="58" t="n">
        <v>45985.45</v>
      </c>
      <c r="N347" s="6" t="n">
        <v>89676</v>
      </c>
      <c r="O347" s="6" t="inlineStr">
        <is>
          <t>-</t>
        </is>
      </c>
      <c r="P347" s="6" t="inlineStr">
        <is>
          <t>OFF LINE</t>
        </is>
      </c>
      <c r="Q347" s="6" t="inlineStr">
        <is>
          <t>Cartão de crédito</t>
        </is>
      </c>
      <c r="R347" s="6" t="inlineStr">
        <is>
          <t>Cartão de crédito</t>
        </is>
      </c>
      <c r="S347" s="6" t="inlineStr">
        <is>
          <t>Hotel</t>
        </is>
      </c>
      <c r="T347" s="6" t="inlineStr">
        <is>
          <t>N</t>
        </is>
      </c>
      <c r="U347" s="6" t="inlineStr">
        <is>
          <t>Grupo Ocean Pact</t>
        </is>
      </c>
      <c r="V347" s="6" t="inlineStr">
        <is>
          <t>Oceanpact Servicos Maritimos</t>
        </is>
      </c>
      <c r="W347" s="6" t="inlineStr">
        <is>
          <t>-</t>
        </is>
      </c>
      <c r="X347" s="6" t="inlineStr">
        <is>
          <t>-</t>
        </is>
      </c>
      <c r="Y347" s="6" t="inlineStr">
        <is>
          <t>-</t>
        </is>
      </c>
      <c r="Z347" s="6" t="inlineStr">
        <is>
          <t>KON-OPE-RIO-POS-OCEANPACT</t>
        </is>
      </c>
      <c r="AA347" s="6" t="inlineStr">
        <is>
          <t>-</t>
        </is>
      </c>
      <c r="AB347" s="6" t="n">
        <v>370</v>
      </c>
      <c r="AC347" s="6" t="n">
        <v>0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0</v>
      </c>
      <c r="AI347" s="6" t="inlineStr">
        <is>
          <t>Reserva importada do Sistema TMS. OS: 89676</t>
        </is>
      </c>
      <c r="AJ347" s="6" t="inlineStr">
        <is>
          <t>Fornecedor não preenchido! (ACC01)</t>
        </is>
      </c>
      <c r="AK347" s="6" t="inlineStr">
        <is>
          <t>ARGO(TMS)</t>
        </is>
      </c>
      <c r="AL347" s="6" t="inlineStr">
        <is>
          <t>Falta de Fornecedor</t>
        </is>
      </c>
      <c r="AM347" s="6" t="inlineStr">
        <is>
          <t>Campo Fornecedor</t>
        </is>
      </c>
      <c r="AN347" s="6" t="inlineStr">
        <is>
          <t>Dados do Fornecedor</t>
        </is>
      </c>
      <c r="AO347" s="6" t="inlineStr">
        <is>
          <t>Qualidade dos dados</t>
        </is>
      </c>
      <c r="AP347" s="6" t="inlineStr">
        <is>
          <t>KONTIK BUSINESS TRAVEL</t>
        </is>
      </c>
      <c r="AQ347" s="6" t="inlineStr">
        <is>
          <t>Suporte KCS</t>
        </is>
      </c>
    </row>
    <row r="348">
      <c r="A348" s="6" t="n">
        <v>23380820</v>
      </c>
      <c r="B348" s="6" t="n">
        <v>24104511</v>
      </c>
      <c r="C348" s="6" t="inlineStr">
        <is>
          <t>ACC01</t>
        </is>
      </c>
      <c r="D348" s="58" t="n">
        <v>45985.7141550926</v>
      </c>
      <c r="E348" s="58" t="n">
        <v>45985.7815625</v>
      </c>
      <c r="F348" s="6" t="inlineStr">
        <is>
          <t>0 a 02 dias</t>
        </is>
      </c>
      <c r="G348" s="6" t="inlineStr">
        <is>
          <t>0 a 02 dias</t>
        </is>
      </c>
      <c r="H348" s="6" t="inlineStr">
        <is>
          <t>5UPSU2</t>
        </is>
      </c>
      <c r="I348" s="6" t="inlineStr">
        <is>
          <t>TMS</t>
        </is>
      </c>
      <c r="J348" s="6" t="inlineStr">
        <is>
          <t>STHEFANNO GARCIA MACEDO</t>
        </is>
      </c>
      <c r="K348" s="6" t="inlineStr">
        <is>
          <t>Danielly Bronizio Lopes</t>
        </is>
      </c>
      <c r="L348" s="6" t="inlineStr">
        <is>
          <t>Danielly Bronizio Lopes</t>
        </is>
      </c>
      <c r="M348" s="58" t="n">
        <v>45985.45277777778</v>
      </c>
      <c r="N348" s="6" t="n">
        <v>89675</v>
      </c>
      <c r="O348" s="6" t="inlineStr">
        <is>
          <t>-</t>
        </is>
      </c>
      <c r="P348" s="6" t="inlineStr">
        <is>
          <t>OFF LINE</t>
        </is>
      </c>
      <c r="Q348" s="6" t="inlineStr">
        <is>
          <t>Cartão de crédito</t>
        </is>
      </c>
      <c r="R348" s="6" t="inlineStr">
        <is>
          <t>Cartão de crédito</t>
        </is>
      </c>
      <c r="S348" s="6" t="inlineStr">
        <is>
          <t>Hotel</t>
        </is>
      </c>
      <c r="T348" s="6" t="inlineStr">
        <is>
          <t>N</t>
        </is>
      </c>
      <c r="U348" s="6" t="inlineStr">
        <is>
          <t>Grupo Ocean Pact</t>
        </is>
      </c>
      <c r="V348" s="6" t="inlineStr">
        <is>
          <t>Oceanpact Servicos Maritimos</t>
        </is>
      </c>
      <c r="W348" s="6" t="inlineStr">
        <is>
          <t>-</t>
        </is>
      </c>
      <c r="X348" s="6" t="inlineStr">
        <is>
          <t>-</t>
        </is>
      </c>
      <c r="Y348" s="6" t="inlineStr">
        <is>
          <t>-</t>
        </is>
      </c>
      <c r="Z348" s="6" t="inlineStr">
        <is>
          <t>KON-OPE-RIO-POS-OCEANPACT</t>
        </is>
      </c>
      <c r="AA348" s="6" t="inlineStr">
        <is>
          <t>-</t>
        </is>
      </c>
      <c r="AB348" s="6" t="n">
        <v>310</v>
      </c>
      <c r="AC348" s="6" t="n">
        <v>0</v>
      </c>
      <c r="AD348" s="6" t="n">
        <v>0</v>
      </c>
      <c r="AE348" s="6" t="n">
        <v>0</v>
      </c>
      <c r="AF348" s="6" t="n">
        <v>0</v>
      </c>
      <c r="AG348" s="6" t="n">
        <v>0</v>
      </c>
      <c r="AH348" s="6" t="n">
        <v>0</v>
      </c>
      <c r="AI348" s="6" t="inlineStr">
        <is>
          <t>Reserva importada do Sistema TMS. OS: 89675</t>
        </is>
      </c>
      <c r="AJ348" s="6" t="inlineStr">
        <is>
          <t>Fornecedor não preenchido! (ACC01)</t>
        </is>
      </c>
      <c r="AK348" s="6" t="inlineStr">
        <is>
          <t>ARGO(TMS)</t>
        </is>
      </c>
      <c r="AL348" s="6" t="inlineStr">
        <is>
          <t>Falta de Fornecedor</t>
        </is>
      </c>
      <c r="AM348" s="6" t="inlineStr">
        <is>
          <t>Campo Fornecedor</t>
        </is>
      </c>
      <c r="AN348" s="6" t="inlineStr">
        <is>
          <t>Dados do Fornecedor</t>
        </is>
      </c>
      <c r="AO348" s="6" t="inlineStr">
        <is>
          <t>Qualidade dos dados</t>
        </is>
      </c>
      <c r="AP348" s="6" t="inlineStr">
        <is>
          <t>KONTIK BUSINESS TRAVEL</t>
        </is>
      </c>
      <c r="AQ348" s="6" t="inlineStr">
        <is>
          <t>Suporte KCS</t>
        </is>
      </c>
    </row>
    <row r="349">
      <c r="A349" s="6" t="n">
        <v>23380757</v>
      </c>
      <c r="B349" s="6" t="n">
        <v>24104446</v>
      </c>
      <c r="C349" s="6" t="inlineStr">
        <is>
          <t>ACC01</t>
        </is>
      </c>
      <c r="D349" s="58" t="n">
        <v>45985.71190972222</v>
      </c>
      <c r="E349" s="58" t="n">
        <v>45985.76921296296</v>
      </c>
      <c r="F349" s="6" t="inlineStr">
        <is>
          <t>0 a 02 dias</t>
        </is>
      </c>
      <c r="G349" s="6" t="inlineStr">
        <is>
          <t>0 a 02 dias</t>
        </is>
      </c>
      <c r="H349" s="6" t="inlineStr">
        <is>
          <t>5UA7H2</t>
        </is>
      </c>
      <c r="I349" s="6" t="inlineStr">
        <is>
          <t>TMS</t>
        </is>
      </c>
      <c r="J349" s="6" t="inlineStr">
        <is>
          <t>LEONARDO MACHADO</t>
        </is>
      </c>
      <c r="K349" s="6" t="inlineStr">
        <is>
          <t>Danielly Bronizio Lopes</t>
        </is>
      </c>
      <c r="L349" s="6" t="inlineStr">
        <is>
          <t>Danielly Bronizio Lopes</t>
        </is>
      </c>
      <c r="M349" s="58" t="n">
        <v>45985.51388888889</v>
      </c>
      <c r="N349" s="6" t="n">
        <v>89957</v>
      </c>
      <c r="O349" s="6" t="inlineStr">
        <is>
          <t>Sao Goncalo / RJ, Brasil (RIO)</t>
        </is>
      </c>
      <c r="P349" s="6" t="inlineStr">
        <is>
          <t>OFF LINE</t>
        </is>
      </c>
      <c r="Q349" s="6" t="inlineStr">
        <is>
          <t>Invoice</t>
        </is>
      </c>
      <c r="R349" s="6" t="inlineStr">
        <is>
          <t>Faturado</t>
        </is>
      </c>
      <c r="S349" s="6" t="inlineStr">
        <is>
          <t>Carro</t>
        </is>
      </c>
      <c r="T349" s="6" t="inlineStr">
        <is>
          <t>N</t>
        </is>
      </c>
      <c r="U349" s="6" t="inlineStr">
        <is>
          <t>Grupo Ocean Pact</t>
        </is>
      </c>
      <c r="V349" s="6" t="inlineStr">
        <is>
          <t>Oceanpact Servicos Maritimos</t>
        </is>
      </c>
      <c r="W349" s="6" t="inlineStr">
        <is>
          <t>-</t>
        </is>
      </c>
      <c r="X349" s="6" t="inlineStr">
        <is>
          <t>-</t>
        </is>
      </c>
      <c r="Y349" s="6" t="inlineStr">
        <is>
          <t>-</t>
        </is>
      </c>
      <c r="Z349" s="6" t="inlineStr">
        <is>
          <t>KON-OPE-RIO-POS-OCEANPACT</t>
        </is>
      </c>
      <c r="AA349" s="6" t="inlineStr">
        <is>
          <t>-</t>
        </is>
      </c>
      <c r="AB349" s="6" t="n">
        <v>300</v>
      </c>
      <c r="AC349" s="6" t="n">
        <v>0</v>
      </c>
      <c r="AD349" s="6" t="n">
        <v>0</v>
      </c>
      <c r="AE349" s="6" t="n">
        <v>0</v>
      </c>
      <c r="AF349" s="6" t="n">
        <v>0</v>
      </c>
      <c r="AG349" s="6" t="n">
        <v>0</v>
      </c>
      <c r="AH349" s="6" t="n">
        <v>0</v>
      </c>
      <c r="AI349" s="6" t="inlineStr">
        <is>
          <t>Reserva importada do Sistema TMS. OS: 89957</t>
        </is>
      </c>
      <c r="AJ349" s="6" t="inlineStr">
        <is>
          <t>Fornecedor não preenchido! (ACC01)</t>
        </is>
      </c>
      <c r="AK349" s="6" t="inlineStr">
        <is>
          <t>ARGO(TMS)</t>
        </is>
      </c>
      <c r="AL349" s="6" t="inlineStr">
        <is>
          <t>Falta de Fornecedor</t>
        </is>
      </c>
      <c r="AM349" s="6" t="inlineStr">
        <is>
          <t>Campo Fornecedor</t>
        </is>
      </c>
      <c r="AN349" s="6" t="inlineStr">
        <is>
          <t>Dados do Fornecedor</t>
        </is>
      </c>
      <c r="AO349" s="6" t="inlineStr">
        <is>
          <t>Qualidade dos dados</t>
        </is>
      </c>
      <c r="AP349" s="6" t="inlineStr">
        <is>
          <t>KONTIK BUSINESS TRAVEL</t>
        </is>
      </c>
      <c r="AQ349" s="6" t="inlineStr">
        <is>
          <t>Suporte KCS</t>
        </is>
      </c>
    </row>
    <row r="350">
      <c r="A350" s="6" t="n">
        <v>23348137</v>
      </c>
      <c r="B350" s="6" t="n">
        <v>24075531</v>
      </c>
      <c r="C350" s="6" t="inlineStr">
        <is>
          <t>ACC01</t>
        </is>
      </c>
      <c r="D350" s="58" t="n">
        <v>45979.62353009259</v>
      </c>
      <c r="E350" s="58" t="n">
        <v>45986.08700231482</v>
      </c>
      <c r="F350" s="6" t="inlineStr">
        <is>
          <t>0 a 02 dias</t>
        </is>
      </c>
      <c r="G350" s="6" t="inlineStr">
        <is>
          <t>06 a 08 dias</t>
        </is>
      </c>
      <c r="H350" s="6" t="inlineStr">
        <is>
          <t>5T1YH7</t>
        </is>
      </c>
      <c r="I350" s="6" t="inlineStr">
        <is>
          <t>TMS</t>
        </is>
      </c>
      <c r="J350" s="6" t="inlineStr">
        <is>
          <t>JOSE REGINALDO PINTO</t>
        </is>
      </c>
      <c r="K350" s="6" t="inlineStr">
        <is>
          <t>Tms</t>
        </is>
      </c>
      <c r="L350" s="6" t="inlineStr">
        <is>
          <t>Tms</t>
        </is>
      </c>
      <c r="M350" s="58" t="n">
        <v>45979.58263888889</v>
      </c>
      <c r="N350" s="6" t="n">
        <v>89425</v>
      </c>
      <c r="O350" s="6" t="inlineStr">
        <is>
          <t>-</t>
        </is>
      </c>
      <c r="P350" s="6" t="inlineStr">
        <is>
          <t>OFF LINE</t>
        </is>
      </c>
      <c r="Q350" s="6" t="inlineStr">
        <is>
          <t>Invoice</t>
        </is>
      </c>
      <c r="R350" s="6" t="inlineStr">
        <is>
          <t>Faturado</t>
        </is>
      </c>
      <c r="S350" s="6" t="inlineStr">
        <is>
          <t>Serviço</t>
        </is>
      </c>
      <c r="T350" s="6" t="inlineStr">
        <is>
          <t>N</t>
        </is>
      </c>
      <c r="U350" s="6" t="inlineStr">
        <is>
          <t>Grupo Ocean Pact</t>
        </is>
      </c>
      <c r="V350" s="6" t="inlineStr">
        <is>
          <t>Oceanpact Servicos Maritimos</t>
        </is>
      </c>
      <c r="W350" s="6" t="inlineStr">
        <is>
          <t>-</t>
        </is>
      </c>
      <c r="X350" s="6" t="inlineStr">
        <is>
          <t>-</t>
        </is>
      </c>
      <c r="Y350" s="6" t="inlineStr">
        <is>
          <t>-</t>
        </is>
      </c>
      <c r="Z350" s="6" t="inlineStr">
        <is>
          <t>KON-OPE-RIO-POS-OCEANPACT</t>
        </is>
      </c>
      <c r="AA350" s="6" t="inlineStr">
        <is>
          <t>-</t>
        </is>
      </c>
      <c r="AB350" s="6" t="n">
        <v>131.53</v>
      </c>
      <c r="AC350" s="6" t="n">
        <v>21.04</v>
      </c>
      <c r="AD350" s="6" t="n">
        <v>0</v>
      </c>
      <c r="AE350" s="6" t="n">
        <v>0</v>
      </c>
      <c r="AF350" s="6" t="n">
        <v>0</v>
      </c>
      <c r="AG350" s="6" t="n">
        <v>0</v>
      </c>
      <c r="AH350" s="6" t="n">
        <v>0</v>
      </c>
      <c r="AI350" s="6" t="inlineStr">
        <is>
          <t>Reserva importada do Sistema TMS. OS: 89425</t>
        </is>
      </c>
      <c r="AJ350" s="6" t="inlineStr">
        <is>
          <t>Fornecedor não preenchido! (ACC01)</t>
        </is>
      </c>
      <c r="AK350" s="6" t="inlineStr">
        <is>
          <t>ARGO(TMS)</t>
        </is>
      </c>
      <c r="AL350" s="6" t="inlineStr">
        <is>
          <t>Falta de Fornecedor</t>
        </is>
      </c>
      <c r="AM350" s="6" t="inlineStr">
        <is>
          <t>Campo Fornecedor</t>
        </is>
      </c>
      <c r="AN350" s="6" t="inlineStr">
        <is>
          <t>Dados do Fornecedor</t>
        </is>
      </c>
      <c r="AO350" s="6" t="inlineStr">
        <is>
          <t>Qualidade dos dados</t>
        </is>
      </c>
      <c r="AP350" s="6" t="inlineStr">
        <is>
          <t>KONTIK BUSINESS TRAVEL</t>
        </is>
      </c>
      <c r="AQ350" s="6" t="inlineStr">
        <is>
          <t>Suporte KCS</t>
        </is>
      </c>
    </row>
    <row r="351">
      <c r="A351" s="6" t="n">
        <v>23348139</v>
      </c>
      <c r="B351" s="6" t="n">
        <v>24075533</v>
      </c>
      <c r="C351" s="6" t="inlineStr">
        <is>
          <t>ACC01</t>
        </is>
      </c>
      <c r="D351" s="58" t="n">
        <v>45979.62359953704</v>
      </c>
      <c r="E351" s="58" t="n">
        <v>45986.08700231482</v>
      </c>
      <c r="F351" s="6" t="inlineStr">
        <is>
          <t>0 a 02 dias</t>
        </is>
      </c>
      <c r="G351" s="6" t="inlineStr">
        <is>
          <t>06 a 08 dias</t>
        </is>
      </c>
      <c r="H351" s="6" t="inlineStr">
        <is>
          <t>5TCH6U</t>
        </is>
      </c>
      <c r="I351" s="6" t="inlineStr">
        <is>
          <t>TMS</t>
        </is>
      </c>
      <c r="J351" s="6" t="inlineStr">
        <is>
          <t>JARBAS DE SOUSA</t>
        </is>
      </c>
      <c r="K351" s="6" t="inlineStr">
        <is>
          <t>Tms</t>
        </is>
      </c>
      <c r="L351" s="6" t="inlineStr">
        <is>
          <t>Tms</t>
        </is>
      </c>
      <c r="M351" s="58" t="n">
        <v>45979.57222222222</v>
      </c>
      <c r="N351" s="6" t="n">
        <v>89421</v>
      </c>
      <c r="O351" s="6" t="inlineStr">
        <is>
          <t>-</t>
        </is>
      </c>
      <c r="P351" s="6" t="inlineStr">
        <is>
          <t>OFF LINE</t>
        </is>
      </c>
      <c r="Q351" s="6" t="inlineStr">
        <is>
          <t>Invoice</t>
        </is>
      </c>
      <c r="R351" s="6" t="inlineStr">
        <is>
          <t>Faturado</t>
        </is>
      </c>
      <c r="S351" s="6" t="inlineStr">
        <is>
          <t>Serviço</t>
        </is>
      </c>
      <c r="T351" s="6" t="inlineStr">
        <is>
          <t>N</t>
        </is>
      </c>
      <c r="U351" s="6" t="inlineStr">
        <is>
          <t>Grupo Ocean Pact</t>
        </is>
      </c>
      <c r="V351" s="6" t="inlineStr">
        <is>
          <t>Oceanpact Servicos Maritimos</t>
        </is>
      </c>
      <c r="W351" s="6" t="inlineStr">
        <is>
          <t>-</t>
        </is>
      </c>
      <c r="X351" s="6" t="inlineStr">
        <is>
          <t>-</t>
        </is>
      </c>
      <c r="Y351" s="6" t="inlineStr">
        <is>
          <t>-</t>
        </is>
      </c>
      <c r="Z351" s="6" t="inlineStr">
        <is>
          <t>KON-OPE-RIO-POS-OCEANPACT</t>
        </is>
      </c>
      <c r="AA351" s="6" t="inlineStr">
        <is>
          <t>-</t>
        </is>
      </c>
      <c r="AB351" s="6" t="n">
        <v>89.75</v>
      </c>
      <c r="AC351" s="6" t="n">
        <v>14.36</v>
      </c>
      <c r="AD351" s="6" t="n">
        <v>0</v>
      </c>
      <c r="AE351" s="6" t="n">
        <v>0</v>
      </c>
      <c r="AF351" s="6" t="n">
        <v>0</v>
      </c>
      <c r="AG351" s="6" t="n">
        <v>0</v>
      </c>
      <c r="AH351" s="6" t="n">
        <v>0</v>
      </c>
      <c r="AI351" s="6" t="inlineStr">
        <is>
          <t>Reserva importada do Sistema TMS. OS: 89421</t>
        </is>
      </c>
      <c r="AJ351" s="6" t="inlineStr">
        <is>
          <t>Fornecedor não preenchido! (ACC01)</t>
        </is>
      </c>
      <c r="AK351" s="6" t="inlineStr">
        <is>
          <t>ARGO(TMS)</t>
        </is>
      </c>
      <c r="AL351" s="6" t="inlineStr">
        <is>
          <t>Falta de Fornecedor</t>
        </is>
      </c>
      <c r="AM351" s="6" t="inlineStr">
        <is>
          <t>Campo Fornecedor</t>
        </is>
      </c>
      <c r="AN351" s="6" t="inlineStr">
        <is>
          <t>Dados do Fornecedor</t>
        </is>
      </c>
      <c r="AO351" s="6" t="inlineStr">
        <is>
          <t>Qualidade dos dados</t>
        </is>
      </c>
      <c r="AP351" s="6" t="inlineStr">
        <is>
          <t>KONTIK BUSINESS TRAVEL</t>
        </is>
      </c>
      <c r="AQ351" s="6" t="inlineStr">
        <is>
          <t>Suporte KCS</t>
        </is>
      </c>
    </row>
    <row r="352">
      <c r="A352" s="6" t="n">
        <v>23348140</v>
      </c>
      <c r="B352" s="6" t="n">
        <v>24075534</v>
      </c>
      <c r="C352" s="6" t="inlineStr">
        <is>
          <t>ACC01</t>
        </is>
      </c>
      <c r="D352" s="58" t="n">
        <v>45979.62363425926</v>
      </c>
      <c r="E352" s="58" t="n">
        <v>45986.08701388889</v>
      </c>
      <c r="F352" s="6" t="inlineStr">
        <is>
          <t>0 a 02 dias</t>
        </is>
      </c>
      <c r="G352" s="6" t="inlineStr">
        <is>
          <t>06 a 08 dias</t>
        </is>
      </c>
      <c r="H352" s="6" t="inlineStr">
        <is>
          <t>5TVHHU</t>
        </is>
      </c>
      <c r="I352" s="6" t="inlineStr">
        <is>
          <t>TMS</t>
        </is>
      </c>
      <c r="J352" s="6" t="inlineStr">
        <is>
          <t>THIAGO CAMPOS</t>
        </is>
      </c>
      <c r="K352" s="6" t="inlineStr">
        <is>
          <t>Tms</t>
        </is>
      </c>
      <c r="L352" s="6" t="inlineStr">
        <is>
          <t>Tms</t>
        </is>
      </c>
      <c r="M352" s="58" t="n">
        <v>45979.55902777778</v>
      </c>
      <c r="N352" s="6" t="n">
        <v>89420</v>
      </c>
      <c r="O352" s="6" t="inlineStr">
        <is>
          <t>-</t>
        </is>
      </c>
      <c r="P352" s="6" t="inlineStr">
        <is>
          <t>OFF LINE</t>
        </is>
      </c>
      <c r="Q352" s="6" t="inlineStr">
        <is>
          <t>Invoice</t>
        </is>
      </c>
      <c r="R352" s="6" t="inlineStr">
        <is>
          <t>Faturado</t>
        </is>
      </c>
      <c r="S352" s="6" t="inlineStr">
        <is>
          <t>Serviço</t>
        </is>
      </c>
      <c r="T352" s="6" t="inlineStr">
        <is>
          <t>N</t>
        </is>
      </c>
      <c r="U352" s="6" t="inlineStr">
        <is>
          <t>Grupo Ocean Pact</t>
        </is>
      </c>
      <c r="V352" s="6" t="inlineStr">
        <is>
          <t>Oceanpact Marau Navegacao</t>
        </is>
      </c>
      <c r="W352" s="6" t="inlineStr">
        <is>
          <t>-</t>
        </is>
      </c>
      <c r="X352" s="6" t="inlineStr">
        <is>
          <t>-</t>
        </is>
      </c>
      <c r="Y352" s="6" t="inlineStr">
        <is>
          <t>-</t>
        </is>
      </c>
      <c r="Z352" s="6" t="inlineStr">
        <is>
          <t>KON-OPE-RIO-POS-OCEANPACT</t>
        </is>
      </c>
      <c r="AA352" s="6" t="inlineStr">
        <is>
          <t>-</t>
        </is>
      </c>
      <c r="AB352" s="6" t="n">
        <v>183.03</v>
      </c>
      <c r="AC352" s="6" t="n">
        <v>29.28</v>
      </c>
      <c r="AD352" s="6" t="n">
        <v>0</v>
      </c>
      <c r="AE352" s="6" t="n">
        <v>0</v>
      </c>
      <c r="AF352" s="6" t="n">
        <v>0</v>
      </c>
      <c r="AG352" s="6" t="n">
        <v>0</v>
      </c>
      <c r="AH352" s="6" t="n">
        <v>0</v>
      </c>
      <c r="AI352" s="6" t="inlineStr">
        <is>
          <t>Reserva importada do Sistema TMS. OS: 89420</t>
        </is>
      </c>
      <c r="AJ352" s="6" t="inlineStr">
        <is>
          <t>Fornecedor não preenchido! (ACC01)</t>
        </is>
      </c>
      <c r="AK352" s="6" t="inlineStr">
        <is>
          <t>ARGO(TMS)</t>
        </is>
      </c>
      <c r="AL352" s="6" t="inlineStr">
        <is>
          <t>Falta de Fornecedor</t>
        </is>
      </c>
      <c r="AM352" s="6" t="inlineStr">
        <is>
          <t>Campo Fornecedor</t>
        </is>
      </c>
      <c r="AN352" s="6" t="inlineStr">
        <is>
          <t>Dados do Fornecedor</t>
        </is>
      </c>
      <c r="AO352" s="6" t="inlineStr">
        <is>
          <t>Qualidade dos dados</t>
        </is>
      </c>
      <c r="AP352" s="6" t="inlineStr">
        <is>
          <t>KONTIK BUSINESS TRAVEL</t>
        </is>
      </c>
      <c r="AQ352" s="6" t="inlineStr">
        <is>
          <t>Suporte KCS</t>
        </is>
      </c>
    </row>
    <row r="353">
      <c r="A353" s="6" t="n">
        <v>23350692</v>
      </c>
      <c r="B353" s="6" t="n">
        <v>24078082</v>
      </c>
      <c r="C353" s="6" t="inlineStr">
        <is>
          <t>ACC01</t>
        </is>
      </c>
      <c r="D353" s="58" t="n">
        <v>45979.88030092593</v>
      </c>
      <c r="E353" s="58" t="n">
        <v>45986.08702546296</v>
      </c>
      <c r="F353" s="6" t="inlineStr">
        <is>
          <t>0 a 02 dias</t>
        </is>
      </c>
      <c r="G353" s="6" t="inlineStr">
        <is>
          <t>06 a 08 dias</t>
        </is>
      </c>
      <c r="H353" s="6" t="inlineStr">
        <is>
          <t>5TZH28</t>
        </is>
      </c>
      <c r="I353" s="6" t="inlineStr">
        <is>
          <t>TMS</t>
        </is>
      </c>
      <c r="J353" s="6" t="inlineStr">
        <is>
          <t>LUIZ AMILCAR BANDEIRA</t>
        </is>
      </c>
      <c r="K353" s="6" t="inlineStr">
        <is>
          <t>Tms</t>
        </is>
      </c>
      <c r="L353" s="6" t="inlineStr">
        <is>
          <t>Tms</t>
        </is>
      </c>
      <c r="M353" s="58" t="n">
        <v>45979.74861111111</v>
      </c>
      <c r="N353" s="6" t="n">
        <v>89513</v>
      </c>
      <c r="O353" s="6" t="inlineStr">
        <is>
          <t>-</t>
        </is>
      </c>
      <c r="P353" s="6" t="inlineStr">
        <is>
          <t>OFF LINE</t>
        </is>
      </c>
      <c r="Q353" s="6" t="inlineStr">
        <is>
          <t>Invoice</t>
        </is>
      </c>
      <c r="R353" s="6" t="inlineStr">
        <is>
          <t>Faturado</t>
        </is>
      </c>
      <c r="S353" s="6" t="inlineStr">
        <is>
          <t>Serviço</t>
        </is>
      </c>
      <c r="T353" s="6" t="inlineStr">
        <is>
          <t>N</t>
        </is>
      </c>
      <c r="U353" s="6" t="inlineStr">
        <is>
          <t>Grupo Ocean Pact</t>
        </is>
      </c>
      <c r="V353" s="6" t="inlineStr">
        <is>
          <t>Oceanpact Geociencias</t>
        </is>
      </c>
      <c r="W353" s="6" t="inlineStr">
        <is>
          <t>-</t>
        </is>
      </c>
      <c r="X353" s="6" t="inlineStr">
        <is>
          <t>-</t>
        </is>
      </c>
      <c r="Y353" s="6" t="inlineStr">
        <is>
          <t>-</t>
        </is>
      </c>
      <c r="Z353" s="6" t="inlineStr">
        <is>
          <t>KON-OPE-RIO-POS-OCEANPACT</t>
        </is>
      </c>
      <c r="AA353" s="6" t="inlineStr">
        <is>
          <t>-</t>
        </is>
      </c>
      <c r="AB353" s="6" t="n">
        <v>42.3</v>
      </c>
      <c r="AC353" s="6" t="n">
        <v>6.77</v>
      </c>
      <c r="AD353" s="6" t="n">
        <v>0</v>
      </c>
      <c r="AE353" s="6" t="n">
        <v>0</v>
      </c>
      <c r="AF353" s="6" t="n">
        <v>0</v>
      </c>
      <c r="AG353" s="6" t="n">
        <v>0</v>
      </c>
      <c r="AH353" s="6" t="n">
        <v>0</v>
      </c>
      <c r="AI353" s="6" t="inlineStr">
        <is>
          <t>Reserva importada do Sistema TMS. OS: 89513</t>
        </is>
      </c>
      <c r="AJ353" s="6" t="inlineStr">
        <is>
          <t>Fornecedor não preenchido! (ACC01)</t>
        </is>
      </c>
      <c r="AK353" s="6" t="inlineStr">
        <is>
          <t>ARGO(TMS)</t>
        </is>
      </c>
      <c r="AL353" s="6" t="inlineStr">
        <is>
          <t>Falta de Fornecedor</t>
        </is>
      </c>
      <c r="AM353" s="6" t="inlineStr">
        <is>
          <t>Campo Fornecedor</t>
        </is>
      </c>
      <c r="AN353" s="6" t="inlineStr">
        <is>
          <t>Dados do Fornecedor</t>
        </is>
      </c>
      <c r="AO353" s="6" t="inlineStr">
        <is>
          <t>Qualidade dos dados</t>
        </is>
      </c>
      <c r="AP353" s="6" t="inlineStr">
        <is>
          <t>KONTIK BUSINESS TRAVEL</t>
        </is>
      </c>
      <c r="AQ353" s="6" t="inlineStr">
        <is>
          <t>Suporte KCS</t>
        </is>
      </c>
    </row>
    <row r="354">
      <c r="A354" s="6" t="n">
        <v>23350695</v>
      </c>
      <c r="B354" s="6" t="n">
        <v>24078085</v>
      </c>
      <c r="C354" s="6" t="inlineStr">
        <is>
          <t>ACC01</t>
        </is>
      </c>
      <c r="D354" s="58" t="n">
        <v>45979.88043981481</v>
      </c>
      <c r="E354" s="58" t="n">
        <v>45982.4534375</v>
      </c>
      <c r="F354" s="6" t="inlineStr">
        <is>
          <t>03 a 05 dias</t>
        </is>
      </c>
      <c r="G354" s="6" t="inlineStr">
        <is>
          <t>06 a 08 dias</t>
        </is>
      </c>
      <c r="H354" s="6" t="inlineStr">
        <is>
          <t>5TW6SK</t>
        </is>
      </c>
      <c r="I354" s="6" t="inlineStr">
        <is>
          <t>TMS</t>
        </is>
      </c>
      <c r="J354" s="6" t="inlineStr">
        <is>
          <t>BRUNO SOLEDADE BRAZ</t>
        </is>
      </c>
      <c r="K354" s="6" t="inlineStr">
        <is>
          <t>Tms</t>
        </is>
      </c>
      <c r="L354" s="6" t="inlineStr">
        <is>
          <t>Tms</t>
        </is>
      </c>
      <c r="M354" s="58" t="n">
        <v>45979.73125</v>
      </c>
      <c r="N354" s="6" t="n">
        <v>89500</v>
      </c>
      <c r="O354" s="6" t="inlineStr">
        <is>
          <t>Salvador / SSA</t>
        </is>
      </c>
      <c r="P354" s="6" t="inlineStr">
        <is>
          <t>ON LINE</t>
        </is>
      </c>
      <c r="Q354" s="6" t="inlineStr">
        <is>
          <t>Múltiplos</t>
        </is>
      </c>
      <c r="R354" s="6" t="inlineStr">
        <is>
          <t>Múltiplos</t>
        </is>
      </c>
      <c r="S354" s="6" t="inlineStr">
        <is>
          <t>Carro</t>
        </is>
      </c>
      <c r="T354" s="6" t="inlineStr">
        <is>
          <t>N</t>
        </is>
      </c>
      <c r="U354" s="6" t="inlineStr">
        <is>
          <t>Grupo Ocean Pact</t>
        </is>
      </c>
      <c r="V354" s="6" t="inlineStr">
        <is>
          <t>Oceanpact Servicos Maritimos</t>
        </is>
      </c>
      <c r="W354" s="6" t="inlineStr">
        <is>
          <t>-</t>
        </is>
      </c>
      <c r="X354" s="6" t="inlineStr">
        <is>
          <t>Localiza - Br - Ba - Eunapolis - Centro</t>
        </is>
      </c>
      <c r="Y354" s="6" t="inlineStr">
        <is>
          <t>-</t>
        </is>
      </c>
      <c r="Z354" s="6" t="inlineStr">
        <is>
          <t>KON-OPE-RIO-POS-OCEANPACT</t>
        </is>
      </c>
      <c r="AA354" s="6" t="inlineStr">
        <is>
          <t>-</t>
        </is>
      </c>
      <c r="AB354" s="6" t="n">
        <v>2244.8272</v>
      </c>
      <c r="AC354" s="6" t="n">
        <v>0</v>
      </c>
      <c r="AD354" s="6" t="n">
        <v>0</v>
      </c>
      <c r="AE354" s="6" t="n">
        <v>0</v>
      </c>
      <c r="AF354" s="6" t="n">
        <v>0</v>
      </c>
      <c r="AG354" s="6" t="n">
        <v>0</v>
      </c>
      <c r="AH354" s="6" t="n">
        <v>0</v>
      </c>
      <c r="AI354" s="6" t="inlineStr">
        <is>
          <t>Reserva importada do Sistema TMS. OS: 89500</t>
        </is>
      </c>
      <c r="AJ354" s="6" t="inlineStr">
        <is>
          <t>A soma das tarifas dos registros múltiplos é menor que a tarifa da accounting</t>
        </is>
      </c>
      <c r="AK354" s="6" t="inlineStr">
        <is>
          <t>ARGO(TMS)</t>
        </is>
      </c>
      <c r="AL354" s="6" t="inlineStr">
        <is>
          <t>Não identificado</t>
        </is>
      </c>
      <c r="AM354" s="6" t="inlineStr">
        <is>
          <t>Análise Benner</t>
        </is>
      </c>
      <c r="AN354" s="6" t="inlineStr">
        <is>
          <t>Sistema</t>
        </is>
      </c>
      <c r="AO354" s="6" t="inlineStr">
        <is>
          <t>Qualidade dos dados</t>
        </is>
      </c>
      <c r="AP354" s="6" t="inlineStr">
        <is>
          <t>KONTIK BUSINESS TRAVEL</t>
        </is>
      </c>
      <c r="AQ354" s="6" t="inlineStr">
        <is>
          <t>Operações - CORP</t>
        </is>
      </c>
    </row>
    <row r="355">
      <c r="A355" s="6" t="n">
        <v>23343210</v>
      </c>
      <c r="B355" s="6" t="n">
        <v>24070959</v>
      </c>
      <c r="C355" s="6" t="inlineStr">
        <is>
          <t>ACC01</t>
        </is>
      </c>
      <c r="D355" s="58" t="n">
        <v>45978.86501157407</v>
      </c>
      <c r="E355" s="58" t="n">
        <v>45986.08700231482</v>
      </c>
      <c r="F355" s="6" t="inlineStr">
        <is>
          <t>0 a 02 dias</t>
        </is>
      </c>
      <c r="G355" s="6" t="inlineStr">
        <is>
          <t>06 a 08 dias</t>
        </is>
      </c>
      <c r="H355" s="6" t="inlineStr">
        <is>
          <t>5TY7Y6</t>
        </is>
      </c>
      <c r="I355" s="6" t="inlineStr">
        <is>
          <t>TMS</t>
        </is>
      </c>
      <c r="J355" s="6" t="inlineStr">
        <is>
          <t>ANTONY COSTA</t>
        </is>
      </c>
      <c r="K355" s="6" t="inlineStr">
        <is>
          <t>Tms</t>
        </is>
      </c>
      <c r="L355" s="6" t="inlineStr">
        <is>
          <t>Tms</t>
        </is>
      </c>
      <c r="M355" s="58" t="n">
        <v>45978.73819444444</v>
      </c>
      <c r="N355" s="6" t="n">
        <v>89290</v>
      </c>
      <c r="O355" s="6" t="inlineStr">
        <is>
          <t>-</t>
        </is>
      </c>
      <c r="P355" s="6" t="inlineStr">
        <is>
          <t>OFF LINE</t>
        </is>
      </c>
      <c r="Q355" s="6" t="inlineStr">
        <is>
          <t>Invoice</t>
        </is>
      </c>
      <c r="R355" s="6" t="inlineStr">
        <is>
          <t>Faturado</t>
        </is>
      </c>
      <c r="S355" s="6" t="inlineStr">
        <is>
          <t>Serviço</t>
        </is>
      </c>
      <c r="T355" s="6" t="inlineStr">
        <is>
          <t>N</t>
        </is>
      </c>
      <c r="U355" s="6" t="inlineStr">
        <is>
          <t>Grupo Ocean Pact</t>
        </is>
      </c>
      <c r="V355" s="6" t="inlineStr">
        <is>
          <t>Oceanpact Servicos Maritimos</t>
        </is>
      </c>
      <c r="W355" s="6" t="inlineStr">
        <is>
          <t>-</t>
        </is>
      </c>
      <c r="X355" s="6" t="inlineStr">
        <is>
          <t>-</t>
        </is>
      </c>
      <c r="Y355" s="6" t="inlineStr">
        <is>
          <t>-</t>
        </is>
      </c>
      <c r="Z355" s="6" t="inlineStr">
        <is>
          <t>KON-OPE-RIO-POS-OCEANPACT</t>
        </is>
      </c>
      <c r="AA355" s="6" t="inlineStr">
        <is>
          <t>-</t>
        </is>
      </c>
      <c r="AB355" s="6" t="n">
        <v>115.2</v>
      </c>
      <c r="AC355" s="6" t="n">
        <v>18.43</v>
      </c>
      <c r="AD355" s="6" t="n">
        <v>0</v>
      </c>
      <c r="AE355" s="6" t="n">
        <v>0</v>
      </c>
      <c r="AF355" s="6" t="n">
        <v>0</v>
      </c>
      <c r="AG355" s="6" t="n">
        <v>0</v>
      </c>
      <c r="AH355" s="6" t="n">
        <v>0</v>
      </c>
      <c r="AI355" s="6" t="inlineStr">
        <is>
          <t>Reserva importada do Sistema TMS. OS: 89290</t>
        </is>
      </c>
      <c r="AJ355" s="6" t="inlineStr">
        <is>
          <t>Fornecedor não preenchido! (ACC01)</t>
        </is>
      </c>
      <c r="AK355" s="6" t="inlineStr">
        <is>
          <t>ARGO(TMS)</t>
        </is>
      </c>
      <c r="AL355" s="6" t="inlineStr">
        <is>
          <t>Falta de Fornecedor</t>
        </is>
      </c>
      <c r="AM355" s="6" t="inlineStr">
        <is>
          <t>Campo Fornecedor</t>
        </is>
      </c>
      <c r="AN355" s="6" t="inlineStr">
        <is>
          <t>Dados do Fornecedor</t>
        </is>
      </c>
      <c r="AO355" s="6" t="inlineStr">
        <is>
          <t>Qualidade dos dados</t>
        </is>
      </c>
      <c r="AP355" s="6" t="inlineStr">
        <is>
          <t>KONTIK BUSINESS TRAVEL</t>
        </is>
      </c>
      <c r="AQ355" s="6" t="inlineStr">
        <is>
          <t>Suporte KCS</t>
        </is>
      </c>
    </row>
    <row r="356">
      <c r="A356" s="6" t="n">
        <v>23343252</v>
      </c>
      <c r="B356" s="6" t="n">
        <v>24071002</v>
      </c>
      <c r="C356" s="6" t="inlineStr">
        <is>
          <t>ACC01</t>
        </is>
      </c>
      <c r="D356" s="58" t="n">
        <v>45978.8665625</v>
      </c>
      <c r="E356" s="58" t="n">
        <v>45986.08700231482</v>
      </c>
      <c r="F356" s="6" t="inlineStr">
        <is>
          <t>0 a 02 dias</t>
        </is>
      </c>
      <c r="G356" s="6" t="inlineStr">
        <is>
          <t>06 a 08 dias</t>
        </is>
      </c>
      <c r="H356" s="6" t="inlineStr">
        <is>
          <t>5TXOY6</t>
        </is>
      </c>
      <c r="I356" s="6" t="inlineStr">
        <is>
          <t>TMS</t>
        </is>
      </c>
      <c r="J356" s="6" t="inlineStr">
        <is>
          <t>MARCILIA GOMES</t>
        </is>
      </c>
      <c r="K356" s="6" t="inlineStr">
        <is>
          <t>Tms</t>
        </is>
      </c>
      <c r="L356" s="6" t="inlineStr">
        <is>
          <t>Tms</t>
        </is>
      </c>
      <c r="M356" s="58" t="n">
        <v>45978.67777777778</v>
      </c>
      <c r="N356" s="6" t="n">
        <v>89242</v>
      </c>
      <c r="O356" s="6" t="inlineStr">
        <is>
          <t>-</t>
        </is>
      </c>
      <c r="P356" s="6" t="inlineStr">
        <is>
          <t>OFF LINE</t>
        </is>
      </c>
      <c r="Q356" s="6" t="inlineStr">
        <is>
          <t>Invoice</t>
        </is>
      </c>
      <c r="R356" s="6" t="inlineStr">
        <is>
          <t>Faturado</t>
        </is>
      </c>
      <c r="S356" s="6" t="inlineStr">
        <is>
          <t>Serviço</t>
        </is>
      </c>
      <c r="T356" s="6" t="inlineStr">
        <is>
          <t>N</t>
        </is>
      </c>
      <c r="U356" s="6" t="inlineStr">
        <is>
          <t>Grupo Ocean Pact</t>
        </is>
      </c>
      <c r="V356" s="6" t="inlineStr">
        <is>
          <t>Oceanpact Logistica</t>
        </is>
      </c>
      <c r="W356" s="6" t="inlineStr">
        <is>
          <t>-</t>
        </is>
      </c>
      <c r="X356" s="6" t="inlineStr">
        <is>
          <t>-</t>
        </is>
      </c>
      <c r="Y356" s="6" t="inlineStr">
        <is>
          <t>-</t>
        </is>
      </c>
      <c r="Z356" s="6" t="inlineStr">
        <is>
          <t>KON-OPE-RIO-POS-OCEANPACT</t>
        </is>
      </c>
      <c r="AA356" s="6" t="inlineStr">
        <is>
          <t>-</t>
        </is>
      </c>
      <c r="AB356" s="6" t="n">
        <v>111.05</v>
      </c>
      <c r="AC356" s="6" t="n">
        <v>17.77</v>
      </c>
      <c r="AD356" s="6" t="n">
        <v>0</v>
      </c>
      <c r="AE356" s="6" t="n">
        <v>0</v>
      </c>
      <c r="AF356" s="6" t="n">
        <v>0</v>
      </c>
      <c r="AG356" s="6" t="n">
        <v>0</v>
      </c>
      <c r="AH356" s="6" t="n">
        <v>0</v>
      </c>
      <c r="AI356" s="6" t="inlineStr">
        <is>
          <t>Reserva importada do Sistema TMS. OS: 89242</t>
        </is>
      </c>
      <c r="AJ356" s="6" t="inlineStr">
        <is>
          <t>Fornecedor não preenchido! (ACC01)</t>
        </is>
      </c>
      <c r="AK356" s="6" t="inlineStr">
        <is>
          <t>ARGO(TMS)</t>
        </is>
      </c>
      <c r="AL356" s="6" t="inlineStr">
        <is>
          <t>Falta de Fornecedor</t>
        </is>
      </c>
      <c r="AM356" s="6" t="inlineStr">
        <is>
          <t>Campo Fornecedor</t>
        </is>
      </c>
      <c r="AN356" s="6" t="inlineStr">
        <is>
          <t>Dados do Fornecedor</t>
        </is>
      </c>
      <c r="AO356" s="6" t="inlineStr">
        <is>
          <t>Qualidade dos dados</t>
        </is>
      </c>
      <c r="AP356" s="6" t="inlineStr">
        <is>
          <t>KONTIK BUSINESS TRAVEL</t>
        </is>
      </c>
      <c r="AQ356" s="6" t="inlineStr">
        <is>
          <t>Suporte KCS</t>
        </is>
      </c>
    </row>
    <row r="357">
      <c r="A357" s="6" t="n">
        <v>23348185</v>
      </c>
      <c r="B357" s="6" t="n">
        <v>24075579</v>
      </c>
      <c r="C357" s="6" t="inlineStr">
        <is>
          <t>ACC01</t>
        </is>
      </c>
      <c r="D357" s="58" t="n">
        <v>45979.62503472222</v>
      </c>
      <c r="E357" s="58" t="n">
        <v>45986.08701388889</v>
      </c>
      <c r="F357" s="6" t="inlineStr">
        <is>
          <t>0 a 02 dias</t>
        </is>
      </c>
      <c r="G357" s="6" t="inlineStr">
        <is>
          <t>06 a 08 dias</t>
        </is>
      </c>
      <c r="H357" s="6" t="inlineStr">
        <is>
          <t>5T8KYJ</t>
        </is>
      </c>
      <c r="I357" s="6" t="inlineStr">
        <is>
          <t>TMS</t>
        </is>
      </c>
      <c r="J357" s="6" t="inlineStr">
        <is>
          <t>ANTONIO PEREIRA PESSANHA</t>
        </is>
      </c>
      <c r="K357" s="6" t="inlineStr">
        <is>
          <t>Tms</t>
        </is>
      </c>
      <c r="L357" s="6" t="inlineStr">
        <is>
          <t>Tms</t>
        </is>
      </c>
      <c r="M357" s="58" t="n">
        <v>45979.39166666667</v>
      </c>
      <c r="N357" s="6" t="n">
        <v>89344</v>
      </c>
      <c r="O357" s="6" t="inlineStr">
        <is>
          <t>-</t>
        </is>
      </c>
      <c r="P357" s="6" t="inlineStr">
        <is>
          <t>OFF LINE</t>
        </is>
      </c>
      <c r="Q357" s="6" t="inlineStr">
        <is>
          <t>Invoice</t>
        </is>
      </c>
      <c r="R357" s="6" t="inlineStr">
        <is>
          <t>Faturado</t>
        </is>
      </c>
      <c r="S357" s="6" t="inlineStr">
        <is>
          <t>Serviço</t>
        </is>
      </c>
      <c r="T357" s="6" t="inlineStr">
        <is>
          <t>N</t>
        </is>
      </c>
      <c r="U357" s="6" t="inlineStr">
        <is>
          <t>Grupo Ocean Pact</t>
        </is>
      </c>
      <c r="V357" s="6" t="inlineStr">
        <is>
          <t>Oceanpact Servicos Maritimos</t>
        </is>
      </c>
      <c r="W357" s="6" t="inlineStr">
        <is>
          <t>-</t>
        </is>
      </c>
      <c r="X357" s="6" t="inlineStr">
        <is>
          <t>-</t>
        </is>
      </c>
      <c r="Y357" s="6" t="inlineStr">
        <is>
          <t>-</t>
        </is>
      </c>
      <c r="Z357" s="6" t="inlineStr">
        <is>
          <t>KON-OPE-RIO-POS-OCEANPACT</t>
        </is>
      </c>
      <c r="AA357" s="6" t="inlineStr">
        <is>
          <t>-</t>
        </is>
      </c>
      <c r="AB357" s="6" t="n">
        <v>44.49</v>
      </c>
      <c r="AC357" s="6" t="n">
        <v>7.12</v>
      </c>
      <c r="AD357" s="6" t="n">
        <v>0</v>
      </c>
      <c r="AE357" s="6" t="n">
        <v>0</v>
      </c>
      <c r="AF357" s="6" t="n">
        <v>0</v>
      </c>
      <c r="AG357" s="6" t="n">
        <v>0</v>
      </c>
      <c r="AH357" s="6" t="n">
        <v>0</v>
      </c>
      <c r="AI357" s="6" t="inlineStr">
        <is>
          <t>Reserva importada do Sistema TMS. OS: 89344</t>
        </is>
      </c>
      <c r="AJ357" s="6" t="inlineStr">
        <is>
          <t>Fornecedor não preenchido! (ACC01)</t>
        </is>
      </c>
      <c r="AK357" s="6" t="inlineStr">
        <is>
          <t>ARGO(TMS)</t>
        </is>
      </c>
      <c r="AL357" s="6" t="inlineStr">
        <is>
          <t>Falta de Fornecedor</t>
        </is>
      </c>
      <c r="AM357" s="6" t="inlineStr">
        <is>
          <t>Campo Fornecedor</t>
        </is>
      </c>
      <c r="AN357" s="6" t="inlineStr">
        <is>
          <t>Dados do Fornecedor</t>
        </is>
      </c>
      <c r="AO357" s="6" t="inlineStr">
        <is>
          <t>Qualidade dos dados</t>
        </is>
      </c>
      <c r="AP357" s="6" t="inlineStr">
        <is>
          <t>KONTIK BUSINESS TRAVEL</t>
        </is>
      </c>
      <c r="AQ357" s="6" t="inlineStr">
        <is>
          <t>Suporte KCS</t>
        </is>
      </c>
    </row>
    <row r="358">
      <c r="A358" s="6" t="n">
        <v>23357749</v>
      </c>
      <c r="B358" s="6" t="n">
        <v>24084753</v>
      </c>
      <c r="C358" s="6" t="inlineStr">
        <is>
          <t>ACC01</t>
        </is>
      </c>
      <c r="D358" s="58" t="n">
        <v>45980.8949074074</v>
      </c>
      <c r="E358" s="58" t="n">
        <v>45986.09063657407</v>
      </c>
      <c r="F358" s="6" t="inlineStr">
        <is>
          <t>0 a 02 dias</t>
        </is>
      </c>
      <c r="G358" s="6" t="inlineStr">
        <is>
          <t>06 a 08 dias</t>
        </is>
      </c>
      <c r="H358" s="6" t="inlineStr">
        <is>
          <t>5TJUY9</t>
        </is>
      </c>
      <c r="I358" s="6" t="inlineStr">
        <is>
          <t>TMS</t>
        </is>
      </c>
      <c r="J358" s="6" t="inlineStr">
        <is>
          <t>PAULO BETENCOURT SANTOS</t>
        </is>
      </c>
      <c r="K358" s="6" t="inlineStr">
        <is>
          <t>Tms</t>
        </is>
      </c>
      <c r="L358" s="6" t="inlineStr">
        <is>
          <t>Tms</t>
        </is>
      </c>
      <c r="M358" s="58" t="n">
        <v>45980.66041666667</v>
      </c>
      <c r="N358" s="6" t="n">
        <v>89672</v>
      </c>
      <c r="O358" s="6" t="inlineStr">
        <is>
          <t>-</t>
        </is>
      </c>
      <c r="P358" s="6" t="inlineStr">
        <is>
          <t>OFF LINE</t>
        </is>
      </c>
      <c r="Q358" s="6" t="inlineStr">
        <is>
          <t>Invoice</t>
        </is>
      </c>
      <c r="R358" s="6" t="inlineStr">
        <is>
          <t>Faturado</t>
        </is>
      </c>
      <c r="S358" s="6" t="inlineStr">
        <is>
          <t>Serviço</t>
        </is>
      </c>
      <c r="T358" s="6" t="inlineStr">
        <is>
          <t>N</t>
        </is>
      </c>
      <c r="U358" s="6" t="inlineStr">
        <is>
          <t>Grupo Ocean Pact</t>
        </is>
      </c>
      <c r="V358" s="6" t="inlineStr">
        <is>
          <t>Up Offshore Apoio Maritimo</t>
        </is>
      </c>
      <c r="W358" s="6" t="inlineStr">
        <is>
          <t>-</t>
        </is>
      </c>
      <c r="X358" s="6" t="inlineStr">
        <is>
          <t>-</t>
        </is>
      </c>
      <c r="Y358" s="6" t="inlineStr">
        <is>
          <t>-</t>
        </is>
      </c>
      <c r="Z358" s="6" t="inlineStr">
        <is>
          <t>KON-OPE-RIO-POS-OCEANPACT</t>
        </is>
      </c>
      <c r="AA358" s="6" t="inlineStr">
        <is>
          <t>-</t>
        </is>
      </c>
      <c r="AB358" s="6" t="n">
        <v>94.95999999999999</v>
      </c>
      <c r="AC358" s="6" t="n">
        <v>15.19</v>
      </c>
      <c r="AD358" s="6" t="n">
        <v>0</v>
      </c>
      <c r="AE358" s="6" t="n">
        <v>0</v>
      </c>
      <c r="AF358" s="6" t="n">
        <v>0</v>
      </c>
      <c r="AG358" s="6" t="n">
        <v>0</v>
      </c>
      <c r="AH358" s="6" t="n">
        <v>0</v>
      </c>
      <c r="AI358" s="6" t="inlineStr">
        <is>
          <t>Reserva importada do Sistema TMS. OS: 89672</t>
        </is>
      </c>
      <c r="AJ358" s="6" t="inlineStr">
        <is>
          <t>Fornecedor não preenchido! (ACC01)</t>
        </is>
      </c>
      <c r="AK358" s="6" t="inlineStr">
        <is>
          <t>ARGO(TMS)</t>
        </is>
      </c>
      <c r="AL358" s="6" t="inlineStr">
        <is>
          <t>Falta de Fornecedor</t>
        </is>
      </c>
      <c r="AM358" s="6" t="inlineStr">
        <is>
          <t>Campo Fornecedor</t>
        </is>
      </c>
      <c r="AN358" s="6" t="inlineStr">
        <is>
          <t>Dados do Fornecedor</t>
        </is>
      </c>
      <c r="AO358" s="6" t="inlineStr">
        <is>
          <t>Qualidade dos dados</t>
        </is>
      </c>
      <c r="AP358" s="6" t="inlineStr">
        <is>
          <t>KONTIK BUSINESS TRAVEL</t>
        </is>
      </c>
      <c r="AQ358" s="6" t="inlineStr">
        <is>
          <t>Suporte KCS</t>
        </is>
      </c>
    </row>
    <row r="359">
      <c r="A359" s="6" t="n">
        <v>23355069</v>
      </c>
      <c r="B359" s="6" t="n">
        <v>24082050</v>
      </c>
      <c r="C359" s="6" t="inlineStr">
        <is>
          <t>ACC01</t>
        </is>
      </c>
      <c r="D359" s="58" t="n">
        <v>45980.63884259259</v>
      </c>
      <c r="E359" s="58" t="n">
        <v>45986.09055555556</v>
      </c>
      <c r="F359" s="6" t="inlineStr">
        <is>
          <t>0 a 02 dias</t>
        </is>
      </c>
      <c r="G359" s="6" t="inlineStr">
        <is>
          <t>06 a 08 dias</t>
        </is>
      </c>
      <c r="H359" s="6" t="inlineStr">
        <is>
          <t>5TWE0O</t>
        </is>
      </c>
      <c r="I359" s="6" t="inlineStr">
        <is>
          <t>TMS</t>
        </is>
      </c>
      <c r="J359" s="6" t="inlineStr">
        <is>
          <t>ISRAEL DE JESUS SANTOS</t>
        </is>
      </c>
      <c r="K359" s="6" t="inlineStr">
        <is>
          <t>Tms</t>
        </is>
      </c>
      <c r="L359" s="6" t="inlineStr">
        <is>
          <t>Tms</t>
        </is>
      </c>
      <c r="M359" s="58" t="n">
        <v>45980.50138888889</v>
      </c>
      <c r="N359" s="6" t="n">
        <v>89568</v>
      </c>
      <c r="O359" s="6" t="inlineStr">
        <is>
          <t>-</t>
        </is>
      </c>
      <c r="P359" s="6" t="inlineStr">
        <is>
          <t>OFF LINE</t>
        </is>
      </c>
      <c r="Q359" s="6" t="inlineStr">
        <is>
          <t>Invoice</t>
        </is>
      </c>
      <c r="R359" s="6" t="inlineStr">
        <is>
          <t>Faturado</t>
        </is>
      </c>
      <c r="S359" s="6" t="inlineStr">
        <is>
          <t>Serviço</t>
        </is>
      </c>
      <c r="T359" s="6" t="inlineStr">
        <is>
          <t>N</t>
        </is>
      </c>
      <c r="U359" s="6" t="inlineStr">
        <is>
          <t>Grupo Ocean Pact</t>
        </is>
      </c>
      <c r="V359" s="6" t="inlineStr">
        <is>
          <t>Oceanpact Marau Navegacao</t>
        </is>
      </c>
      <c r="W359" s="6" t="inlineStr">
        <is>
          <t>-</t>
        </is>
      </c>
      <c r="X359" s="6" t="inlineStr">
        <is>
          <t>-</t>
        </is>
      </c>
      <c r="Y359" s="6" t="inlineStr">
        <is>
          <t>-</t>
        </is>
      </c>
      <c r="Z359" s="6" t="inlineStr">
        <is>
          <t>KON-OPE-RIO-POS-OCEANPACT</t>
        </is>
      </c>
      <c r="AA359" s="6" t="inlineStr">
        <is>
          <t>-</t>
        </is>
      </c>
      <c r="AB359" s="6" t="n">
        <v>81.12</v>
      </c>
      <c r="AC359" s="6" t="n">
        <v>12.98</v>
      </c>
      <c r="AD359" s="6" t="n">
        <v>0</v>
      </c>
      <c r="AE359" s="6" t="n">
        <v>0</v>
      </c>
      <c r="AF359" s="6" t="n">
        <v>0</v>
      </c>
      <c r="AG359" s="6" t="n">
        <v>0</v>
      </c>
      <c r="AH359" s="6" t="n">
        <v>0</v>
      </c>
      <c r="AI359" s="6" t="inlineStr">
        <is>
          <t>Reserva importada do Sistema TMS. OS: 89568</t>
        </is>
      </c>
      <c r="AJ359" s="6" t="inlineStr">
        <is>
          <t>Fornecedor não preenchido! (ACC01)</t>
        </is>
      </c>
      <c r="AK359" s="6" t="inlineStr">
        <is>
          <t>ARGO(TMS)</t>
        </is>
      </c>
      <c r="AL359" s="6" t="inlineStr">
        <is>
          <t>Falta de Fornecedor</t>
        </is>
      </c>
      <c r="AM359" s="6" t="inlineStr">
        <is>
          <t>Campo Fornecedor</t>
        </is>
      </c>
      <c r="AN359" s="6" t="inlineStr">
        <is>
          <t>Dados do Fornecedor</t>
        </is>
      </c>
      <c r="AO359" s="6" t="inlineStr">
        <is>
          <t>Qualidade dos dados</t>
        </is>
      </c>
      <c r="AP359" s="6" t="inlineStr">
        <is>
          <t>KONTIK BUSINESS TRAVEL</t>
        </is>
      </c>
      <c r="AQ359" s="6" t="inlineStr">
        <is>
          <t>Suporte KCS</t>
        </is>
      </c>
    </row>
    <row r="360">
      <c r="A360" s="6" t="n">
        <v>23355137</v>
      </c>
      <c r="B360" s="6" t="n">
        <v>24082117</v>
      </c>
      <c r="C360" s="6" t="inlineStr">
        <is>
          <t>ACC01</t>
        </is>
      </c>
      <c r="D360" s="58" t="n">
        <v>45980.64104166667</v>
      </c>
      <c r="E360" s="58" t="n">
        <v>45986.09061342593</v>
      </c>
      <c r="F360" s="6" t="inlineStr">
        <is>
          <t>0 a 02 dias</t>
        </is>
      </c>
      <c r="G360" s="6" t="inlineStr">
        <is>
          <t>06 a 08 dias</t>
        </is>
      </c>
      <c r="H360" s="6" t="inlineStr">
        <is>
          <t>5TL7BL</t>
        </is>
      </c>
      <c r="I360" s="6" t="inlineStr">
        <is>
          <t>TMS</t>
        </is>
      </c>
      <c r="J360" s="6" t="inlineStr">
        <is>
          <t>RAILSON MORES</t>
        </is>
      </c>
      <c r="K360" s="6" t="inlineStr">
        <is>
          <t>Tms</t>
        </is>
      </c>
      <c r="L360" s="6" t="inlineStr">
        <is>
          <t>Tms</t>
        </is>
      </c>
      <c r="M360" s="58" t="n">
        <v>45979.70833333334</v>
      </c>
      <c r="N360" s="6" t="n">
        <v>89462</v>
      </c>
      <c r="O360" s="6" t="inlineStr">
        <is>
          <t>-</t>
        </is>
      </c>
      <c r="P360" s="6" t="inlineStr">
        <is>
          <t>OFF LINE</t>
        </is>
      </c>
      <c r="Q360" s="6" t="inlineStr">
        <is>
          <t>Invoice</t>
        </is>
      </c>
      <c r="R360" s="6" t="inlineStr">
        <is>
          <t>Faturado</t>
        </is>
      </c>
      <c r="S360" s="6" t="inlineStr">
        <is>
          <t>Serviço</t>
        </is>
      </c>
      <c r="T360" s="6" t="inlineStr">
        <is>
          <t>N</t>
        </is>
      </c>
      <c r="U360" s="6" t="inlineStr">
        <is>
          <t>Grupo Ocean Pact</t>
        </is>
      </c>
      <c r="V360" s="6" t="inlineStr">
        <is>
          <t>Oceanpact Marau Navegacao</t>
        </is>
      </c>
      <c r="W360" s="6" t="inlineStr">
        <is>
          <t>-</t>
        </is>
      </c>
      <c r="X360" s="6" t="inlineStr">
        <is>
          <t>-</t>
        </is>
      </c>
      <c r="Y360" s="6" t="inlineStr">
        <is>
          <t>-</t>
        </is>
      </c>
      <c r="Z360" s="6" t="inlineStr">
        <is>
          <t>KON-OPE-RIO-POS-OCEANPACT</t>
        </is>
      </c>
      <c r="AA360" s="6" t="inlineStr">
        <is>
          <t>-</t>
        </is>
      </c>
      <c r="AB360" s="6" t="n">
        <v>99.5</v>
      </c>
      <c r="AC360" s="6" t="n">
        <v>15.92</v>
      </c>
      <c r="AD360" s="6" t="n">
        <v>0</v>
      </c>
      <c r="AE360" s="6" t="n">
        <v>0</v>
      </c>
      <c r="AF360" s="6" t="n">
        <v>0</v>
      </c>
      <c r="AG360" s="6" t="n">
        <v>0</v>
      </c>
      <c r="AH360" s="6" t="n">
        <v>0</v>
      </c>
      <c r="AI360" s="6" t="inlineStr">
        <is>
          <t>Reserva importada do Sistema TMS. OS: 89462</t>
        </is>
      </c>
      <c r="AJ360" s="6" t="inlineStr">
        <is>
          <t>Fornecedor não preenchido! (ACC01)</t>
        </is>
      </c>
      <c r="AK360" s="6" t="inlineStr">
        <is>
          <t>ARGO(TMS)</t>
        </is>
      </c>
      <c r="AL360" s="6" t="inlineStr">
        <is>
          <t>Falta de Fornecedor</t>
        </is>
      </c>
      <c r="AM360" s="6" t="inlineStr">
        <is>
          <t>Campo Fornecedor</t>
        </is>
      </c>
      <c r="AN360" s="6" t="inlineStr">
        <is>
          <t>Dados do Fornecedor</t>
        </is>
      </c>
      <c r="AO360" s="6" t="inlineStr">
        <is>
          <t>Qualidade dos dados</t>
        </is>
      </c>
      <c r="AP360" s="6" t="inlineStr">
        <is>
          <t>KONTIK BUSINESS TRAVEL</t>
        </is>
      </c>
      <c r="AQ360" s="6" t="inlineStr">
        <is>
          <t>Suporte KCS</t>
        </is>
      </c>
    </row>
    <row r="361">
      <c r="A361" s="6" t="n">
        <v>23355076</v>
      </c>
      <c r="B361" s="6" t="n">
        <v>24082056</v>
      </c>
      <c r="C361" s="6" t="inlineStr">
        <is>
          <t>ACC01</t>
        </is>
      </c>
      <c r="D361" s="58" t="n">
        <v>45980.63902777778</v>
      </c>
      <c r="E361" s="58" t="n">
        <v>45986.09055555556</v>
      </c>
      <c r="F361" s="6" t="inlineStr">
        <is>
          <t>0 a 02 dias</t>
        </is>
      </c>
      <c r="G361" s="6" t="inlineStr">
        <is>
          <t>06 a 08 dias</t>
        </is>
      </c>
      <c r="H361" s="6" t="inlineStr">
        <is>
          <t>5TTDPN</t>
        </is>
      </c>
      <c r="I361" s="6" t="inlineStr">
        <is>
          <t>TMS</t>
        </is>
      </c>
      <c r="J361" s="6" t="inlineStr">
        <is>
          <t>LEONARDO GORCHINSKY MARQUES</t>
        </is>
      </c>
      <c r="K361" s="6" t="inlineStr">
        <is>
          <t>Tms</t>
        </is>
      </c>
      <c r="L361" s="6" t="inlineStr">
        <is>
          <t>Tms</t>
        </is>
      </c>
      <c r="M361" s="58" t="n">
        <v>45980.50138888889</v>
      </c>
      <c r="N361" s="6" t="n">
        <v>89562</v>
      </c>
      <c r="O361" s="6" t="inlineStr">
        <is>
          <t>-</t>
        </is>
      </c>
      <c r="P361" s="6" t="inlineStr">
        <is>
          <t>OFF LINE</t>
        </is>
      </c>
      <c r="Q361" s="6" t="inlineStr">
        <is>
          <t>Invoice</t>
        </is>
      </c>
      <c r="R361" s="6" t="inlineStr">
        <is>
          <t>Faturado</t>
        </is>
      </c>
      <c r="S361" s="6" t="inlineStr">
        <is>
          <t>Serviço</t>
        </is>
      </c>
      <c r="T361" s="6" t="inlineStr">
        <is>
          <t>N</t>
        </is>
      </c>
      <c r="U361" s="6" t="inlineStr">
        <is>
          <t>Grupo Ocean Pact</t>
        </is>
      </c>
      <c r="V361" s="6" t="inlineStr">
        <is>
          <t>Oceanpact Marau Navegacao</t>
        </is>
      </c>
      <c r="W361" s="6" t="inlineStr">
        <is>
          <t>-</t>
        </is>
      </c>
      <c r="X361" s="6" t="inlineStr">
        <is>
          <t>-</t>
        </is>
      </c>
      <c r="Y361" s="6" t="inlineStr">
        <is>
          <t>-</t>
        </is>
      </c>
      <c r="Z361" s="6" t="inlineStr">
        <is>
          <t>KON-OPE-RIO-POS-OCEANPACT</t>
        </is>
      </c>
      <c r="AA361" s="6" t="inlineStr">
        <is>
          <t>-</t>
        </is>
      </c>
      <c r="AB361" s="6" t="n">
        <v>67.23</v>
      </c>
      <c r="AC361" s="6" t="n">
        <v>22.05</v>
      </c>
      <c r="AD361" s="6" t="n">
        <v>0</v>
      </c>
      <c r="AE361" s="6" t="n">
        <v>0</v>
      </c>
      <c r="AF361" s="6" t="n">
        <v>0</v>
      </c>
      <c r="AG361" s="6" t="n">
        <v>0</v>
      </c>
      <c r="AH361" s="6" t="n">
        <v>0</v>
      </c>
      <c r="AI361" s="6" t="inlineStr">
        <is>
          <t>Reserva importada do Sistema TMS. OS: 89562</t>
        </is>
      </c>
      <c r="AJ361" s="6" t="inlineStr">
        <is>
          <t>Fornecedor não preenchido! (ACC01)</t>
        </is>
      </c>
      <c r="AK361" s="6" t="inlineStr">
        <is>
          <t>ARGO(TMS)</t>
        </is>
      </c>
      <c r="AL361" s="6" t="inlineStr">
        <is>
          <t>Falta de Fornecedor</t>
        </is>
      </c>
      <c r="AM361" s="6" t="inlineStr">
        <is>
          <t>Campo Fornecedor</t>
        </is>
      </c>
      <c r="AN361" s="6" t="inlineStr">
        <is>
          <t>Dados do Fornecedor</t>
        </is>
      </c>
      <c r="AO361" s="6" t="inlineStr">
        <is>
          <t>Qualidade dos dados</t>
        </is>
      </c>
      <c r="AP361" s="6" t="inlineStr">
        <is>
          <t>KONTIK BUSINESS TRAVEL</t>
        </is>
      </c>
      <c r="AQ361" s="6" t="inlineStr">
        <is>
          <t>Suporte KCS</t>
        </is>
      </c>
    </row>
    <row r="362">
      <c r="A362" s="6" t="n">
        <v>23355082</v>
      </c>
      <c r="B362" s="6" t="n">
        <v>24082063</v>
      </c>
      <c r="C362" s="6" t="inlineStr">
        <is>
          <t>ACC01</t>
        </is>
      </c>
      <c r="D362" s="58" t="n">
        <v>45980.63927083334</v>
      </c>
      <c r="E362" s="58" t="n">
        <v>45986.09056712963</v>
      </c>
      <c r="F362" s="6" t="inlineStr">
        <is>
          <t>0 a 02 dias</t>
        </is>
      </c>
      <c r="G362" s="6" t="inlineStr">
        <is>
          <t>06 a 08 dias</t>
        </is>
      </c>
      <c r="H362" s="6" t="inlineStr">
        <is>
          <t>5TBRPO</t>
        </is>
      </c>
      <c r="I362" s="6" t="inlineStr">
        <is>
          <t>TMS</t>
        </is>
      </c>
      <c r="J362" s="6" t="inlineStr">
        <is>
          <t>ERICK THURLER</t>
        </is>
      </c>
      <c r="K362" s="6" t="inlineStr">
        <is>
          <t>Tms</t>
        </is>
      </c>
      <c r="L362" s="6" t="inlineStr">
        <is>
          <t>Tms</t>
        </is>
      </c>
      <c r="M362" s="58" t="n">
        <v>45980.50069444445</v>
      </c>
      <c r="N362" s="6" t="n">
        <v>89553</v>
      </c>
      <c r="O362" s="6" t="inlineStr">
        <is>
          <t>-</t>
        </is>
      </c>
      <c r="P362" s="6" t="inlineStr">
        <is>
          <t>OFF LINE</t>
        </is>
      </c>
      <c r="Q362" s="6" t="inlineStr">
        <is>
          <t>Invoice</t>
        </is>
      </c>
      <c r="R362" s="6" t="inlineStr">
        <is>
          <t>Faturado</t>
        </is>
      </c>
      <c r="S362" s="6" t="inlineStr">
        <is>
          <t>Serviço</t>
        </is>
      </c>
      <c r="T362" s="6" t="inlineStr">
        <is>
          <t>N</t>
        </is>
      </c>
      <c r="U362" s="6" t="inlineStr">
        <is>
          <t>Grupo Ocean Pact</t>
        </is>
      </c>
      <c r="V362" s="6" t="inlineStr">
        <is>
          <t>Oceanpact Marau Navegacao</t>
        </is>
      </c>
      <c r="W362" s="6" t="inlineStr">
        <is>
          <t>-</t>
        </is>
      </c>
      <c r="X362" s="6" t="inlineStr">
        <is>
          <t>-</t>
        </is>
      </c>
      <c r="Y362" s="6" t="inlineStr">
        <is>
          <t>-</t>
        </is>
      </c>
      <c r="Z362" s="6" t="inlineStr">
        <is>
          <t>KON-OPE-RIO-POS-OCEANPACT</t>
        </is>
      </c>
      <c r="AA362" s="6" t="inlineStr">
        <is>
          <t>-</t>
        </is>
      </c>
      <c r="AB362" s="6" t="n">
        <v>72.11</v>
      </c>
      <c r="AC362" s="6" t="n">
        <v>11.54</v>
      </c>
      <c r="AD362" s="6" t="n">
        <v>0</v>
      </c>
      <c r="AE362" s="6" t="n">
        <v>0</v>
      </c>
      <c r="AF362" s="6" t="n">
        <v>0</v>
      </c>
      <c r="AG362" s="6" t="n">
        <v>0</v>
      </c>
      <c r="AH362" s="6" t="n">
        <v>0</v>
      </c>
      <c r="AI362" s="6" t="inlineStr">
        <is>
          <t>Reserva importada do Sistema TMS. OS: 89553</t>
        </is>
      </c>
      <c r="AJ362" s="6" t="inlineStr">
        <is>
          <t>Fornecedor não preenchido! (ACC01)</t>
        </is>
      </c>
      <c r="AK362" s="6" t="inlineStr">
        <is>
          <t>ARGO(TMS)</t>
        </is>
      </c>
      <c r="AL362" s="6" t="inlineStr">
        <is>
          <t>Falta de Fornecedor</t>
        </is>
      </c>
      <c r="AM362" s="6" t="inlineStr">
        <is>
          <t>Campo Fornecedor</t>
        </is>
      </c>
      <c r="AN362" s="6" t="inlineStr">
        <is>
          <t>Dados do Fornecedor</t>
        </is>
      </c>
      <c r="AO362" s="6" t="inlineStr">
        <is>
          <t>Qualidade dos dados</t>
        </is>
      </c>
      <c r="AP362" s="6" t="inlineStr">
        <is>
          <t>KONTIK BUSINESS TRAVEL</t>
        </is>
      </c>
      <c r="AQ362" s="6" t="inlineStr">
        <is>
          <t>Suporte KCS</t>
        </is>
      </c>
    </row>
    <row r="363">
      <c r="A363" s="6" t="n">
        <v>23355084</v>
      </c>
      <c r="B363" s="6" t="n">
        <v>24082065</v>
      </c>
      <c r="C363" s="6" t="inlineStr">
        <is>
          <t>ACC01</t>
        </is>
      </c>
      <c r="D363" s="58" t="n">
        <v>45980.63934027778</v>
      </c>
      <c r="E363" s="58" t="n">
        <v>45986.09056712963</v>
      </c>
      <c r="F363" s="6" t="inlineStr">
        <is>
          <t>0 a 02 dias</t>
        </is>
      </c>
      <c r="G363" s="6" t="inlineStr">
        <is>
          <t>06 a 08 dias</t>
        </is>
      </c>
      <c r="H363" s="6" t="inlineStr">
        <is>
          <t>5TQVP9</t>
        </is>
      </c>
      <c r="I363" s="6" t="inlineStr">
        <is>
          <t>TMS</t>
        </is>
      </c>
      <c r="J363" s="6" t="inlineStr">
        <is>
          <t>FAGNER AREIAS</t>
        </is>
      </c>
      <c r="K363" s="6" t="inlineStr">
        <is>
          <t>Tms</t>
        </is>
      </c>
      <c r="L363" s="6" t="inlineStr">
        <is>
          <t>Tms</t>
        </is>
      </c>
      <c r="M363" s="58" t="n">
        <v>45980.50069444445</v>
      </c>
      <c r="N363" s="6" t="n">
        <v>89551</v>
      </c>
      <c r="O363" s="6" t="inlineStr">
        <is>
          <t>-</t>
        </is>
      </c>
      <c r="P363" s="6" t="inlineStr">
        <is>
          <t>OFF LINE</t>
        </is>
      </c>
      <c r="Q363" s="6" t="inlineStr">
        <is>
          <t>Invoice</t>
        </is>
      </c>
      <c r="R363" s="6" t="inlineStr">
        <is>
          <t>Faturado</t>
        </is>
      </c>
      <c r="S363" s="6" t="inlineStr">
        <is>
          <t>Serviço</t>
        </is>
      </c>
      <c r="T363" s="6" t="inlineStr">
        <is>
          <t>N</t>
        </is>
      </c>
      <c r="U363" s="6" t="inlineStr">
        <is>
          <t>Grupo Ocean Pact</t>
        </is>
      </c>
      <c r="V363" s="6" t="inlineStr">
        <is>
          <t>Oceanpact Marau Navegacao</t>
        </is>
      </c>
      <c r="W363" s="6" t="inlineStr">
        <is>
          <t>-</t>
        </is>
      </c>
      <c r="X363" s="6" t="inlineStr">
        <is>
          <t>-</t>
        </is>
      </c>
      <c r="Y363" s="6" t="inlineStr">
        <is>
          <t>-</t>
        </is>
      </c>
      <c r="Z363" s="6" t="inlineStr">
        <is>
          <t>KON-OPE-RIO-POS-OCEANPACT</t>
        </is>
      </c>
      <c r="AA363" s="6" t="inlineStr">
        <is>
          <t>-</t>
        </is>
      </c>
      <c r="AB363" s="6" t="n">
        <v>79.23999999999999</v>
      </c>
      <c r="AC363" s="6" t="n">
        <v>12.68</v>
      </c>
      <c r="AD363" s="6" t="n">
        <v>0</v>
      </c>
      <c r="AE363" s="6" t="n">
        <v>0</v>
      </c>
      <c r="AF363" s="6" t="n">
        <v>0</v>
      </c>
      <c r="AG363" s="6" t="n">
        <v>0</v>
      </c>
      <c r="AH363" s="6" t="n">
        <v>0</v>
      </c>
      <c r="AI363" s="6" t="inlineStr">
        <is>
          <t>Reserva importada do Sistema TMS. OS: 89551</t>
        </is>
      </c>
      <c r="AJ363" s="6" t="inlineStr">
        <is>
          <t>Fornecedor não preenchido! (ACC01)</t>
        </is>
      </c>
      <c r="AK363" s="6" t="inlineStr">
        <is>
          <t>ARGO(TMS)</t>
        </is>
      </c>
      <c r="AL363" s="6" t="inlineStr">
        <is>
          <t>Falta de Fornecedor</t>
        </is>
      </c>
      <c r="AM363" s="6" t="inlineStr">
        <is>
          <t>Campo Fornecedor</t>
        </is>
      </c>
      <c r="AN363" s="6" t="inlineStr">
        <is>
          <t>Dados do Fornecedor</t>
        </is>
      </c>
      <c r="AO363" s="6" t="inlineStr">
        <is>
          <t>Qualidade dos dados</t>
        </is>
      </c>
      <c r="AP363" s="6" t="inlineStr">
        <is>
          <t>KONTIK BUSINESS TRAVEL</t>
        </is>
      </c>
      <c r="AQ363" s="6" t="inlineStr">
        <is>
          <t>Suporte KCS</t>
        </is>
      </c>
    </row>
    <row r="364">
      <c r="A364" s="6" t="n">
        <v>23355138</v>
      </c>
      <c r="B364" s="6" t="n">
        <v>24082118</v>
      </c>
      <c r="C364" s="6" t="inlineStr">
        <is>
          <t>ACC01</t>
        </is>
      </c>
      <c r="D364" s="58" t="n">
        <v>45980.64105324074</v>
      </c>
      <c r="E364" s="58" t="n">
        <v>45986.090625</v>
      </c>
      <c r="F364" s="6" t="inlineStr">
        <is>
          <t>0 a 02 dias</t>
        </is>
      </c>
      <c r="G364" s="6" t="inlineStr">
        <is>
          <t>06 a 08 dias</t>
        </is>
      </c>
      <c r="H364" s="6" t="inlineStr">
        <is>
          <t>5TM8ML</t>
        </is>
      </c>
      <c r="I364" s="6" t="inlineStr">
        <is>
          <t>TMS</t>
        </is>
      </c>
      <c r="J364" s="6" t="inlineStr">
        <is>
          <t>RAILSON MORES</t>
        </is>
      </c>
      <c r="K364" s="6" t="inlineStr">
        <is>
          <t>Tms</t>
        </is>
      </c>
      <c r="L364" s="6" t="inlineStr">
        <is>
          <t>Tms</t>
        </is>
      </c>
      <c r="M364" s="58" t="n">
        <v>45979.70833333334</v>
      </c>
      <c r="N364" s="6" t="n">
        <v>89462</v>
      </c>
      <c r="O364" s="6" t="inlineStr">
        <is>
          <t>-</t>
        </is>
      </c>
      <c r="P364" s="6" t="inlineStr">
        <is>
          <t>OFF LINE</t>
        </is>
      </c>
      <c r="Q364" s="6" t="inlineStr">
        <is>
          <t>Invoice</t>
        </is>
      </c>
      <c r="R364" s="6" t="inlineStr">
        <is>
          <t>Faturado</t>
        </is>
      </c>
      <c r="S364" s="6" t="inlineStr">
        <is>
          <t>Serviço</t>
        </is>
      </c>
      <c r="T364" s="6" t="inlineStr">
        <is>
          <t>N</t>
        </is>
      </c>
      <c r="U364" s="6" t="inlineStr">
        <is>
          <t>Grupo Ocean Pact</t>
        </is>
      </c>
      <c r="V364" s="6" t="inlineStr">
        <is>
          <t>Oceanpact Marau Navegacao</t>
        </is>
      </c>
      <c r="W364" s="6" t="inlineStr">
        <is>
          <t>-</t>
        </is>
      </c>
      <c r="X364" s="6" t="inlineStr">
        <is>
          <t>-</t>
        </is>
      </c>
      <c r="Y364" s="6" t="inlineStr">
        <is>
          <t>-</t>
        </is>
      </c>
      <c r="Z364" s="6" t="inlineStr">
        <is>
          <t>KON-OPE-RIO-POS-OCEANPACT</t>
        </is>
      </c>
      <c r="AA364" s="6" t="inlineStr">
        <is>
          <t>-</t>
        </is>
      </c>
      <c r="AB364" s="6" t="n">
        <v>101.92</v>
      </c>
      <c r="AC364" s="6" t="n">
        <v>16.31</v>
      </c>
      <c r="AD364" s="6" t="n">
        <v>0</v>
      </c>
      <c r="AE364" s="6" t="n">
        <v>0</v>
      </c>
      <c r="AF364" s="6" t="n">
        <v>0</v>
      </c>
      <c r="AG364" s="6" t="n">
        <v>0</v>
      </c>
      <c r="AH364" s="6" t="n">
        <v>0</v>
      </c>
      <c r="AI364" s="6" t="inlineStr">
        <is>
          <t>Reserva importada do Sistema TMS. OS: 89462</t>
        </is>
      </c>
      <c r="AJ364" s="6" t="inlineStr">
        <is>
          <t>Fornecedor não preenchido! (ACC01)</t>
        </is>
      </c>
      <c r="AK364" s="6" t="inlineStr">
        <is>
          <t>ARGO(TMS)</t>
        </is>
      </c>
      <c r="AL364" s="6" t="inlineStr">
        <is>
          <t>Falta de Fornecedor</t>
        </is>
      </c>
      <c r="AM364" s="6" t="inlineStr">
        <is>
          <t>Campo Fornecedor</t>
        </is>
      </c>
      <c r="AN364" s="6" t="inlineStr">
        <is>
          <t>Dados do Fornecedor</t>
        </is>
      </c>
      <c r="AO364" s="6" t="inlineStr">
        <is>
          <t>Qualidade dos dados</t>
        </is>
      </c>
      <c r="AP364" s="6" t="inlineStr">
        <is>
          <t>KONTIK BUSINESS TRAVEL</t>
        </is>
      </c>
      <c r="AQ364" s="6" t="inlineStr">
        <is>
          <t>Suporte KCS</t>
        </is>
      </c>
    </row>
    <row r="365">
      <c r="A365" s="6" t="n">
        <v>23355142</v>
      </c>
      <c r="B365" s="6" t="n">
        <v>24082121</v>
      </c>
      <c r="C365" s="6" t="inlineStr">
        <is>
          <t>ACC01</t>
        </is>
      </c>
      <c r="D365" s="58" t="n">
        <v>45980.64112268519</v>
      </c>
      <c r="E365" s="58" t="n">
        <v>45986.090625</v>
      </c>
      <c r="F365" s="6" t="inlineStr">
        <is>
          <t>0 a 02 dias</t>
        </is>
      </c>
      <c r="G365" s="6" t="inlineStr">
        <is>
          <t>06 a 08 dias</t>
        </is>
      </c>
      <c r="H365" s="6" t="inlineStr">
        <is>
          <t>5TQ8PL</t>
        </is>
      </c>
      <c r="I365" s="6" t="inlineStr">
        <is>
          <t>TMS</t>
        </is>
      </c>
      <c r="J365" s="6" t="inlineStr">
        <is>
          <t>BERNATO DAS GRAÇAS DE BRITO JUNIOR</t>
        </is>
      </c>
      <c r="K365" s="6" t="inlineStr">
        <is>
          <t>Tms</t>
        </is>
      </c>
      <c r="L365" s="6" t="inlineStr">
        <is>
          <t>Tms</t>
        </is>
      </c>
      <c r="M365" s="58" t="n">
        <v>45979.6375</v>
      </c>
      <c r="N365" s="6" t="n">
        <v>89453</v>
      </c>
      <c r="O365" s="6" t="inlineStr">
        <is>
          <t>-</t>
        </is>
      </c>
      <c r="P365" s="6" t="inlineStr">
        <is>
          <t>OFF LINE</t>
        </is>
      </c>
      <c r="Q365" s="6" t="inlineStr">
        <is>
          <t>Invoice</t>
        </is>
      </c>
      <c r="R365" s="6" t="inlineStr">
        <is>
          <t>Faturado</t>
        </is>
      </c>
      <c r="S365" s="6" t="inlineStr">
        <is>
          <t>Serviço</t>
        </is>
      </c>
      <c r="T365" s="6" t="inlineStr">
        <is>
          <t>N</t>
        </is>
      </c>
      <c r="U365" s="6" t="inlineStr">
        <is>
          <t>Grupo Ocean Pact</t>
        </is>
      </c>
      <c r="V365" s="6" t="inlineStr">
        <is>
          <t>Oceanpact Marau Navegacao</t>
        </is>
      </c>
      <c r="W365" s="6" t="inlineStr">
        <is>
          <t>-</t>
        </is>
      </c>
      <c r="X365" s="6" t="inlineStr">
        <is>
          <t>-</t>
        </is>
      </c>
      <c r="Y365" s="6" t="inlineStr">
        <is>
          <t>-</t>
        </is>
      </c>
      <c r="Z365" s="6" t="inlineStr">
        <is>
          <t>KON-OPE-RIO-POS-OCEANPACT</t>
        </is>
      </c>
      <c r="AA365" s="6" t="inlineStr">
        <is>
          <t>-</t>
        </is>
      </c>
      <c r="AB365" s="6" t="n">
        <v>81.12</v>
      </c>
      <c r="AC365" s="6" t="n">
        <v>12.98</v>
      </c>
      <c r="AD365" s="6" t="n">
        <v>0</v>
      </c>
      <c r="AE365" s="6" t="n">
        <v>0</v>
      </c>
      <c r="AF365" s="6" t="n">
        <v>0</v>
      </c>
      <c r="AG365" s="6" t="n">
        <v>0</v>
      </c>
      <c r="AH365" s="6" t="n">
        <v>0</v>
      </c>
      <c r="AI365" s="6" t="inlineStr">
        <is>
          <t>Reserva importada do Sistema TMS. OS: 89453</t>
        </is>
      </c>
      <c r="AJ365" s="6" t="inlineStr">
        <is>
          <t>Fornecedor não preenchido! (ACC01)</t>
        </is>
      </c>
      <c r="AK365" s="6" t="inlineStr">
        <is>
          <t>ARGO(TMS)</t>
        </is>
      </c>
      <c r="AL365" s="6" t="inlineStr">
        <is>
          <t>Falta de Fornecedor</t>
        </is>
      </c>
      <c r="AM365" s="6" t="inlineStr">
        <is>
          <t>Campo Fornecedor</t>
        </is>
      </c>
      <c r="AN365" s="6" t="inlineStr">
        <is>
          <t>Dados do Fornecedor</t>
        </is>
      </c>
      <c r="AO365" s="6" t="inlineStr">
        <is>
          <t>Qualidade dos dados</t>
        </is>
      </c>
      <c r="AP365" s="6" t="inlineStr">
        <is>
          <t>KONTIK BUSINESS TRAVEL</t>
        </is>
      </c>
      <c r="AQ365" s="6" t="inlineStr">
        <is>
          <t>Suporte KCS</t>
        </is>
      </c>
    </row>
    <row r="366">
      <c r="A366" s="6" t="n">
        <v>23348184</v>
      </c>
      <c r="B366" s="6" t="n">
        <v>24075578</v>
      </c>
      <c r="C366" s="6" t="inlineStr">
        <is>
          <t>ACC01</t>
        </is>
      </c>
      <c r="D366" s="58" t="n">
        <v>45979.625</v>
      </c>
      <c r="E366" s="58" t="n">
        <v>45986.08701388889</v>
      </c>
      <c r="F366" s="6" t="inlineStr">
        <is>
          <t>0 a 02 dias</t>
        </is>
      </c>
      <c r="G366" s="6" t="inlineStr">
        <is>
          <t>06 a 08 dias</t>
        </is>
      </c>
      <c r="H366" s="6" t="inlineStr">
        <is>
          <t>5T7KY7</t>
        </is>
      </c>
      <c r="I366" s="6" t="inlineStr">
        <is>
          <t>TMS</t>
        </is>
      </c>
      <c r="J366" s="6" t="inlineStr">
        <is>
          <t>ALEX MOTTA BORGES</t>
        </is>
      </c>
      <c r="K366" s="6" t="inlineStr">
        <is>
          <t>Tms</t>
        </is>
      </c>
      <c r="L366" s="6" t="inlineStr">
        <is>
          <t>Tms</t>
        </is>
      </c>
      <c r="M366" s="58" t="n">
        <v>45979.38958333333</v>
      </c>
      <c r="N366" s="6" t="n">
        <v>89345</v>
      </c>
      <c r="O366" s="6" t="inlineStr">
        <is>
          <t>-</t>
        </is>
      </c>
      <c r="P366" s="6" t="inlineStr">
        <is>
          <t>OFF LINE</t>
        </is>
      </c>
      <c r="Q366" s="6" t="inlineStr">
        <is>
          <t>Invoice</t>
        </is>
      </c>
      <c r="R366" s="6" t="inlineStr">
        <is>
          <t>Faturado</t>
        </is>
      </c>
      <c r="S366" s="6" t="inlineStr">
        <is>
          <t>Serviço</t>
        </is>
      </c>
      <c r="T366" s="6" t="inlineStr">
        <is>
          <t>N</t>
        </is>
      </c>
      <c r="U366" s="6" t="inlineStr">
        <is>
          <t>Grupo Ocean Pact</t>
        </is>
      </c>
      <c r="V366" s="6" t="inlineStr">
        <is>
          <t>Oceanpact Servicos Maritimos</t>
        </is>
      </c>
      <c r="W366" s="6" t="inlineStr">
        <is>
          <t>-</t>
        </is>
      </c>
      <c r="X366" s="6" t="inlineStr">
        <is>
          <t>-</t>
        </is>
      </c>
      <c r="Y366" s="6" t="inlineStr">
        <is>
          <t>-</t>
        </is>
      </c>
      <c r="Z366" s="6" t="inlineStr">
        <is>
          <t>KON-OPE-RIO-POS-OCEANPACT</t>
        </is>
      </c>
      <c r="AA366" s="6" t="inlineStr">
        <is>
          <t>-</t>
        </is>
      </c>
      <c r="AB366" s="6" t="n">
        <v>59.4</v>
      </c>
      <c r="AC366" s="6" t="n">
        <v>20.64</v>
      </c>
      <c r="AD366" s="6" t="n">
        <v>0</v>
      </c>
      <c r="AE366" s="6" t="n">
        <v>0</v>
      </c>
      <c r="AF366" s="6" t="n">
        <v>0</v>
      </c>
      <c r="AG366" s="6" t="n">
        <v>0</v>
      </c>
      <c r="AH366" s="6" t="n">
        <v>0</v>
      </c>
      <c r="AI366" s="6" t="inlineStr">
        <is>
          <t>Reserva importada do Sistema TMS. OS: 89345</t>
        </is>
      </c>
      <c r="AJ366" s="6" t="inlineStr">
        <is>
          <t>Fornecedor não preenchido! (ACC01)</t>
        </is>
      </c>
      <c r="AK366" s="6" t="inlineStr">
        <is>
          <t>ARGO(TMS)</t>
        </is>
      </c>
      <c r="AL366" s="6" t="inlineStr">
        <is>
          <t>Falta de Fornecedor</t>
        </is>
      </c>
      <c r="AM366" s="6" t="inlineStr">
        <is>
          <t>Campo Fornecedor</t>
        </is>
      </c>
      <c r="AN366" s="6" t="inlineStr">
        <is>
          <t>Dados do Fornecedor</t>
        </is>
      </c>
      <c r="AO366" s="6" t="inlineStr">
        <is>
          <t>Qualidade dos dados</t>
        </is>
      </c>
      <c r="AP366" s="6" t="inlineStr">
        <is>
          <t>KONTIK BUSINESS TRAVEL</t>
        </is>
      </c>
      <c r="AQ366" s="6" t="inlineStr">
        <is>
          <t>Suporte KCS</t>
        </is>
      </c>
    </row>
    <row r="367">
      <c r="A367" s="6" t="n">
        <v>23348186</v>
      </c>
      <c r="B367" s="6" t="n">
        <v>24075580</v>
      </c>
      <c r="C367" s="6" t="inlineStr">
        <is>
          <t>ACC01</t>
        </is>
      </c>
      <c r="D367" s="58" t="n">
        <v>45979.62508101852</v>
      </c>
      <c r="E367" s="58" t="n">
        <v>45986.08701388889</v>
      </c>
      <c r="F367" s="6" t="inlineStr">
        <is>
          <t>0 a 02 dias</t>
        </is>
      </c>
      <c r="G367" s="6" t="inlineStr">
        <is>
          <t>06 a 08 dias</t>
        </is>
      </c>
      <c r="H367" s="6" t="inlineStr">
        <is>
          <t>5TLKYJ</t>
        </is>
      </c>
      <c r="I367" s="6" t="inlineStr">
        <is>
          <t>TMS</t>
        </is>
      </c>
      <c r="J367" s="6" t="inlineStr">
        <is>
          <t>MARCO TEIXEIRA JUNIOR</t>
        </is>
      </c>
      <c r="K367" s="6" t="inlineStr">
        <is>
          <t>Tms</t>
        </is>
      </c>
      <c r="L367" s="6" t="inlineStr">
        <is>
          <t>Tms</t>
        </is>
      </c>
      <c r="M367" s="58" t="n">
        <v>45979.39166666667</v>
      </c>
      <c r="N367" s="6" t="n">
        <v>89343</v>
      </c>
      <c r="O367" s="6" t="inlineStr">
        <is>
          <t>-</t>
        </is>
      </c>
      <c r="P367" s="6" t="inlineStr">
        <is>
          <t>OFF LINE</t>
        </is>
      </c>
      <c r="Q367" s="6" t="inlineStr">
        <is>
          <t>Invoice</t>
        </is>
      </c>
      <c r="R367" s="6" t="inlineStr">
        <is>
          <t>Faturado</t>
        </is>
      </c>
      <c r="S367" s="6" t="inlineStr">
        <is>
          <t>Serviço</t>
        </is>
      </c>
      <c r="T367" s="6" t="inlineStr">
        <is>
          <t>N</t>
        </is>
      </c>
      <c r="U367" s="6" t="inlineStr">
        <is>
          <t>Grupo Ocean Pact</t>
        </is>
      </c>
      <c r="V367" s="6" t="inlineStr">
        <is>
          <t>Oceanpact Servicos Maritimos</t>
        </is>
      </c>
      <c r="W367" s="6" t="inlineStr">
        <is>
          <t>-</t>
        </is>
      </c>
      <c r="X367" s="6" t="inlineStr">
        <is>
          <t>-</t>
        </is>
      </c>
      <c r="Y367" s="6" t="inlineStr">
        <is>
          <t>-</t>
        </is>
      </c>
      <c r="Z367" s="6" t="inlineStr">
        <is>
          <t>KON-OPE-RIO-POS-OCEANPACT</t>
        </is>
      </c>
      <c r="AA367" s="6" t="inlineStr">
        <is>
          <t>-</t>
        </is>
      </c>
      <c r="AB367" s="6" t="n">
        <v>79.23999999999999</v>
      </c>
      <c r="AC367" s="6" t="n">
        <v>12.68</v>
      </c>
      <c r="AD367" s="6" t="n">
        <v>0</v>
      </c>
      <c r="AE367" s="6" t="n">
        <v>0</v>
      </c>
      <c r="AF367" s="6" t="n">
        <v>0</v>
      </c>
      <c r="AG367" s="6" t="n">
        <v>0</v>
      </c>
      <c r="AH367" s="6" t="n">
        <v>0</v>
      </c>
      <c r="AI367" s="6" t="inlineStr">
        <is>
          <t>Reserva importada do Sistema TMS. OS: 89343</t>
        </is>
      </c>
      <c r="AJ367" s="6" t="inlineStr">
        <is>
          <t>Fornecedor não preenchido! (ACC01)</t>
        </is>
      </c>
      <c r="AK367" s="6" t="inlineStr">
        <is>
          <t>ARGO(TMS)</t>
        </is>
      </c>
      <c r="AL367" s="6" t="inlineStr">
        <is>
          <t>Falta de Fornecedor</t>
        </is>
      </c>
      <c r="AM367" s="6" t="inlineStr">
        <is>
          <t>Campo Fornecedor</t>
        </is>
      </c>
      <c r="AN367" s="6" t="inlineStr">
        <is>
          <t>Dados do Fornecedor</t>
        </is>
      </c>
      <c r="AO367" s="6" t="inlineStr">
        <is>
          <t>Qualidade dos dados</t>
        </is>
      </c>
      <c r="AP367" s="6" t="inlineStr">
        <is>
          <t>KONTIK BUSINESS TRAVEL</t>
        </is>
      </c>
      <c r="AQ367" s="6" t="inlineStr">
        <is>
          <t>Suporte KCS</t>
        </is>
      </c>
    </row>
    <row r="368">
      <c r="A368" s="6" t="n">
        <v>23348143</v>
      </c>
      <c r="B368" s="6" t="n">
        <v>24075537</v>
      </c>
      <c r="C368" s="6" t="inlineStr">
        <is>
          <t>ACC01</t>
        </is>
      </c>
      <c r="D368" s="58" t="n">
        <v>45979.62371527778</v>
      </c>
      <c r="E368" s="58" t="n">
        <v>45986.08701388889</v>
      </c>
      <c r="F368" s="6" t="inlineStr">
        <is>
          <t>0 a 02 dias</t>
        </is>
      </c>
      <c r="G368" s="6" t="inlineStr">
        <is>
          <t>06 a 08 dias</t>
        </is>
      </c>
      <c r="H368" s="6" t="inlineStr">
        <is>
          <t>5T5HY7</t>
        </is>
      </c>
      <c r="I368" s="6" t="inlineStr">
        <is>
          <t>TMS</t>
        </is>
      </c>
      <c r="J368" s="6" t="inlineStr">
        <is>
          <t>THIAGO CAMPOS</t>
        </is>
      </c>
      <c r="K368" s="6" t="inlineStr">
        <is>
          <t>Tms</t>
        </is>
      </c>
      <c r="L368" s="6" t="inlineStr">
        <is>
          <t>Tms</t>
        </is>
      </c>
      <c r="M368" s="58" t="n">
        <v>45979.55347222222</v>
      </c>
      <c r="N368" s="6" t="n">
        <v>89397</v>
      </c>
      <c r="O368" s="6" t="inlineStr">
        <is>
          <t>-</t>
        </is>
      </c>
      <c r="P368" s="6" t="inlineStr">
        <is>
          <t>OFF LINE</t>
        </is>
      </c>
      <c r="Q368" s="6" t="inlineStr">
        <is>
          <t>Invoice</t>
        </is>
      </c>
      <c r="R368" s="6" t="inlineStr">
        <is>
          <t>Faturado</t>
        </is>
      </c>
      <c r="S368" s="6" t="inlineStr">
        <is>
          <t>Serviço</t>
        </is>
      </c>
      <c r="T368" s="6" t="inlineStr">
        <is>
          <t>N</t>
        </is>
      </c>
      <c r="U368" s="6" t="inlineStr">
        <is>
          <t>Grupo Ocean Pact</t>
        </is>
      </c>
      <c r="V368" s="6" t="inlineStr">
        <is>
          <t>Oceanpact Marau Navegacao</t>
        </is>
      </c>
      <c r="W368" s="6" t="inlineStr">
        <is>
          <t>-</t>
        </is>
      </c>
      <c r="X368" s="6" t="inlineStr">
        <is>
          <t>-</t>
        </is>
      </c>
      <c r="Y368" s="6" t="inlineStr">
        <is>
          <t>-</t>
        </is>
      </c>
      <c r="Z368" s="6" t="inlineStr">
        <is>
          <t>KON-OPE-RIO-POS-OCEANPACT</t>
        </is>
      </c>
      <c r="AA368" s="6" t="inlineStr">
        <is>
          <t>-</t>
        </is>
      </c>
      <c r="AB368" s="6" t="n">
        <v>97.54000000000001</v>
      </c>
      <c r="AC368" s="6" t="n">
        <v>15.61</v>
      </c>
      <c r="AD368" s="6" t="n">
        <v>0</v>
      </c>
      <c r="AE368" s="6" t="n">
        <v>0</v>
      </c>
      <c r="AF368" s="6" t="n">
        <v>0</v>
      </c>
      <c r="AG368" s="6" t="n">
        <v>0</v>
      </c>
      <c r="AH368" s="6" t="n">
        <v>0</v>
      </c>
      <c r="AI368" s="6" t="inlineStr">
        <is>
          <t>Reserva importada do Sistema TMS. OS: 89397</t>
        </is>
      </c>
      <c r="AJ368" s="6" t="inlineStr">
        <is>
          <t>Fornecedor não preenchido! (ACC01)</t>
        </is>
      </c>
      <c r="AK368" s="6" t="inlineStr">
        <is>
          <t>ARGO(TMS)</t>
        </is>
      </c>
      <c r="AL368" s="6" t="inlineStr">
        <is>
          <t>Falta de Fornecedor</t>
        </is>
      </c>
      <c r="AM368" s="6" t="inlineStr">
        <is>
          <t>Campo Fornecedor</t>
        </is>
      </c>
      <c r="AN368" s="6" t="inlineStr">
        <is>
          <t>Dados do Fornecedor</t>
        </is>
      </c>
      <c r="AO368" s="6" t="inlineStr">
        <is>
          <t>Qualidade dos dados</t>
        </is>
      </c>
      <c r="AP368" s="6" t="inlineStr">
        <is>
          <t>KONTIK BUSINESS TRAVEL</t>
        </is>
      </c>
      <c r="AQ368" s="6" t="inlineStr">
        <is>
          <t>Suporte KCS</t>
        </is>
      </c>
    </row>
    <row r="369">
      <c r="A369" s="6" t="n">
        <v>23348155</v>
      </c>
      <c r="B369" s="6" t="n">
        <v>24075549</v>
      </c>
      <c r="C369" s="6" t="inlineStr">
        <is>
          <t>ACC01</t>
        </is>
      </c>
      <c r="D369" s="58" t="n">
        <v>45979.62403935185</v>
      </c>
      <c r="E369" s="58" t="n">
        <v>45986.08701388889</v>
      </c>
      <c r="F369" s="6" t="inlineStr">
        <is>
          <t>0 a 02 dias</t>
        </is>
      </c>
      <c r="G369" s="6" t="inlineStr">
        <is>
          <t>06 a 08 dias</t>
        </is>
      </c>
      <c r="H369" s="6" t="inlineStr">
        <is>
          <t>5TMJHU</t>
        </is>
      </c>
      <c r="I369" s="6" t="inlineStr">
        <is>
          <t>TMS</t>
        </is>
      </c>
      <c r="J369" s="6" t="inlineStr">
        <is>
          <t>JARBAS DE SOUSA</t>
        </is>
      </c>
      <c r="K369" s="6" t="inlineStr">
        <is>
          <t>Tms</t>
        </is>
      </c>
      <c r="L369" s="6" t="inlineStr">
        <is>
          <t>Tms</t>
        </is>
      </c>
      <c r="M369" s="58" t="n">
        <v>45979.46597222222</v>
      </c>
      <c r="N369" s="6" t="n">
        <v>89382</v>
      </c>
      <c r="O369" s="6" t="inlineStr">
        <is>
          <t>-</t>
        </is>
      </c>
      <c r="P369" s="6" t="inlineStr">
        <is>
          <t>OFF LINE</t>
        </is>
      </c>
      <c r="Q369" s="6" t="inlineStr">
        <is>
          <t>Invoice</t>
        </is>
      </c>
      <c r="R369" s="6" t="inlineStr">
        <is>
          <t>Faturado</t>
        </is>
      </c>
      <c r="S369" s="6" t="inlineStr">
        <is>
          <t>Serviço</t>
        </is>
      </c>
      <c r="T369" s="6" t="inlineStr">
        <is>
          <t>N</t>
        </is>
      </c>
      <c r="U369" s="6" t="inlineStr">
        <is>
          <t>Grupo Ocean Pact</t>
        </is>
      </c>
      <c r="V369" s="6" t="inlineStr">
        <is>
          <t>Oceanpact Servicos Maritimos</t>
        </is>
      </c>
      <c r="W369" s="6" t="inlineStr">
        <is>
          <t>-</t>
        </is>
      </c>
      <c r="X369" s="6" t="inlineStr">
        <is>
          <t>-</t>
        </is>
      </c>
      <c r="Y369" s="6" t="inlineStr">
        <is>
          <t>-</t>
        </is>
      </c>
      <c r="Z369" s="6" t="inlineStr">
        <is>
          <t>KON-OPE-RIO-POS-OCEANPACT</t>
        </is>
      </c>
      <c r="AA369" s="6" t="inlineStr">
        <is>
          <t>-</t>
        </is>
      </c>
      <c r="AB369" s="6" t="n">
        <v>103.95</v>
      </c>
      <c r="AC369" s="6" t="n">
        <v>16.63</v>
      </c>
      <c r="AD369" s="6" t="n">
        <v>0</v>
      </c>
      <c r="AE369" s="6" t="n">
        <v>0</v>
      </c>
      <c r="AF369" s="6" t="n">
        <v>0</v>
      </c>
      <c r="AG369" s="6" t="n">
        <v>0</v>
      </c>
      <c r="AH369" s="6" t="n">
        <v>0</v>
      </c>
      <c r="AI369" s="6" t="inlineStr">
        <is>
          <t>Reserva importada do Sistema TMS. OS: 89382</t>
        </is>
      </c>
      <c r="AJ369" s="6" t="inlineStr">
        <is>
          <t>Fornecedor não preenchido! (ACC01)</t>
        </is>
      </c>
      <c r="AK369" s="6" t="inlineStr">
        <is>
          <t>ARGO(TMS)</t>
        </is>
      </c>
      <c r="AL369" s="6" t="inlineStr">
        <is>
          <t>Falta de Fornecedor</t>
        </is>
      </c>
      <c r="AM369" s="6" t="inlineStr">
        <is>
          <t>Campo Fornecedor</t>
        </is>
      </c>
      <c r="AN369" s="6" t="inlineStr">
        <is>
          <t>Dados do Fornecedor</t>
        </is>
      </c>
      <c r="AO369" s="6" t="inlineStr">
        <is>
          <t>Qualidade dos dados</t>
        </is>
      </c>
      <c r="AP369" s="6" t="inlineStr">
        <is>
          <t>KONTIK BUSINESS TRAVEL</t>
        </is>
      </c>
      <c r="AQ369" s="6" t="inlineStr">
        <is>
          <t>Suporte KCS</t>
        </is>
      </c>
    </row>
    <row r="370">
      <c r="A370" s="6" t="n">
        <v>23355085</v>
      </c>
      <c r="B370" s="6" t="n">
        <v>24082066</v>
      </c>
      <c r="C370" s="6" t="inlineStr">
        <is>
          <t>ACC01</t>
        </is>
      </c>
      <c r="D370" s="58" t="n">
        <v>45980.63936342593</v>
      </c>
      <c r="E370" s="58" t="n">
        <v>45986.0905787037</v>
      </c>
      <c r="F370" s="6" t="inlineStr">
        <is>
          <t>0 a 02 dias</t>
        </is>
      </c>
      <c r="G370" s="6" t="inlineStr">
        <is>
          <t>06 a 08 dias</t>
        </is>
      </c>
      <c r="H370" s="6" t="inlineStr">
        <is>
          <t>5TSVMO</t>
        </is>
      </c>
      <c r="I370" s="6" t="inlineStr">
        <is>
          <t>TMS</t>
        </is>
      </c>
      <c r="J370" s="6" t="inlineStr">
        <is>
          <t>JOSUE FERREIRA</t>
        </is>
      </c>
      <c r="K370" s="6" t="inlineStr">
        <is>
          <t>Tms</t>
        </is>
      </c>
      <c r="L370" s="6" t="inlineStr">
        <is>
          <t>Tms</t>
        </is>
      </c>
      <c r="M370" s="58" t="n">
        <v>45980.47361111111</v>
      </c>
      <c r="N370" s="6" t="n">
        <v>89549</v>
      </c>
      <c r="O370" s="6" t="inlineStr">
        <is>
          <t>-</t>
        </is>
      </c>
      <c r="P370" s="6" t="inlineStr">
        <is>
          <t>OFF LINE</t>
        </is>
      </c>
      <c r="Q370" s="6" t="inlineStr">
        <is>
          <t>Invoice</t>
        </is>
      </c>
      <c r="R370" s="6" t="inlineStr">
        <is>
          <t>Faturado</t>
        </is>
      </c>
      <c r="S370" s="6" t="inlineStr">
        <is>
          <t>Serviço</t>
        </is>
      </c>
      <c r="T370" s="6" t="inlineStr">
        <is>
          <t>N</t>
        </is>
      </c>
      <c r="U370" s="6" t="inlineStr">
        <is>
          <t>Grupo Ocean Pact</t>
        </is>
      </c>
      <c r="V370" s="6" t="inlineStr">
        <is>
          <t>Oceanpact Servicos Maritimos</t>
        </is>
      </c>
      <c r="W370" s="6" t="inlineStr">
        <is>
          <t>-</t>
        </is>
      </c>
      <c r="X370" s="6" t="inlineStr">
        <is>
          <t>-</t>
        </is>
      </c>
      <c r="Y370" s="6" t="inlineStr">
        <is>
          <t>-</t>
        </is>
      </c>
      <c r="Z370" s="6" t="inlineStr">
        <is>
          <t>KON-OPE-RIO-POS-OCEANPACT</t>
        </is>
      </c>
      <c r="AA370" s="6" t="inlineStr">
        <is>
          <t>-</t>
        </is>
      </c>
      <c r="AB370" s="6" t="n">
        <v>53.77</v>
      </c>
      <c r="AC370" s="6" t="n">
        <v>8.6</v>
      </c>
      <c r="AD370" s="6" t="n">
        <v>0</v>
      </c>
      <c r="AE370" s="6" t="n">
        <v>0</v>
      </c>
      <c r="AF370" s="6" t="n">
        <v>0</v>
      </c>
      <c r="AG370" s="6" t="n">
        <v>0</v>
      </c>
      <c r="AH370" s="6" t="n">
        <v>0</v>
      </c>
      <c r="AI370" s="6" t="inlineStr">
        <is>
          <t>Reserva importada do Sistema TMS. OS: 89549</t>
        </is>
      </c>
      <c r="AJ370" s="6" t="inlineStr">
        <is>
          <t>Fornecedor não preenchido! (ACC01)</t>
        </is>
      </c>
      <c r="AK370" s="6" t="inlineStr">
        <is>
          <t>ARGO(TMS)</t>
        </is>
      </c>
      <c r="AL370" s="6" t="inlineStr">
        <is>
          <t>Falta de Fornecedor</t>
        </is>
      </c>
      <c r="AM370" s="6" t="inlineStr">
        <is>
          <t>Campo Fornecedor</t>
        </is>
      </c>
      <c r="AN370" s="6" t="inlineStr">
        <is>
          <t>Dados do Fornecedor</t>
        </is>
      </c>
      <c r="AO370" s="6" t="inlineStr">
        <is>
          <t>Qualidade dos dados</t>
        </is>
      </c>
      <c r="AP370" s="6" t="inlineStr">
        <is>
          <t>KONTIK BUSINESS TRAVEL</t>
        </is>
      </c>
      <c r="AQ370" s="6" t="inlineStr">
        <is>
          <t>Suporte KCS</t>
        </is>
      </c>
    </row>
    <row r="371">
      <c r="A371" s="6" t="n">
        <v>23355089</v>
      </c>
      <c r="B371" s="6" t="n">
        <v>24082070</v>
      </c>
      <c r="C371" s="6" t="inlineStr">
        <is>
          <t>ACC01</t>
        </is>
      </c>
      <c r="D371" s="58" t="n">
        <v>45980.63945601852</v>
      </c>
      <c r="E371" s="58" t="n">
        <v>45986.0905787037</v>
      </c>
      <c r="F371" s="6" t="inlineStr">
        <is>
          <t>0 a 02 dias</t>
        </is>
      </c>
      <c r="G371" s="6" t="inlineStr">
        <is>
          <t>06 a 08 dias</t>
        </is>
      </c>
      <c r="H371" s="6" t="inlineStr">
        <is>
          <t>5T5VPL</t>
        </is>
      </c>
      <c r="I371" s="6" t="inlineStr">
        <is>
          <t>TMS</t>
        </is>
      </c>
      <c r="J371" s="6" t="inlineStr">
        <is>
          <t>JEONE FIGUEIREDO VIANA</t>
        </is>
      </c>
      <c r="K371" s="6" t="inlineStr">
        <is>
          <t>Tms</t>
        </is>
      </c>
      <c r="L371" s="6" t="inlineStr">
        <is>
          <t>Tms</t>
        </is>
      </c>
      <c r="M371" s="58" t="n">
        <v>45980.46666666667</v>
      </c>
      <c r="N371" s="6" t="n">
        <v>89546</v>
      </c>
      <c r="O371" s="6" t="inlineStr">
        <is>
          <t>-</t>
        </is>
      </c>
      <c r="P371" s="6" t="inlineStr">
        <is>
          <t>OFF LINE</t>
        </is>
      </c>
      <c r="Q371" s="6" t="inlineStr">
        <is>
          <t>Invoice</t>
        </is>
      </c>
      <c r="R371" s="6" t="inlineStr">
        <is>
          <t>Faturado</t>
        </is>
      </c>
      <c r="S371" s="6" t="inlineStr">
        <is>
          <t>Serviço</t>
        </is>
      </c>
      <c r="T371" s="6" t="inlineStr">
        <is>
          <t>N</t>
        </is>
      </c>
      <c r="U371" s="6" t="inlineStr">
        <is>
          <t>Grupo Ocean Pact</t>
        </is>
      </c>
      <c r="V371" s="6" t="inlineStr">
        <is>
          <t>Oceanpact Servicos Maritimos</t>
        </is>
      </c>
      <c r="W371" s="6" t="inlineStr">
        <is>
          <t>-</t>
        </is>
      </c>
      <c r="X371" s="6" t="inlineStr">
        <is>
          <t>-</t>
        </is>
      </c>
      <c r="Y371" s="6" t="inlineStr">
        <is>
          <t>-</t>
        </is>
      </c>
      <c r="Z371" s="6" t="inlineStr">
        <is>
          <t>KON-OPE-RIO-POS-OCEANPACT</t>
        </is>
      </c>
      <c r="AA371" s="6" t="inlineStr">
        <is>
          <t>-</t>
        </is>
      </c>
      <c r="AB371" s="6" t="n">
        <v>53.77</v>
      </c>
      <c r="AC371" s="6" t="n">
        <v>8.6</v>
      </c>
      <c r="AD371" s="6" t="n">
        <v>0</v>
      </c>
      <c r="AE371" s="6" t="n">
        <v>0</v>
      </c>
      <c r="AF371" s="6" t="n">
        <v>0</v>
      </c>
      <c r="AG371" s="6" t="n">
        <v>0</v>
      </c>
      <c r="AH371" s="6" t="n">
        <v>0</v>
      </c>
      <c r="AI371" s="6" t="inlineStr">
        <is>
          <t>Reserva importada do Sistema TMS. OS: 89546</t>
        </is>
      </c>
      <c r="AJ371" s="6" t="inlineStr">
        <is>
          <t>Fornecedor não preenchido! (ACC01)</t>
        </is>
      </c>
      <c r="AK371" s="6" t="inlineStr">
        <is>
          <t>ARGO(TMS)</t>
        </is>
      </c>
      <c r="AL371" s="6" t="inlineStr">
        <is>
          <t>Falta de Fornecedor</t>
        </is>
      </c>
      <c r="AM371" s="6" t="inlineStr">
        <is>
          <t>Campo Fornecedor</t>
        </is>
      </c>
      <c r="AN371" s="6" t="inlineStr">
        <is>
          <t>Dados do Fornecedor</t>
        </is>
      </c>
      <c r="AO371" s="6" t="inlineStr">
        <is>
          <t>Qualidade dos dados</t>
        </is>
      </c>
      <c r="AP371" s="6" t="inlineStr">
        <is>
          <t>KONTIK BUSINESS TRAVEL</t>
        </is>
      </c>
      <c r="AQ371" s="6" t="inlineStr">
        <is>
          <t>Suporte KCS</t>
        </is>
      </c>
    </row>
    <row r="372">
      <c r="A372" s="6" t="n">
        <v>23355090</v>
      </c>
      <c r="B372" s="6" t="n">
        <v>24082071</v>
      </c>
      <c r="C372" s="6" t="inlineStr">
        <is>
          <t>ACC01</t>
        </is>
      </c>
      <c r="D372" s="58" t="n">
        <v>45980.63949074074</v>
      </c>
      <c r="E372" s="58" t="n">
        <v>45986.09059027778</v>
      </c>
      <c r="F372" s="6" t="inlineStr">
        <is>
          <t>0 a 02 dias</t>
        </is>
      </c>
      <c r="G372" s="6" t="inlineStr">
        <is>
          <t>06 a 08 dias</t>
        </is>
      </c>
      <c r="H372" s="6" t="inlineStr">
        <is>
          <t>5T640N</t>
        </is>
      </c>
      <c r="I372" s="6" t="inlineStr">
        <is>
          <t>TMS</t>
        </is>
      </c>
      <c r="J372" s="6" t="inlineStr">
        <is>
          <t>RAULISSON JOVENTINO VICENTE</t>
        </is>
      </c>
      <c r="K372" s="6" t="inlineStr">
        <is>
          <t>Tms</t>
        </is>
      </c>
      <c r="L372" s="6" t="inlineStr">
        <is>
          <t>Tms</t>
        </is>
      </c>
      <c r="M372" s="58" t="n">
        <v>45980.46736111111</v>
      </c>
      <c r="N372" s="6" t="n">
        <v>89545</v>
      </c>
      <c r="O372" s="6" t="inlineStr">
        <is>
          <t>-</t>
        </is>
      </c>
      <c r="P372" s="6" t="inlineStr">
        <is>
          <t>OFF LINE</t>
        </is>
      </c>
      <c r="Q372" s="6" t="inlineStr">
        <is>
          <t>Invoice</t>
        </is>
      </c>
      <c r="R372" s="6" t="inlineStr">
        <is>
          <t>Faturado</t>
        </is>
      </c>
      <c r="S372" s="6" t="inlineStr">
        <is>
          <t>Serviço</t>
        </is>
      </c>
      <c r="T372" s="6" t="inlineStr">
        <is>
          <t>N</t>
        </is>
      </c>
      <c r="U372" s="6" t="inlineStr">
        <is>
          <t>Grupo Ocean Pact</t>
        </is>
      </c>
      <c r="V372" s="6" t="inlineStr">
        <is>
          <t>Up Offshore Apoio Maritimo</t>
        </is>
      </c>
      <c r="W372" s="6" t="inlineStr">
        <is>
          <t>-</t>
        </is>
      </c>
      <c r="X372" s="6" t="inlineStr">
        <is>
          <t>-</t>
        </is>
      </c>
      <c r="Y372" s="6" t="inlineStr">
        <is>
          <t>-</t>
        </is>
      </c>
      <c r="Z372" s="6" t="inlineStr">
        <is>
          <t>KON-OPE-RIO-POS-OCEANPACT</t>
        </is>
      </c>
      <c r="AA372" s="6" t="inlineStr">
        <is>
          <t>-</t>
        </is>
      </c>
      <c r="AB372" s="6" t="n">
        <v>121.93</v>
      </c>
      <c r="AC372" s="6" t="n">
        <v>19.51</v>
      </c>
      <c r="AD372" s="6" t="n">
        <v>0</v>
      </c>
      <c r="AE372" s="6" t="n">
        <v>0</v>
      </c>
      <c r="AF372" s="6" t="n">
        <v>0</v>
      </c>
      <c r="AG372" s="6" t="n">
        <v>0</v>
      </c>
      <c r="AH372" s="6" t="n">
        <v>0</v>
      </c>
      <c r="AI372" s="6" t="inlineStr">
        <is>
          <t>Reserva importada do Sistema TMS. OS: 89545</t>
        </is>
      </c>
      <c r="AJ372" s="6" t="inlineStr">
        <is>
          <t>Fornecedor não preenchido! (ACC01)</t>
        </is>
      </c>
      <c r="AK372" s="6" t="inlineStr">
        <is>
          <t>ARGO(TMS)</t>
        </is>
      </c>
      <c r="AL372" s="6" t="inlineStr">
        <is>
          <t>Falta de Fornecedor</t>
        </is>
      </c>
      <c r="AM372" s="6" t="inlineStr">
        <is>
          <t>Campo Fornecedor</t>
        </is>
      </c>
      <c r="AN372" s="6" t="inlineStr">
        <is>
          <t>Dados do Fornecedor</t>
        </is>
      </c>
      <c r="AO372" s="6" t="inlineStr">
        <is>
          <t>Qualidade dos dados</t>
        </is>
      </c>
      <c r="AP372" s="6" t="inlineStr">
        <is>
          <t>KONTIK BUSINESS TRAVEL</t>
        </is>
      </c>
      <c r="AQ372" s="6" t="inlineStr">
        <is>
          <t>Suporte KCS</t>
        </is>
      </c>
    </row>
    <row r="373">
      <c r="A373" s="6" t="n">
        <v>23355091</v>
      </c>
      <c r="B373" s="6" t="n">
        <v>24082072</v>
      </c>
      <c r="C373" s="6" t="inlineStr">
        <is>
          <t>ACC01</t>
        </is>
      </c>
      <c r="D373" s="58" t="n">
        <v>45980.63953703704</v>
      </c>
      <c r="E373" s="58" t="n">
        <v>45986.09059027778</v>
      </c>
      <c r="F373" s="6" t="inlineStr">
        <is>
          <t>0 a 02 dias</t>
        </is>
      </c>
      <c r="G373" s="6" t="inlineStr">
        <is>
          <t>06 a 08 dias</t>
        </is>
      </c>
      <c r="H373" s="6" t="inlineStr">
        <is>
          <t>5TUVP9</t>
        </is>
      </c>
      <c r="I373" s="6" t="inlineStr">
        <is>
          <t>TMS</t>
        </is>
      </c>
      <c r="J373" s="6" t="inlineStr">
        <is>
          <t>LUCAS BRANDAO NEVES</t>
        </is>
      </c>
      <c r="K373" s="6" t="inlineStr">
        <is>
          <t>Tms</t>
        </is>
      </c>
      <c r="L373" s="6" t="inlineStr">
        <is>
          <t>Tms</t>
        </is>
      </c>
      <c r="M373" s="58" t="n">
        <v>45980.46736111111</v>
      </c>
      <c r="N373" s="6" t="n">
        <v>89543</v>
      </c>
      <c r="O373" s="6" t="inlineStr">
        <is>
          <t>-</t>
        </is>
      </c>
      <c r="P373" s="6" t="inlineStr">
        <is>
          <t>OFF LINE</t>
        </is>
      </c>
      <c r="Q373" s="6" t="inlineStr">
        <is>
          <t>Invoice</t>
        </is>
      </c>
      <c r="R373" s="6" t="inlineStr">
        <is>
          <t>Faturado</t>
        </is>
      </c>
      <c r="S373" s="6" t="inlineStr">
        <is>
          <t>Serviço</t>
        </is>
      </c>
      <c r="T373" s="6" t="inlineStr">
        <is>
          <t>N</t>
        </is>
      </c>
      <c r="U373" s="6" t="inlineStr">
        <is>
          <t>Grupo Ocean Pact</t>
        </is>
      </c>
      <c r="V373" s="6" t="inlineStr">
        <is>
          <t>Up Offshore Apoio Maritimo</t>
        </is>
      </c>
      <c r="W373" s="6" t="inlineStr">
        <is>
          <t>-</t>
        </is>
      </c>
      <c r="X373" s="6" t="inlineStr">
        <is>
          <t>-</t>
        </is>
      </c>
      <c r="Y373" s="6" t="inlineStr">
        <is>
          <t>-</t>
        </is>
      </c>
      <c r="Z373" s="6" t="inlineStr">
        <is>
          <t>KON-OPE-RIO-POS-OCEANPACT</t>
        </is>
      </c>
      <c r="AA373" s="6" t="inlineStr">
        <is>
          <t>-</t>
        </is>
      </c>
      <c r="AB373" s="6" t="n">
        <v>78.67</v>
      </c>
      <c r="AC373" s="6" t="n">
        <v>12.59</v>
      </c>
      <c r="AD373" s="6" t="n">
        <v>0</v>
      </c>
      <c r="AE373" s="6" t="n">
        <v>0</v>
      </c>
      <c r="AF373" s="6" t="n">
        <v>0</v>
      </c>
      <c r="AG373" s="6" t="n">
        <v>0</v>
      </c>
      <c r="AH373" s="6" t="n">
        <v>0</v>
      </c>
      <c r="AI373" s="6" t="inlineStr">
        <is>
          <t>Reserva importada do Sistema TMS. OS: 89543</t>
        </is>
      </c>
      <c r="AJ373" s="6" t="inlineStr">
        <is>
          <t>Fornecedor não preenchido! (ACC01)</t>
        </is>
      </c>
      <c r="AK373" s="6" t="inlineStr">
        <is>
          <t>ARGO(TMS)</t>
        </is>
      </c>
      <c r="AL373" s="6" t="inlineStr">
        <is>
          <t>Falta de Fornecedor</t>
        </is>
      </c>
      <c r="AM373" s="6" t="inlineStr">
        <is>
          <t>Campo Fornecedor</t>
        </is>
      </c>
      <c r="AN373" s="6" t="inlineStr">
        <is>
          <t>Dados do Fornecedor</t>
        </is>
      </c>
      <c r="AO373" s="6" t="inlineStr">
        <is>
          <t>Qualidade dos dados</t>
        </is>
      </c>
      <c r="AP373" s="6" t="inlineStr">
        <is>
          <t>KONTIK BUSINESS TRAVEL</t>
        </is>
      </c>
      <c r="AQ373" s="6" t="inlineStr">
        <is>
          <t>Suporte KCS</t>
        </is>
      </c>
    </row>
    <row r="374">
      <c r="A374" s="6" t="n">
        <v>23381455</v>
      </c>
      <c r="B374" s="6" t="n">
        <v>24105152</v>
      </c>
      <c r="C374" s="6" t="inlineStr">
        <is>
          <t>ACC01</t>
        </is>
      </c>
      <c r="D374" s="58" t="n">
        <v>45985.77395833333</v>
      </c>
      <c r="E374" s="58" t="n">
        <v>45985.79559027778</v>
      </c>
      <c r="F374" s="6" t="inlineStr">
        <is>
          <t>0 a 02 dias</t>
        </is>
      </c>
      <c r="G374" s="6" t="inlineStr">
        <is>
          <t>0 a 02 dias</t>
        </is>
      </c>
      <c r="H374" s="6" t="inlineStr">
        <is>
          <t>LBGZCO</t>
        </is>
      </c>
      <c r="I374" s="6" t="inlineStr">
        <is>
          <t>SABRE</t>
        </is>
      </c>
      <c r="J374" s="6" t="inlineStr">
        <is>
          <t>GEISENDORF/CARLO</t>
        </is>
      </c>
      <c r="K374" s="6" t="inlineStr">
        <is>
          <t>Humberto da Fontoura</t>
        </is>
      </c>
      <c r="L374" s="6" t="inlineStr">
        <is>
          <t>Humberto da Fontoura</t>
        </is>
      </c>
      <c r="M374" s="58" t="n">
        <v>45980.50555555556</v>
      </c>
      <c r="N374" s="6" t="inlineStr">
        <is>
          <t>LBGZCO</t>
        </is>
      </c>
      <c r="O374" s="6" t="inlineStr">
        <is>
          <t>-</t>
        </is>
      </c>
      <c r="P374" s="6" t="inlineStr">
        <is>
          <t>ON LINE</t>
        </is>
      </c>
      <c r="Q374" s="6" t="inlineStr">
        <is>
          <t>Cartão de crédito</t>
        </is>
      </c>
      <c r="R374" s="6" t="inlineStr">
        <is>
          <t>Cartão de crédito</t>
        </is>
      </c>
      <c r="S374" s="6" t="inlineStr">
        <is>
          <t>Aéreo</t>
        </is>
      </c>
      <c r="T374" s="6" t="inlineStr">
        <is>
          <t>N</t>
        </is>
      </c>
      <c r="U374" s="6" t="inlineStr">
        <is>
          <t>Grupo Sep</t>
        </is>
      </c>
      <c r="V374" s="6" t="inlineStr">
        <is>
          <t>Sep Global Informacoes do Brasil Ltda</t>
        </is>
      </c>
      <c r="W374" s="6" t="inlineStr">
        <is>
          <t>Cliente FEE no POS</t>
        </is>
      </c>
      <c r="X374" s="6" t="inlineStr">
        <is>
          <t>Latam Airlines Brasil</t>
        </is>
      </c>
      <c r="Y374" s="6" t="n">
        <v>2953070407</v>
      </c>
      <c r="Z374" s="6" t="inlineStr">
        <is>
          <t>FCM-OPE-SAO-PVI-BTC</t>
        </is>
      </c>
      <c r="AA374" s="6" t="inlineStr">
        <is>
          <t>-</t>
        </is>
      </c>
      <c r="AB374" s="6" t="n">
        <v>3037.28</v>
      </c>
      <c r="AC374" s="6" t="n">
        <v>120.57</v>
      </c>
      <c r="AD374" s="6" t="n">
        <v>0</v>
      </c>
      <c r="AE374" s="6" t="n">
        <v>0</v>
      </c>
      <c r="AF374" s="6" t="n">
        <v>120.57</v>
      </c>
      <c r="AG374" s="6" t="n">
        <v>0</v>
      </c>
      <c r="AH374" s="6" t="n">
        <v>0</v>
      </c>
      <c r="AI374" s="6" t="inlineStr">
        <is>
          <t>Reserva importada por HubTravel</t>
        </is>
      </c>
      <c r="AJ374" s="6" t="inlineStr">
        <is>
          <t xml:space="preserve">Centro de custo não preenchido! (ACC01) Email do passageiro não preenchido! (ACC01) Departamento não preenchido! (ACC01) Finalidade não </t>
        </is>
      </c>
      <c r="AK374" s="6" t="inlineStr">
        <is>
          <t>SABRE</t>
        </is>
      </c>
      <c r="AL374" s="6" t="inlineStr">
        <is>
          <t>Mais de um campo não preenchido</t>
        </is>
      </c>
      <c r="AM374" s="6" t="inlineStr">
        <is>
          <t>Falta de informação Gerencial</t>
        </is>
      </c>
      <c r="AN374" s="6" t="inlineStr">
        <is>
          <t>Dados do Fornecedor</t>
        </is>
      </c>
      <c r="AO374" s="6" t="inlineStr">
        <is>
          <t>Qualidade dos dados</t>
        </is>
      </c>
      <c r="AP374" s="6" t="inlineStr">
        <is>
          <t>KONTIK BUSINESS TRAVEL</t>
        </is>
      </c>
      <c r="AQ374" s="6" t="inlineStr">
        <is>
          <t>Operações - FCM</t>
        </is>
      </c>
    </row>
    <row r="375">
      <c r="A375" s="6" t="n">
        <v>23381456</v>
      </c>
      <c r="B375" s="6" t="n">
        <v>24105153</v>
      </c>
      <c r="C375" s="6" t="inlineStr">
        <is>
          <t>ACC01</t>
        </is>
      </c>
      <c r="D375" s="58" t="n">
        <v>45985.77399305555</v>
      </c>
      <c r="E375" s="58" t="n">
        <v>45985.79616898148</v>
      </c>
      <c r="F375" s="6" t="inlineStr">
        <is>
          <t>0 a 02 dias</t>
        </is>
      </c>
      <c r="G375" s="6" t="inlineStr">
        <is>
          <t>0 a 02 dias</t>
        </is>
      </c>
      <c r="H375" s="6" t="inlineStr">
        <is>
          <t>LBGZCOT</t>
        </is>
      </c>
      <c r="I375" s="6" t="inlineStr">
        <is>
          <t>SABRE</t>
        </is>
      </c>
      <c r="J375" s="6" t="inlineStr">
        <is>
          <t>GEISENDORF/CARLO</t>
        </is>
      </c>
      <c r="K375" s="6" t="inlineStr">
        <is>
          <t>Humberto da Fontoura</t>
        </is>
      </c>
      <c r="L375" s="6" t="inlineStr">
        <is>
          <t>Humberto da Fontoura</t>
        </is>
      </c>
      <c r="M375" s="58" t="n">
        <v>45980.50555555556</v>
      </c>
      <c r="N375" s="6" t="inlineStr">
        <is>
          <t>LBGZCO</t>
        </is>
      </c>
      <c r="O375" s="6" t="inlineStr">
        <is>
          <t>-</t>
        </is>
      </c>
      <c r="P375" s="6" t="inlineStr">
        <is>
          <t>ON LINE</t>
        </is>
      </c>
      <c r="Q375" s="6" t="inlineStr">
        <is>
          <t>Cartão de crédito</t>
        </is>
      </c>
      <c r="R375" s="6" t="inlineStr">
        <is>
          <t>Cartão de crédito</t>
        </is>
      </c>
      <c r="S375" s="6" t="inlineStr">
        <is>
          <t>Hotel</t>
        </is>
      </c>
      <c r="T375" s="6" t="inlineStr">
        <is>
          <t>N</t>
        </is>
      </c>
      <c r="U375" s="6" t="inlineStr">
        <is>
          <t>Grupo Sep</t>
        </is>
      </c>
      <c r="V375" s="6" t="inlineStr">
        <is>
          <t>Sep Global Informacoes do Brasil Ltda</t>
        </is>
      </c>
      <c r="W375" s="6" t="inlineStr">
        <is>
          <t>Cliente FEE no POS</t>
        </is>
      </c>
      <c r="X375" s="6" t="inlineStr">
        <is>
          <t>Hilton Rio de Janeiro Copacabana</t>
        </is>
      </c>
      <c r="Y375" s="6" t="inlineStr">
        <is>
          <t>-</t>
        </is>
      </c>
      <c r="Z375" s="6" t="inlineStr">
        <is>
          <t>FCM-OPE-SAO-PVI-BTC</t>
        </is>
      </c>
      <c r="AA375" s="6" t="inlineStr">
        <is>
          <t>-</t>
        </is>
      </c>
      <c r="AB375" s="6" t="n">
        <v>2442</v>
      </c>
      <c r="AC375" s="6" t="n">
        <v>405.3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0</v>
      </c>
      <c r="AI375" s="6" t="inlineStr">
        <is>
          <t>Reserva importada por HubTravel</t>
        </is>
      </c>
      <c r="AJ375" s="6" t="inlineStr">
        <is>
          <t>Centro de custo não preenchido! (ACC01)</t>
        </is>
      </c>
      <c r="AK375" s="6" t="inlineStr">
        <is>
          <t>SABRE</t>
        </is>
      </c>
      <c r="AL375" s="6" t="inlineStr">
        <is>
          <t>Centro de custo</t>
        </is>
      </c>
      <c r="AM375" s="6" t="inlineStr">
        <is>
          <t>Falta de informação Gerencial</t>
        </is>
      </c>
      <c r="AN375" s="6" t="inlineStr">
        <is>
          <t>Dados do Fornecedor</t>
        </is>
      </c>
      <c r="AO375" s="6" t="inlineStr">
        <is>
          <t>Qualidade dos dados</t>
        </is>
      </c>
      <c r="AP375" s="6" t="inlineStr">
        <is>
          <t>KONTIK BUSINESS TRAVEL</t>
        </is>
      </c>
      <c r="AQ375" s="6" t="inlineStr">
        <is>
          <t>Operações - FCM</t>
        </is>
      </c>
    </row>
    <row r="376">
      <c r="A376" s="6" t="n">
        <v>23378129</v>
      </c>
      <c r="B376" s="6" t="n">
        <v>24101913</v>
      </c>
      <c r="C376" s="6" t="inlineStr">
        <is>
          <t>ACC01</t>
        </is>
      </c>
      <c r="D376" s="58" t="n">
        <v>45985.38513888889</v>
      </c>
      <c r="E376" s="58" t="n">
        <v>45985.38800925926</v>
      </c>
      <c r="F376" s="6" t="inlineStr">
        <is>
          <t>0 a 02 dias</t>
        </is>
      </c>
      <c r="G376" s="6" t="inlineStr">
        <is>
          <t>0 a 02 dias</t>
        </is>
      </c>
      <c r="H376" s="6" t="inlineStr">
        <is>
          <t>ELHAGKT</t>
        </is>
      </c>
      <c r="I376" s="6" t="inlineStr">
        <is>
          <t>SABRE</t>
        </is>
      </c>
      <c r="J376" s="6" t="inlineStr">
        <is>
          <t>DE ANDRADE BALTIERI/BEATRIZ MISS</t>
        </is>
      </c>
      <c r="K376" s="6" t="inlineStr">
        <is>
          <t>WS</t>
        </is>
      </c>
      <c r="L376" s="6" t="inlineStr">
        <is>
          <t>WS</t>
        </is>
      </c>
      <c r="M376" s="58" t="n">
        <v>45983.65486111111</v>
      </c>
      <c r="N376" s="6" t="inlineStr">
        <is>
          <t>ELHAGK</t>
        </is>
      </c>
      <c r="O376" s="6" t="inlineStr">
        <is>
          <t>-</t>
        </is>
      </c>
      <c r="P376" s="6" t="inlineStr">
        <is>
          <t>ON LINE</t>
        </is>
      </c>
      <c r="Q376" s="6" t="inlineStr">
        <is>
          <t>Cartão de crédito</t>
        </is>
      </c>
      <c r="R376" s="6" t="inlineStr">
        <is>
          <t>Cartão de crédito</t>
        </is>
      </c>
      <c r="S376" s="6" t="inlineStr">
        <is>
          <t>Hotel</t>
        </is>
      </c>
      <c r="T376" s="6" t="inlineStr">
        <is>
          <t>N</t>
        </is>
      </c>
      <c r="U376" s="6" t="inlineStr">
        <is>
          <t>Grupo Sep</t>
        </is>
      </c>
      <c r="V376" s="6" t="inlineStr">
        <is>
          <t>Sep Global Informacoes do Brasil Ltda</t>
        </is>
      </c>
      <c r="W376" s="6" t="inlineStr">
        <is>
          <t>Cliente FEE no POS</t>
        </is>
      </c>
      <c r="X376" s="6" t="inlineStr">
        <is>
          <t>-</t>
        </is>
      </c>
      <c r="Y376" s="6" t="inlineStr">
        <is>
          <t>-</t>
        </is>
      </c>
      <c r="Z376" s="6" t="inlineStr">
        <is>
          <t>FCM-OPE-SAO-PVI-BTC</t>
        </is>
      </c>
      <c r="AA376" s="6" t="inlineStr">
        <is>
          <t>-</t>
        </is>
      </c>
      <c r="AB376" s="6" t="n">
        <v>2077.5166</v>
      </c>
      <c r="AC376" s="6" t="n">
        <v>43.16</v>
      </c>
      <c r="AD376" s="6" t="n">
        <v>0</v>
      </c>
      <c r="AE376" s="6" t="n">
        <v>0</v>
      </c>
      <c r="AF376" s="6" t="n">
        <v>0</v>
      </c>
      <c r="AG376" s="6" t="n">
        <v>0</v>
      </c>
      <c r="AH376" s="6" t="n">
        <v>0</v>
      </c>
      <c r="AI376" s="6" t="inlineStr">
        <is>
          <t>Reserva importada por HubTravel</t>
        </is>
      </c>
      <c r="AJ376" s="6" t="inlineStr">
        <is>
          <t>Fornecedor não preenchido! (ACC01)</t>
        </is>
      </c>
      <c r="AK376" s="6" t="inlineStr">
        <is>
          <t>SABRE</t>
        </is>
      </c>
      <c r="AL376" s="6" t="inlineStr">
        <is>
          <t>Falta de Fornecedor</t>
        </is>
      </c>
      <c r="AM376" s="6" t="inlineStr">
        <is>
          <t>Campo Fornecedor</t>
        </is>
      </c>
      <c r="AN376" s="6" t="inlineStr">
        <is>
          <t>Dados do Fornecedor</t>
        </is>
      </c>
      <c r="AO376" s="6" t="inlineStr">
        <is>
          <t>Sistêmico</t>
        </is>
      </c>
      <c r="AP376" s="6" t="inlineStr">
        <is>
          <t>GRUPO KONTIK</t>
        </is>
      </c>
      <c r="AQ376" s="6" t="inlineStr">
        <is>
          <t>Suporte Benner</t>
        </is>
      </c>
    </row>
    <row r="377">
      <c r="A377" s="6" t="n">
        <v>23317951</v>
      </c>
      <c r="B377" s="6" t="n">
        <v>24047592</v>
      </c>
      <c r="C377" s="6" t="inlineStr">
        <is>
          <t>ACC01</t>
        </is>
      </c>
      <c r="D377" s="58" t="n">
        <v>45974.64900462963</v>
      </c>
      <c r="E377" s="58" t="n">
        <v>45975.12681712963</v>
      </c>
      <c r="F377" s="6" t="inlineStr">
        <is>
          <t>09 a 15 dias</t>
        </is>
      </c>
      <c r="G377" s="6" t="inlineStr">
        <is>
          <t>09 a 15 dias</t>
        </is>
      </c>
      <c r="H377" s="6" t="inlineStr">
        <is>
          <t>HPEMKBT</t>
        </is>
      </c>
      <c r="I377" s="6" t="inlineStr">
        <is>
          <t>SABRE</t>
        </is>
      </c>
      <c r="J377" s="6" t="inlineStr">
        <is>
          <t>DE ANDRADE BALTIERI/BEATRIZ MISS</t>
        </is>
      </c>
      <c r="K377" s="6" t="inlineStr">
        <is>
          <t>WS</t>
        </is>
      </c>
      <c r="L377" s="6" t="inlineStr">
        <is>
          <t>WS</t>
        </is>
      </c>
      <c r="M377" s="58" t="n">
        <v>45974.48055555556</v>
      </c>
      <c r="N377" s="6" t="inlineStr">
        <is>
          <t>HPEMKB</t>
        </is>
      </c>
      <c r="O377" s="6" t="inlineStr">
        <is>
          <t>-</t>
        </is>
      </c>
      <c r="P377" s="6" t="inlineStr">
        <is>
          <t>ON LINE</t>
        </is>
      </c>
      <c r="Q377" s="6" t="inlineStr">
        <is>
          <t>Cartão de crédito</t>
        </is>
      </c>
      <c r="R377" s="6" t="inlineStr">
        <is>
          <t>Cartão de crédito</t>
        </is>
      </c>
      <c r="S377" s="6" t="inlineStr">
        <is>
          <t>Hotel</t>
        </is>
      </c>
      <c r="T377" s="6" t="inlineStr">
        <is>
          <t>N</t>
        </is>
      </c>
      <c r="U377" s="6" t="inlineStr">
        <is>
          <t>Grupo Sep</t>
        </is>
      </c>
      <c r="V377" s="6" t="inlineStr">
        <is>
          <t>Sep Global Informacoes do Brasil Ltda</t>
        </is>
      </c>
      <c r="W377" s="6" t="inlineStr">
        <is>
          <t>Cliente FEE no POS</t>
        </is>
      </c>
      <c r="X377" s="6" t="inlineStr">
        <is>
          <t>-</t>
        </is>
      </c>
      <c r="Y377" s="6" t="inlineStr">
        <is>
          <t>-</t>
        </is>
      </c>
      <c r="Z377" s="6" t="inlineStr">
        <is>
          <t>FCM-OPE-SAO-PVI-BTC</t>
        </is>
      </c>
      <c r="AA377" s="6" t="inlineStr">
        <is>
          <t>-</t>
        </is>
      </c>
      <c r="AB377" s="6" t="n">
        <v>1470.21</v>
      </c>
      <c r="AC377" s="6" t="n">
        <v>32.8</v>
      </c>
      <c r="AD377" s="6" t="n">
        <v>0</v>
      </c>
      <c r="AE377" s="6" t="n">
        <v>0</v>
      </c>
      <c r="AF377" s="6" t="n">
        <v>0</v>
      </c>
      <c r="AG377" s="6" t="n">
        <v>0</v>
      </c>
      <c r="AH377" s="6" t="n">
        <v>0</v>
      </c>
      <c r="AI377" s="6" t="inlineStr">
        <is>
          <t>Reserva importada por HubTravel</t>
        </is>
      </c>
      <c r="AJ377" s="6" t="inlineStr">
        <is>
          <t>Fornecedor não preenchido! (ACC01)</t>
        </is>
      </c>
      <c r="AK377" s="6" t="inlineStr">
        <is>
          <t>SABRE</t>
        </is>
      </c>
      <c r="AL377" s="6" t="inlineStr">
        <is>
          <t>Falta de Fornecedor</t>
        </is>
      </c>
      <c r="AM377" s="6" t="inlineStr">
        <is>
          <t>Campo Fornecedor</t>
        </is>
      </c>
      <c r="AN377" s="6" t="inlineStr">
        <is>
          <t>Dados do Fornecedor</t>
        </is>
      </c>
      <c r="AO377" s="6" t="inlineStr">
        <is>
          <t>Sistêmico</t>
        </is>
      </c>
      <c r="AP377" s="6" t="inlineStr">
        <is>
          <t>GRUPO KONTIK</t>
        </is>
      </c>
      <c r="AQ377" s="6" t="inlineStr">
        <is>
          <t>Suporte Benner</t>
        </is>
      </c>
    </row>
    <row r="378">
      <c r="A378" s="6" t="n">
        <v>23323630</v>
      </c>
      <c r="B378" s="6" t="n">
        <v>24053032</v>
      </c>
      <c r="C378" s="6" t="inlineStr">
        <is>
          <t>ACC01</t>
        </is>
      </c>
      <c r="D378" s="58" t="n">
        <v>45975.46883101852</v>
      </c>
      <c r="E378" s="58" t="n">
        <v>45975.47215277778</v>
      </c>
      <c r="F378" s="6" t="inlineStr">
        <is>
          <t>09 a 15 dias</t>
        </is>
      </c>
      <c r="G378" s="6" t="inlineStr">
        <is>
          <t>09 a 15 dias</t>
        </is>
      </c>
      <c r="H378" s="6" t="inlineStr">
        <is>
          <t>NBCMQDC</t>
        </is>
      </c>
      <c r="I378" s="6" t="inlineStr">
        <is>
          <t>SABRE</t>
        </is>
      </c>
      <c r="J378" s="6" t="inlineStr">
        <is>
          <t>GALVAO/LUCAS MR</t>
        </is>
      </c>
      <c r="K378" s="6" t="inlineStr">
        <is>
          <t>WS</t>
        </is>
      </c>
      <c r="L378" s="6" t="inlineStr">
        <is>
          <t>WS</t>
        </is>
      </c>
      <c r="M378" s="58" t="n">
        <v>45975.32569444444</v>
      </c>
      <c r="N378" s="6" t="inlineStr">
        <is>
          <t>NBCMQD</t>
        </is>
      </c>
      <c r="O378" s="6" t="inlineStr">
        <is>
          <t>MIA</t>
        </is>
      </c>
      <c r="P378" s="6" t="inlineStr">
        <is>
          <t>ON LINE</t>
        </is>
      </c>
      <c r="Q378" s="6" t="inlineStr">
        <is>
          <t>Invoice</t>
        </is>
      </c>
      <c r="R378" s="6" t="inlineStr">
        <is>
          <t>Faturado</t>
        </is>
      </c>
      <c r="S378" s="6" t="inlineStr">
        <is>
          <t>Carro</t>
        </is>
      </c>
      <c r="T378" s="6" t="inlineStr">
        <is>
          <t>N</t>
        </is>
      </c>
      <c r="U378" s="6" t="inlineStr">
        <is>
          <t>Grupo Sep</t>
        </is>
      </c>
      <c r="V378" s="6" t="inlineStr">
        <is>
          <t>Sep Global Informacoes do Brasil Ltda</t>
        </is>
      </c>
      <c r="W378" s="6" t="inlineStr">
        <is>
          <t>Cliente FEE no POS</t>
        </is>
      </c>
      <c r="X378" s="6" t="inlineStr">
        <is>
          <t>-</t>
        </is>
      </c>
      <c r="Y378" s="6" t="inlineStr">
        <is>
          <t>-</t>
        </is>
      </c>
      <c r="Z378" s="6" t="inlineStr">
        <is>
          <t>FCM-OPE-SAO-PVI-BTC</t>
        </is>
      </c>
      <c r="AA378" s="6" t="inlineStr">
        <is>
          <t>-</t>
        </is>
      </c>
      <c r="AB378" s="6" t="n">
        <v>274.98</v>
      </c>
      <c r="AC378" s="6" t="n">
        <v>11.86</v>
      </c>
      <c r="AD378" s="6" t="n">
        <v>0</v>
      </c>
      <c r="AE378" s="6" t="n">
        <v>0</v>
      </c>
      <c r="AF378" s="6" t="n">
        <v>0</v>
      </c>
      <c r="AG378" s="6" t="n">
        <v>0</v>
      </c>
      <c r="AH378" s="6" t="n">
        <v>0</v>
      </c>
      <c r="AI378" s="6" t="inlineStr">
        <is>
          <t>Reserva importada por HubTravel</t>
        </is>
      </c>
      <c r="AJ378" s="6" t="inlineStr">
        <is>
          <t>Fornecedor não preenchido! (ACC01)</t>
        </is>
      </c>
      <c r="AK378" s="6" t="inlineStr">
        <is>
          <t>SABRE</t>
        </is>
      </c>
      <c r="AL378" s="6" t="inlineStr">
        <is>
          <t>Falta de Fornecedor</t>
        </is>
      </c>
      <c r="AM378" s="6" t="inlineStr">
        <is>
          <t>Campo Fornecedor</t>
        </is>
      </c>
      <c r="AN378" s="6" t="inlineStr">
        <is>
          <t>Dados do Fornecedor</t>
        </is>
      </c>
      <c r="AO378" s="6" t="inlineStr">
        <is>
          <t>Qualidade dos dados</t>
        </is>
      </c>
      <c r="AP378" s="6" t="inlineStr">
        <is>
          <t>KONTIK BUSINESS TRAVEL</t>
        </is>
      </c>
      <c r="AQ378" s="6" t="inlineStr">
        <is>
          <t>Suporte KCS</t>
        </is>
      </c>
    </row>
    <row r="379">
      <c r="A379" s="6" t="n">
        <v>23315832</v>
      </c>
      <c r="B379" s="6" t="n">
        <v>24045535</v>
      </c>
      <c r="C379" s="6" t="inlineStr">
        <is>
          <t>ACC01</t>
        </is>
      </c>
      <c r="D379" s="58" t="n">
        <v>45974.42627314815</v>
      </c>
      <c r="E379" s="58" t="n">
        <v>45975.12681712963</v>
      </c>
      <c r="F379" s="6" t="inlineStr">
        <is>
          <t>09 a 15 dias</t>
        </is>
      </c>
      <c r="G379" s="6" t="inlineStr">
        <is>
          <t>09 a 15 dias</t>
        </is>
      </c>
      <c r="H379" s="6" t="inlineStr">
        <is>
          <t>EWTLOVT</t>
        </is>
      </c>
      <c r="I379" s="6" t="inlineStr">
        <is>
          <t>SABRE</t>
        </is>
      </c>
      <c r="J379" s="6" t="inlineStr">
        <is>
          <t>BORDON SARAC BARRETO/PATRICIA MRS</t>
        </is>
      </c>
      <c r="K379" s="6" t="inlineStr">
        <is>
          <t>WS</t>
        </is>
      </c>
      <c r="L379" s="6" t="inlineStr">
        <is>
          <t>WS</t>
        </is>
      </c>
      <c r="M379" s="58" t="n">
        <v>45973.78472222222</v>
      </c>
      <c r="N379" s="6" t="inlineStr">
        <is>
          <t>EWTLOV</t>
        </is>
      </c>
      <c r="O379" s="6" t="inlineStr">
        <is>
          <t>-</t>
        </is>
      </c>
      <c r="P379" s="6" t="inlineStr">
        <is>
          <t>ON LINE</t>
        </is>
      </c>
      <c r="Q379" s="6" t="inlineStr">
        <is>
          <t>Cartão de crédito</t>
        </is>
      </c>
      <c r="R379" s="6" t="inlineStr">
        <is>
          <t>Cartão de crédito</t>
        </is>
      </c>
      <c r="S379" s="6" t="inlineStr">
        <is>
          <t>Hotel</t>
        </is>
      </c>
      <c r="T379" s="6" t="inlineStr">
        <is>
          <t>N</t>
        </is>
      </c>
      <c r="U379" s="6" t="inlineStr">
        <is>
          <t>Grupo Sep</t>
        </is>
      </c>
      <c r="V379" s="6" t="inlineStr">
        <is>
          <t>Ihs Informacoes Rio de Janeiro</t>
        </is>
      </c>
      <c r="W379" s="6" t="inlineStr">
        <is>
          <t>Cliente FEE no POS</t>
        </is>
      </c>
      <c r="X379" s="6" t="inlineStr">
        <is>
          <t>-</t>
        </is>
      </c>
      <c r="Y379" s="6" t="inlineStr">
        <is>
          <t>-</t>
        </is>
      </c>
      <c r="Z379" s="6" t="inlineStr">
        <is>
          <t>FCM-OPE-SAO-PVI-BTC-CYTRIC-S&amp;P</t>
        </is>
      </c>
      <c r="AA379" s="6" t="inlineStr">
        <is>
          <t>-</t>
        </is>
      </c>
      <c r="AB379" s="6" t="n">
        <v>15810.2184</v>
      </c>
      <c r="AC379" s="6" t="n">
        <v>0</v>
      </c>
      <c r="AD379" s="6" t="n">
        <v>0</v>
      </c>
      <c r="AE379" s="6" t="n">
        <v>0</v>
      </c>
      <c r="AF379" s="6" t="n">
        <v>0</v>
      </c>
      <c r="AG379" s="6" t="n">
        <v>0</v>
      </c>
      <c r="AH379" s="6" t="n">
        <v>0</v>
      </c>
      <c r="AI379" s="6" t="inlineStr">
        <is>
          <t>Reserva importada por HubTravel</t>
        </is>
      </c>
      <c r="AJ379" s="6" t="inlineStr">
        <is>
          <t>Fornecedor não preenchido! (ACC01)</t>
        </is>
      </c>
      <c r="AK379" s="6" t="inlineStr">
        <is>
          <t>SABRE</t>
        </is>
      </c>
      <c r="AL379" s="6" t="inlineStr">
        <is>
          <t>Falta de Fornecedor</t>
        </is>
      </c>
      <c r="AM379" s="6" t="inlineStr">
        <is>
          <t>Campo Fornecedor</t>
        </is>
      </c>
      <c r="AN379" s="6" t="inlineStr">
        <is>
          <t>Dados do Fornecedor</t>
        </is>
      </c>
      <c r="AO379" s="6" t="inlineStr">
        <is>
          <t>Sistêmico</t>
        </is>
      </c>
      <c r="AP379" s="6" t="inlineStr">
        <is>
          <t>GRUPO KONTIK</t>
        </is>
      </c>
      <c r="AQ379" s="6" t="inlineStr">
        <is>
          <t>Suporte Benner</t>
        </is>
      </c>
    </row>
    <row r="380">
      <c r="A380" s="6" t="n">
        <v>23165548</v>
      </c>
      <c r="B380" s="6" t="n">
        <v>23909377</v>
      </c>
      <c r="C380" s="6" t="inlineStr">
        <is>
          <t>ACC01</t>
        </is>
      </c>
      <c r="D380" s="58" t="n">
        <v>45952.61082175926</v>
      </c>
      <c r="E380" s="58" t="n">
        <v>45954.12809027778</v>
      </c>
      <c r="F380" s="59" t="inlineStr">
        <is>
          <t>31 dias ou +</t>
        </is>
      </c>
      <c r="G380" s="59" t="inlineStr">
        <is>
          <t>31 dias ou +</t>
        </is>
      </c>
      <c r="H380" s="6" t="inlineStr">
        <is>
          <t>GJPMDLT</t>
        </is>
      </c>
      <c r="I380" s="6" t="inlineStr">
        <is>
          <t>SABRE</t>
        </is>
      </c>
      <c r="J380" s="6" t="inlineStr">
        <is>
          <t>DE ANDRADE BALTIERI/BEATRIZ MISS</t>
        </is>
      </c>
      <c r="K380" s="6" t="inlineStr">
        <is>
          <t>WS</t>
        </is>
      </c>
      <c r="L380" s="6" t="inlineStr">
        <is>
          <t>WS</t>
        </is>
      </c>
      <c r="M380" s="58" t="n">
        <v>45952.47708333333</v>
      </c>
      <c r="N380" s="6" t="inlineStr">
        <is>
          <t>GJPMDL</t>
        </is>
      </c>
      <c r="O380" s="6" t="inlineStr">
        <is>
          <t>-</t>
        </is>
      </c>
      <c r="P380" s="6" t="inlineStr">
        <is>
          <t>ON LINE</t>
        </is>
      </c>
      <c r="Q380" s="6" t="inlineStr">
        <is>
          <t>Cartão de crédito</t>
        </is>
      </c>
      <c r="R380" s="6" t="inlineStr">
        <is>
          <t>Cartão de crédito</t>
        </is>
      </c>
      <c r="S380" s="6" t="inlineStr">
        <is>
          <t>Hotel</t>
        </is>
      </c>
      <c r="T380" s="6" t="inlineStr">
        <is>
          <t>N</t>
        </is>
      </c>
      <c r="U380" s="6" t="inlineStr">
        <is>
          <t>Grupo Sep</t>
        </is>
      </c>
      <c r="V380" s="6" t="inlineStr">
        <is>
          <t>Sep Global Informacoes do Brasil Ltda</t>
        </is>
      </c>
      <c r="W380" s="6" t="inlineStr">
        <is>
          <t>Cliente FEE no POS</t>
        </is>
      </c>
      <c r="X380" s="6" t="inlineStr">
        <is>
          <t>-</t>
        </is>
      </c>
      <c r="Y380" s="6" t="inlineStr">
        <is>
          <t>-</t>
        </is>
      </c>
      <c r="Z380" s="6" t="inlineStr">
        <is>
          <t>FCM-OPE-SAO-PVI-BTC</t>
        </is>
      </c>
      <c r="AA380" s="6" t="inlineStr">
        <is>
          <t>-</t>
        </is>
      </c>
      <c r="AB380" s="6" t="n">
        <v>5128.812</v>
      </c>
      <c r="AC380" s="6" t="n">
        <v>0</v>
      </c>
      <c r="AD380" s="6" t="n">
        <v>0</v>
      </c>
      <c r="AE380" s="6" t="n">
        <v>0</v>
      </c>
      <c r="AF380" s="6" t="n">
        <v>0</v>
      </c>
      <c r="AG380" s="6" t="n">
        <v>0</v>
      </c>
      <c r="AH380" s="6" t="n">
        <v>0</v>
      </c>
      <c r="AI380" s="6" t="inlineStr">
        <is>
          <t>Reserva importada por HubTravel</t>
        </is>
      </c>
      <c r="AJ380" s="6" t="inlineStr">
        <is>
          <t>Fornecedor não preenchido! (ACC01)</t>
        </is>
      </c>
      <c r="AK380" s="6" t="inlineStr">
        <is>
          <t>SABRE</t>
        </is>
      </c>
      <c r="AL380" s="6" t="inlineStr">
        <is>
          <t>Falta de Fornecedor</t>
        </is>
      </c>
      <c r="AM380" s="6" t="inlineStr">
        <is>
          <t>Campo Fornecedor</t>
        </is>
      </c>
      <c r="AN380" s="6" t="inlineStr">
        <is>
          <t>Dados do Fornecedor</t>
        </is>
      </c>
      <c r="AO380" s="6" t="inlineStr">
        <is>
          <t>Sistêmico</t>
        </is>
      </c>
      <c r="AP380" s="6" t="inlineStr">
        <is>
          <t>GRUPO KONTIK</t>
        </is>
      </c>
      <c r="AQ380" s="6" t="inlineStr">
        <is>
          <t>Suporte Benner</t>
        </is>
      </c>
    </row>
    <row r="381">
      <c r="A381" s="6" t="n">
        <v>23165549</v>
      </c>
      <c r="B381" s="6" t="n">
        <v>23909378</v>
      </c>
      <c r="C381" s="6" t="inlineStr">
        <is>
          <t>ACC01</t>
        </is>
      </c>
      <c r="D381" s="58" t="n">
        <v>45952.6108912037</v>
      </c>
      <c r="E381" s="58" t="n">
        <v>45954.12810185185</v>
      </c>
      <c r="F381" s="59" t="inlineStr">
        <is>
          <t>31 dias ou +</t>
        </is>
      </c>
      <c r="G381" s="59" t="inlineStr">
        <is>
          <t>31 dias ou +</t>
        </is>
      </c>
      <c r="H381" s="6" t="inlineStr">
        <is>
          <t>QUMDEFT</t>
        </is>
      </c>
      <c r="I381" s="6" t="inlineStr">
        <is>
          <t>SABRE</t>
        </is>
      </c>
      <c r="J381" s="6" t="inlineStr">
        <is>
          <t>DE ANDRADE BALTIERI/BEATRIZ MISS</t>
        </is>
      </c>
      <c r="K381" s="6" t="inlineStr">
        <is>
          <t>WS</t>
        </is>
      </c>
      <c r="L381" s="6" t="inlineStr">
        <is>
          <t>WS</t>
        </is>
      </c>
      <c r="M381" s="58" t="n">
        <v>45952.48263888889</v>
      </c>
      <c r="N381" s="6" t="inlineStr">
        <is>
          <t>QUMDEF</t>
        </is>
      </c>
      <c r="O381" s="6" t="inlineStr">
        <is>
          <t>-</t>
        </is>
      </c>
      <c r="P381" s="6" t="inlineStr">
        <is>
          <t>ON LINE</t>
        </is>
      </c>
      <c r="Q381" s="6" t="inlineStr">
        <is>
          <t>Cartão de crédito</t>
        </is>
      </c>
      <c r="R381" s="6" t="inlineStr">
        <is>
          <t>Cartão de crédito</t>
        </is>
      </c>
      <c r="S381" s="6" t="inlineStr">
        <is>
          <t>Hotel</t>
        </is>
      </c>
      <c r="T381" s="6" t="inlineStr">
        <is>
          <t>N</t>
        </is>
      </c>
      <c r="U381" s="6" t="inlineStr">
        <is>
          <t>Grupo Sep</t>
        </is>
      </c>
      <c r="V381" s="6" t="inlineStr">
        <is>
          <t>Sep Global Informacoes do Brasil Ltda</t>
        </is>
      </c>
      <c r="W381" s="6" t="inlineStr">
        <is>
          <t>Cliente FEE no POS</t>
        </is>
      </c>
      <c r="X381" s="6" t="inlineStr">
        <is>
          <t>-</t>
        </is>
      </c>
      <c r="Y381" s="6" t="inlineStr">
        <is>
          <t>-</t>
        </is>
      </c>
      <c r="Z381" s="6" t="inlineStr">
        <is>
          <t>FCM-OPE-SAO-PVI-BTC</t>
        </is>
      </c>
      <c r="AA381" s="6" t="inlineStr">
        <is>
          <t>-</t>
        </is>
      </c>
      <c r="AB381" s="6" t="n">
        <v>5678.848</v>
      </c>
      <c r="AC381" s="6" t="n">
        <v>0</v>
      </c>
      <c r="AD381" s="6" t="n">
        <v>0</v>
      </c>
      <c r="AE381" s="6" t="n">
        <v>0</v>
      </c>
      <c r="AF381" s="6" t="n">
        <v>0</v>
      </c>
      <c r="AG381" s="6" t="n">
        <v>0</v>
      </c>
      <c r="AH381" s="6" t="n">
        <v>0</v>
      </c>
      <c r="AI381" s="6" t="inlineStr">
        <is>
          <t>Reserva importada por HubTravel</t>
        </is>
      </c>
      <c r="AJ381" s="6" t="inlineStr">
        <is>
          <t>Fornecedor não preenchido! (ACC01)</t>
        </is>
      </c>
      <c r="AK381" s="6" t="inlineStr">
        <is>
          <t>SABRE</t>
        </is>
      </c>
      <c r="AL381" s="6" t="inlineStr">
        <is>
          <t>Falta de Fornecedor</t>
        </is>
      </c>
      <c r="AM381" s="6" t="inlineStr">
        <is>
          <t>Campo Fornecedor</t>
        </is>
      </c>
      <c r="AN381" s="6" t="inlineStr">
        <is>
          <t>Dados do Fornecedor</t>
        </is>
      </c>
      <c r="AO381" s="6" t="inlineStr">
        <is>
          <t>Sistêmico</t>
        </is>
      </c>
      <c r="AP381" s="6" t="inlineStr">
        <is>
          <t>GRUPO KONTIK</t>
        </is>
      </c>
      <c r="AQ381" s="6" t="inlineStr">
        <is>
          <t>Suporte Benner</t>
        </is>
      </c>
    </row>
    <row r="382">
      <c r="A382" s="6" t="n">
        <v>23338953</v>
      </c>
      <c r="B382" s="6" t="n">
        <v>24066731</v>
      </c>
      <c r="C382" s="6" t="inlineStr">
        <is>
          <t>ACC01</t>
        </is>
      </c>
      <c r="D382" s="58" t="n">
        <v>45978.46922453704</v>
      </c>
      <c r="E382" s="58" t="n">
        <v>45978.46959490741</v>
      </c>
      <c r="F382" s="6" t="inlineStr">
        <is>
          <t>06 a 08 dias</t>
        </is>
      </c>
      <c r="G382" s="6" t="inlineStr">
        <is>
          <t>06 a 08 dias</t>
        </is>
      </c>
      <c r="H382" s="6" t="inlineStr">
        <is>
          <t>BB27029776-29153915</t>
        </is>
      </c>
      <c r="I382" s="6" t="inlineStr">
        <is>
          <t>GOVER</t>
        </is>
      </c>
      <c r="J382" s="6" t="inlineStr">
        <is>
          <t>Andreza ARRUDA VIOTTO S APOSTOLICO</t>
        </is>
      </c>
      <c r="K382" s="6" t="inlineStr">
        <is>
          <t>Ana Carolina da Silva</t>
        </is>
      </c>
      <c r="L382" s="6" t="inlineStr">
        <is>
          <t>Ana Carolina da Silva</t>
        </is>
      </c>
      <c r="M382" s="58" t="n">
        <v>45978.45347222222</v>
      </c>
      <c r="N382" s="6" t="n">
        <v>4590241</v>
      </c>
      <c r="O382" s="6" t="inlineStr">
        <is>
          <t>-</t>
        </is>
      </c>
      <c r="P382" s="6" t="inlineStr">
        <is>
          <t>OFF LINE</t>
        </is>
      </c>
      <c r="Q382" s="6" t="inlineStr">
        <is>
          <t>Invoice</t>
        </is>
      </c>
      <c r="R382" s="6" t="inlineStr">
        <is>
          <t>Faturado</t>
        </is>
      </c>
      <c r="S382" s="6" t="inlineStr">
        <is>
          <t>Hotel</t>
        </is>
      </c>
      <c r="T382" s="6" t="inlineStr">
        <is>
          <t>N</t>
        </is>
      </c>
      <c r="U382" s="6" t="inlineStr">
        <is>
          <t>Grupo Arcadis</t>
        </is>
      </c>
      <c r="V382" s="6" t="inlineStr">
        <is>
          <t>Arcadis</t>
        </is>
      </c>
      <c r="W382" s="6" t="inlineStr">
        <is>
          <t>-</t>
        </is>
      </c>
      <c r="X382" s="6" t="inlineStr">
        <is>
          <t>-</t>
        </is>
      </c>
      <c r="Y382" s="6" t="inlineStr">
        <is>
          <t>-</t>
        </is>
      </c>
      <c r="Z382" s="6" t="inlineStr">
        <is>
          <t>FCM-OPE-SAO-PVI-ARCADIS</t>
        </is>
      </c>
      <c r="AA382" s="6" t="inlineStr">
        <is>
          <t>-</t>
        </is>
      </c>
      <c r="AB382" s="6" t="n">
        <v>7588.21</v>
      </c>
      <c r="AC382" s="6" t="n">
        <v>0</v>
      </c>
      <c r="AD382" s="6" t="n">
        <v>0</v>
      </c>
      <c r="AE382" s="6" t="n">
        <v>0</v>
      </c>
      <c r="AF382" s="6" t="n">
        <v>0</v>
      </c>
      <c r="AG382" s="6" t="n">
        <v>0</v>
      </c>
      <c r="AH382" s="6" t="n">
        <v>0</v>
      </c>
      <c r="AI382" s="6" t="inlineStr">
        <is>
          <t>Reserva importada do sistema Gover. Id: 4590241</t>
        </is>
      </c>
      <c r="AJ382" s="6" t="inlineStr">
        <is>
          <t>Fornecedor não preenchido! (ACC01)</t>
        </is>
      </c>
      <c r="AK382" s="6" t="inlineStr">
        <is>
          <t>GOVER</t>
        </is>
      </c>
      <c r="AL382" s="6" t="inlineStr">
        <is>
          <t>Falta de Fornecedor</t>
        </is>
      </c>
      <c r="AM382" s="6" t="inlineStr">
        <is>
          <t>Campo Fornecedor</t>
        </is>
      </c>
      <c r="AN382" s="6" t="inlineStr">
        <is>
          <t>Dados do Fornecedor</t>
        </is>
      </c>
      <c r="AO382" s="6" t="inlineStr">
        <is>
          <t>Sistêmico</t>
        </is>
      </c>
      <c r="AP382" s="6" t="inlineStr">
        <is>
          <t>GRUPO KONTIK</t>
        </is>
      </c>
      <c r="AQ382" s="6" t="inlineStr">
        <is>
          <t>Suporte Benner</t>
        </is>
      </c>
    </row>
    <row r="383">
      <c r="A383" s="6" t="n">
        <v>23352978</v>
      </c>
      <c r="B383" s="6" t="n">
        <v>24079965</v>
      </c>
      <c r="C383" s="6" t="inlineStr">
        <is>
          <t>ACC01</t>
        </is>
      </c>
      <c r="D383" s="58" t="n">
        <v>45980.37795138889</v>
      </c>
      <c r="E383" s="58" t="n">
        <v>45980.37994212963</v>
      </c>
      <c r="F383" s="6" t="inlineStr">
        <is>
          <t>06 a 08 dias</t>
        </is>
      </c>
      <c r="G383" s="6" t="inlineStr">
        <is>
          <t>06 a 08 dias</t>
        </is>
      </c>
      <c r="H383" s="6" t="n">
        <v>20889419</v>
      </c>
      <c r="I383" s="6" t="inlineStr">
        <is>
          <t>GOVER</t>
        </is>
      </c>
      <c r="J383" s="6" t="inlineStr">
        <is>
          <t>CIBELLE REGINA GOMES ORTIZ</t>
        </is>
      </c>
      <c r="K383" s="6" t="inlineStr">
        <is>
          <t>Gover</t>
        </is>
      </c>
      <c r="L383" s="6" t="inlineStr">
        <is>
          <t>Gover</t>
        </is>
      </c>
      <c r="M383" s="58" t="n">
        <v>45979.58819444444</v>
      </c>
      <c r="N383" s="6" t="n">
        <v>4629617</v>
      </c>
      <c r="O383" s="6" t="inlineStr">
        <is>
          <t>-</t>
        </is>
      </c>
      <c r="P383" s="6" t="inlineStr">
        <is>
          <t>ON LINE</t>
        </is>
      </c>
      <c r="Q383" s="6" t="inlineStr">
        <is>
          <t>Cartão de crédito</t>
        </is>
      </c>
      <c r="R383" s="6" t="inlineStr">
        <is>
          <t>Cartão de crédito</t>
        </is>
      </c>
      <c r="S383" s="6" t="inlineStr">
        <is>
          <t>Hotel</t>
        </is>
      </c>
      <c r="T383" s="6" t="inlineStr">
        <is>
          <t>N</t>
        </is>
      </c>
      <c r="U383" s="6" t="inlineStr">
        <is>
          <t>Grupo Arcadis</t>
        </is>
      </c>
      <c r="V383" s="6" t="inlineStr">
        <is>
          <t>Arcadis</t>
        </is>
      </c>
      <c r="W383" s="6" t="inlineStr">
        <is>
          <t>-</t>
        </is>
      </c>
      <c r="X383" s="6" t="inlineStr">
        <is>
          <t>Ibis Vitoria Praia do Canto</t>
        </is>
      </c>
      <c r="Y383" s="6" t="inlineStr">
        <is>
          <t>-</t>
        </is>
      </c>
      <c r="Z383" s="6" t="inlineStr">
        <is>
          <t>-</t>
        </is>
      </c>
      <c r="AA383" s="6" t="inlineStr">
        <is>
          <t>-</t>
        </is>
      </c>
      <c r="AB383" s="6" t="n">
        <v>463</v>
      </c>
      <c r="AC383" s="6" t="n">
        <v>23.15</v>
      </c>
      <c r="AD383" s="6" t="n">
        <v>0</v>
      </c>
      <c r="AE383" s="6" t="n">
        <v>0</v>
      </c>
      <c r="AF383" s="6" t="n">
        <v>0</v>
      </c>
      <c r="AG383" s="6" t="n">
        <v>0</v>
      </c>
      <c r="AH383" s="6" t="n">
        <v>0</v>
      </c>
      <c r="AI383" s="6" t="inlineStr">
        <is>
          <t>Reserva importada do sistema Gover. Id: 4629617</t>
        </is>
      </c>
      <c r="AJ383" s="6" t="inlineStr">
        <is>
          <t>Canal de venda não preenchido! (ACC01)</t>
        </is>
      </c>
      <c r="AK383" s="6" t="inlineStr">
        <is>
          <t>GOVER</t>
        </is>
      </c>
      <c r="AL383" s="6" t="inlineStr">
        <is>
          <t>Canal de venda</t>
        </is>
      </c>
      <c r="AM383" s="6" t="inlineStr">
        <is>
          <t>Falta de informação Gerencial</t>
        </is>
      </c>
      <c r="AN383" s="6" t="inlineStr">
        <is>
          <t>Dados do Fornecedor</t>
        </is>
      </c>
      <c r="AO383" s="6" t="inlineStr">
        <is>
          <t>Qualidade dos dados</t>
        </is>
      </c>
      <c r="AP383" s="6" t="inlineStr">
        <is>
          <t>KONTIK BUSINESS TRAVEL</t>
        </is>
      </c>
      <c r="AQ383" s="6" t="inlineStr">
        <is>
          <t>Suporte KCS</t>
        </is>
      </c>
    </row>
    <row r="384">
      <c r="A384" s="6" t="n">
        <v>23188284</v>
      </c>
      <c r="B384" s="6" t="n">
        <v>23926221</v>
      </c>
      <c r="C384" s="6" t="inlineStr">
        <is>
          <t>ACC01</t>
        </is>
      </c>
      <c r="D384" s="58" t="n">
        <v>45954.77050925926</v>
      </c>
      <c r="E384" s="58" t="n">
        <v>45954.77513888889</v>
      </c>
      <c r="F384" s="59" t="inlineStr">
        <is>
          <t>31 dias ou +</t>
        </is>
      </c>
      <c r="G384" s="59" t="inlineStr">
        <is>
          <t>31 dias ou +</t>
        </is>
      </c>
      <c r="H384" s="6" t="inlineStr">
        <is>
          <t>5Q0ETP</t>
        </is>
      </c>
      <c r="I384" s="6" t="inlineStr">
        <is>
          <t>TMS</t>
        </is>
      </c>
      <c r="J384" s="6" t="inlineStr">
        <is>
          <t>SILVA/CINTIA PAULA</t>
        </is>
      </c>
      <c r="K384" s="6" t="inlineStr">
        <is>
          <t>Jessica Soares Teixeira</t>
        </is>
      </c>
      <c r="L384" s="6" t="inlineStr">
        <is>
          <t>Jessica Soares Teixeira</t>
        </is>
      </c>
      <c r="M384" s="58" t="n">
        <v>45954.58333333334</v>
      </c>
      <c r="N384" s="6" t="n">
        <v>93360</v>
      </c>
      <c r="O384" s="6" t="inlineStr">
        <is>
          <t>-</t>
        </is>
      </c>
      <c r="P384" s="6" t="inlineStr">
        <is>
          <t>OFF LINE</t>
        </is>
      </c>
      <c r="Q384" s="6" t="inlineStr">
        <is>
          <t>Cartão de crédito</t>
        </is>
      </c>
      <c r="R384" s="6" t="inlineStr">
        <is>
          <t>Cartão de crédito</t>
        </is>
      </c>
      <c r="S384" s="6" t="inlineStr">
        <is>
          <t>Aéreo</t>
        </is>
      </c>
      <c r="T384" s="6" t="inlineStr">
        <is>
          <t>N</t>
        </is>
      </c>
      <c r="U384" s="6" t="inlineStr">
        <is>
          <t>Grupo Ache</t>
        </is>
      </c>
      <c r="V384" s="6" t="inlineStr">
        <is>
          <t>Ache Laboratorios Farmaceuticos Sa</t>
        </is>
      </c>
      <c r="W384" s="6" t="inlineStr">
        <is>
          <t>-</t>
        </is>
      </c>
      <c r="X384" s="6" t="inlineStr">
        <is>
          <t>Latam Airlines Brasil</t>
        </is>
      </c>
      <c r="Y384" s="6" t="n">
        <v>4459890719</v>
      </c>
      <c r="Z384" s="6" t="inlineStr">
        <is>
          <t>KON-OPE-SAO-PVI-ACHE</t>
        </is>
      </c>
      <c r="AA384" s="6" t="inlineStr">
        <is>
          <t>-</t>
        </is>
      </c>
      <c r="AB384" s="6" t="n">
        <v>0</v>
      </c>
      <c r="AC384" s="6" t="n">
        <v>175</v>
      </c>
      <c r="AD384" s="6" t="n">
        <v>0</v>
      </c>
      <c r="AE384" s="6" t="n">
        <v>0</v>
      </c>
      <c r="AF384" s="6" t="n">
        <v>0</v>
      </c>
      <c r="AG384" s="6" t="n">
        <v>0</v>
      </c>
      <c r="AH384" s="6" t="n">
        <v>0</v>
      </c>
      <c r="AI384" s="6" t="inlineStr">
        <is>
          <t>Reserva importada do Sistema TMS. OS: 93360</t>
        </is>
      </c>
      <c r="AJ384" s="6" t="inlineStr">
        <is>
          <t>Empenho/departamento não preenchido! (ACC01)</t>
        </is>
      </c>
      <c r="AK384" s="6" t="inlineStr">
        <is>
          <t>ARGO(TMS)</t>
        </is>
      </c>
      <c r="AL384" s="6" t="inlineStr">
        <is>
          <t>Empenho/departamento</t>
        </is>
      </c>
      <c r="AM384" s="6" t="inlineStr">
        <is>
          <t>Falta de informação Gerencial</t>
        </is>
      </c>
      <c r="AN384" s="6" t="inlineStr">
        <is>
          <t>Dados do Fornecedor</t>
        </is>
      </c>
      <c r="AO384" s="6" t="inlineStr">
        <is>
          <t>Qualidade dos dados</t>
        </is>
      </c>
      <c r="AP384" s="6" t="inlineStr">
        <is>
          <t>KONTIK BUSINESS TRAVEL</t>
        </is>
      </c>
      <c r="AQ384" s="6" t="inlineStr">
        <is>
          <t>Operações - CORP</t>
        </is>
      </c>
    </row>
    <row r="385">
      <c r="A385" s="6" t="n">
        <v>23368489</v>
      </c>
      <c r="B385" s="6" t="n">
        <v>24094451</v>
      </c>
      <c r="C385" s="6" t="inlineStr">
        <is>
          <t>ACC01</t>
        </is>
      </c>
      <c r="D385" s="58" t="n">
        <v>45982.9037962963</v>
      </c>
      <c r="E385" s="58" t="n">
        <v>45982.90689814815</v>
      </c>
      <c r="F385" s="6" t="inlineStr">
        <is>
          <t>03 a 05 dias</t>
        </is>
      </c>
      <c r="G385" s="6" t="inlineStr">
        <is>
          <t>03 a 05 dias</t>
        </is>
      </c>
      <c r="H385" s="6" t="inlineStr">
        <is>
          <t>5U8UAA</t>
        </is>
      </c>
      <c r="I385" s="6" t="inlineStr">
        <is>
          <t>TMS</t>
        </is>
      </c>
      <c r="J385" s="6" t="inlineStr">
        <is>
          <t>PATRICIA ANJOS</t>
        </is>
      </c>
      <c r="K385" s="6" t="inlineStr">
        <is>
          <t>Tms</t>
        </is>
      </c>
      <c r="L385" s="6" t="inlineStr">
        <is>
          <t>Tms</t>
        </is>
      </c>
      <c r="M385" s="58" t="n">
        <v>45982.67708333334</v>
      </c>
      <c r="N385" s="6" t="n">
        <v>96910</v>
      </c>
      <c r="O385" s="6" t="inlineStr">
        <is>
          <t>-</t>
        </is>
      </c>
      <c r="P385" s="6" t="inlineStr">
        <is>
          <t>ON LINE</t>
        </is>
      </c>
      <c r="Q385" s="6" t="inlineStr">
        <is>
          <t>Invoice</t>
        </is>
      </c>
      <c r="R385" s="6" t="inlineStr">
        <is>
          <t>Faturado</t>
        </is>
      </c>
      <c r="S385" s="6" t="inlineStr">
        <is>
          <t>Hotel</t>
        </is>
      </c>
      <c r="T385" s="6" t="inlineStr">
        <is>
          <t>N</t>
        </is>
      </c>
      <c r="U385" s="6" t="inlineStr">
        <is>
          <t>Grupo Ache</t>
        </is>
      </c>
      <c r="V385" s="6" t="inlineStr">
        <is>
          <t>Ache Laboratorios Farmaceuticos Sa</t>
        </is>
      </c>
      <c r="W385" s="6" t="inlineStr">
        <is>
          <t>-</t>
        </is>
      </c>
      <c r="X385" s="6" t="inlineStr">
        <is>
          <t>-</t>
        </is>
      </c>
      <c r="Y385" s="6" t="inlineStr">
        <is>
          <t>-</t>
        </is>
      </c>
      <c r="Z385" s="6" t="inlineStr">
        <is>
          <t>KON-OPE-SAO-PVI-ACHE</t>
        </is>
      </c>
      <c r="AA385" s="6" t="inlineStr">
        <is>
          <t>-</t>
        </is>
      </c>
      <c r="AB385" s="6" t="n">
        <v>957</v>
      </c>
      <c r="AC385" s="6" t="n">
        <v>0</v>
      </c>
      <c r="AD385" s="6" t="n">
        <v>0</v>
      </c>
      <c r="AE385" s="6" t="n">
        <v>0</v>
      </c>
      <c r="AF385" s="6" t="n">
        <v>0</v>
      </c>
      <c r="AG385" s="6" t="n">
        <v>0</v>
      </c>
      <c r="AH385" s="6" t="n">
        <v>0</v>
      </c>
      <c r="AI385" s="6" t="inlineStr">
        <is>
          <t>Reserva importada do Sistema TMS. OS: 96910</t>
        </is>
      </c>
      <c r="AJ385" s="6" t="inlineStr">
        <is>
          <t>Fornecedor não preenchido! (ACC01)</t>
        </is>
      </c>
      <c r="AK385" s="6" t="inlineStr">
        <is>
          <t>ARGO(TMS)</t>
        </is>
      </c>
      <c r="AL385" s="6" t="inlineStr">
        <is>
          <t>Falta de Fornecedor</t>
        </is>
      </c>
      <c r="AM385" s="6" t="inlineStr">
        <is>
          <t>Campo Fornecedor</t>
        </is>
      </c>
      <c r="AN385" s="6" t="inlineStr">
        <is>
          <t>Dados do Fornecedor</t>
        </is>
      </c>
      <c r="AO385" s="6" t="inlineStr">
        <is>
          <t>Sistêmico</t>
        </is>
      </c>
      <c r="AP385" s="6" t="inlineStr">
        <is>
          <t>GRUPO KONTIK</t>
        </is>
      </c>
      <c r="AQ385" s="6" t="inlineStr">
        <is>
          <t>Suporte Benner</t>
        </is>
      </c>
    </row>
    <row r="386">
      <c r="A386" s="6" t="n">
        <v>23380087</v>
      </c>
      <c r="B386" s="6" t="n">
        <v>24103772</v>
      </c>
      <c r="C386" s="6" t="inlineStr">
        <is>
          <t>ACC01</t>
        </is>
      </c>
      <c r="D386" s="58" t="n">
        <v>45985.6922337963</v>
      </c>
      <c r="E386" s="58" t="n">
        <v>45985.69645833333</v>
      </c>
      <c r="F386" s="6" t="inlineStr">
        <is>
          <t>0 a 02 dias</t>
        </is>
      </c>
      <c r="G386" s="6" t="inlineStr">
        <is>
          <t>0 a 02 dias</t>
        </is>
      </c>
      <c r="H386" s="6" t="inlineStr">
        <is>
          <t>5UCMC2</t>
        </is>
      </c>
      <c r="I386" s="6" t="inlineStr">
        <is>
          <t>TMS</t>
        </is>
      </c>
      <c r="J386" s="6" t="inlineStr">
        <is>
          <t>GREICY DIMARE</t>
        </is>
      </c>
      <c r="K386" s="6" t="inlineStr">
        <is>
          <t>Tms</t>
        </is>
      </c>
      <c r="L386" s="6" t="inlineStr">
        <is>
          <t>Tms</t>
        </is>
      </c>
      <c r="M386" s="58" t="n">
        <v>45985.58125</v>
      </c>
      <c r="N386" s="6" t="n">
        <v>97040</v>
      </c>
      <c r="O386" s="6" t="inlineStr">
        <is>
          <t>-</t>
        </is>
      </c>
      <c r="P386" s="6" t="inlineStr">
        <is>
          <t>ON LINE</t>
        </is>
      </c>
      <c r="Q386" s="6" t="inlineStr">
        <is>
          <t>Pagamento direto</t>
        </is>
      </c>
      <c r="R386" s="6" t="inlineStr">
        <is>
          <t>Pagamento direto</t>
        </is>
      </c>
      <c r="S386" s="6" t="inlineStr">
        <is>
          <t>Hotel</t>
        </is>
      </c>
      <c r="T386" s="6" t="inlineStr">
        <is>
          <t>N</t>
        </is>
      </c>
      <c r="U386" s="6" t="inlineStr">
        <is>
          <t>Grupo Ache</t>
        </is>
      </c>
      <c r="V386" s="6" t="inlineStr">
        <is>
          <t>Ache Laboratorios Farmaceuticos Sa</t>
        </is>
      </c>
      <c r="W386" s="6" t="inlineStr">
        <is>
          <t>-</t>
        </is>
      </c>
      <c r="X386" s="6" t="inlineStr">
        <is>
          <t>Hotel Araca</t>
        </is>
      </c>
      <c r="Y386" s="6" t="inlineStr">
        <is>
          <t>-</t>
        </is>
      </c>
      <c r="Z386" s="6" t="inlineStr">
        <is>
          <t>KON-OPE-SAO-PVI-ACHE</t>
        </is>
      </c>
      <c r="AA386" s="6" t="inlineStr">
        <is>
          <t>-</t>
        </is>
      </c>
      <c r="AB386" s="6" t="n">
        <v>735</v>
      </c>
      <c r="AC386" s="6" t="n">
        <v>0</v>
      </c>
      <c r="AD386" s="6" t="n">
        <v>0</v>
      </c>
      <c r="AE386" s="6" t="n">
        <v>0</v>
      </c>
      <c r="AF386" s="6" t="n">
        <v>0</v>
      </c>
      <c r="AG386" s="6" t="n">
        <v>0</v>
      </c>
      <c r="AH386" s="6" t="n">
        <v>0</v>
      </c>
      <c r="AI386" s="6" t="inlineStr">
        <is>
          <t>Reserva importada do Sistema TMS. OS: 97040</t>
        </is>
      </c>
      <c r="AJ386" s="6" t="inlineStr">
        <is>
          <t>Empenho/departamento não preenchido! (ACC01)</t>
        </is>
      </c>
      <c r="AK386" s="6" t="inlineStr">
        <is>
          <t>ARGO(TMS)</t>
        </is>
      </c>
      <c r="AL386" s="6" t="inlineStr">
        <is>
          <t>Empenho/departamento</t>
        </is>
      </c>
      <c r="AM386" s="6" t="inlineStr">
        <is>
          <t>Falta de informação Gerencial</t>
        </is>
      </c>
      <c r="AN386" s="6" t="inlineStr">
        <is>
          <t>Dados do Fornecedor</t>
        </is>
      </c>
      <c r="AO386" s="6" t="inlineStr">
        <is>
          <t>Qualidade dos dados</t>
        </is>
      </c>
      <c r="AP386" s="6" t="inlineStr">
        <is>
          <t>KONTIK BUSINESS TRAVEL</t>
        </is>
      </c>
      <c r="AQ386" s="6" t="inlineStr">
        <is>
          <t>Operações - CORP</t>
        </is>
      </c>
    </row>
    <row r="387">
      <c r="A387" s="6" t="n">
        <v>23380090</v>
      </c>
      <c r="B387" s="6" t="n">
        <v>24103775</v>
      </c>
      <c r="C387" s="6" t="inlineStr">
        <is>
          <t>ACC01</t>
        </is>
      </c>
      <c r="D387" s="58" t="n">
        <v>45985.69232638889</v>
      </c>
      <c r="E387" s="58" t="n">
        <v>45985.69549768518</v>
      </c>
      <c r="F387" s="6" t="inlineStr">
        <is>
          <t>0 a 02 dias</t>
        </is>
      </c>
      <c r="G387" s="6" t="inlineStr">
        <is>
          <t>0 a 02 dias</t>
        </is>
      </c>
      <c r="H387" s="6" t="inlineStr">
        <is>
          <t>CUJXHX</t>
        </is>
      </c>
      <c r="I387" s="6" t="inlineStr">
        <is>
          <t>TMS</t>
        </is>
      </c>
      <c r="J387" s="6" t="inlineStr">
        <is>
          <t>ERIK FREIRE</t>
        </is>
      </c>
      <c r="K387" s="6" t="inlineStr">
        <is>
          <t>Tms</t>
        </is>
      </c>
      <c r="L387" s="6" t="inlineStr">
        <is>
          <t>Tms</t>
        </is>
      </c>
      <c r="M387" s="58" t="n">
        <v>45985.52986111111</v>
      </c>
      <c r="N387" s="6" t="n">
        <v>97035</v>
      </c>
      <c r="O387" s="6" t="inlineStr">
        <is>
          <t>-</t>
        </is>
      </c>
      <c r="P387" s="6" t="inlineStr">
        <is>
          <t>ON LINE</t>
        </is>
      </c>
      <c r="Q387" s="6" t="inlineStr">
        <is>
          <t>Cartão de crédito</t>
        </is>
      </c>
      <c r="R387" s="6" t="inlineStr">
        <is>
          <t>Cartão de crédito</t>
        </is>
      </c>
      <c r="S387" s="6" t="inlineStr">
        <is>
          <t>Aéreo</t>
        </is>
      </c>
      <c r="T387" s="6" t="inlineStr">
        <is>
          <t>N</t>
        </is>
      </c>
      <c r="U387" s="6" t="inlineStr">
        <is>
          <t>Grupo Ache</t>
        </is>
      </c>
      <c r="V387" s="6" t="inlineStr">
        <is>
          <t>Ache Laboratorios Farmaceuticos Sa</t>
        </is>
      </c>
      <c r="W387" s="6" t="inlineStr">
        <is>
          <t>-</t>
        </is>
      </c>
      <c r="X387" s="6" t="inlineStr">
        <is>
          <t>Gol Linhas Aereas</t>
        </is>
      </c>
      <c r="Y387" s="6" t="n">
        <v>2150109231</v>
      </c>
      <c r="Z387" s="6" t="inlineStr">
        <is>
          <t>KON-OPE-SAO-PVI-ACHE</t>
        </is>
      </c>
      <c r="AA387" s="6" t="inlineStr">
        <is>
          <t>-</t>
        </is>
      </c>
      <c r="AB387" s="6" t="n">
        <v>2597.38</v>
      </c>
      <c r="AC387" s="6" t="n">
        <v>99.11</v>
      </c>
      <c r="AD387" s="6" t="n">
        <v>0</v>
      </c>
      <c r="AE387" s="6" t="n">
        <v>0</v>
      </c>
      <c r="AF387" s="6" t="n">
        <v>0</v>
      </c>
      <c r="AG387" s="6" t="n">
        <v>0</v>
      </c>
      <c r="AH387" s="6" t="n">
        <v>0</v>
      </c>
      <c r="AI387" s="6" t="inlineStr">
        <is>
          <t>Reserva importada do Sistema TMS. OS: 97035</t>
        </is>
      </c>
      <c r="AJ387" s="6" t="inlineStr">
        <is>
          <t>Empenho/departamento não preenchido! (ACC01)</t>
        </is>
      </c>
      <c r="AK387" s="6" t="inlineStr">
        <is>
          <t>ARGO(TMS)</t>
        </is>
      </c>
      <c r="AL387" s="6" t="inlineStr">
        <is>
          <t>Empenho/departamento</t>
        </is>
      </c>
      <c r="AM387" s="6" t="inlineStr">
        <is>
          <t>Falta de informação Gerencial</t>
        </is>
      </c>
      <c r="AN387" s="6" t="inlineStr">
        <is>
          <t>Dados do Fornecedor</t>
        </is>
      </c>
      <c r="AO387" s="6" t="inlineStr">
        <is>
          <t>Qualidade dos dados</t>
        </is>
      </c>
      <c r="AP387" s="6" t="inlineStr">
        <is>
          <t>KONTIK BUSINESS TRAVEL</t>
        </is>
      </c>
      <c r="AQ387" s="6" t="inlineStr">
        <is>
          <t>Operações - CORP</t>
        </is>
      </c>
    </row>
    <row r="388">
      <c r="A388" s="6" t="n">
        <v>23383386</v>
      </c>
      <c r="B388" s="6" t="n">
        <v>24106859</v>
      </c>
      <c r="C388" s="6" t="inlineStr">
        <is>
          <t>ACC01</t>
        </is>
      </c>
      <c r="D388" s="58" t="n">
        <v>45986.19880787037</v>
      </c>
      <c r="E388" s="58" t="n">
        <v>45986.20199074074</v>
      </c>
      <c r="F388" s="6" t="inlineStr">
        <is>
          <t>0 a 02 dias</t>
        </is>
      </c>
      <c r="G388" s="6" t="inlineStr">
        <is>
          <t>0 a 02 dias</t>
        </is>
      </c>
      <c r="H388" s="6" t="inlineStr">
        <is>
          <t>5UPCEC</t>
        </is>
      </c>
      <c r="I388" s="6" t="inlineStr">
        <is>
          <t>TMS</t>
        </is>
      </c>
      <c r="J388" s="6" t="inlineStr">
        <is>
          <t>ALEX SANDRO AVILA</t>
        </is>
      </c>
      <c r="K388" s="6" t="inlineStr">
        <is>
          <t>Tms</t>
        </is>
      </c>
      <c r="L388" s="6" t="inlineStr">
        <is>
          <t>Tms</t>
        </is>
      </c>
      <c r="M388" s="58" t="n">
        <v>45986.13472222222</v>
      </c>
      <c r="N388" s="6" t="n">
        <v>97123</v>
      </c>
      <c r="O388" s="6" t="inlineStr">
        <is>
          <t>-</t>
        </is>
      </c>
      <c r="P388" s="6" t="inlineStr">
        <is>
          <t>ON LINE</t>
        </is>
      </c>
      <c r="Q388" s="6" t="inlineStr">
        <is>
          <t>Pagamento direto</t>
        </is>
      </c>
      <c r="R388" s="6" t="inlineStr">
        <is>
          <t>Pagamento direto</t>
        </is>
      </c>
      <c r="S388" s="6" t="inlineStr">
        <is>
          <t>Hotel</t>
        </is>
      </c>
      <c r="T388" s="6" t="inlineStr">
        <is>
          <t>N</t>
        </is>
      </c>
      <c r="U388" s="6" t="inlineStr">
        <is>
          <t>Grupo Ache</t>
        </is>
      </c>
      <c r="V388" s="6" t="inlineStr">
        <is>
          <t>Ache Laboratorios Farmaceuticos Sa</t>
        </is>
      </c>
      <c r="W388" s="6" t="inlineStr">
        <is>
          <t>-</t>
        </is>
      </c>
      <c r="X388" s="6" t="inlineStr">
        <is>
          <t>Best Hotel Sobral</t>
        </is>
      </c>
      <c r="Y388" s="6" t="inlineStr">
        <is>
          <t>-</t>
        </is>
      </c>
      <c r="Z388" s="6" t="inlineStr">
        <is>
          <t>KON-OPE-SAO-PVI-ACHE</t>
        </is>
      </c>
      <c r="AA388" s="6" t="inlineStr">
        <is>
          <t>-</t>
        </is>
      </c>
      <c r="AB388" s="6" t="n">
        <v>314</v>
      </c>
      <c r="AC388" s="6" t="n">
        <v>0</v>
      </c>
      <c r="AD388" s="6" t="n">
        <v>0</v>
      </c>
      <c r="AE388" s="6" t="n">
        <v>0</v>
      </c>
      <c r="AF388" s="6" t="n">
        <v>0</v>
      </c>
      <c r="AG388" s="6" t="n">
        <v>21.6</v>
      </c>
      <c r="AH388" s="6" t="n">
        <v>0</v>
      </c>
      <c r="AI388" s="6" t="inlineStr">
        <is>
          <t>Reserva importada do Sistema TMS. OS: 97123</t>
        </is>
      </c>
      <c r="AJ388" s="6" t="inlineStr">
        <is>
          <t>Empenho/departamento não preenchido! (ACC01)</t>
        </is>
      </c>
      <c r="AK388" s="6" t="inlineStr">
        <is>
          <t>ARGO(TMS)</t>
        </is>
      </c>
      <c r="AL388" s="6" t="inlineStr">
        <is>
          <t>Empenho/departamento</t>
        </is>
      </c>
      <c r="AM388" s="6" t="inlineStr">
        <is>
          <t>Falta de informação Gerencial</t>
        </is>
      </c>
      <c r="AN388" s="6" t="inlineStr">
        <is>
          <t>Dados do Fornecedor</t>
        </is>
      </c>
      <c r="AO388" s="6" t="inlineStr">
        <is>
          <t>Qualidade dos dados</t>
        </is>
      </c>
      <c r="AP388" s="6" t="inlineStr">
        <is>
          <t>KONTIK BUSINESS TRAVEL</t>
        </is>
      </c>
      <c r="AQ388" s="6" t="inlineStr">
        <is>
          <t>Operações - CORP</t>
        </is>
      </c>
    </row>
    <row r="389">
      <c r="A389" s="6" t="n">
        <v>23383387</v>
      </c>
      <c r="B389" s="6" t="n">
        <v>24106860</v>
      </c>
      <c r="C389" s="6" t="inlineStr">
        <is>
          <t>ACC01</t>
        </is>
      </c>
      <c r="D389" s="58" t="n">
        <v>45986.1988425926</v>
      </c>
      <c r="E389" s="58" t="n">
        <v>45986.20199074074</v>
      </c>
      <c r="F389" s="6" t="inlineStr">
        <is>
          <t>0 a 02 dias</t>
        </is>
      </c>
      <c r="G389" s="6" t="inlineStr">
        <is>
          <t>0 a 02 dias</t>
        </is>
      </c>
      <c r="H389" s="6" t="inlineStr">
        <is>
          <t>5UQ3C3</t>
        </is>
      </c>
      <c r="I389" s="6" t="inlineStr">
        <is>
          <t>TMS</t>
        </is>
      </c>
      <c r="J389" s="6" t="inlineStr">
        <is>
          <t>ELI SANTOS</t>
        </is>
      </c>
      <c r="K389" s="6" t="inlineStr">
        <is>
          <t>Tms</t>
        </is>
      </c>
      <c r="L389" s="6" t="inlineStr">
        <is>
          <t>Tms</t>
        </is>
      </c>
      <c r="M389" s="58" t="n">
        <v>45985.97569444445</v>
      </c>
      <c r="N389" s="6" t="n">
        <v>97113</v>
      </c>
      <c r="O389" s="6" t="inlineStr">
        <is>
          <t>-</t>
        </is>
      </c>
      <c r="P389" s="6" t="inlineStr">
        <is>
          <t>ON LINE</t>
        </is>
      </c>
      <c r="Q389" s="6" t="inlineStr">
        <is>
          <t>Pagamento direto</t>
        </is>
      </c>
      <c r="R389" s="6" t="inlineStr">
        <is>
          <t>Pagamento direto</t>
        </is>
      </c>
      <c r="S389" s="6" t="inlineStr">
        <is>
          <t>Hotel</t>
        </is>
      </c>
      <c r="T389" s="6" t="inlineStr">
        <is>
          <t>N</t>
        </is>
      </c>
      <c r="U389" s="6" t="inlineStr">
        <is>
          <t>Grupo Ache</t>
        </is>
      </c>
      <c r="V389" s="6" t="inlineStr">
        <is>
          <t>Ache Laboratorios Farmaceuticos Sa</t>
        </is>
      </c>
      <c r="W389" s="6" t="inlineStr">
        <is>
          <t>-</t>
        </is>
      </c>
      <c r="X389" s="6" t="inlineStr">
        <is>
          <t>Nacional Inn Foz do Iguacu</t>
        </is>
      </c>
      <c r="Y389" s="6" t="inlineStr">
        <is>
          <t>-</t>
        </is>
      </c>
      <c r="Z389" s="6" t="inlineStr">
        <is>
          <t>KON-OPE-SAO-PVI-ACHE</t>
        </is>
      </c>
      <c r="AA389" s="6" t="inlineStr">
        <is>
          <t>-</t>
        </is>
      </c>
      <c r="AB389" s="6" t="n">
        <v>500</v>
      </c>
      <c r="AC389" s="6" t="n">
        <v>0</v>
      </c>
      <c r="AD389" s="6" t="n">
        <v>0</v>
      </c>
      <c r="AE389" s="6" t="n">
        <v>0</v>
      </c>
      <c r="AF389" s="6" t="n">
        <v>0</v>
      </c>
      <c r="AG389" s="6" t="n">
        <v>25</v>
      </c>
      <c r="AH389" s="6" t="n">
        <v>0</v>
      </c>
      <c r="AI389" s="6" t="inlineStr">
        <is>
          <t>Reserva importada do Sistema TMS. OS: 97113</t>
        </is>
      </c>
      <c r="AJ389" s="6" t="inlineStr">
        <is>
          <t>Empenho/departamento não preenchido! (ACC01)</t>
        </is>
      </c>
      <c r="AK389" s="6" t="inlineStr">
        <is>
          <t>ARGO(TMS)</t>
        </is>
      </c>
      <c r="AL389" s="6" t="inlineStr">
        <is>
          <t>Empenho/departamento</t>
        </is>
      </c>
      <c r="AM389" s="6" t="inlineStr">
        <is>
          <t>Falta de informação Gerencial</t>
        </is>
      </c>
      <c r="AN389" s="6" t="inlineStr">
        <is>
          <t>Dados do Fornecedor</t>
        </is>
      </c>
      <c r="AO389" s="6" t="inlineStr">
        <is>
          <t>Qualidade dos dados</t>
        </is>
      </c>
      <c r="AP389" s="6" t="inlineStr">
        <is>
          <t>KONTIK BUSINESS TRAVEL</t>
        </is>
      </c>
      <c r="AQ389" s="6" t="inlineStr">
        <is>
          <t>Operações - CORP</t>
        </is>
      </c>
    </row>
    <row r="390">
      <c r="A390" s="6" t="n">
        <v>23383388</v>
      </c>
      <c r="B390" s="6" t="n">
        <v>24106861</v>
      </c>
      <c r="C390" s="6" t="inlineStr">
        <is>
          <t>ACC01</t>
        </is>
      </c>
      <c r="D390" s="58" t="n">
        <v>45986.19886574074</v>
      </c>
      <c r="E390" s="58" t="n">
        <v>45986.20199074074</v>
      </c>
      <c r="F390" s="6" t="inlineStr">
        <is>
          <t>0 a 02 dias</t>
        </is>
      </c>
      <c r="G390" s="6" t="inlineStr">
        <is>
          <t>0 a 02 dias</t>
        </is>
      </c>
      <c r="H390" s="6" t="inlineStr">
        <is>
          <t>5U2E3C</t>
        </is>
      </c>
      <c r="I390" s="6" t="inlineStr">
        <is>
          <t>TMS</t>
        </is>
      </c>
      <c r="J390" s="6" t="inlineStr">
        <is>
          <t>ELI SANTOS</t>
        </is>
      </c>
      <c r="K390" s="6" t="inlineStr">
        <is>
          <t>Tms</t>
        </is>
      </c>
      <c r="L390" s="6" t="inlineStr">
        <is>
          <t>Tms</t>
        </is>
      </c>
      <c r="M390" s="58" t="n">
        <v>45985.97569444445</v>
      </c>
      <c r="N390" s="6" t="n">
        <v>97111</v>
      </c>
      <c r="O390" s="6" t="inlineStr">
        <is>
          <t>-</t>
        </is>
      </c>
      <c r="P390" s="6" t="inlineStr">
        <is>
          <t>ON LINE</t>
        </is>
      </c>
      <c r="Q390" s="6" t="inlineStr">
        <is>
          <t>Pagamento direto</t>
        </is>
      </c>
      <c r="R390" s="6" t="inlineStr">
        <is>
          <t>Pagamento direto</t>
        </is>
      </c>
      <c r="S390" s="6" t="inlineStr">
        <is>
          <t>Hotel</t>
        </is>
      </c>
      <c r="T390" s="6" t="inlineStr">
        <is>
          <t>N</t>
        </is>
      </c>
      <c r="U390" s="6" t="inlineStr">
        <is>
          <t>Grupo Ache</t>
        </is>
      </c>
      <c r="V390" s="6" t="inlineStr">
        <is>
          <t>Ache Laboratorios Farmaceuticos Sa</t>
        </is>
      </c>
      <c r="W390" s="6" t="inlineStr">
        <is>
          <t>-</t>
        </is>
      </c>
      <c r="X390" s="6" t="inlineStr">
        <is>
          <t>Hotel Caiua Cascavel</t>
        </is>
      </c>
      <c r="Y390" s="6" t="inlineStr">
        <is>
          <t>-</t>
        </is>
      </c>
      <c r="Z390" s="6" t="inlineStr">
        <is>
          <t>KON-OPE-SAO-PVI-ACHE</t>
        </is>
      </c>
      <c r="AA390" s="6" t="inlineStr">
        <is>
          <t>-</t>
        </is>
      </c>
      <c r="AB390" s="6" t="n">
        <v>217.6</v>
      </c>
      <c r="AC390" s="6" t="n">
        <v>0</v>
      </c>
      <c r="AD390" s="6" t="n">
        <v>0</v>
      </c>
      <c r="AE390" s="6" t="n">
        <v>0</v>
      </c>
      <c r="AF390" s="6" t="n">
        <v>0</v>
      </c>
      <c r="AG390" s="6" t="n">
        <v>10.88</v>
      </c>
      <c r="AH390" s="6" t="n">
        <v>0</v>
      </c>
      <c r="AI390" s="6" t="inlineStr">
        <is>
          <t>Reserva importada do Sistema TMS. OS: 97111</t>
        </is>
      </c>
      <c r="AJ390" s="6" t="inlineStr">
        <is>
          <t>Empenho/departamento não preenchido! (ACC01)</t>
        </is>
      </c>
      <c r="AK390" s="6" t="inlineStr">
        <is>
          <t>ARGO(TMS)</t>
        </is>
      </c>
      <c r="AL390" s="6" t="inlineStr">
        <is>
          <t>Empenho/departamento</t>
        </is>
      </c>
      <c r="AM390" s="6" t="inlineStr">
        <is>
          <t>Falta de informação Gerencial</t>
        </is>
      </c>
      <c r="AN390" s="6" t="inlineStr">
        <is>
          <t>Dados do Fornecedor</t>
        </is>
      </c>
      <c r="AO390" s="6" t="inlineStr">
        <is>
          <t>Qualidade dos dados</t>
        </is>
      </c>
      <c r="AP390" s="6" t="inlineStr">
        <is>
          <t>KONTIK BUSINESS TRAVEL</t>
        </is>
      </c>
      <c r="AQ390" s="6" t="inlineStr">
        <is>
          <t>Operações - CORP</t>
        </is>
      </c>
    </row>
    <row r="391">
      <c r="A391" s="6" t="n">
        <v>23383389</v>
      </c>
      <c r="B391" s="6" t="n">
        <v>24106862</v>
      </c>
      <c r="C391" s="6" t="inlineStr">
        <is>
          <t>ACC01</t>
        </is>
      </c>
      <c r="D391" s="58" t="n">
        <v>45986.19890046296</v>
      </c>
      <c r="E391" s="58" t="n">
        <v>45986.20200231481</v>
      </c>
      <c r="F391" s="6" t="inlineStr">
        <is>
          <t>0 a 02 dias</t>
        </is>
      </c>
      <c r="G391" s="6" t="inlineStr">
        <is>
          <t>0 a 02 dias</t>
        </is>
      </c>
      <c r="H391" s="6" t="inlineStr">
        <is>
          <t>5U3EC3</t>
        </is>
      </c>
      <c r="I391" s="6" t="inlineStr">
        <is>
          <t>TMS</t>
        </is>
      </c>
      <c r="J391" s="6" t="inlineStr">
        <is>
          <t>ELI SANTOS</t>
        </is>
      </c>
      <c r="K391" s="6" t="inlineStr">
        <is>
          <t>Tms</t>
        </is>
      </c>
      <c r="L391" s="6" t="inlineStr">
        <is>
          <t>Tms</t>
        </is>
      </c>
      <c r="M391" s="58" t="n">
        <v>45985.97569444445</v>
      </c>
      <c r="N391" s="6" t="n">
        <v>97108</v>
      </c>
      <c r="O391" s="6" t="inlineStr">
        <is>
          <t>-</t>
        </is>
      </c>
      <c r="P391" s="6" t="inlineStr">
        <is>
          <t>ON LINE</t>
        </is>
      </c>
      <c r="Q391" s="6" t="inlineStr">
        <is>
          <t>Pagamento direto</t>
        </is>
      </c>
      <c r="R391" s="6" t="inlineStr">
        <is>
          <t>Pagamento direto</t>
        </is>
      </c>
      <c r="S391" s="6" t="inlineStr">
        <is>
          <t>Hotel</t>
        </is>
      </c>
      <c r="T391" s="6" t="inlineStr">
        <is>
          <t>N</t>
        </is>
      </c>
      <c r="U391" s="6" t="inlineStr">
        <is>
          <t>Grupo Ache</t>
        </is>
      </c>
      <c r="V391" s="6" t="inlineStr">
        <is>
          <t>Ache Laboratorios Farmaceuticos Sa</t>
        </is>
      </c>
      <c r="W391" s="6" t="inlineStr">
        <is>
          <t>-</t>
        </is>
      </c>
      <c r="X391" s="6" t="inlineStr">
        <is>
          <t>Hotel Caiua Umuarama</t>
        </is>
      </c>
      <c r="Y391" s="6" t="inlineStr">
        <is>
          <t>-</t>
        </is>
      </c>
      <c r="Z391" s="6" t="inlineStr">
        <is>
          <t>KON-OPE-SAO-PVI-ACHE</t>
        </is>
      </c>
      <c r="AA391" s="6" t="inlineStr">
        <is>
          <t>-</t>
        </is>
      </c>
      <c r="AB391" s="6" t="n">
        <v>439.32</v>
      </c>
      <c r="AC391" s="6" t="n">
        <v>0</v>
      </c>
      <c r="AD391" s="6" t="n">
        <v>0</v>
      </c>
      <c r="AE391" s="6" t="n">
        <v>0</v>
      </c>
      <c r="AF391" s="6" t="n">
        <v>0</v>
      </c>
      <c r="AG391" s="6" t="n">
        <v>21.97</v>
      </c>
      <c r="AH391" s="6" t="n">
        <v>0</v>
      </c>
      <c r="AI391" s="6" t="inlineStr">
        <is>
          <t>Reserva importada do Sistema TMS. OS: 97108</t>
        </is>
      </c>
      <c r="AJ391" s="6" t="inlineStr">
        <is>
          <t>Empenho/departamento não preenchido! (ACC01)</t>
        </is>
      </c>
      <c r="AK391" s="6" t="inlineStr">
        <is>
          <t>ARGO(TMS)</t>
        </is>
      </c>
      <c r="AL391" s="6" t="inlineStr">
        <is>
          <t>Empenho/departamento</t>
        </is>
      </c>
      <c r="AM391" s="6" t="inlineStr">
        <is>
          <t>Falta de informação Gerencial</t>
        </is>
      </c>
      <c r="AN391" s="6" t="inlineStr">
        <is>
          <t>Dados do Fornecedor</t>
        </is>
      </c>
      <c r="AO391" s="6" t="inlineStr">
        <is>
          <t>Qualidade dos dados</t>
        </is>
      </c>
      <c r="AP391" s="6" t="inlineStr">
        <is>
          <t>KONTIK BUSINESS TRAVEL</t>
        </is>
      </c>
      <c r="AQ391" s="6" t="inlineStr">
        <is>
          <t>Operações - CORP</t>
        </is>
      </c>
    </row>
    <row r="392">
      <c r="A392" s="6" t="n">
        <v>23383390</v>
      </c>
      <c r="B392" s="6" t="n">
        <v>24106863</v>
      </c>
      <c r="C392" s="6" t="inlineStr">
        <is>
          <t>ACC01</t>
        </is>
      </c>
      <c r="D392" s="58" t="n">
        <v>45986.19892361111</v>
      </c>
      <c r="E392" s="58" t="n">
        <v>45986.20200231481</v>
      </c>
      <c r="F392" s="6" t="inlineStr">
        <is>
          <t>0 a 02 dias</t>
        </is>
      </c>
      <c r="G392" s="6" t="inlineStr">
        <is>
          <t>0 a 02 dias</t>
        </is>
      </c>
      <c r="H392" s="6" t="inlineStr">
        <is>
          <t>5URE33</t>
        </is>
      </c>
      <c r="I392" s="6" t="inlineStr">
        <is>
          <t>TMS</t>
        </is>
      </c>
      <c r="J392" s="6" t="inlineStr">
        <is>
          <t>HARLEY LIMA</t>
        </is>
      </c>
      <c r="K392" s="6" t="inlineStr">
        <is>
          <t>Tms</t>
        </is>
      </c>
      <c r="L392" s="6" t="inlineStr">
        <is>
          <t>Tms</t>
        </is>
      </c>
      <c r="M392" s="58" t="n">
        <v>45985.94652777778</v>
      </c>
      <c r="N392" s="6" t="n">
        <v>97107</v>
      </c>
      <c r="O392" s="6" t="inlineStr">
        <is>
          <t>-</t>
        </is>
      </c>
      <c r="P392" s="6" t="inlineStr">
        <is>
          <t>ON LINE</t>
        </is>
      </c>
      <c r="Q392" s="6" t="inlineStr">
        <is>
          <t>Pagamento direto</t>
        </is>
      </c>
      <c r="R392" s="6" t="inlineStr">
        <is>
          <t>Pagamento direto</t>
        </is>
      </c>
      <c r="S392" s="6" t="inlineStr">
        <is>
          <t>Hotel</t>
        </is>
      </c>
      <c r="T392" s="6" t="inlineStr">
        <is>
          <t>N</t>
        </is>
      </c>
      <c r="U392" s="6" t="inlineStr">
        <is>
          <t>Grupo Ache</t>
        </is>
      </c>
      <c r="V392" s="6" t="inlineStr">
        <is>
          <t>Ache Laboratorios Farmaceuticos Sa</t>
        </is>
      </c>
      <c r="W392" s="6" t="inlineStr">
        <is>
          <t>-</t>
        </is>
      </c>
      <c r="X392" s="6" t="inlineStr">
        <is>
          <t>Alfa Hotel</t>
        </is>
      </c>
      <c r="Y392" s="6" t="inlineStr">
        <is>
          <t>-</t>
        </is>
      </c>
      <c r="Z392" s="6" t="inlineStr">
        <is>
          <t>KON-OPE-SAO-PVI-ACHE</t>
        </is>
      </c>
      <c r="AA392" s="6" t="inlineStr">
        <is>
          <t>-</t>
        </is>
      </c>
      <c r="AB392" s="6" t="n">
        <v>252</v>
      </c>
      <c r="AC392" s="6" t="n">
        <v>0</v>
      </c>
      <c r="AD392" s="6" t="n">
        <v>0</v>
      </c>
      <c r="AE392" s="6" t="n">
        <v>0</v>
      </c>
      <c r="AF392" s="6" t="n">
        <v>0</v>
      </c>
      <c r="AG392" s="6" t="n">
        <v>0</v>
      </c>
      <c r="AH392" s="6" t="n">
        <v>0</v>
      </c>
      <c r="AI392" s="6" t="inlineStr">
        <is>
          <t>Reserva importada do Sistema TMS. OS: 97107</t>
        </is>
      </c>
      <c r="AJ392" s="6" t="inlineStr">
        <is>
          <t>Empenho/departamento não preenchido! (ACC01)</t>
        </is>
      </c>
      <c r="AK392" s="6" t="inlineStr">
        <is>
          <t>ARGO(TMS)</t>
        </is>
      </c>
      <c r="AL392" s="6" t="inlineStr">
        <is>
          <t>Empenho/departamento</t>
        </is>
      </c>
      <c r="AM392" s="6" t="inlineStr">
        <is>
          <t>Falta de informação Gerencial</t>
        </is>
      </c>
      <c r="AN392" s="6" t="inlineStr">
        <is>
          <t>Dados do Fornecedor</t>
        </is>
      </c>
      <c r="AO392" s="6" t="inlineStr">
        <is>
          <t>Qualidade dos dados</t>
        </is>
      </c>
      <c r="AP392" s="6" t="inlineStr">
        <is>
          <t>KONTIK BUSINESS TRAVEL</t>
        </is>
      </c>
      <c r="AQ392" s="6" t="inlineStr">
        <is>
          <t>Operações - CORP</t>
        </is>
      </c>
    </row>
    <row r="393">
      <c r="A393" s="6" t="n">
        <v>23383391</v>
      </c>
      <c r="B393" s="6" t="n">
        <v>24106864</v>
      </c>
      <c r="C393" s="6" t="inlineStr">
        <is>
          <t>ACC01</t>
        </is>
      </c>
      <c r="D393" s="58" t="n">
        <v>45986.19894675926</v>
      </c>
      <c r="E393" s="58" t="n">
        <v>45986.20200231481</v>
      </c>
      <c r="F393" s="6" t="inlineStr">
        <is>
          <t>0 a 02 dias</t>
        </is>
      </c>
      <c r="G393" s="6" t="inlineStr">
        <is>
          <t>0 a 02 dias</t>
        </is>
      </c>
      <c r="H393" s="6" t="inlineStr">
        <is>
          <t>5UTECE</t>
        </is>
      </c>
      <c r="I393" s="6" t="inlineStr">
        <is>
          <t>TMS</t>
        </is>
      </c>
      <c r="J393" s="6" t="inlineStr">
        <is>
          <t>HARLEY LIMA</t>
        </is>
      </c>
      <c r="K393" s="6" t="inlineStr">
        <is>
          <t>Tms</t>
        </is>
      </c>
      <c r="L393" s="6" t="inlineStr">
        <is>
          <t>Tms</t>
        </is>
      </c>
      <c r="M393" s="58" t="n">
        <v>45985.94722222222</v>
      </c>
      <c r="N393" s="6" t="n">
        <v>97106</v>
      </c>
      <c r="O393" s="6" t="inlineStr">
        <is>
          <t>-</t>
        </is>
      </c>
      <c r="P393" s="6" t="inlineStr">
        <is>
          <t>ON LINE</t>
        </is>
      </c>
      <c r="Q393" s="6" t="inlineStr">
        <is>
          <t>Pagamento direto</t>
        </is>
      </c>
      <c r="R393" s="6" t="inlineStr">
        <is>
          <t>Pagamento direto</t>
        </is>
      </c>
      <c r="S393" s="6" t="inlineStr">
        <is>
          <t>Hotel</t>
        </is>
      </c>
      <c r="T393" s="6" t="inlineStr">
        <is>
          <t>N</t>
        </is>
      </c>
      <c r="U393" s="6" t="inlineStr">
        <is>
          <t>Grupo Ache</t>
        </is>
      </c>
      <c r="V393" s="6" t="inlineStr">
        <is>
          <t>Ache Laboratorios Farmaceuticos Sa</t>
        </is>
      </c>
      <c r="W393" s="6" t="inlineStr">
        <is>
          <t>-</t>
        </is>
      </c>
      <c r="X393" s="6" t="inlineStr">
        <is>
          <t>Delfiore Hotel- Uba</t>
        </is>
      </c>
      <c r="Y393" s="6" t="inlineStr">
        <is>
          <t>-</t>
        </is>
      </c>
      <c r="Z393" s="6" t="inlineStr">
        <is>
          <t>KON-OPE-SAO-PVI-ACHE</t>
        </is>
      </c>
      <c r="AA393" s="6" t="inlineStr">
        <is>
          <t>-</t>
        </is>
      </c>
      <c r="AB393" s="6" t="n">
        <v>438</v>
      </c>
      <c r="AC393" s="6" t="n">
        <v>0</v>
      </c>
      <c r="AD393" s="6" t="n">
        <v>0</v>
      </c>
      <c r="AE393" s="6" t="n">
        <v>0</v>
      </c>
      <c r="AF393" s="6" t="n">
        <v>0</v>
      </c>
      <c r="AG393" s="6" t="n">
        <v>0</v>
      </c>
      <c r="AH393" s="6" t="n">
        <v>0</v>
      </c>
      <c r="AI393" s="6" t="inlineStr">
        <is>
          <t>Reserva importada do Sistema TMS. OS: 97106</t>
        </is>
      </c>
      <c r="AJ393" s="6" t="inlineStr">
        <is>
          <t>Empenho/departamento não preenchido! (ACC01)</t>
        </is>
      </c>
      <c r="AK393" s="6" t="inlineStr">
        <is>
          <t>ARGO(TMS)</t>
        </is>
      </c>
      <c r="AL393" s="6" t="inlineStr">
        <is>
          <t>Empenho/departamento</t>
        </is>
      </c>
      <c r="AM393" s="6" t="inlineStr">
        <is>
          <t>Falta de informação Gerencial</t>
        </is>
      </c>
      <c r="AN393" s="6" t="inlineStr">
        <is>
          <t>Dados do Fornecedor</t>
        </is>
      </c>
      <c r="AO393" s="6" t="inlineStr">
        <is>
          <t>Qualidade dos dados</t>
        </is>
      </c>
      <c r="AP393" s="6" t="inlineStr">
        <is>
          <t>KONTIK BUSINESS TRAVEL</t>
        </is>
      </c>
      <c r="AQ393" s="6" t="inlineStr">
        <is>
          <t>Operações - CORP</t>
        </is>
      </c>
    </row>
    <row r="394">
      <c r="A394" s="6" t="n">
        <v>23382392</v>
      </c>
      <c r="B394" s="6" t="n">
        <v>24106095</v>
      </c>
      <c r="C394" s="6" t="inlineStr">
        <is>
          <t>ACC01</t>
        </is>
      </c>
      <c r="D394" s="58" t="n">
        <v>45985.94583333333</v>
      </c>
      <c r="E394" s="58" t="n">
        <v>45985.94962962963</v>
      </c>
      <c r="F394" s="6" t="inlineStr">
        <is>
          <t>0 a 02 dias</t>
        </is>
      </c>
      <c r="G394" s="6" t="inlineStr">
        <is>
          <t>0 a 02 dias</t>
        </is>
      </c>
      <c r="H394" s="6" t="inlineStr">
        <is>
          <t>5U3OL2</t>
        </is>
      </c>
      <c r="I394" s="6" t="inlineStr">
        <is>
          <t>TMS</t>
        </is>
      </c>
      <c r="J394" s="6" t="inlineStr">
        <is>
          <t>CAMILA LIMA</t>
        </is>
      </c>
      <c r="K394" s="6" t="inlineStr">
        <is>
          <t>Tms</t>
        </is>
      </c>
      <c r="L394" s="6" t="inlineStr">
        <is>
          <t>Tms</t>
        </is>
      </c>
      <c r="M394" s="58" t="n">
        <v>45985.72777777778</v>
      </c>
      <c r="N394" s="6" t="n">
        <v>97010</v>
      </c>
      <c r="O394" s="6" t="inlineStr">
        <is>
          <t>-</t>
        </is>
      </c>
      <c r="P394" s="6" t="inlineStr">
        <is>
          <t>ON LINE</t>
        </is>
      </c>
      <c r="Q394" s="6" t="inlineStr">
        <is>
          <t>Pagamento direto</t>
        </is>
      </c>
      <c r="R394" s="6" t="inlineStr">
        <is>
          <t>Pagamento direto</t>
        </is>
      </c>
      <c r="S394" s="6" t="inlineStr">
        <is>
          <t>Hotel</t>
        </is>
      </c>
      <c r="T394" s="6" t="inlineStr">
        <is>
          <t>N</t>
        </is>
      </c>
      <c r="U394" s="6" t="inlineStr">
        <is>
          <t>Grupo Ache</t>
        </is>
      </c>
      <c r="V394" s="6" t="inlineStr">
        <is>
          <t>Ache Laboratorios Farmaceuticos Sa</t>
        </is>
      </c>
      <c r="W394" s="6" t="inlineStr">
        <is>
          <t>-</t>
        </is>
      </c>
      <c r="X394" s="6" t="inlineStr">
        <is>
          <t>Plaza Inn Flat Araxa</t>
        </is>
      </c>
      <c r="Y394" s="6" t="inlineStr">
        <is>
          <t>-</t>
        </is>
      </c>
      <c r="Z394" s="6" t="inlineStr">
        <is>
          <t>KON-OPE-SAO-PVI-ACHE</t>
        </is>
      </c>
      <c r="AA394" s="6" t="inlineStr">
        <is>
          <t>-</t>
        </is>
      </c>
      <c r="AB394" s="6" t="n">
        <v>243</v>
      </c>
      <c r="AC394" s="6" t="n">
        <v>0</v>
      </c>
      <c r="AD394" s="6" t="n">
        <v>0</v>
      </c>
      <c r="AE394" s="6" t="n">
        <v>0</v>
      </c>
      <c r="AF394" s="6" t="n">
        <v>0</v>
      </c>
      <c r="AG394" s="6" t="n">
        <v>0</v>
      </c>
      <c r="AH394" s="6" t="n">
        <v>0</v>
      </c>
      <c r="AI394" s="6" t="inlineStr">
        <is>
          <t>Reserva importada do Sistema TMS. OS: 97010</t>
        </is>
      </c>
      <c r="AJ394" s="6" t="inlineStr">
        <is>
          <t>Empenho/departamento não preenchido! (ACC01)</t>
        </is>
      </c>
      <c r="AK394" s="6" t="inlineStr">
        <is>
          <t>ARGO(TMS)</t>
        </is>
      </c>
      <c r="AL394" s="6" t="inlineStr">
        <is>
          <t>Empenho/departamento</t>
        </is>
      </c>
      <c r="AM394" s="6" t="inlineStr">
        <is>
          <t>Falta de informação Gerencial</t>
        </is>
      </c>
      <c r="AN394" s="6" t="inlineStr">
        <is>
          <t>Dados do Fornecedor</t>
        </is>
      </c>
      <c r="AO394" s="6" t="inlineStr">
        <is>
          <t>Qualidade dos dados</t>
        </is>
      </c>
      <c r="AP394" s="6" t="inlineStr">
        <is>
          <t>KONTIK BUSINESS TRAVEL</t>
        </is>
      </c>
      <c r="AQ394" s="6" t="inlineStr">
        <is>
          <t>Operações - CORP</t>
        </is>
      </c>
    </row>
    <row r="395">
      <c r="A395" s="6" t="n">
        <v>23382393</v>
      </c>
      <c r="B395" s="6" t="n">
        <v>24106096</v>
      </c>
      <c r="C395" s="6" t="inlineStr">
        <is>
          <t>ACC01</t>
        </is>
      </c>
      <c r="D395" s="58" t="n">
        <v>45985.94585648148</v>
      </c>
      <c r="E395" s="58" t="n">
        <v>45985.9496412037</v>
      </c>
      <c r="F395" s="6" t="inlineStr">
        <is>
          <t>0 a 02 dias</t>
        </is>
      </c>
      <c r="G395" s="6" t="inlineStr">
        <is>
          <t>0 a 02 dias</t>
        </is>
      </c>
      <c r="H395" s="6" t="inlineStr">
        <is>
          <t>5U4LN2</t>
        </is>
      </c>
      <c r="I395" s="6" t="inlineStr">
        <is>
          <t>TMS</t>
        </is>
      </c>
      <c r="J395" s="6" t="inlineStr">
        <is>
          <t>BRUNO PIZZIN</t>
        </is>
      </c>
      <c r="K395" s="6" t="inlineStr">
        <is>
          <t>Tms</t>
        </is>
      </c>
      <c r="L395" s="6" t="inlineStr">
        <is>
          <t>Tms</t>
        </is>
      </c>
      <c r="M395" s="58" t="n">
        <v>45985.69861111111</v>
      </c>
      <c r="N395" s="6" t="n">
        <v>97007</v>
      </c>
      <c r="O395" s="6" t="inlineStr">
        <is>
          <t>-</t>
        </is>
      </c>
      <c r="P395" s="6" t="inlineStr">
        <is>
          <t>ON LINE</t>
        </is>
      </c>
      <c r="Q395" s="6" t="inlineStr">
        <is>
          <t>Pagamento direto</t>
        </is>
      </c>
      <c r="R395" s="6" t="inlineStr">
        <is>
          <t>Pagamento direto</t>
        </is>
      </c>
      <c r="S395" s="6" t="inlineStr">
        <is>
          <t>Hotel</t>
        </is>
      </c>
      <c r="T395" s="6" t="inlineStr">
        <is>
          <t>N</t>
        </is>
      </c>
      <c r="U395" s="6" t="inlineStr">
        <is>
          <t>Grupo Ache</t>
        </is>
      </c>
      <c r="V395" s="6" t="inlineStr">
        <is>
          <t>Ache Laboratorios Farmaceuticos Sa</t>
        </is>
      </c>
      <c r="W395" s="6" t="inlineStr">
        <is>
          <t>-</t>
        </is>
      </c>
      <c r="X395" s="6" t="inlineStr">
        <is>
          <t>Alpes Hotel</t>
        </is>
      </c>
      <c r="Y395" s="6" t="inlineStr">
        <is>
          <t>-</t>
        </is>
      </c>
      <c r="Z395" s="6" t="inlineStr">
        <is>
          <t>KON-OPE-SAO-PVI-ACHE</t>
        </is>
      </c>
      <c r="AA395" s="6" t="inlineStr">
        <is>
          <t>-</t>
        </is>
      </c>
      <c r="AB395" s="6" t="n">
        <v>500</v>
      </c>
      <c r="AC395" s="6" t="n">
        <v>0</v>
      </c>
      <c r="AD395" s="6" t="n">
        <v>0</v>
      </c>
      <c r="AE395" s="6" t="n">
        <v>0</v>
      </c>
      <c r="AF395" s="6" t="n">
        <v>0</v>
      </c>
      <c r="AG395" s="6" t="n">
        <v>0</v>
      </c>
      <c r="AH395" s="6" t="n">
        <v>0</v>
      </c>
      <c r="AI395" s="6" t="inlineStr">
        <is>
          <t>Reserva importada do Sistema TMS. OS: 97007</t>
        </is>
      </c>
      <c r="AJ395" s="6" t="inlineStr">
        <is>
          <t>Empenho/departamento não preenchido! (ACC01)</t>
        </is>
      </c>
      <c r="AK395" s="6" t="inlineStr">
        <is>
          <t>ARGO(TMS)</t>
        </is>
      </c>
      <c r="AL395" s="6" t="inlineStr">
        <is>
          <t>Empenho/departamento</t>
        </is>
      </c>
      <c r="AM395" s="6" t="inlineStr">
        <is>
          <t>Falta de informação Gerencial</t>
        </is>
      </c>
      <c r="AN395" s="6" t="inlineStr">
        <is>
          <t>Dados do Fornecedor</t>
        </is>
      </c>
      <c r="AO395" s="6" t="inlineStr">
        <is>
          <t>Qualidade dos dados</t>
        </is>
      </c>
      <c r="AP395" s="6" t="inlineStr">
        <is>
          <t>KONTIK BUSINESS TRAVEL</t>
        </is>
      </c>
      <c r="AQ395" s="6" t="inlineStr">
        <is>
          <t>Operações - CORP</t>
        </is>
      </c>
    </row>
    <row r="396">
      <c r="A396" s="6" t="n">
        <v>23382402</v>
      </c>
      <c r="B396" s="6" t="n">
        <v>24106103</v>
      </c>
      <c r="C396" s="6" t="inlineStr">
        <is>
          <t>ACC01</t>
        </is>
      </c>
      <c r="D396" s="58" t="n">
        <v>45985.94606481482</v>
      </c>
      <c r="E396" s="58" t="n">
        <v>45985.95199074074</v>
      </c>
      <c r="F396" s="6" t="inlineStr">
        <is>
          <t>0 a 02 dias</t>
        </is>
      </c>
      <c r="G396" s="6" t="inlineStr">
        <is>
          <t>0 a 02 dias</t>
        </is>
      </c>
      <c r="H396" s="6" t="inlineStr">
        <is>
          <t>5ULLLX</t>
        </is>
      </c>
      <c r="I396" s="6" t="inlineStr">
        <is>
          <t>TMS</t>
        </is>
      </c>
      <c r="J396" s="6" t="inlineStr">
        <is>
          <t>VIVIANE SANOCKI</t>
        </is>
      </c>
      <c r="K396" s="6" t="inlineStr">
        <is>
          <t>Tms</t>
        </is>
      </c>
      <c r="L396" s="6" t="inlineStr">
        <is>
          <t>Tms</t>
        </is>
      </c>
      <c r="M396" s="58" t="n">
        <v>45985.76527777778</v>
      </c>
      <c r="N396" s="6" t="n">
        <v>96920</v>
      </c>
      <c r="O396" s="6" t="inlineStr">
        <is>
          <t>-</t>
        </is>
      </c>
      <c r="P396" s="6" t="inlineStr">
        <is>
          <t>ON LINE</t>
        </is>
      </c>
      <c r="Q396" s="6" t="inlineStr">
        <is>
          <t>Pagamento direto</t>
        </is>
      </c>
      <c r="R396" s="6" t="inlineStr">
        <is>
          <t>Pagamento direto</t>
        </is>
      </c>
      <c r="S396" s="6" t="inlineStr">
        <is>
          <t>Hotel</t>
        </is>
      </c>
      <c r="T396" s="6" t="inlineStr">
        <is>
          <t>N</t>
        </is>
      </c>
      <c r="U396" s="6" t="inlineStr">
        <is>
          <t>Grupo Ache</t>
        </is>
      </c>
      <c r="V396" s="6" t="inlineStr">
        <is>
          <t>Ache Laboratorios Farmaceuticos Sa</t>
        </is>
      </c>
      <c r="W396" s="6" t="inlineStr">
        <is>
          <t>-</t>
        </is>
      </c>
      <c r="X396" s="6" t="inlineStr">
        <is>
          <t>Ibis Curitiba Aeroporto</t>
        </is>
      </c>
      <c r="Y396" s="6" t="inlineStr">
        <is>
          <t>-</t>
        </is>
      </c>
      <c r="Z396" s="6" t="inlineStr">
        <is>
          <t>KON-OPE-SAO-PVI-ACHE</t>
        </is>
      </c>
      <c r="AA396" s="6" t="inlineStr">
        <is>
          <t>-</t>
        </is>
      </c>
      <c r="AB396" s="6" t="n">
        <v>246</v>
      </c>
      <c r="AC396" s="6" t="n">
        <v>0</v>
      </c>
      <c r="AD396" s="6" t="n">
        <v>0</v>
      </c>
      <c r="AE396" s="6" t="n">
        <v>0</v>
      </c>
      <c r="AF396" s="6" t="n">
        <v>0</v>
      </c>
      <c r="AG396" s="6" t="n">
        <v>12.3</v>
      </c>
      <c r="AH396" s="6" t="n">
        <v>0</v>
      </c>
      <c r="AI396" s="6" t="inlineStr">
        <is>
          <t>Reserva importada do Sistema TMS. OS: 96920</t>
        </is>
      </c>
      <c r="AJ396" s="6" t="inlineStr">
        <is>
          <t>Empenho/departamento não preenchido! (ACC01)</t>
        </is>
      </c>
      <c r="AK396" s="6" t="inlineStr">
        <is>
          <t>ARGO(TMS)</t>
        </is>
      </c>
      <c r="AL396" s="6" t="inlineStr">
        <is>
          <t>Empenho/departamento</t>
        </is>
      </c>
      <c r="AM396" s="6" t="inlineStr">
        <is>
          <t>Falta de informação Gerencial</t>
        </is>
      </c>
      <c r="AN396" s="6" t="inlineStr">
        <is>
          <t>Dados do Fornecedor</t>
        </is>
      </c>
      <c r="AO396" s="6" t="inlineStr">
        <is>
          <t>Qualidade dos dados</t>
        </is>
      </c>
      <c r="AP396" s="6" t="inlineStr">
        <is>
          <t>KONTIK BUSINESS TRAVEL</t>
        </is>
      </c>
      <c r="AQ396" s="6" t="inlineStr">
        <is>
          <t>Operações - CORP</t>
        </is>
      </c>
    </row>
    <row r="397">
      <c r="A397" s="6" t="n">
        <v>23382403</v>
      </c>
      <c r="B397" s="6" t="n">
        <v>24106104</v>
      </c>
      <c r="C397" s="6" t="inlineStr">
        <is>
          <t>ACC01</t>
        </is>
      </c>
      <c r="D397" s="58" t="n">
        <v>45985.94608796296</v>
      </c>
      <c r="E397" s="58" t="n">
        <v>45985.95200231481</v>
      </c>
      <c r="F397" s="6" t="inlineStr">
        <is>
          <t>0 a 02 dias</t>
        </is>
      </c>
      <c r="G397" s="6" t="inlineStr">
        <is>
          <t>0 a 02 dias</t>
        </is>
      </c>
      <c r="H397" s="6" t="inlineStr">
        <is>
          <t>5UMMMD</t>
        </is>
      </c>
      <c r="I397" s="6" t="inlineStr">
        <is>
          <t>TMS</t>
        </is>
      </c>
      <c r="J397" s="6" t="inlineStr">
        <is>
          <t>VIVIANE SANOCKI</t>
        </is>
      </c>
      <c r="K397" s="6" t="inlineStr">
        <is>
          <t>Tms</t>
        </is>
      </c>
      <c r="L397" s="6" t="inlineStr">
        <is>
          <t>Tms</t>
        </is>
      </c>
      <c r="M397" s="58" t="n">
        <v>45985.76527777778</v>
      </c>
      <c r="N397" s="6" t="n">
        <v>96919</v>
      </c>
      <c r="O397" s="6" t="inlineStr">
        <is>
          <t>-</t>
        </is>
      </c>
      <c r="P397" s="6" t="inlineStr">
        <is>
          <t>ON LINE</t>
        </is>
      </c>
      <c r="Q397" s="6" t="inlineStr">
        <is>
          <t>Pagamento direto</t>
        </is>
      </c>
      <c r="R397" s="6" t="inlineStr">
        <is>
          <t>Pagamento direto</t>
        </is>
      </c>
      <c r="S397" s="6" t="inlineStr">
        <is>
          <t>Hotel</t>
        </is>
      </c>
      <c r="T397" s="6" t="inlineStr">
        <is>
          <t>N</t>
        </is>
      </c>
      <c r="U397" s="6" t="inlineStr">
        <is>
          <t>Grupo Ache</t>
        </is>
      </c>
      <c r="V397" s="6" t="inlineStr">
        <is>
          <t>Ache Laboratorios Farmaceuticos Sa</t>
        </is>
      </c>
      <c r="W397" s="6" t="inlineStr">
        <is>
          <t>-</t>
        </is>
      </c>
      <c r="X397" s="6" t="inlineStr">
        <is>
          <t>Comfort Hotel Joinville</t>
        </is>
      </c>
      <c r="Y397" s="6" t="inlineStr">
        <is>
          <t>-</t>
        </is>
      </c>
      <c r="Z397" s="6" t="inlineStr">
        <is>
          <t>KON-OPE-SAO-PVI-ACHE</t>
        </is>
      </c>
      <c r="AA397" s="6" t="inlineStr">
        <is>
          <t>-</t>
        </is>
      </c>
      <c r="AB397" s="6" t="n">
        <v>250</v>
      </c>
      <c r="AC397" s="6" t="n">
        <v>0</v>
      </c>
      <c r="AD397" s="6" t="n">
        <v>0</v>
      </c>
      <c r="AE397" s="6" t="n">
        <v>0</v>
      </c>
      <c r="AF397" s="6" t="n">
        <v>0</v>
      </c>
      <c r="AG397" s="6" t="n">
        <v>7.5</v>
      </c>
      <c r="AH397" s="6" t="n">
        <v>0</v>
      </c>
      <c r="AI397" s="6" t="inlineStr">
        <is>
          <t>Reserva importada do Sistema TMS. OS: 96919</t>
        </is>
      </c>
      <c r="AJ397" s="6" t="inlineStr">
        <is>
          <t>Empenho/departamento não preenchido! (ACC01)</t>
        </is>
      </c>
      <c r="AK397" s="6" t="inlineStr">
        <is>
          <t>ARGO(TMS)</t>
        </is>
      </c>
      <c r="AL397" s="6" t="inlineStr">
        <is>
          <t>Empenho/departamento</t>
        </is>
      </c>
      <c r="AM397" s="6" t="inlineStr">
        <is>
          <t>Falta de informação Gerencial</t>
        </is>
      </c>
      <c r="AN397" s="6" t="inlineStr">
        <is>
          <t>Dados do Fornecedor</t>
        </is>
      </c>
      <c r="AO397" s="6" t="inlineStr">
        <is>
          <t>Qualidade dos dados</t>
        </is>
      </c>
      <c r="AP397" s="6" t="inlineStr">
        <is>
          <t>KONTIK BUSINESS TRAVEL</t>
        </is>
      </c>
      <c r="AQ397" s="6" t="inlineStr">
        <is>
          <t>Operações - CORP</t>
        </is>
      </c>
    </row>
    <row r="398">
      <c r="A398" s="6" t="n">
        <v>23382383</v>
      </c>
      <c r="B398" s="6" t="n">
        <v>24106086</v>
      </c>
      <c r="C398" s="6" t="inlineStr">
        <is>
          <t>ACC01</t>
        </is>
      </c>
      <c r="D398" s="58" t="n">
        <v>45985.945625</v>
      </c>
      <c r="E398" s="58" t="n">
        <v>45985.9489699074</v>
      </c>
      <c r="F398" s="6" t="inlineStr">
        <is>
          <t>0 a 02 dias</t>
        </is>
      </c>
      <c r="G398" s="6" t="inlineStr">
        <is>
          <t>0 a 02 dias</t>
        </is>
      </c>
      <c r="H398" s="6" t="inlineStr">
        <is>
          <t>EFJIQQ</t>
        </is>
      </c>
      <c r="I398" s="6" t="inlineStr">
        <is>
          <t>TMS</t>
        </is>
      </c>
      <c r="J398" s="6" t="inlineStr">
        <is>
          <t>CRISTIANE SANTOS</t>
        </is>
      </c>
      <c r="K398" s="6" t="inlineStr">
        <is>
          <t>Tms</t>
        </is>
      </c>
      <c r="L398" s="6" t="inlineStr">
        <is>
          <t>Tms</t>
        </is>
      </c>
      <c r="M398" s="58" t="n">
        <v>45985.72708333333</v>
      </c>
      <c r="N398" s="6" t="n">
        <v>97088</v>
      </c>
      <c r="O398" s="6" t="inlineStr">
        <is>
          <t>-</t>
        </is>
      </c>
      <c r="P398" s="6" t="inlineStr">
        <is>
          <t>ON LINE</t>
        </is>
      </c>
      <c r="Q398" s="6" t="inlineStr">
        <is>
          <t>Cartão de crédito</t>
        </is>
      </c>
      <c r="R398" s="6" t="inlineStr">
        <is>
          <t>Cartão de crédito</t>
        </is>
      </c>
      <c r="S398" s="6" t="inlineStr">
        <is>
          <t>Aéreo</t>
        </is>
      </c>
      <c r="T398" s="6" t="inlineStr">
        <is>
          <t>N</t>
        </is>
      </c>
      <c r="U398" s="6" t="inlineStr">
        <is>
          <t>Grupo Ache</t>
        </is>
      </c>
      <c r="V398" s="6" t="inlineStr">
        <is>
          <t>Ache Laboratorios Farmaceuticos Sa</t>
        </is>
      </c>
      <c r="W398" s="6" t="inlineStr">
        <is>
          <t>-</t>
        </is>
      </c>
      <c r="X398" s="6" t="inlineStr">
        <is>
          <t>Gol Linhas Aereas</t>
        </is>
      </c>
      <c r="Y398" s="6" t="n">
        <v>2150130709</v>
      </c>
      <c r="Z398" s="6" t="inlineStr">
        <is>
          <t>KON-OPE-SAO-PVI-ACHE</t>
        </is>
      </c>
      <c r="AA398" s="6" t="inlineStr">
        <is>
          <t>-</t>
        </is>
      </c>
      <c r="AB398" s="6" t="n">
        <v>2056.3</v>
      </c>
      <c r="AC398" s="6" t="n">
        <v>120.57</v>
      </c>
      <c r="AD398" s="6" t="n">
        <v>0</v>
      </c>
      <c r="AE398" s="6" t="n">
        <v>0</v>
      </c>
      <c r="AF398" s="6" t="n">
        <v>0</v>
      </c>
      <c r="AG398" s="6" t="n">
        <v>0</v>
      </c>
      <c r="AH398" s="6" t="n">
        <v>0</v>
      </c>
      <c r="AI398" s="6" t="inlineStr">
        <is>
          <t>Reserva importada do Sistema TMS. OS: 97088</t>
        </is>
      </c>
      <c r="AJ398" s="6" t="inlineStr">
        <is>
          <t>Empenho/departamento não preenchido! (ACC01)</t>
        </is>
      </c>
      <c r="AK398" s="6" t="inlineStr">
        <is>
          <t>ARGO(TMS)</t>
        </is>
      </c>
      <c r="AL398" s="6" t="inlineStr">
        <is>
          <t>Empenho/departamento</t>
        </is>
      </c>
      <c r="AM398" s="6" t="inlineStr">
        <is>
          <t>Falta de informação Gerencial</t>
        </is>
      </c>
      <c r="AN398" s="6" t="inlineStr">
        <is>
          <t>Dados do Fornecedor</t>
        </is>
      </c>
      <c r="AO398" s="6" t="inlineStr">
        <is>
          <t>Qualidade dos dados</t>
        </is>
      </c>
      <c r="AP398" s="6" t="inlineStr">
        <is>
          <t>KONTIK BUSINESS TRAVEL</t>
        </is>
      </c>
      <c r="AQ398" s="6" t="inlineStr">
        <is>
          <t>Operações - CORP</t>
        </is>
      </c>
    </row>
    <row r="399">
      <c r="A399" s="6" t="n">
        <v>23382384</v>
      </c>
      <c r="B399" s="6" t="n">
        <v>24106087</v>
      </c>
      <c r="C399" s="6" t="inlineStr">
        <is>
          <t>ACC01</t>
        </is>
      </c>
      <c r="D399" s="58" t="n">
        <v>45985.94565972222</v>
      </c>
      <c r="E399" s="58" t="n">
        <v>45985.94944444444</v>
      </c>
      <c r="F399" s="6" t="inlineStr">
        <is>
          <t>0 a 02 dias</t>
        </is>
      </c>
      <c r="G399" s="6" t="inlineStr">
        <is>
          <t>0 a 02 dias</t>
        </is>
      </c>
      <c r="H399" s="6" t="inlineStr">
        <is>
          <t>5U9ILW</t>
        </is>
      </c>
      <c r="I399" s="6" t="inlineStr">
        <is>
          <t>TMS</t>
        </is>
      </c>
      <c r="J399" s="6" t="inlineStr">
        <is>
          <t>JUSCELINO CARMO</t>
        </is>
      </c>
      <c r="K399" s="6" t="inlineStr">
        <is>
          <t>Tms</t>
        </is>
      </c>
      <c r="L399" s="6" t="inlineStr">
        <is>
          <t>Tms</t>
        </is>
      </c>
      <c r="M399" s="58" t="n">
        <v>45985.70555555556</v>
      </c>
      <c r="N399" s="6" t="n">
        <v>97087</v>
      </c>
      <c r="O399" s="6" t="inlineStr">
        <is>
          <t>-</t>
        </is>
      </c>
      <c r="P399" s="6" t="inlineStr">
        <is>
          <t>ON LINE</t>
        </is>
      </c>
      <c r="Q399" s="6" t="inlineStr">
        <is>
          <t>Pagamento direto</t>
        </is>
      </c>
      <c r="R399" s="6" t="inlineStr">
        <is>
          <t>Pagamento direto</t>
        </is>
      </c>
      <c r="S399" s="6" t="inlineStr">
        <is>
          <t>Hotel</t>
        </is>
      </c>
      <c r="T399" s="6" t="inlineStr">
        <is>
          <t>N</t>
        </is>
      </c>
      <c r="U399" s="6" t="inlineStr">
        <is>
          <t>Grupo Ache</t>
        </is>
      </c>
      <c r="V399" s="6" t="inlineStr">
        <is>
          <t>Ache Laboratorios Farmaceuticos Sa</t>
        </is>
      </c>
      <c r="W399" s="6" t="inlineStr">
        <is>
          <t>-</t>
        </is>
      </c>
      <c r="X399" s="6" t="inlineStr">
        <is>
          <t>Jb Palace Hotel</t>
        </is>
      </c>
      <c r="Y399" s="6" t="inlineStr">
        <is>
          <t>-</t>
        </is>
      </c>
      <c r="Z399" s="6" t="inlineStr">
        <is>
          <t>KON-OPE-SAO-PVI-ACHE</t>
        </is>
      </c>
      <c r="AA399" s="6" t="inlineStr">
        <is>
          <t>-</t>
        </is>
      </c>
      <c r="AB399" s="6" t="n">
        <v>561</v>
      </c>
      <c r="AC399" s="6" t="n">
        <v>0</v>
      </c>
      <c r="AD399" s="6" t="n">
        <v>0</v>
      </c>
      <c r="AE399" s="6" t="n">
        <v>0</v>
      </c>
      <c r="AF399" s="6" t="n">
        <v>0</v>
      </c>
      <c r="AG399" s="6" t="n">
        <v>56.1</v>
      </c>
      <c r="AH399" s="6" t="n">
        <v>0</v>
      </c>
      <c r="AI399" s="6" t="inlineStr">
        <is>
          <t>Reserva importada do Sistema TMS. OS: 97087</t>
        </is>
      </c>
      <c r="AJ399" s="6" t="inlineStr">
        <is>
          <t>Empenho/departamento não preenchido! (ACC01)</t>
        </is>
      </c>
      <c r="AK399" s="6" t="inlineStr">
        <is>
          <t>ARGO(TMS)</t>
        </is>
      </c>
      <c r="AL399" s="6" t="inlineStr">
        <is>
          <t>Empenho/departamento</t>
        </is>
      </c>
      <c r="AM399" s="6" t="inlineStr">
        <is>
          <t>Falta de informação Gerencial</t>
        </is>
      </c>
      <c r="AN399" s="6" t="inlineStr">
        <is>
          <t>Dados do Fornecedor</t>
        </is>
      </c>
      <c r="AO399" s="6" t="inlineStr">
        <is>
          <t>Qualidade dos dados</t>
        </is>
      </c>
      <c r="AP399" s="6" t="inlineStr">
        <is>
          <t>KONTIK BUSINESS TRAVEL</t>
        </is>
      </c>
      <c r="AQ399" s="6" t="inlineStr">
        <is>
          <t>Operações - CORP</t>
        </is>
      </c>
    </row>
    <row r="400">
      <c r="A400" s="6" t="n">
        <v>23382387</v>
      </c>
      <c r="B400" s="6" t="n">
        <v>24106090</v>
      </c>
      <c r="C400" s="6" t="inlineStr">
        <is>
          <t>ACC01</t>
        </is>
      </c>
      <c r="D400" s="58" t="n">
        <v>45985.94570601852</v>
      </c>
      <c r="E400" s="58" t="n">
        <v>45985.94961805556</v>
      </c>
      <c r="F400" s="6" t="inlineStr">
        <is>
          <t>0 a 02 dias</t>
        </is>
      </c>
      <c r="G400" s="6" t="inlineStr">
        <is>
          <t>0 a 02 dias</t>
        </is>
      </c>
      <c r="H400" s="6" t="inlineStr">
        <is>
          <t>5UMLL2</t>
        </is>
      </c>
      <c r="I400" s="6" t="inlineStr">
        <is>
          <t>TMS</t>
        </is>
      </c>
      <c r="J400" s="6" t="inlineStr">
        <is>
          <t>JULIANA REDONDO</t>
        </is>
      </c>
      <c r="K400" s="6" t="inlineStr">
        <is>
          <t>Tms</t>
        </is>
      </c>
      <c r="L400" s="6" t="inlineStr">
        <is>
          <t>Tms</t>
        </is>
      </c>
      <c r="M400" s="58" t="n">
        <v>45985.78055555555</v>
      </c>
      <c r="N400" s="6" t="n">
        <v>97082</v>
      </c>
      <c r="O400" s="6" t="inlineStr">
        <is>
          <t>-</t>
        </is>
      </c>
      <c r="P400" s="6" t="inlineStr">
        <is>
          <t>ON LINE</t>
        </is>
      </c>
      <c r="Q400" s="6" t="inlineStr">
        <is>
          <t>Pagamento direto</t>
        </is>
      </c>
      <c r="R400" s="6" t="inlineStr">
        <is>
          <t>Pagamento direto</t>
        </is>
      </c>
      <c r="S400" s="6" t="inlineStr">
        <is>
          <t>Hotel</t>
        </is>
      </c>
      <c r="T400" s="6" t="inlineStr">
        <is>
          <t>N</t>
        </is>
      </c>
      <c r="U400" s="6" t="inlineStr">
        <is>
          <t>Grupo Ache</t>
        </is>
      </c>
      <c r="V400" s="6" t="inlineStr">
        <is>
          <t>Ache Laboratorios Farmaceuticos Sa</t>
        </is>
      </c>
      <c r="W400" s="6" t="inlineStr">
        <is>
          <t>-</t>
        </is>
      </c>
      <c r="X400" s="6" t="inlineStr">
        <is>
          <t>Hotel Pousada Ourinhos</t>
        </is>
      </c>
      <c r="Y400" s="6" t="inlineStr">
        <is>
          <t>-</t>
        </is>
      </c>
      <c r="Z400" s="6" t="inlineStr">
        <is>
          <t>KON-OPE-SAO-PVI-ACHE</t>
        </is>
      </c>
      <c r="AA400" s="6" t="inlineStr">
        <is>
          <t>-</t>
        </is>
      </c>
      <c r="AB400" s="6" t="n">
        <v>271</v>
      </c>
      <c r="AC400" s="6" t="n">
        <v>0</v>
      </c>
      <c r="AD400" s="6" t="n">
        <v>0</v>
      </c>
      <c r="AE400" s="6" t="n">
        <v>0</v>
      </c>
      <c r="AF400" s="6" t="n">
        <v>0</v>
      </c>
      <c r="AG400" s="6" t="n">
        <v>0</v>
      </c>
      <c r="AH400" s="6" t="n">
        <v>0</v>
      </c>
      <c r="AI400" s="6" t="inlineStr">
        <is>
          <t>Reserva importada do Sistema TMS. OS: 97082</t>
        </is>
      </c>
      <c r="AJ400" s="6" t="inlineStr">
        <is>
          <t>Empenho/departamento não preenchido! (ACC01)</t>
        </is>
      </c>
      <c r="AK400" s="6" t="inlineStr">
        <is>
          <t>ARGO(TMS)</t>
        </is>
      </c>
      <c r="AL400" s="6" t="inlineStr">
        <is>
          <t>Empenho/departamento</t>
        </is>
      </c>
      <c r="AM400" s="6" t="inlineStr">
        <is>
          <t>Falta de informação Gerencial</t>
        </is>
      </c>
      <c r="AN400" s="6" t="inlineStr">
        <is>
          <t>Dados do Fornecedor</t>
        </is>
      </c>
      <c r="AO400" s="6" t="inlineStr">
        <is>
          <t>Qualidade dos dados</t>
        </is>
      </c>
      <c r="AP400" s="6" t="inlineStr">
        <is>
          <t>KONTIK BUSINESS TRAVEL</t>
        </is>
      </c>
      <c r="AQ400" s="6" t="inlineStr">
        <is>
          <t>Operações - CORP</t>
        </is>
      </c>
    </row>
    <row r="401">
      <c r="A401" s="6" t="n">
        <v>23382389</v>
      </c>
      <c r="B401" s="6" t="n">
        <v>24106092</v>
      </c>
      <c r="C401" s="6" t="inlineStr">
        <is>
          <t>ACC01</t>
        </is>
      </c>
      <c r="D401" s="58" t="n">
        <v>45985.94577546296</v>
      </c>
      <c r="E401" s="58" t="n">
        <v>45985.94961805556</v>
      </c>
      <c r="F401" s="6" t="inlineStr">
        <is>
          <t>0 a 02 dias</t>
        </is>
      </c>
      <c r="G401" s="6" t="inlineStr">
        <is>
          <t>0 a 02 dias</t>
        </is>
      </c>
      <c r="H401" s="6" t="inlineStr">
        <is>
          <t>5UANOS</t>
        </is>
      </c>
      <c r="I401" s="6" t="inlineStr">
        <is>
          <t>TMS</t>
        </is>
      </c>
      <c r="J401" s="6" t="inlineStr">
        <is>
          <t>RAFAEL SOUSA</t>
        </is>
      </c>
      <c r="K401" s="6" t="inlineStr">
        <is>
          <t>Tms</t>
        </is>
      </c>
      <c r="L401" s="6" t="inlineStr">
        <is>
          <t>Tms</t>
        </is>
      </c>
      <c r="M401" s="58" t="n">
        <v>45985.76666666667</v>
      </c>
      <c r="N401" s="6" t="n">
        <v>97049</v>
      </c>
      <c r="O401" s="6" t="inlineStr">
        <is>
          <t>-</t>
        </is>
      </c>
      <c r="P401" s="6" t="inlineStr">
        <is>
          <t>ON LINE</t>
        </is>
      </c>
      <c r="Q401" s="6" t="inlineStr">
        <is>
          <t>Pagamento direto</t>
        </is>
      </c>
      <c r="R401" s="6" t="inlineStr">
        <is>
          <t>Pagamento direto</t>
        </is>
      </c>
      <c r="S401" s="6" t="inlineStr">
        <is>
          <t>Hotel</t>
        </is>
      </c>
      <c r="T401" s="6" t="inlineStr">
        <is>
          <t>N</t>
        </is>
      </c>
      <c r="U401" s="6" t="inlineStr">
        <is>
          <t>Grupo Ache</t>
        </is>
      </c>
      <c r="V401" s="6" t="inlineStr">
        <is>
          <t>Ache Laboratorios Farmaceuticos Sa</t>
        </is>
      </c>
      <c r="W401" s="6" t="inlineStr">
        <is>
          <t>-</t>
        </is>
      </c>
      <c r="X401" s="6" t="inlineStr">
        <is>
          <t>Trade Hotel</t>
        </is>
      </c>
      <c r="Y401" s="6" t="inlineStr">
        <is>
          <t>-</t>
        </is>
      </c>
      <c r="Z401" s="6" t="inlineStr">
        <is>
          <t>KON-OPE-SAO-PVI-ACHE</t>
        </is>
      </c>
      <c r="AA401" s="6" t="inlineStr">
        <is>
          <t>-</t>
        </is>
      </c>
      <c r="AB401" s="6" t="n">
        <v>780</v>
      </c>
      <c r="AC401" s="6" t="n">
        <v>0</v>
      </c>
      <c r="AD401" s="6" t="n">
        <v>0</v>
      </c>
      <c r="AE401" s="6" t="n">
        <v>0</v>
      </c>
      <c r="AF401" s="6" t="n">
        <v>0</v>
      </c>
      <c r="AG401" s="6" t="n">
        <v>117</v>
      </c>
      <c r="AH401" s="6" t="n">
        <v>0</v>
      </c>
      <c r="AI401" s="6" t="inlineStr">
        <is>
          <t>Reserva importada do Sistema TMS. OS: 97049</t>
        </is>
      </c>
      <c r="AJ401" s="6" t="inlineStr">
        <is>
          <t>Empenho/departamento não preenchido! (ACC01)</t>
        </is>
      </c>
      <c r="AK401" s="6" t="inlineStr">
        <is>
          <t>ARGO(TMS)</t>
        </is>
      </c>
      <c r="AL401" s="6" t="inlineStr">
        <is>
          <t>Empenho/departamento</t>
        </is>
      </c>
      <c r="AM401" s="6" t="inlineStr">
        <is>
          <t>Falta de informação Gerencial</t>
        </is>
      </c>
      <c r="AN401" s="6" t="inlineStr">
        <is>
          <t>Dados do Fornecedor</t>
        </is>
      </c>
      <c r="AO401" s="6" t="inlineStr">
        <is>
          <t>Qualidade dos dados</t>
        </is>
      </c>
      <c r="AP401" s="6" t="inlineStr">
        <is>
          <t>KONTIK BUSINESS TRAVEL</t>
        </is>
      </c>
      <c r="AQ401" s="6" t="inlineStr">
        <is>
          <t>Operações - CORP</t>
        </is>
      </c>
    </row>
    <row r="402">
      <c r="A402" s="6" t="n">
        <v>23382411</v>
      </c>
      <c r="B402" s="6" t="n">
        <v>24106112</v>
      </c>
      <c r="C402" s="6" t="inlineStr">
        <is>
          <t>ACC01</t>
        </is>
      </c>
      <c r="D402" s="58" t="n">
        <v>45985.94636574074</v>
      </c>
      <c r="E402" s="58" t="n">
        <v>45985.95206018518</v>
      </c>
      <c r="F402" s="6" t="inlineStr">
        <is>
          <t>0 a 02 dias</t>
        </is>
      </c>
      <c r="G402" s="6" t="inlineStr">
        <is>
          <t>0 a 02 dias</t>
        </is>
      </c>
      <c r="H402" s="6" t="inlineStr">
        <is>
          <t>5UIM0D</t>
        </is>
      </c>
      <c r="I402" s="6" t="inlineStr">
        <is>
          <t>TMS</t>
        </is>
      </c>
      <c r="J402" s="6" t="inlineStr">
        <is>
          <t>DEBORA SILVA</t>
        </is>
      </c>
      <c r="K402" s="6" t="inlineStr">
        <is>
          <t>Tms</t>
        </is>
      </c>
      <c r="L402" s="6" t="inlineStr">
        <is>
          <t>Tms</t>
        </is>
      </c>
      <c r="M402" s="58" t="n">
        <v>45985.92916666667</v>
      </c>
      <c r="N402" s="6" t="n">
        <v>96725</v>
      </c>
      <c r="O402" s="6" t="inlineStr">
        <is>
          <t>-</t>
        </is>
      </c>
      <c r="P402" s="6" t="inlineStr">
        <is>
          <t>ON LINE</t>
        </is>
      </c>
      <c r="Q402" s="6" t="inlineStr">
        <is>
          <t>Pagamento direto</t>
        </is>
      </c>
      <c r="R402" s="6" t="inlineStr">
        <is>
          <t>Pagamento direto</t>
        </is>
      </c>
      <c r="S402" s="6" t="inlineStr">
        <is>
          <t>Hotel</t>
        </is>
      </c>
      <c r="T402" s="6" t="inlineStr">
        <is>
          <t>N</t>
        </is>
      </c>
      <c r="U402" s="6" t="inlineStr">
        <is>
          <t>Grupo Ache</t>
        </is>
      </c>
      <c r="V402" s="6" t="inlineStr">
        <is>
          <t>Ache Laboratorios Farmaceuticos Sa</t>
        </is>
      </c>
      <c r="W402" s="6" t="inlineStr">
        <is>
          <t>-</t>
        </is>
      </c>
      <c r="X402" s="6" t="inlineStr">
        <is>
          <t>Samba Tres Rios</t>
        </is>
      </c>
      <c r="Y402" s="6" t="inlineStr">
        <is>
          <t>-</t>
        </is>
      </c>
      <c r="Z402" s="6" t="inlineStr">
        <is>
          <t>KON-OPE-SAO-PVI-ACHE</t>
        </is>
      </c>
      <c r="AA402" s="6" t="inlineStr">
        <is>
          <t>-</t>
        </is>
      </c>
      <c r="AB402" s="6" t="n">
        <v>255</v>
      </c>
      <c r="AC402" s="6" t="n">
        <v>0</v>
      </c>
      <c r="AD402" s="6" t="n">
        <v>0</v>
      </c>
      <c r="AE402" s="6" t="n">
        <v>0</v>
      </c>
      <c r="AF402" s="6" t="n">
        <v>0</v>
      </c>
      <c r="AG402" s="6" t="n">
        <v>12.75</v>
      </c>
      <c r="AH402" s="6" t="n">
        <v>0</v>
      </c>
      <c r="AI402" s="6" t="inlineStr">
        <is>
          <t>Reserva importada do Sistema TMS. OS: 96725</t>
        </is>
      </c>
      <c r="AJ402" s="6" t="inlineStr">
        <is>
          <t>Empenho/departamento não preenchido! (ACC01)</t>
        </is>
      </c>
      <c r="AK402" s="6" t="inlineStr">
        <is>
          <t>ARGO(TMS)</t>
        </is>
      </c>
      <c r="AL402" s="6" t="inlineStr">
        <is>
          <t>Empenho/departamento</t>
        </is>
      </c>
      <c r="AM402" s="6" t="inlineStr">
        <is>
          <t>Falta de informação Gerencial</t>
        </is>
      </c>
      <c r="AN402" s="6" t="inlineStr">
        <is>
          <t>Dados do Fornecedor</t>
        </is>
      </c>
      <c r="AO402" s="6" t="inlineStr">
        <is>
          <t>Qualidade dos dados</t>
        </is>
      </c>
      <c r="AP402" s="6" t="inlineStr">
        <is>
          <t>KONTIK BUSINESS TRAVEL</t>
        </is>
      </c>
      <c r="AQ402" s="6" t="inlineStr">
        <is>
          <t>Operações - CORP</t>
        </is>
      </c>
    </row>
    <row r="403">
      <c r="A403" s="6" t="n">
        <v>23382376</v>
      </c>
      <c r="B403" s="6" t="n">
        <v>24106079</v>
      </c>
      <c r="C403" s="6" t="inlineStr">
        <is>
          <t>ACC01</t>
        </is>
      </c>
      <c r="D403" s="58" t="n">
        <v>45985.94548611111</v>
      </c>
      <c r="E403" s="58" t="n">
        <v>45985.94912037037</v>
      </c>
      <c r="F403" s="6" t="inlineStr">
        <is>
          <t>0 a 02 dias</t>
        </is>
      </c>
      <c r="G403" s="6" t="inlineStr">
        <is>
          <t>0 a 02 dias</t>
        </is>
      </c>
      <c r="H403" s="6" t="inlineStr">
        <is>
          <t>5UF8N2</t>
        </is>
      </c>
      <c r="I403" s="6" t="inlineStr">
        <is>
          <t>TMS</t>
        </is>
      </c>
      <c r="J403" s="6" t="inlineStr">
        <is>
          <t>LORENA GUIMARAES</t>
        </is>
      </c>
      <c r="K403" s="6" t="inlineStr">
        <is>
          <t>Tms</t>
        </is>
      </c>
      <c r="L403" s="6" t="inlineStr">
        <is>
          <t>Tms</t>
        </is>
      </c>
      <c r="M403" s="58" t="n">
        <v>45985.80416666667</v>
      </c>
      <c r="N403" s="6" t="n">
        <v>97104</v>
      </c>
      <c r="O403" s="6" t="inlineStr">
        <is>
          <t>-</t>
        </is>
      </c>
      <c r="P403" s="6" t="inlineStr">
        <is>
          <t>ON LINE</t>
        </is>
      </c>
      <c r="Q403" s="6" t="inlineStr">
        <is>
          <t>Pagamento direto</t>
        </is>
      </c>
      <c r="R403" s="6" t="inlineStr">
        <is>
          <t>Pagamento direto</t>
        </is>
      </c>
      <c r="S403" s="6" t="inlineStr">
        <is>
          <t>Hotel</t>
        </is>
      </c>
      <c r="T403" s="6" t="inlineStr">
        <is>
          <t>N</t>
        </is>
      </c>
      <c r="U403" s="6" t="inlineStr">
        <is>
          <t>Grupo Ache</t>
        </is>
      </c>
      <c r="V403" s="6" t="inlineStr">
        <is>
          <t>Ache Laboratorios Farmaceuticos Sa</t>
        </is>
      </c>
      <c r="W403" s="6" t="inlineStr">
        <is>
          <t>-</t>
        </is>
      </c>
      <c r="X403" s="6" t="inlineStr">
        <is>
          <t>Lider Hotel Ituiutaba</t>
        </is>
      </c>
      <c r="Y403" s="6" t="inlineStr">
        <is>
          <t>-</t>
        </is>
      </c>
      <c r="Z403" s="6" t="inlineStr">
        <is>
          <t>KON-OPE-SAO-PVI-ACHE</t>
        </is>
      </c>
      <c r="AA403" s="6" t="inlineStr">
        <is>
          <t>-</t>
        </is>
      </c>
      <c r="AB403" s="6" t="n">
        <v>215.7</v>
      </c>
      <c r="AC403" s="6" t="n">
        <v>0</v>
      </c>
      <c r="AD403" s="6" t="n">
        <v>0</v>
      </c>
      <c r="AE403" s="6" t="n">
        <v>0</v>
      </c>
      <c r="AF403" s="6" t="n">
        <v>0</v>
      </c>
      <c r="AG403" s="6" t="n">
        <v>0</v>
      </c>
      <c r="AH403" s="6" t="n">
        <v>0</v>
      </c>
      <c r="AI403" s="6" t="inlineStr">
        <is>
          <t>Reserva importada do Sistema TMS. OS: 97104</t>
        </is>
      </c>
      <c r="AJ403" s="6" t="inlineStr">
        <is>
          <t>Empenho/departamento não preenchido! (ACC01)</t>
        </is>
      </c>
      <c r="AK403" s="6" t="inlineStr">
        <is>
          <t>ARGO(TMS)</t>
        </is>
      </c>
      <c r="AL403" s="6" t="inlineStr">
        <is>
          <t>Empenho/departamento</t>
        </is>
      </c>
      <c r="AM403" s="6" t="inlineStr">
        <is>
          <t>Falta de informação Gerencial</t>
        </is>
      </c>
      <c r="AN403" s="6" t="inlineStr">
        <is>
          <t>Dados do Fornecedor</t>
        </is>
      </c>
      <c r="AO403" s="6" t="inlineStr">
        <is>
          <t>Qualidade dos dados</t>
        </is>
      </c>
      <c r="AP403" s="6" t="inlineStr">
        <is>
          <t>KONTIK BUSINESS TRAVEL</t>
        </is>
      </c>
      <c r="AQ403" s="6" t="inlineStr">
        <is>
          <t>Operações - CORP</t>
        </is>
      </c>
    </row>
    <row r="404">
      <c r="A404" s="6" t="n">
        <v>23382378</v>
      </c>
      <c r="B404" s="6" t="n">
        <v>24106081</v>
      </c>
      <c r="C404" s="6" t="inlineStr">
        <is>
          <t>ACC01</t>
        </is>
      </c>
      <c r="D404" s="58" t="n">
        <v>45985.94550925926</v>
      </c>
      <c r="E404" s="58" t="n">
        <v>45985.9492824074</v>
      </c>
      <c r="F404" s="6" t="inlineStr">
        <is>
          <t>0 a 02 dias</t>
        </is>
      </c>
      <c r="G404" s="6" t="inlineStr">
        <is>
          <t>0 a 02 dias</t>
        </is>
      </c>
      <c r="H404" s="6" t="inlineStr">
        <is>
          <t>5UGK92</t>
        </is>
      </c>
      <c r="I404" s="6" t="inlineStr">
        <is>
          <t>TMS</t>
        </is>
      </c>
      <c r="J404" s="6" t="inlineStr">
        <is>
          <t>VICTORIA PINHEIRO</t>
        </is>
      </c>
      <c r="K404" s="6" t="inlineStr">
        <is>
          <t>Tms</t>
        </is>
      </c>
      <c r="L404" s="6" t="inlineStr">
        <is>
          <t>Tms</t>
        </is>
      </c>
      <c r="M404" s="58" t="n">
        <v>45985.77152777778</v>
      </c>
      <c r="N404" s="6" t="n">
        <v>97100</v>
      </c>
      <c r="O404" s="6" t="inlineStr">
        <is>
          <t>-</t>
        </is>
      </c>
      <c r="P404" s="6" t="inlineStr">
        <is>
          <t>ON LINE</t>
        </is>
      </c>
      <c r="Q404" s="6" t="inlineStr">
        <is>
          <t>Pagamento direto</t>
        </is>
      </c>
      <c r="R404" s="6" t="inlineStr">
        <is>
          <t>Pagamento direto</t>
        </is>
      </c>
      <c r="S404" s="6" t="inlineStr">
        <is>
          <t>Hotel</t>
        </is>
      </c>
      <c r="T404" s="6" t="inlineStr">
        <is>
          <t>N</t>
        </is>
      </c>
      <c r="U404" s="6" t="inlineStr">
        <is>
          <t>Grupo Ache</t>
        </is>
      </c>
      <c r="V404" s="6" t="inlineStr">
        <is>
          <t>Ache Laboratorios Farmaceuticos Sa</t>
        </is>
      </c>
      <c r="W404" s="6" t="inlineStr">
        <is>
          <t>-</t>
        </is>
      </c>
      <c r="X404" s="6" t="inlineStr">
        <is>
          <t>Hotel Nacional Inn Alagoinhas</t>
        </is>
      </c>
      <c r="Y404" s="6" t="inlineStr">
        <is>
          <t>-</t>
        </is>
      </c>
      <c r="Z404" s="6" t="inlineStr">
        <is>
          <t>KON-OPE-SAO-PVI-ACHE</t>
        </is>
      </c>
      <c r="AA404" s="6" t="inlineStr">
        <is>
          <t>-</t>
        </is>
      </c>
      <c r="AB404" s="6" t="n">
        <v>696.4299999999999</v>
      </c>
      <c r="AC404" s="6" t="n">
        <v>0</v>
      </c>
      <c r="AD404" s="6" t="n">
        <v>0</v>
      </c>
      <c r="AE404" s="6" t="n">
        <v>0</v>
      </c>
      <c r="AF404" s="6" t="n">
        <v>0</v>
      </c>
      <c r="AG404" s="6" t="n">
        <v>34.82</v>
      </c>
      <c r="AH404" s="6" t="n">
        <v>0</v>
      </c>
      <c r="AI404" s="6" t="inlineStr">
        <is>
          <t>Reserva importada do Sistema TMS. OS: 97100</t>
        </is>
      </c>
      <c r="AJ404" s="6" t="inlineStr">
        <is>
          <t>Empenho/departamento não preenchido! (ACC01)</t>
        </is>
      </c>
      <c r="AK404" s="6" t="inlineStr">
        <is>
          <t>ARGO(TMS)</t>
        </is>
      </c>
      <c r="AL404" s="6" t="inlineStr">
        <is>
          <t>Empenho/departamento</t>
        </is>
      </c>
      <c r="AM404" s="6" t="inlineStr">
        <is>
          <t>Falta de informação Gerencial</t>
        </is>
      </c>
      <c r="AN404" s="6" t="inlineStr">
        <is>
          <t>Dados do Fornecedor</t>
        </is>
      </c>
      <c r="AO404" s="6" t="inlineStr">
        <is>
          <t>Qualidade dos dados</t>
        </is>
      </c>
      <c r="AP404" s="6" t="inlineStr">
        <is>
          <t>KONTIK BUSINESS TRAVEL</t>
        </is>
      </c>
      <c r="AQ404" s="6" t="inlineStr">
        <is>
          <t>Operações - CORP</t>
        </is>
      </c>
    </row>
    <row r="405">
      <c r="A405" s="6" t="n">
        <v>23382379</v>
      </c>
      <c r="B405" s="6" t="n">
        <v>24106082</v>
      </c>
      <c r="C405" s="6" t="inlineStr">
        <is>
          <t>ACC01</t>
        </is>
      </c>
      <c r="D405" s="58" t="n">
        <v>45985.94554398148</v>
      </c>
      <c r="E405" s="58" t="n">
        <v>45985.94895833333</v>
      </c>
      <c r="F405" s="6" t="inlineStr">
        <is>
          <t>0 a 02 dias</t>
        </is>
      </c>
      <c r="G405" s="6" t="inlineStr">
        <is>
          <t>0 a 02 dias</t>
        </is>
      </c>
      <c r="H405" s="6" t="inlineStr">
        <is>
          <t>FCTUEE</t>
        </is>
      </c>
      <c r="I405" s="6" t="inlineStr">
        <is>
          <t>TMS</t>
        </is>
      </c>
      <c r="J405" s="6" t="inlineStr">
        <is>
          <t>MANOEL CAVALCANTE</t>
        </is>
      </c>
      <c r="K405" s="6" t="inlineStr">
        <is>
          <t>Tms</t>
        </is>
      </c>
      <c r="L405" s="6" t="inlineStr">
        <is>
          <t>Tms</t>
        </is>
      </c>
      <c r="M405" s="58" t="n">
        <v>45985.84791666667</v>
      </c>
      <c r="N405" s="6" t="n">
        <v>97095</v>
      </c>
      <c r="O405" s="6" t="inlineStr">
        <is>
          <t>-</t>
        </is>
      </c>
      <c r="P405" s="6" t="inlineStr">
        <is>
          <t>ON LINE</t>
        </is>
      </c>
      <c r="Q405" s="6" t="inlineStr">
        <is>
          <t>Cartão de crédito</t>
        </is>
      </c>
      <c r="R405" s="6" t="inlineStr">
        <is>
          <t>Cartão de crédito</t>
        </is>
      </c>
      <c r="S405" s="6" t="inlineStr">
        <is>
          <t>Aéreo</t>
        </is>
      </c>
      <c r="T405" s="6" t="inlineStr">
        <is>
          <t>N</t>
        </is>
      </c>
      <c r="U405" s="6" t="inlineStr">
        <is>
          <t>Grupo Ache</t>
        </is>
      </c>
      <c r="V405" s="6" t="inlineStr">
        <is>
          <t>Ache Laboratorios Farmaceuticos Sa</t>
        </is>
      </c>
      <c r="W405" s="6" t="inlineStr">
        <is>
          <t>-</t>
        </is>
      </c>
      <c r="X405" s="6" t="inlineStr">
        <is>
          <t>Gol Linhas Aereas</t>
        </is>
      </c>
      <c r="Y405" s="6" t="n">
        <v>2150143789</v>
      </c>
      <c r="Z405" s="6" t="inlineStr">
        <is>
          <t>KON-OPE-SAO-PVI-ACHE</t>
        </is>
      </c>
      <c r="AA405" s="6" t="inlineStr">
        <is>
          <t>-</t>
        </is>
      </c>
      <c r="AB405" s="6" t="n">
        <v>1694.08</v>
      </c>
      <c r="AC405" s="6" t="n">
        <v>64.43000000000001</v>
      </c>
      <c r="AD405" s="6" t="n">
        <v>0</v>
      </c>
      <c r="AE405" s="6" t="n">
        <v>0</v>
      </c>
      <c r="AF405" s="6" t="n">
        <v>0</v>
      </c>
      <c r="AG405" s="6" t="n">
        <v>0</v>
      </c>
      <c r="AH405" s="6" t="n">
        <v>0</v>
      </c>
      <c r="AI405" s="6" t="inlineStr">
        <is>
          <t>Reserva importada do Sistema TMS. OS: 97095</t>
        </is>
      </c>
      <c r="AJ405" s="6" t="inlineStr">
        <is>
          <t>Empenho/departamento não preenchido! (ACC01)</t>
        </is>
      </c>
      <c r="AK405" s="6" t="inlineStr">
        <is>
          <t>ARGO(TMS)</t>
        </is>
      </c>
      <c r="AL405" s="6" t="inlineStr">
        <is>
          <t>Empenho/departamento</t>
        </is>
      </c>
      <c r="AM405" s="6" t="inlineStr">
        <is>
          <t>Falta de informação Gerencial</t>
        </is>
      </c>
      <c r="AN405" s="6" t="inlineStr">
        <is>
          <t>Dados do Fornecedor</t>
        </is>
      </c>
      <c r="AO405" s="6" t="inlineStr">
        <is>
          <t>Qualidade dos dados</t>
        </is>
      </c>
      <c r="AP405" s="6" t="inlineStr">
        <is>
          <t>KONTIK BUSINESS TRAVEL</t>
        </is>
      </c>
      <c r="AQ405" s="6" t="inlineStr">
        <is>
          <t>Operações - CORP</t>
        </is>
      </c>
    </row>
    <row r="406">
      <c r="A406" s="6" t="n">
        <v>23382380</v>
      </c>
      <c r="B406" s="6" t="n">
        <v>24106083</v>
      </c>
      <c r="C406" s="6" t="inlineStr">
        <is>
          <t>ACC01</t>
        </is>
      </c>
      <c r="D406" s="58" t="n">
        <v>45985.94556712963</v>
      </c>
      <c r="E406" s="58" t="n">
        <v>45985.94929398148</v>
      </c>
      <c r="F406" s="6" t="inlineStr">
        <is>
          <t>0 a 02 dias</t>
        </is>
      </c>
      <c r="G406" s="6" t="inlineStr">
        <is>
          <t>0 a 02 dias</t>
        </is>
      </c>
      <c r="H406" s="6" t="inlineStr">
        <is>
          <t>5UJ8LX</t>
        </is>
      </c>
      <c r="I406" s="6" t="inlineStr">
        <is>
          <t>TMS</t>
        </is>
      </c>
      <c r="J406" s="6" t="inlineStr">
        <is>
          <t>ANCHELIDA RIBEIRO</t>
        </is>
      </c>
      <c r="K406" s="6" t="inlineStr">
        <is>
          <t>Tms</t>
        </is>
      </c>
      <c r="L406" s="6" t="inlineStr">
        <is>
          <t>Tms</t>
        </is>
      </c>
      <c r="M406" s="58" t="n">
        <v>45985.72777777778</v>
      </c>
      <c r="N406" s="6" t="n">
        <v>97092</v>
      </c>
      <c r="O406" s="6" t="inlineStr">
        <is>
          <t>-</t>
        </is>
      </c>
      <c r="P406" s="6" t="inlineStr">
        <is>
          <t>ON LINE</t>
        </is>
      </c>
      <c r="Q406" s="6" t="inlineStr">
        <is>
          <t>Pagamento direto</t>
        </is>
      </c>
      <c r="R406" s="6" t="inlineStr">
        <is>
          <t>Pagamento direto</t>
        </is>
      </c>
      <c r="S406" s="6" t="inlineStr">
        <is>
          <t>Hotel</t>
        </is>
      </c>
      <c r="T406" s="6" t="inlineStr">
        <is>
          <t>N</t>
        </is>
      </c>
      <c r="U406" s="6" t="inlineStr">
        <is>
          <t>Grupo Ache</t>
        </is>
      </c>
      <c r="V406" s="6" t="inlineStr">
        <is>
          <t>Ache Laboratorios Farmaceuticos Sa</t>
        </is>
      </c>
      <c r="W406" s="6" t="inlineStr">
        <is>
          <t>-</t>
        </is>
      </c>
      <c r="X406" s="6" t="inlineStr">
        <is>
          <t>San Diego Suites Ipatinga</t>
        </is>
      </c>
      <c r="Y406" s="6" t="inlineStr">
        <is>
          <t>-</t>
        </is>
      </c>
      <c r="Z406" s="6" t="inlineStr">
        <is>
          <t>KON-OPE-SAO-PVI-ACHE</t>
        </is>
      </c>
      <c r="AA406" s="6" t="inlineStr">
        <is>
          <t>-</t>
        </is>
      </c>
      <c r="AB406" s="6" t="n">
        <v>638</v>
      </c>
      <c r="AC406" s="6" t="n">
        <v>0</v>
      </c>
      <c r="AD406" s="6" t="n">
        <v>0</v>
      </c>
      <c r="AE406" s="6" t="n">
        <v>0</v>
      </c>
      <c r="AF406" s="6" t="n">
        <v>0</v>
      </c>
      <c r="AG406" s="6" t="n">
        <v>19.14</v>
      </c>
      <c r="AH406" s="6" t="n">
        <v>0</v>
      </c>
      <c r="AI406" s="6" t="inlineStr">
        <is>
          <t>Reserva importada do Sistema TMS. OS: 97092</t>
        </is>
      </c>
      <c r="AJ406" s="6" t="inlineStr">
        <is>
          <t>Empenho/departamento não preenchido! (ACC01)</t>
        </is>
      </c>
      <c r="AK406" s="6" t="inlineStr">
        <is>
          <t>ARGO(TMS)</t>
        </is>
      </c>
      <c r="AL406" s="6" t="inlineStr">
        <is>
          <t>Empenho/departamento</t>
        </is>
      </c>
      <c r="AM406" s="6" t="inlineStr">
        <is>
          <t>Falta de informação Gerencial</t>
        </is>
      </c>
      <c r="AN406" s="6" t="inlineStr">
        <is>
          <t>Dados do Fornecedor</t>
        </is>
      </c>
      <c r="AO406" s="6" t="inlineStr">
        <is>
          <t>Qualidade dos dados</t>
        </is>
      </c>
      <c r="AP406" s="6" t="inlineStr">
        <is>
          <t>KONTIK BUSINESS TRAVEL</t>
        </is>
      </c>
      <c r="AQ406" s="6" t="inlineStr">
        <is>
          <t>Operações - CORP</t>
        </is>
      </c>
    </row>
    <row r="407">
      <c r="A407" s="6" t="n">
        <v>23314260</v>
      </c>
      <c r="B407" s="6" t="n">
        <v>24044397</v>
      </c>
      <c r="C407" s="6" t="inlineStr">
        <is>
          <t>ACC01</t>
        </is>
      </c>
      <c r="D407" s="58" t="n">
        <v>45974.03240740741</v>
      </c>
      <c r="E407" s="58" t="n">
        <v>45974.03547453704</v>
      </c>
      <c r="F407" s="6" t="inlineStr">
        <is>
          <t>09 a 15 dias</t>
        </is>
      </c>
      <c r="G407" s="6" t="inlineStr">
        <is>
          <t>09 a 15 dias</t>
        </is>
      </c>
      <c r="H407" s="6" t="inlineStr">
        <is>
          <t>5T1NBX</t>
        </is>
      </c>
      <c r="I407" s="6" t="inlineStr">
        <is>
          <t>TMS</t>
        </is>
      </c>
      <c r="J407" s="6" t="inlineStr">
        <is>
          <t>SOUZA/ELDER</t>
        </is>
      </c>
      <c r="K407" s="6" t="inlineStr">
        <is>
          <t>Juliana dos Santos Pinto</t>
        </is>
      </c>
      <c r="L407" s="6" t="inlineStr">
        <is>
          <t>Juliana dos Santos Pinto</t>
        </is>
      </c>
      <c r="M407" s="58" t="n">
        <v>45973.79027777778</v>
      </c>
      <c r="N407" s="6" t="n">
        <v>95803</v>
      </c>
      <c r="O407" s="6" t="inlineStr">
        <is>
          <t>-</t>
        </is>
      </c>
      <c r="P407" s="6" t="inlineStr">
        <is>
          <t>OFF LINE</t>
        </is>
      </c>
      <c r="Q407" s="6" t="inlineStr">
        <is>
          <t>Cartão de crédito</t>
        </is>
      </c>
      <c r="R407" s="6" t="inlineStr">
        <is>
          <t>Cartão de crédito</t>
        </is>
      </c>
      <c r="S407" s="6" t="inlineStr">
        <is>
          <t>Aéreo</t>
        </is>
      </c>
      <c r="T407" s="6" t="inlineStr">
        <is>
          <t>N</t>
        </is>
      </c>
      <c r="U407" s="6" t="inlineStr">
        <is>
          <t>Grupo Ache</t>
        </is>
      </c>
      <c r="V407" s="6" t="inlineStr">
        <is>
          <t>Ache Laboratorios Farmaceuticos Sa</t>
        </is>
      </c>
      <c r="W407" s="6" t="inlineStr">
        <is>
          <t>-</t>
        </is>
      </c>
      <c r="X407" s="6" t="inlineStr">
        <is>
          <t>Azul Linhas Aereas</t>
        </is>
      </c>
      <c r="Y407" s="6" t="n">
        <v>3024044397</v>
      </c>
      <c r="Z407" s="6" t="inlineStr">
        <is>
          <t>KON-OPE-SAO-PVI-ACHE</t>
        </is>
      </c>
      <c r="AA407" s="6" t="inlineStr">
        <is>
          <t>-</t>
        </is>
      </c>
      <c r="AB407" s="6" t="n">
        <v>0</v>
      </c>
      <c r="AC407" s="6" t="n">
        <v>200</v>
      </c>
      <c r="AD407" s="6" t="n">
        <v>0</v>
      </c>
      <c r="AE407" s="6" t="n">
        <v>0</v>
      </c>
      <c r="AF407" s="6" t="n">
        <v>0</v>
      </c>
      <c r="AG407" s="6" t="n">
        <v>0</v>
      </c>
      <c r="AH407" s="6" t="n">
        <v>0</v>
      </c>
      <c r="AI407" s="6" t="inlineStr">
        <is>
          <t>Reserva importada do Sistema TMS. OS: 95803</t>
        </is>
      </c>
      <c r="AJ407" s="6" t="inlineStr">
        <is>
          <t>Empenho/departamento não preenchido! (ACC01)</t>
        </is>
      </c>
      <c r="AK407" s="6" t="inlineStr">
        <is>
          <t>ARGO(TMS)</t>
        </is>
      </c>
      <c r="AL407" s="6" t="inlineStr">
        <is>
          <t>Empenho/departamento</t>
        </is>
      </c>
      <c r="AM407" s="6" t="inlineStr">
        <is>
          <t>Falta de informação Gerencial</t>
        </is>
      </c>
      <c r="AN407" s="6" t="inlineStr">
        <is>
          <t>Dados do Fornecedor</t>
        </is>
      </c>
      <c r="AO407" s="6" t="inlineStr">
        <is>
          <t>Qualidade dos dados</t>
        </is>
      </c>
      <c r="AP407" s="6" t="inlineStr">
        <is>
          <t>GRUPO KONTIK</t>
        </is>
      </c>
      <c r="AQ407" s="6" t="inlineStr">
        <is>
          <t>Central de Emissão</t>
        </is>
      </c>
    </row>
    <row r="408">
      <c r="A408" s="6" t="n">
        <v>23380147</v>
      </c>
      <c r="B408" s="6" t="n">
        <v>24103839</v>
      </c>
      <c r="C408" s="6" t="inlineStr">
        <is>
          <t>ACC01</t>
        </is>
      </c>
      <c r="D408" s="58" t="n">
        <v>45985.69342592593</v>
      </c>
      <c r="E408" s="58" t="n">
        <v>45985.70033564815</v>
      </c>
      <c r="F408" s="6" t="inlineStr">
        <is>
          <t>0 a 02 dias</t>
        </is>
      </c>
      <c r="G408" s="6" t="inlineStr">
        <is>
          <t>0 a 02 dias</t>
        </is>
      </c>
      <c r="H408" s="6" t="inlineStr">
        <is>
          <t>UISJJD</t>
        </is>
      </c>
      <c r="I408" s="6" t="inlineStr">
        <is>
          <t>TMS</t>
        </is>
      </c>
      <c r="J408" s="6" t="inlineStr">
        <is>
          <t>MARCOS MARQUES</t>
        </is>
      </c>
      <c r="K408" s="6" t="inlineStr">
        <is>
          <t>Tms</t>
        </is>
      </c>
      <c r="L408" s="6" t="inlineStr">
        <is>
          <t>Tms</t>
        </is>
      </c>
      <c r="M408" s="58" t="n">
        <v>45985.63680555556</v>
      </c>
      <c r="N408" s="6" t="n">
        <v>386</v>
      </c>
      <c r="O408" s="6" t="inlineStr">
        <is>
          <t>-</t>
        </is>
      </c>
      <c r="P408" s="6" t="inlineStr">
        <is>
          <t>ON LINE</t>
        </is>
      </c>
      <c r="Q408" s="6" t="inlineStr">
        <is>
          <t>Cartão de crédito</t>
        </is>
      </c>
      <c r="R408" s="6" t="inlineStr">
        <is>
          <t>Cartão de crédito</t>
        </is>
      </c>
      <c r="S408" s="6" t="inlineStr">
        <is>
          <t>Aéreo</t>
        </is>
      </c>
      <c r="T408" s="6" t="inlineStr">
        <is>
          <t>N</t>
        </is>
      </c>
      <c r="U408" s="6" t="inlineStr">
        <is>
          <t>Grupo Ache</t>
        </is>
      </c>
      <c r="V408" s="6" t="inlineStr">
        <is>
          <t>Ache Patrocinio</t>
        </is>
      </c>
      <c r="W408" s="6" t="inlineStr">
        <is>
          <t>-</t>
        </is>
      </c>
      <c r="X408" s="6" t="inlineStr">
        <is>
          <t>Gol Linhas Aereas</t>
        </is>
      </c>
      <c r="Y408" s="6" t="n">
        <v>2150119285</v>
      </c>
      <c r="Z408" s="6" t="inlineStr">
        <is>
          <t>KON-OPE-SAO-PVI-ACHE</t>
        </is>
      </c>
      <c r="AA408" s="6" t="inlineStr">
        <is>
          <t>-</t>
        </is>
      </c>
      <c r="AB408" s="6" t="n">
        <v>5347.8</v>
      </c>
      <c r="AC408" s="6" t="n">
        <v>90.98999999999999</v>
      </c>
      <c r="AD408" s="6" t="n">
        <v>0</v>
      </c>
      <c r="AE408" s="6" t="n">
        <v>0</v>
      </c>
      <c r="AF408" s="6" t="n">
        <v>0</v>
      </c>
      <c r="AG408" s="6" t="n">
        <v>0</v>
      </c>
      <c r="AH408" s="6" t="n">
        <v>0</v>
      </c>
      <c r="AI408" s="6" t="inlineStr">
        <is>
          <t>Reserva importada do Sistema TMS. OS: 386</t>
        </is>
      </c>
      <c r="AJ408" s="6" t="inlineStr">
        <is>
          <t>Empenho/departamento não preenchido! (ACC01)</t>
        </is>
      </c>
      <c r="AK408" s="6" t="inlineStr">
        <is>
          <t>ARGO(TMS)</t>
        </is>
      </c>
      <c r="AL408" s="6" t="inlineStr">
        <is>
          <t>Empenho/departamento</t>
        </is>
      </c>
      <c r="AM408" s="6" t="inlineStr">
        <is>
          <t>Falta de informação Gerencial</t>
        </is>
      </c>
      <c r="AN408" s="6" t="inlineStr">
        <is>
          <t>Dados do Fornecedor</t>
        </is>
      </c>
      <c r="AO408" s="6" t="inlineStr">
        <is>
          <t>Qualidade dos dados</t>
        </is>
      </c>
      <c r="AP408" s="6" t="inlineStr">
        <is>
          <t>KONTIK BUSINESS TRAVEL</t>
        </is>
      </c>
      <c r="AQ408" s="6" t="inlineStr">
        <is>
          <t>Operações - CORP</t>
        </is>
      </c>
    </row>
    <row r="409">
      <c r="A409" s="6" t="n">
        <v>23380081</v>
      </c>
      <c r="B409" s="6" t="n">
        <v>24103766</v>
      </c>
      <c r="C409" s="6" t="inlineStr">
        <is>
          <t>ACC01</t>
        </is>
      </c>
      <c r="D409" s="58" t="n">
        <v>45985.69210648148</v>
      </c>
      <c r="E409" s="58" t="n">
        <v>45985.69549768518</v>
      </c>
      <c r="F409" s="6" t="inlineStr">
        <is>
          <t>0 a 02 dias</t>
        </is>
      </c>
      <c r="G409" s="6" t="inlineStr">
        <is>
          <t>0 a 02 dias</t>
        </is>
      </c>
      <c r="H409" s="6" t="inlineStr">
        <is>
          <t>NHOZYI</t>
        </is>
      </c>
      <c r="I409" s="6" t="inlineStr">
        <is>
          <t>TMS</t>
        </is>
      </c>
      <c r="J409" s="6" t="inlineStr">
        <is>
          <t>DANIEL PETERSEN</t>
        </is>
      </c>
      <c r="K409" s="6" t="inlineStr">
        <is>
          <t>Tms</t>
        </is>
      </c>
      <c r="L409" s="6" t="inlineStr">
        <is>
          <t>Tms</t>
        </is>
      </c>
      <c r="M409" s="58" t="n">
        <v>45985.65763888889</v>
      </c>
      <c r="N409" s="6" t="n">
        <v>97071</v>
      </c>
      <c r="O409" s="6" t="inlineStr">
        <is>
          <t>-</t>
        </is>
      </c>
      <c r="P409" s="6" t="inlineStr">
        <is>
          <t>ON LINE</t>
        </is>
      </c>
      <c r="Q409" s="6" t="inlineStr">
        <is>
          <t>Cartão de crédito</t>
        </is>
      </c>
      <c r="R409" s="6" t="inlineStr">
        <is>
          <t>Cartão de crédito</t>
        </is>
      </c>
      <c r="S409" s="6" t="inlineStr">
        <is>
          <t>Aéreo</t>
        </is>
      </c>
      <c r="T409" s="6" t="inlineStr">
        <is>
          <t>N</t>
        </is>
      </c>
      <c r="U409" s="6" t="inlineStr">
        <is>
          <t>Grupo Ache</t>
        </is>
      </c>
      <c r="V409" s="6" t="inlineStr">
        <is>
          <t>Ache Laboratorios Farmaceuticos Sa</t>
        </is>
      </c>
      <c r="W409" s="6" t="inlineStr">
        <is>
          <t>-</t>
        </is>
      </c>
      <c r="X409" s="6" t="inlineStr">
        <is>
          <t>Gol Linhas Aereas</t>
        </is>
      </c>
      <c r="Y409" s="6" t="n">
        <v>2150121896</v>
      </c>
      <c r="Z409" s="6" t="inlineStr">
        <is>
          <t>KON-OPE-SAO-PVI-ACHE</t>
        </is>
      </c>
      <c r="AA409" s="6" t="inlineStr">
        <is>
          <t>-</t>
        </is>
      </c>
      <c r="AB409" s="6" t="n">
        <v>1899.3</v>
      </c>
      <c r="AC409" s="6" t="n">
        <v>85.77</v>
      </c>
      <c r="AD409" s="6" t="n">
        <v>0</v>
      </c>
      <c r="AE409" s="6" t="n">
        <v>0</v>
      </c>
      <c r="AF409" s="6" t="n">
        <v>0</v>
      </c>
      <c r="AG409" s="6" t="n">
        <v>0</v>
      </c>
      <c r="AH409" s="6" t="n">
        <v>0</v>
      </c>
      <c r="AI409" s="6" t="inlineStr">
        <is>
          <t>Reserva importada do Sistema TMS. OS: 97071</t>
        </is>
      </c>
      <c r="AJ409" s="6" t="inlineStr">
        <is>
          <t>Empenho/departamento não preenchido! (ACC01)</t>
        </is>
      </c>
      <c r="AK409" s="6" t="inlineStr">
        <is>
          <t>ARGO(TMS)</t>
        </is>
      </c>
      <c r="AL409" s="6" t="inlineStr">
        <is>
          <t>Empenho/departamento</t>
        </is>
      </c>
      <c r="AM409" s="6" t="inlineStr">
        <is>
          <t>Falta de informação Gerencial</t>
        </is>
      </c>
      <c r="AN409" s="6" t="inlineStr">
        <is>
          <t>Dados do Fornecedor</t>
        </is>
      </c>
      <c r="AO409" s="6" t="inlineStr">
        <is>
          <t>Qualidade dos dados</t>
        </is>
      </c>
      <c r="AP409" s="6" t="inlineStr">
        <is>
          <t>KONTIK BUSINESS TRAVEL</t>
        </is>
      </c>
      <c r="AQ409" s="6" t="inlineStr">
        <is>
          <t>Operações - CORP</t>
        </is>
      </c>
    </row>
    <row r="410">
      <c r="A410" s="6" t="n">
        <v>23380082</v>
      </c>
      <c r="B410" s="6" t="n">
        <v>24103767</v>
      </c>
      <c r="C410" s="6" t="inlineStr">
        <is>
          <t>ACC01</t>
        </is>
      </c>
      <c r="D410" s="58" t="n">
        <v>45985.69212962963</v>
      </c>
      <c r="E410" s="58" t="n">
        <v>45985.69629629629</v>
      </c>
      <c r="F410" s="6" t="inlineStr">
        <is>
          <t>0 a 02 dias</t>
        </is>
      </c>
      <c r="G410" s="6" t="inlineStr">
        <is>
          <t>0 a 02 dias</t>
        </is>
      </c>
      <c r="H410" s="6" t="inlineStr">
        <is>
          <t>5U9LWW</t>
        </is>
      </c>
      <c r="I410" s="6" t="inlineStr">
        <is>
          <t>TMS</t>
        </is>
      </c>
      <c r="J410" s="6" t="inlineStr">
        <is>
          <t>CAIO CIPRIANO</t>
        </is>
      </c>
      <c r="K410" s="6" t="inlineStr">
        <is>
          <t>Tms</t>
        </is>
      </c>
      <c r="L410" s="6" t="inlineStr">
        <is>
          <t>Tms</t>
        </is>
      </c>
      <c r="M410" s="58" t="n">
        <v>45985.57569444444</v>
      </c>
      <c r="N410" s="6" t="n">
        <v>97061</v>
      </c>
      <c r="O410" s="6" t="inlineStr">
        <is>
          <t>-</t>
        </is>
      </c>
      <c r="P410" s="6" t="inlineStr">
        <is>
          <t>ON LINE</t>
        </is>
      </c>
      <c r="Q410" s="6" t="inlineStr">
        <is>
          <t>Invoice</t>
        </is>
      </c>
      <c r="R410" s="6" t="inlineStr">
        <is>
          <t>Faturado</t>
        </is>
      </c>
      <c r="S410" s="6" t="inlineStr">
        <is>
          <t>Hotel</t>
        </is>
      </c>
      <c r="T410" s="6" t="inlineStr">
        <is>
          <t>N</t>
        </is>
      </c>
      <c r="U410" s="6" t="inlineStr">
        <is>
          <t>Grupo Ache</t>
        </is>
      </c>
      <c r="V410" s="6" t="inlineStr">
        <is>
          <t>Ache Laboratorios Farmaceuticos Sa</t>
        </is>
      </c>
      <c r="W410" s="6" t="inlineStr">
        <is>
          <t>-</t>
        </is>
      </c>
      <c r="X410" s="6" t="inlineStr">
        <is>
          <t>Novotel Porto Alegre Airport</t>
        </is>
      </c>
      <c r="Y410" s="6" t="inlineStr">
        <is>
          <t>-</t>
        </is>
      </c>
      <c r="Z410" s="6" t="inlineStr">
        <is>
          <t>KON-OPE-SAO-PVI-ACHE</t>
        </is>
      </c>
      <c r="AA410" s="6" t="inlineStr">
        <is>
          <t>-</t>
        </is>
      </c>
      <c r="AB410" s="6" t="n">
        <v>420</v>
      </c>
      <c r="AC410" s="6" t="n">
        <v>0</v>
      </c>
      <c r="AD410" s="6" t="n">
        <v>0</v>
      </c>
      <c r="AE410" s="6" t="n">
        <v>0</v>
      </c>
      <c r="AF410" s="6" t="n">
        <v>0</v>
      </c>
      <c r="AG410" s="6" t="n">
        <v>21</v>
      </c>
      <c r="AH410" s="6" t="n">
        <v>0</v>
      </c>
      <c r="AI410" s="6" t="inlineStr">
        <is>
          <t>Reserva importada do Sistema TMS. OS: 97061</t>
        </is>
      </c>
      <c r="AJ410" s="6" t="inlineStr">
        <is>
          <t>Empenho/departamento não preenchido! (ACC01)</t>
        </is>
      </c>
      <c r="AK410" s="6" t="inlineStr">
        <is>
          <t>ARGO(TMS)</t>
        </is>
      </c>
      <c r="AL410" s="6" t="inlineStr">
        <is>
          <t>Empenho/departamento</t>
        </is>
      </c>
      <c r="AM410" s="6" t="inlineStr">
        <is>
          <t>Falta de informação Gerencial</t>
        </is>
      </c>
      <c r="AN410" s="6" t="inlineStr">
        <is>
          <t>Dados do Fornecedor</t>
        </is>
      </c>
      <c r="AO410" s="6" t="inlineStr">
        <is>
          <t>Qualidade dos dados</t>
        </is>
      </c>
      <c r="AP410" s="6" t="inlineStr">
        <is>
          <t>KONTIK BUSINESS TRAVEL</t>
        </is>
      </c>
      <c r="AQ410" s="6" t="inlineStr">
        <is>
          <t>Operações - CORP</t>
        </is>
      </c>
    </row>
    <row r="411">
      <c r="A411" s="6" t="n">
        <v>23380083</v>
      </c>
      <c r="B411" s="6" t="n">
        <v>24103768</v>
      </c>
      <c r="C411" s="6" t="inlineStr">
        <is>
          <t>ACC01</t>
        </is>
      </c>
      <c r="D411" s="58" t="n">
        <v>45985.69215277778</v>
      </c>
      <c r="E411" s="58" t="n">
        <v>45985.69549768518</v>
      </c>
      <c r="F411" s="6" t="inlineStr">
        <is>
          <t>0 a 02 dias</t>
        </is>
      </c>
      <c r="G411" s="6" t="inlineStr">
        <is>
          <t>0 a 02 dias</t>
        </is>
      </c>
      <c r="H411" s="6" t="inlineStr">
        <is>
          <t>STBJFM</t>
        </is>
      </c>
      <c r="I411" s="6" t="inlineStr">
        <is>
          <t>TMS</t>
        </is>
      </c>
      <c r="J411" s="6" t="inlineStr">
        <is>
          <t>GABRIELA VALENTIN</t>
        </is>
      </c>
      <c r="K411" s="6" t="inlineStr">
        <is>
          <t>Tms</t>
        </is>
      </c>
      <c r="L411" s="6" t="inlineStr">
        <is>
          <t>Tms</t>
        </is>
      </c>
      <c r="M411" s="58" t="n">
        <v>45985.59166666667</v>
      </c>
      <c r="N411" s="6" t="n">
        <v>97057</v>
      </c>
      <c r="O411" s="6" t="inlineStr">
        <is>
          <t>-</t>
        </is>
      </c>
      <c r="P411" s="6" t="inlineStr">
        <is>
          <t>ON LINE</t>
        </is>
      </c>
      <c r="Q411" s="6" t="inlineStr">
        <is>
          <t>Cartão de crédito</t>
        </is>
      </c>
      <c r="R411" s="6" t="inlineStr">
        <is>
          <t>Cartão de crédito</t>
        </is>
      </c>
      <c r="S411" s="6" t="inlineStr">
        <is>
          <t>Aéreo</t>
        </is>
      </c>
      <c r="T411" s="6" t="inlineStr">
        <is>
          <t>N</t>
        </is>
      </c>
      <c r="U411" s="6" t="inlineStr">
        <is>
          <t>Grupo Ache</t>
        </is>
      </c>
      <c r="V411" s="6" t="inlineStr">
        <is>
          <t>Ache Laboratorios Farmaceuticos Sa</t>
        </is>
      </c>
      <c r="W411" s="6" t="inlineStr">
        <is>
          <t>-</t>
        </is>
      </c>
      <c r="X411" s="6" t="inlineStr">
        <is>
          <t>Gol Linhas Aereas</t>
        </is>
      </c>
      <c r="Y411" s="6" t="n">
        <v>2150114981</v>
      </c>
      <c r="Z411" s="6" t="inlineStr">
        <is>
          <t>KON-OPE-SAO-PVI-ACHE</t>
        </is>
      </c>
      <c r="AA411" s="6" t="inlineStr">
        <is>
          <t>-</t>
        </is>
      </c>
      <c r="AB411" s="6" t="n">
        <v>990.02</v>
      </c>
      <c r="AC411" s="6" t="n">
        <v>67.2</v>
      </c>
      <c r="AD411" s="6" t="n">
        <v>0</v>
      </c>
      <c r="AE411" s="6" t="n">
        <v>0</v>
      </c>
      <c r="AF411" s="6" t="n">
        <v>0</v>
      </c>
      <c r="AG411" s="6" t="n">
        <v>0</v>
      </c>
      <c r="AH411" s="6" t="n">
        <v>0</v>
      </c>
      <c r="AI411" s="6" t="inlineStr">
        <is>
          <t>Reserva importada do Sistema TMS. OS: 97057</t>
        </is>
      </c>
      <c r="AJ411" s="6" t="inlineStr">
        <is>
          <t>Empenho/departamento não preenchido! (ACC01)</t>
        </is>
      </c>
      <c r="AK411" s="6" t="inlineStr">
        <is>
          <t>ARGO(TMS)</t>
        </is>
      </c>
      <c r="AL411" s="6" t="inlineStr">
        <is>
          <t>Empenho/departamento</t>
        </is>
      </c>
      <c r="AM411" s="6" t="inlineStr">
        <is>
          <t>Falta de informação Gerencial</t>
        </is>
      </c>
      <c r="AN411" s="6" t="inlineStr">
        <is>
          <t>Dados do Fornecedor</t>
        </is>
      </c>
      <c r="AO411" s="6" t="inlineStr">
        <is>
          <t>Qualidade dos dados</t>
        </is>
      </c>
      <c r="AP411" s="6" t="inlineStr">
        <is>
          <t>KONTIK BUSINESS TRAVEL</t>
        </is>
      </c>
      <c r="AQ411" s="6" t="inlineStr">
        <is>
          <t>Operações - CORP</t>
        </is>
      </c>
    </row>
    <row r="412">
      <c r="A412" s="6" t="n">
        <v>23380095</v>
      </c>
      <c r="B412" s="6" t="n">
        <v>24103780</v>
      </c>
      <c r="C412" s="6" t="inlineStr">
        <is>
          <t>ACC01</t>
        </is>
      </c>
      <c r="D412" s="58" t="n">
        <v>45985.6924074074</v>
      </c>
      <c r="E412" s="58" t="n">
        <v>45985.69663194445</v>
      </c>
      <c r="F412" s="6" t="inlineStr">
        <is>
          <t>0 a 02 dias</t>
        </is>
      </c>
      <c r="G412" s="6" t="inlineStr">
        <is>
          <t>0 a 02 dias</t>
        </is>
      </c>
      <c r="H412" s="6" t="inlineStr">
        <is>
          <t>5UUBEW</t>
        </is>
      </c>
      <c r="I412" s="6" t="inlineStr">
        <is>
          <t>TMS</t>
        </is>
      </c>
      <c r="J412" s="6" t="inlineStr">
        <is>
          <t>POLYANA LIRA</t>
        </is>
      </c>
      <c r="K412" s="6" t="inlineStr">
        <is>
          <t>Tms</t>
        </is>
      </c>
      <c r="L412" s="6" t="inlineStr">
        <is>
          <t>Tms</t>
        </is>
      </c>
      <c r="M412" s="58" t="n">
        <v>45985.66527777778</v>
      </c>
      <c r="N412" s="6" t="n">
        <v>97018</v>
      </c>
      <c r="O412" s="6" t="inlineStr">
        <is>
          <t>-</t>
        </is>
      </c>
      <c r="P412" s="6" t="inlineStr">
        <is>
          <t>ON LINE</t>
        </is>
      </c>
      <c r="Q412" s="6" t="inlineStr">
        <is>
          <t>Pagamento direto</t>
        </is>
      </c>
      <c r="R412" s="6" t="inlineStr">
        <is>
          <t>Pagamento direto</t>
        </is>
      </c>
      <c r="S412" s="6" t="inlineStr">
        <is>
          <t>Hotel</t>
        </is>
      </c>
      <c r="T412" s="6" t="inlineStr">
        <is>
          <t>N</t>
        </is>
      </c>
      <c r="U412" s="6" t="inlineStr">
        <is>
          <t>Grupo Ache</t>
        </is>
      </c>
      <c r="V412" s="6" t="inlineStr">
        <is>
          <t>Ache Laboratorios Farmaceuticos Sa</t>
        </is>
      </c>
      <c r="W412" s="6" t="inlineStr">
        <is>
          <t>-</t>
        </is>
      </c>
      <c r="X412" s="6" t="inlineStr">
        <is>
          <t>Hotel Manaira</t>
        </is>
      </c>
      <c r="Y412" s="6" t="inlineStr">
        <is>
          <t>-</t>
        </is>
      </c>
      <c r="Z412" s="6" t="inlineStr">
        <is>
          <t>KON-OPE-SAO-PVI-ACHE</t>
        </is>
      </c>
      <c r="AA412" s="6" t="inlineStr">
        <is>
          <t>-</t>
        </is>
      </c>
      <c r="AB412" s="6" t="n">
        <v>855</v>
      </c>
      <c r="AC412" s="6" t="n">
        <v>0</v>
      </c>
      <c r="AD412" s="6" t="n">
        <v>0</v>
      </c>
      <c r="AE412" s="6" t="n">
        <v>0</v>
      </c>
      <c r="AF412" s="6" t="n">
        <v>0</v>
      </c>
      <c r="AG412" s="6" t="n">
        <v>0</v>
      </c>
      <c r="AH412" s="6" t="n">
        <v>0</v>
      </c>
      <c r="AI412" s="6" t="inlineStr">
        <is>
          <t>Reserva importada do Sistema TMS. OS: 97018</t>
        </is>
      </c>
      <c r="AJ412" s="6" t="inlineStr">
        <is>
          <t>Empenho/departamento não preenchido! (ACC01)</t>
        </is>
      </c>
      <c r="AK412" s="6" t="inlineStr">
        <is>
          <t>ARGO(TMS)</t>
        </is>
      </c>
      <c r="AL412" s="6" t="inlineStr">
        <is>
          <t>Empenho/departamento</t>
        </is>
      </c>
      <c r="AM412" s="6" t="inlineStr">
        <is>
          <t>Falta de informação Gerencial</t>
        </is>
      </c>
      <c r="AN412" s="6" t="inlineStr">
        <is>
          <t>Dados do Fornecedor</t>
        </is>
      </c>
      <c r="AO412" s="6" t="inlineStr">
        <is>
          <t>Qualidade dos dados</t>
        </is>
      </c>
      <c r="AP412" s="6" t="inlineStr">
        <is>
          <t>KONTIK BUSINESS TRAVEL</t>
        </is>
      </c>
      <c r="AQ412" s="6" t="inlineStr">
        <is>
          <t>Operações - CORP</t>
        </is>
      </c>
    </row>
    <row r="413">
      <c r="A413" s="6" t="n">
        <v>23380099</v>
      </c>
      <c r="B413" s="6" t="n">
        <v>24103784</v>
      </c>
      <c r="C413" s="6" t="inlineStr">
        <is>
          <t>ACC01</t>
        </is>
      </c>
      <c r="D413" s="58" t="n">
        <v>45985.6925</v>
      </c>
      <c r="E413" s="58" t="n">
        <v>45985.698125</v>
      </c>
      <c r="F413" s="6" t="inlineStr">
        <is>
          <t>0 a 02 dias</t>
        </is>
      </c>
      <c r="G413" s="6" t="inlineStr">
        <is>
          <t>0 a 02 dias</t>
        </is>
      </c>
      <c r="H413" s="6" t="inlineStr">
        <is>
          <t>5U1ADX</t>
        </is>
      </c>
      <c r="I413" s="6" t="inlineStr">
        <is>
          <t>TMS</t>
        </is>
      </c>
      <c r="J413" s="6" t="inlineStr">
        <is>
          <t>DANIEL PETERSEN</t>
        </is>
      </c>
      <c r="K413" s="6" t="inlineStr">
        <is>
          <t>Tms</t>
        </is>
      </c>
      <c r="L413" s="6" t="inlineStr">
        <is>
          <t>Tms</t>
        </is>
      </c>
      <c r="M413" s="58" t="n">
        <v>45985.65763888889</v>
      </c>
      <c r="N413" s="6" t="n">
        <v>96963</v>
      </c>
      <c r="O413" s="6" t="inlineStr">
        <is>
          <t>-</t>
        </is>
      </c>
      <c r="P413" s="6" t="inlineStr">
        <is>
          <t>ON LINE</t>
        </is>
      </c>
      <c r="Q413" s="6" t="inlineStr">
        <is>
          <t>Pagamento direto</t>
        </is>
      </c>
      <c r="R413" s="6" t="inlineStr">
        <is>
          <t>Pagamento direto</t>
        </is>
      </c>
      <c r="S413" s="6" t="inlineStr">
        <is>
          <t>Hotel</t>
        </is>
      </c>
      <c r="T413" s="6" t="inlineStr">
        <is>
          <t>N</t>
        </is>
      </c>
      <c r="U413" s="6" t="inlineStr">
        <is>
          <t>Grupo Ache</t>
        </is>
      </c>
      <c r="V413" s="6" t="inlineStr">
        <is>
          <t>Ache Laboratorios Farmaceuticos Sa</t>
        </is>
      </c>
      <c r="W413" s="6" t="inlineStr">
        <is>
          <t>-</t>
        </is>
      </c>
      <c r="X413" s="6" t="inlineStr">
        <is>
          <t>Hotel Ibis</t>
        </is>
      </c>
      <c r="Y413" s="6" t="inlineStr">
        <is>
          <t>-</t>
        </is>
      </c>
      <c r="Z413" s="6" t="inlineStr">
        <is>
          <t>KON-OPE-SAO-PVI-ACHE</t>
        </is>
      </c>
      <c r="AA413" s="6" t="inlineStr">
        <is>
          <t>-</t>
        </is>
      </c>
      <c r="AB413" s="6" t="n">
        <v>454</v>
      </c>
      <c r="AC413" s="6" t="n">
        <v>0</v>
      </c>
      <c r="AD413" s="6" t="n">
        <v>0</v>
      </c>
      <c r="AE413" s="6" t="n">
        <v>0</v>
      </c>
      <c r="AF413" s="6" t="n">
        <v>0</v>
      </c>
      <c r="AG413" s="6" t="n">
        <v>22.7</v>
      </c>
      <c r="AH413" s="6" t="n">
        <v>0</v>
      </c>
      <c r="AI413" s="6" t="inlineStr">
        <is>
          <t>Reserva importada do Sistema TMS. OS: 96963</t>
        </is>
      </c>
      <c r="AJ413" s="6" t="inlineStr">
        <is>
          <t>Empenho/departamento não preenchido! (ACC01)</t>
        </is>
      </c>
      <c r="AK413" s="6" t="inlineStr">
        <is>
          <t>ARGO(TMS)</t>
        </is>
      </c>
      <c r="AL413" s="6" t="inlineStr">
        <is>
          <t>Empenho/departamento</t>
        </is>
      </c>
      <c r="AM413" s="6" t="inlineStr">
        <is>
          <t>Falta de informação Gerencial</t>
        </is>
      </c>
      <c r="AN413" s="6" t="inlineStr">
        <is>
          <t>Dados do Fornecedor</t>
        </is>
      </c>
      <c r="AO413" s="6" t="inlineStr">
        <is>
          <t>Qualidade dos dados</t>
        </is>
      </c>
      <c r="AP413" s="6" t="inlineStr">
        <is>
          <t>KONTIK BUSINESS TRAVEL</t>
        </is>
      </c>
      <c r="AQ413" s="6" t="inlineStr">
        <is>
          <t>Operações - CORP</t>
        </is>
      </c>
    </row>
    <row r="414">
      <c r="A414" s="6" t="n">
        <v>23380106</v>
      </c>
      <c r="B414" s="6" t="n">
        <v>24103791</v>
      </c>
      <c r="C414" s="6" t="inlineStr">
        <is>
          <t>ACC01</t>
        </is>
      </c>
      <c r="D414" s="58" t="n">
        <v>45985.69263888889</v>
      </c>
      <c r="E414" s="58" t="n">
        <v>45985.69849537037</v>
      </c>
      <c r="F414" s="6" t="inlineStr">
        <is>
          <t>0 a 02 dias</t>
        </is>
      </c>
      <c r="G414" s="6" t="inlineStr">
        <is>
          <t>0 a 02 dias</t>
        </is>
      </c>
      <c r="H414" s="6" t="inlineStr">
        <is>
          <t>5UIZCW</t>
        </is>
      </c>
      <c r="I414" s="6" t="inlineStr">
        <is>
          <t>TMS</t>
        </is>
      </c>
      <c r="J414" s="6" t="inlineStr">
        <is>
          <t>MARCIO CARDOSO</t>
        </is>
      </c>
      <c r="K414" s="6" t="inlineStr">
        <is>
          <t>Tms</t>
        </is>
      </c>
      <c r="L414" s="6" t="inlineStr">
        <is>
          <t>Tms</t>
        </is>
      </c>
      <c r="M414" s="58" t="n">
        <v>45985.65486111111</v>
      </c>
      <c r="N414" s="6" t="n">
        <v>96928</v>
      </c>
      <c r="O414" s="6" t="inlineStr">
        <is>
          <t>-</t>
        </is>
      </c>
      <c r="P414" s="6" t="inlineStr">
        <is>
          <t>ON LINE</t>
        </is>
      </c>
      <c r="Q414" s="6" t="inlineStr">
        <is>
          <t>Pagamento direto</t>
        </is>
      </c>
      <c r="R414" s="6" t="inlineStr">
        <is>
          <t>Pagamento direto</t>
        </is>
      </c>
      <c r="S414" s="6" t="inlineStr">
        <is>
          <t>Hotel</t>
        </is>
      </c>
      <c r="T414" s="6" t="inlineStr">
        <is>
          <t>N</t>
        </is>
      </c>
      <c r="U414" s="6" t="inlineStr">
        <is>
          <t>Grupo Ache</t>
        </is>
      </c>
      <c r="V414" s="6" t="inlineStr">
        <is>
          <t>Ache Laboratorios Farmaceuticos Sa</t>
        </is>
      </c>
      <c r="W414" s="6" t="inlineStr">
        <is>
          <t>-</t>
        </is>
      </c>
      <c r="X414" s="6" t="inlineStr">
        <is>
          <t>Hotel Ibis</t>
        </is>
      </c>
      <c r="Y414" s="6" t="inlineStr">
        <is>
          <t>-</t>
        </is>
      </c>
      <c r="Z414" s="6" t="inlineStr">
        <is>
          <t>KON-OPE-SAO-PVI-ACHE</t>
        </is>
      </c>
      <c r="AA414" s="6" t="inlineStr">
        <is>
          <t>-</t>
        </is>
      </c>
      <c r="AB414" s="6" t="n">
        <v>507</v>
      </c>
      <c r="AC414" s="6" t="n">
        <v>0</v>
      </c>
      <c r="AD414" s="6" t="n">
        <v>0</v>
      </c>
      <c r="AE414" s="6" t="n">
        <v>0</v>
      </c>
      <c r="AF414" s="6" t="n">
        <v>0</v>
      </c>
      <c r="AG414" s="6" t="n">
        <v>25.35</v>
      </c>
      <c r="AH414" s="6" t="n">
        <v>0</v>
      </c>
      <c r="AI414" s="6" t="inlineStr">
        <is>
          <t>Reserva importada do Sistema TMS. OS: 96928</t>
        </is>
      </c>
      <c r="AJ414" s="6" t="inlineStr">
        <is>
          <t>Empenho/departamento não preenchido! (ACC01)</t>
        </is>
      </c>
      <c r="AK414" s="6" t="inlineStr">
        <is>
          <t>ARGO(TMS)</t>
        </is>
      </c>
      <c r="AL414" s="6" t="inlineStr">
        <is>
          <t>Empenho/departamento</t>
        </is>
      </c>
      <c r="AM414" s="6" t="inlineStr">
        <is>
          <t>Falta de informação Gerencial</t>
        </is>
      </c>
      <c r="AN414" s="6" t="inlineStr">
        <is>
          <t>Dados do Fornecedor</t>
        </is>
      </c>
      <c r="AO414" s="6" t="inlineStr">
        <is>
          <t>Qualidade dos dados</t>
        </is>
      </c>
      <c r="AP414" s="6" t="inlineStr">
        <is>
          <t>KONTIK BUSINESS TRAVEL</t>
        </is>
      </c>
      <c r="AQ414" s="6" t="inlineStr">
        <is>
          <t>Operações - CORP</t>
        </is>
      </c>
    </row>
    <row r="415">
      <c r="A415" s="6" t="n">
        <v>23382391</v>
      </c>
      <c r="B415" s="6" t="n">
        <v>24106094</v>
      </c>
      <c r="C415" s="6" t="inlineStr">
        <is>
          <t>ACC01</t>
        </is>
      </c>
      <c r="D415" s="58" t="n">
        <v>45985.94579861111</v>
      </c>
      <c r="E415" s="58" t="n">
        <v>45985.94898148148</v>
      </c>
      <c r="F415" s="6" t="inlineStr">
        <is>
          <t>0 a 02 dias</t>
        </is>
      </c>
      <c r="G415" s="6" t="inlineStr">
        <is>
          <t>0 a 02 dias</t>
        </is>
      </c>
      <c r="H415" s="6" t="inlineStr">
        <is>
          <t>CAKEZK</t>
        </is>
      </c>
      <c r="I415" s="6" t="inlineStr">
        <is>
          <t>TMS</t>
        </is>
      </c>
      <c r="J415" s="6" t="inlineStr">
        <is>
          <t>FILIPE RINO</t>
        </is>
      </c>
      <c r="K415" s="6" t="inlineStr">
        <is>
          <t>Juliana dos Santos Pinto</t>
        </is>
      </c>
      <c r="L415" s="6" t="inlineStr">
        <is>
          <t>Tms</t>
        </is>
      </c>
      <c r="M415" s="58" t="n">
        <v>45985.77083333334</v>
      </c>
      <c r="N415" s="6" t="n">
        <v>97043</v>
      </c>
      <c r="O415" s="6" t="inlineStr">
        <is>
          <t>-</t>
        </is>
      </c>
      <c r="P415" s="6" t="inlineStr">
        <is>
          <t>ON LINE</t>
        </is>
      </c>
      <c r="Q415" s="6" t="inlineStr">
        <is>
          <t>Cartão de crédito</t>
        </is>
      </c>
      <c r="R415" s="6" t="inlineStr">
        <is>
          <t>Cartão de crédito</t>
        </is>
      </c>
      <c r="S415" s="6" t="inlineStr">
        <is>
          <t>Aéreo</t>
        </is>
      </c>
      <c r="T415" s="6" t="inlineStr">
        <is>
          <t>N</t>
        </is>
      </c>
      <c r="U415" s="6" t="inlineStr">
        <is>
          <t>Grupo Ache</t>
        </is>
      </c>
      <c r="V415" s="6" t="inlineStr">
        <is>
          <t>Ache Laboratorios Farmaceuticos Sa</t>
        </is>
      </c>
      <c r="W415" s="6" t="inlineStr">
        <is>
          <t>-</t>
        </is>
      </c>
      <c r="X415" s="6" t="inlineStr">
        <is>
          <t>Latam Airlines Brasil</t>
        </is>
      </c>
      <c r="Y415" s="6" t="n">
        <v>2261128935</v>
      </c>
      <c r="Z415" s="6" t="inlineStr">
        <is>
          <t>KON-OPE-SAO-PVI-ACHE</t>
        </is>
      </c>
      <c r="AA415" s="6" t="inlineStr">
        <is>
          <t>-</t>
        </is>
      </c>
      <c r="AB415" s="6" t="n">
        <v>1849.58</v>
      </c>
      <c r="AC415" s="6" t="n">
        <v>92.53</v>
      </c>
      <c r="AD415" s="6" t="n">
        <v>0</v>
      </c>
      <c r="AE415" s="6" t="n">
        <v>0</v>
      </c>
      <c r="AF415" s="6" t="n">
        <v>0</v>
      </c>
      <c r="AG415" s="6" t="n">
        <v>0</v>
      </c>
      <c r="AH415" s="6" t="n">
        <v>0</v>
      </c>
      <c r="AI415" s="6" t="inlineStr">
        <is>
          <t>Reserva importada do Sistema TMS. OS: 97043</t>
        </is>
      </c>
      <c r="AJ415" s="6" t="inlineStr">
        <is>
          <t>Empenho/departamento não preenchido! (ACC01)</t>
        </is>
      </c>
      <c r="AK415" s="6" t="inlineStr">
        <is>
          <t>ARGO(TMS)</t>
        </is>
      </c>
      <c r="AL415" s="6" t="inlineStr">
        <is>
          <t>Empenho/departamento</t>
        </is>
      </c>
      <c r="AM415" s="6" t="inlineStr">
        <is>
          <t>Falta de informação Gerencial</t>
        </is>
      </c>
      <c r="AN415" s="6" t="inlineStr">
        <is>
          <t>Dados do Fornecedor</t>
        </is>
      </c>
      <c r="AO415" s="6" t="inlineStr">
        <is>
          <t>Qualidade dos dados</t>
        </is>
      </c>
      <c r="AP415" s="6" t="inlineStr">
        <is>
          <t>GRUPO KONTIK</t>
        </is>
      </c>
      <c r="AQ415" s="6" t="inlineStr">
        <is>
          <t>Central de Emissão</t>
        </is>
      </c>
    </row>
    <row r="416">
      <c r="A416" s="6" t="n">
        <v>23382388</v>
      </c>
      <c r="B416" s="6" t="n">
        <v>24106091</v>
      </c>
      <c r="C416" s="6" t="inlineStr">
        <is>
          <t>ACC01</t>
        </is>
      </c>
      <c r="D416" s="58" t="n">
        <v>45985.94574074074</v>
      </c>
      <c r="E416" s="58" t="n">
        <v>45985.94898148148</v>
      </c>
      <c r="F416" s="6" t="inlineStr">
        <is>
          <t>0 a 02 dias</t>
        </is>
      </c>
      <c r="G416" s="6" t="inlineStr">
        <is>
          <t>0 a 02 dias</t>
        </is>
      </c>
      <c r="H416" s="6" t="inlineStr">
        <is>
          <t>OPCJWI</t>
        </is>
      </c>
      <c r="I416" s="6" t="inlineStr">
        <is>
          <t>TMS</t>
        </is>
      </c>
      <c r="J416" s="6" t="inlineStr">
        <is>
          <t>RAFAEL RUCIGNOLLI</t>
        </is>
      </c>
      <c r="K416" s="6" t="inlineStr">
        <is>
          <t>Ariane de Sousa Farias</t>
        </is>
      </c>
      <c r="L416" s="6" t="inlineStr">
        <is>
          <t>Tms</t>
        </is>
      </c>
      <c r="M416" s="58" t="n">
        <v>45985.78541666667</v>
      </c>
      <c r="N416" s="6" t="n">
        <v>97080</v>
      </c>
      <c r="O416" s="6" t="inlineStr">
        <is>
          <t>-</t>
        </is>
      </c>
      <c r="P416" s="6" t="inlineStr">
        <is>
          <t>ON LINE</t>
        </is>
      </c>
      <c r="Q416" s="6" t="inlineStr">
        <is>
          <t>Cartão de crédito</t>
        </is>
      </c>
      <c r="R416" s="6" t="inlineStr">
        <is>
          <t>Cartão de crédito</t>
        </is>
      </c>
      <c r="S416" s="6" t="inlineStr">
        <is>
          <t>Aéreo</t>
        </is>
      </c>
      <c r="T416" s="6" t="inlineStr">
        <is>
          <t>N</t>
        </is>
      </c>
      <c r="U416" s="6" t="inlineStr">
        <is>
          <t>Grupo Ache</t>
        </is>
      </c>
      <c r="V416" s="6" t="inlineStr">
        <is>
          <t>Ache Laboratorios Farmaceuticos Sa</t>
        </is>
      </c>
      <c r="W416" s="6" t="inlineStr">
        <is>
          <t>-</t>
        </is>
      </c>
      <c r="X416" s="6" t="inlineStr">
        <is>
          <t>Latam Airlines Brasil</t>
        </is>
      </c>
      <c r="Y416" s="6" t="n">
        <v>2261132862</v>
      </c>
      <c r="Z416" s="6" t="inlineStr">
        <is>
          <t>KON-OPE-SAO-PVI-ACHE</t>
        </is>
      </c>
      <c r="AA416" s="6" t="inlineStr">
        <is>
          <t>-</t>
        </is>
      </c>
      <c r="AB416" s="6" t="n">
        <v>1159.66</v>
      </c>
      <c r="AC416" s="6" t="n">
        <v>108.92</v>
      </c>
      <c r="AD416" s="6" t="n">
        <v>0</v>
      </c>
      <c r="AE416" s="6" t="n">
        <v>0</v>
      </c>
      <c r="AF416" s="6" t="n">
        <v>0</v>
      </c>
      <c r="AG416" s="6" t="n">
        <v>0</v>
      </c>
      <c r="AH416" s="6" t="n">
        <v>0</v>
      </c>
      <c r="AI416" s="6" t="inlineStr">
        <is>
          <t>Reserva importada do Sistema TMS. OS: 97080</t>
        </is>
      </c>
      <c r="AJ416" s="6" t="inlineStr">
        <is>
          <t>Empenho/departamento não preenchido! (ACC01)</t>
        </is>
      </c>
      <c r="AK416" s="6" t="inlineStr">
        <is>
          <t>ARGO(TMS)</t>
        </is>
      </c>
      <c r="AL416" s="6" t="inlineStr">
        <is>
          <t>Empenho/departamento</t>
        </is>
      </c>
      <c r="AM416" s="6" t="inlineStr">
        <is>
          <t>Falta de informação Gerencial</t>
        </is>
      </c>
      <c r="AN416" s="6" t="inlineStr">
        <is>
          <t>Dados do Fornecedor</t>
        </is>
      </c>
      <c r="AO416" s="6" t="inlineStr">
        <is>
          <t>Qualidade dos dados</t>
        </is>
      </c>
      <c r="AP416" s="6" t="inlineStr">
        <is>
          <t>KONTIK BUSINESS TRAVEL</t>
        </is>
      </c>
      <c r="AQ416" s="6" t="inlineStr">
        <is>
          <t>Operações - CORP</t>
        </is>
      </c>
    </row>
    <row r="417">
      <c r="A417" s="6" t="n">
        <v>23382385</v>
      </c>
      <c r="B417" s="6" t="n">
        <v>24106088</v>
      </c>
      <c r="C417" s="6" t="inlineStr">
        <is>
          <t>ACC01</t>
        </is>
      </c>
      <c r="D417" s="58" t="n">
        <v>45985.94568287037</v>
      </c>
      <c r="E417" s="58" t="n">
        <v>45985.9489699074</v>
      </c>
      <c r="F417" s="6" t="inlineStr">
        <is>
          <t>0 a 02 dias</t>
        </is>
      </c>
      <c r="G417" s="6" t="inlineStr">
        <is>
          <t>0 a 02 dias</t>
        </is>
      </c>
      <c r="H417" s="6" t="inlineStr">
        <is>
          <t>ORHIGY</t>
        </is>
      </c>
      <c r="I417" s="6" t="inlineStr">
        <is>
          <t>TMS</t>
        </is>
      </c>
      <c r="J417" s="6" t="inlineStr">
        <is>
          <t>WALDIRENE ALMEIDA</t>
        </is>
      </c>
      <c r="K417" s="6" t="inlineStr">
        <is>
          <t>Mauricio Almeida de Lima</t>
        </is>
      </c>
      <c r="L417" s="6" t="inlineStr">
        <is>
          <t>Tms</t>
        </is>
      </c>
      <c r="M417" s="58" t="n">
        <v>45985.78472222222</v>
      </c>
      <c r="N417" s="6" t="n">
        <v>97084</v>
      </c>
      <c r="O417" s="6" t="inlineStr">
        <is>
          <t>-</t>
        </is>
      </c>
      <c r="P417" s="6" t="inlineStr">
        <is>
          <t>ON LINE</t>
        </is>
      </c>
      <c r="Q417" s="6" t="inlineStr">
        <is>
          <t>Cartão de crédito</t>
        </is>
      </c>
      <c r="R417" s="6" t="inlineStr">
        <is>
          <t>Cartão de crédito</t>
        </is>
      </c>
      <c r="S417" s="6" t="inlineStr">
        <is>
          <t>Aéreo</t>
        </is>
      </c>
      <c r="T417" s="6" t="inlineStr">
        <is>
          <t>N</t>
        </is>
      </c>
      <c r="U417" s="6" t="inlineStr">
        <is>
          <t>Grupo Ache</t>
        </is>
      </c>
      <c r="V417" s="6" t="inlineStr">
        <is>
          <t>Ache Laboratorios Farmaceuticos Sa</t>
        </is>
      </c>
      <c r="W417" s="6" t="inlineStr">
        <is>
          <t>-</t>
        </is>
      </c>
      <c r="X417" s="6" t="inlineStr">
        <is>
          <t>Latam Airlines Brasil</t>
        </is>
      </c>
      <c r="Y417" s="6" t="n">
        <v>2261133039</v>
      </c>
      <c r="Z417" s="6" t="inlineStr">
        <is>
          <t>KON-OPE-SAO-PVI-ACHE</t>
        </is>
      </c>
      <c r="AA417" s="6" t="inlineStr">
        <is>
          <t>-</t>
        </is>
      </c>
      <c r="AB417" s="6" t="n">
        <v>1159.66</v>
      </c>
      <c r="AC417" s="6" t="n">
        <v>108.92</v>
      </c>
      <c r="AD417" s="6" t="n">
        <v>0</v>
      </c>
      <c r="AE417" s="6" t="n">
        <v>0</v>
      </c>
      <c r="AF417" s="6" t="n">
        <v>0</v>
      </c>
      <c r="AG417" s="6" t="n">
        <v>0</v>
      </c>
      <c r="AH417" s="6" t="n">
        <v>0</v>
      </c>
      <c r="AI417" s="6" t="inlineStr">
        <is>
          <t>Reserva importada do Sistema TMS. OS: 97084</t>
        </is>
      </c>
      <c r="AJ417" s="6" t="inlineStr">
        <is>
          <t>Empenho/departamento não preenchido! (ACC01)</t>
        </is>
      </c>
      <c r="AK417" s="6" t="inlineStr">
        <is>
          <t>ARGO(TMS)</t>
        </is>
      </c>
      <c r="AL417" s="6" t="inlineStr">
        <is>
          <t>Empenho/departamento</t>
        </is>
      </c>
      <c r="AM417" s="6" t="inlineStr">
        <is>
          <t>Falta de informação Gerencial</t>
        </is>
      </c>
      <c r="AN417" s="6" t="inlineStr">
        <is>
          <t>Dados do Fornecedor</t>
        </is>
      </c>
      <c r="AO417" s="6" t="inlineStr">
        <is>
          <t>Qualidade dos dados</t>
        </is>
      </c>
      <c r="AP417" s="6" t="inlineStr">
        <is>
          <t>KONTIK BUSINESS TRAVEL</t>
        </is>
      </c>
      <c r="AQ417" s="6" t="inlineStr">
        <is>
          <t>Operações - CORP</t>
        </is>
      </c>
    </row>
    <row r="418">
      <c r="A418" s="6" t="n">
        <v>23380093</v>
      </c>
      <c r="B418" s="6" t="n">
        <v>24103778</v>
      </c>
      <c r="C418" s="6" t="inlineStr">
        <is>
          <t>ACC01</t>
        </is>
      </c>
      <c r="D418" s="58" t="n">
        <v>45985.69238425926</v>
      </c>
      <c r="E418" s="58" t="n">
        <v>45985.69663194445</v>
      </c>
      <c r="F418" s="6" t="inlineStr">
        <is>
          <t>0 a 02 dias</t>
        </is>
      </c>
      <c r="G418" s="6" t="inlineStr">
        <is>
          <t>0 a 02 dias</t>
        </is>
      </c>
      <c r="H418" s="6" t="inlineStr">
        <is>
          <t>5UHP3X</t>
        </is>
      </c>
      <c r="I418" s="6" t="inlineStr">
        <is>
          <t>TMS</t>
        </is>
      </c>
      <c r="J418" s="6" t="inlineStr">
        <is>
          <t>ANA DIAS</t>
        </is>
      </c>
      <c r="K418" s="6" t="inlineStr">
        <is>
          <t>Ana Clara Saturnino Lima</t>
        </is>
      </c>
      <c r="L418" s="6" t="inlineStr">
        <is>
          <t>Ana Clara Saturnino Lima</t>
        </is>
      </c>
      <c r="M418" s="58" t="n">
        <v>45985.58055555556</v>
      </c>
      <c r="N418" s="6" t="n">
        <v>97025</v>
      </c>
      <c r="O418" s="6" t="inlineStr">
        <is>
          <t>-</t>
        </is>
      </c>
      <c r="P418" s="6" t="inlineStr">
        <is>
          <t>OFF LINE</t>
        </is>
      </c>
      <c r="Q418" s="6" t="inlineStr">
        <is>
          <t>Pagamento direto</t>
        </is>
      </c>
      <c r="R418" s="6" t="inlineStr">
        <is>
          <t>Pagamento direto</t>
        </is>
      </c>
      <c r="S418" s="6" t="inlineStr">
        <is>
          <t>Hotel</t>
        </is>
      </c>
      <c r="T418" s="6" t="inlineStr">
        <is>
          <t>N</t>
        </is>
      </c>
      <c r="U418" s="6" t="inlineStr">
        <is>
          <t>Grupo Ache</t>
        </is>
      </c>
      <c r="V418" s="6" t="inlineStr">
        <is>
          <t>Ache Laboratorios Farmaceuticos Sa</t>
        </is>
      </c>
      <c r="W418" s="6" t="inlineStr">
        <is>
          <t>-</t>
        </is>
      </c>
      <c r="X418" s="6" t="inlineStr">
        <is>
          <t>Hotel Il Nuraghe</t>
        </is>
      </c>
      <c r="Y418" s="6" t="inlineStr">
        <is>
          <t>-</t>
        </is>
      </c>
      <c r="Z418" s="6" t="inlineStr">
        <is>
          <t>KON-OPE-SAO-PVI-ACHE</t>
        </is>
      </c>
      <c r="AA418" s="6" t="inlineStr">
        <is>
          <t>-</t>
        </is>
      </c>
      <c r="AB418" s="6" t="n">
        <v>335</v>
      </c>
      <c r="AC418" s="6" t="n">
        <v>0</v>
      </c>
      <c r="AD418" s="6" t="n">
        <v>0</v>
      </c>
      <c r="AE418" s="6" t="n">
        <v>0</v>
      </c>
      <c r="AF418" s="6" t="n">
        <v>0</v>
      </c>
      <c r="AG418" s="6" t="n">
        <v>0</v>
      </c>
      <c r="AH418" s="6" t="n">
        <v>0</v>
      </c>
      <c r="AI418" s="6" t="inlineStr">
        <is>
          <t>Reserva importada do Sistema TMS. OS: 97025</t>
        </is>
      </c>
      <c r="AJ418" s="6" t="inlineStr">
        <is>
          <t>Empenho/departamento não preenchido! (ACC01)</t>
        </is>
      </c>
      <c r="AK418" s="6" t="inlineStr">
        <is>
          <t>ARGO(TMS)</t>
        </is>
      </c>
      <c r="AL418" s="6" t="inlineStr">
        <is>
          <t>Empenho/departamento</t>
        </is>
      </c>
      <c r="AM418" s="6" t="inlineStr">
        <is>
          <t>Falta de informação Gerencial</t>
        </is>
      </c>
      <c r="AN418" s="6" t="inlineStr">
        <is>
          <t>Dados do Fornecedor</t>
        </is>
      </c>
      <c r="AO418" s="6" t="inlineStr">
        <is>
          <t>Qualidade dos dados</t>
        </is>
      </c>
      <c r="AP418" s="6" t="inlineStr">
        <is>
          <t>KONTIK BUSINESS TRAVEL</t>
        </is>
      </c>
      <c r="AQ418" s="6" t="inlineStr">
        <is>
          <t>Operações - CORP</t>
        </is>
      </c>
    </row>
    <row r="419">
      <c r="A419" s="6" t="n">
        <v>23380104</v>
      </c>
      <c r="B419" s="6" t="n">
        <v>24103789</v>
      </c>
      <c r="C419" s="6" t="inlineStr">
        <is>
          <t>ACC01</t>
        </is>
      </c>
      <c r="D419" s="58" t="n">
        <v>45985.69261574074</v>
      </c>
      <c r="E419" s="58" t="n">
        <v>45985.69833333333</v>
      </c>
      <c r="F419" s="6" t="inlineStr">
        <is>
          <t>0 a 02 dias</t>
        </is>
      </c>
      <c r="G419" s="6" t="inlineStr">
        <is>
          <t>0 a 02 dias</t>
        </is>
      </c>
      <c r="H419" s="6" t="inlineStr">
        <is>
          <t>5U7AC2</t>
        </is>
      </c>
      <c r="I419" s="6" t="inlineStr">
        <is>
          <t>TMS</t>
        </is>
      </c>
      <c r="J419" s="6" t="inlineStr">
        <is>
          <t>THAISE FARIA</t>
        </is>
      </c>
      <c r="K419" s="6" t="inlineStr">
        <is>
          <t>Ana Clara Saturnino Lima</t>
        </is>
      </c>
      <c r="L419" s="6" t="inlineStr">
        <is>
          <t>Ana Clara Saturnino Lima</t>
        </is>
      </c>
      <c r="M419" s="58" t="n">
        <v>45985.55069444444</v>
      </c>
      <c r="N419" s="6" t="n">
        <v>96931</v>
      </c>
      <c r="O419" s="6" t="inlineStr">
        <is>
          <t>-</t>
        </is>
      </c>
      <c r="P419" s="6" t="inlineStr">
        <is>
          <t>OFF LINE</t>
        </is>
      </c>
      <c r="Q419" s="6" t="inlineStr">
        <is>
          <t>Pagamento direto</t>
        </is>
      </c>
      <c r="R419" s="6" t="inlineStr">
        <is>
          <t>Pagamento direto</t>
        </is>
      </c>
      <c r="S419" s="6" t="inlineStr">
        <is>
          <t>Hotel</t>
        </is>
      </c>
      <c r="T419" s="6" t="inlineStr">
        <is>
          <t>N</t>
        </is>
      </c>
      <c r="U419" s="6" t="inlineStr">
        <is>
          <t>Grupo Ache</t>
        </is>
      </c>
      <c r="V419" s="6" t="inlineStr">
        <is>
          <t>Ache Laboratorios Farmaceuticos Sa</t>
        </is>
      </c>
      <c r="W419" s="6" t="inlineStr">
        <is>
          <t>-</t>
        </is>
      </c>
      <c r="X419" s="6" t="inlineStr">
        <is>
          <t>Hertz Center Hotel</t>
        </is>
      </c>
      <c r="Y419" s="6" t="inlineStr">
        <is>
          <t>-</t>
        </is>
      </c>
      <c r="Z419" s="6" t="inlineStr">
        <is>
          <t>KON-OPE-SAO-PVI-ACHE</t>
        </is>
      </c>
      <c r="AA419" s="6" t="inlineStr">
        <is>
          <t>-</t>
        </is>
      </c>
      <c r="AB419" s="6" t="n">
        <v>450</v>
      </c>
      <c r="AC419" s="6" t="n">
        <v>0</v>
      </c>
      <c r="AD419" s="6" t="n">
        <v>0</v>
      </c>
      <c r="AE419" s="6" t="n">
        <v>0</v>
      </c>
      <c r="AF419" s="6" t="n">
        <v>0</v>
      </c>
      <c r="AG419" s="6" t="n">
        <v>0</v>
      </c>
      <c r="AH419" s="6" t="n">
        <v>0</v>
      </c>
      <c r="AI419" s="6" t="inlineStr">
        <is>
          <t>Reserva importada do Sistema TMS. OS: 96931</t>
        </is>
      </c>
      <c r="AJ419" s="6" t="inlineStr">
        <is>
          <t>Empenho/departamento não preenchido! (ACC01)</t>
        </is>
      </c>
      <c r="AK419" s="6" t="inlineStr">
        <is>
          <t>ARGO(TMS)</t>
        </is>
      </c>
      <c r="AL419" s="6" t="inlineStr">
        <is>
          <t>Empenho/departamento</t>
        </is>
      </c>
      <c r="AM419" s="6" t="inlineStr">
        <is>
          <t>Falta de informação Gerencial</t>
        </is>
      </c>
      <c r="AN419" s="6" t="inlineStr">
        <is>
          <t>Dados do Fornecedor</t>
        </is>
      </c>
      <c r="AO419" s="6" t="inlineStr">
        <is>
          <t>Qualidade dos dados</t>
        </is>
      </c>
      <c r="AP419" s="6" t="inlineStr">
        <is>
          <t>KONTIK BUSINESS TRAVEL</t>
        </is>
      </c>
      <c r="AQ419" s="6" t="inlineStr">
        <is>
          <t>Operações - CORP</t>
        </is>
      </c>
    </row>
    <row r="420">
      <c r="A420" s="6" t="n">
        <v>23380111</v>
      </c>
      <c r="B420" s="6" t="n">
        <v>24103796</v>
      </c>
      <c r="C420" s="6" t="inlineStr">
        <is>
          <t>ACC01</t>
        </is>
      </c>
      <c r="D420" s="58" t="n">
        <v>45985.69276620371</v>
      </c>
      <c r="E420" s="58" t="n">
        <v>45985.69871527778</v>
      </c>
      <c r="F420" s="6" t="inlineStr">
        <is>
          <t>0 a 02 dias</t>
        </is>
      </c>
      <c r="G420" s="6" t="inlineStr">
        <is>
          <t>0 a 02 dias</t>
        </is>
      </c>
      <c r="H420" s="6" t="inlineStr">
        <is>
          <t>5UFXC2</t>
        </is>
      </c>
      <c r="I420" s="6" t="inlineStr">
        <is>
          <t>TMS</t>
        </is>
      </c>
      <c r="J420" s="6" t="inlineStr">
        <is>
          <t>CELSO FLORINDO</t>
        </is>
      </c>
      <c r="K420" s="6" t="inlineStr">
        <is>
          <t>Ana Clara Saturnino Lima</t>
        </is>
      </c>
      <c r="L420" s="6" t="inlineStr">
        <is>
          <t>Ana Clara Saturnino Lima</t>
        </is>
      </c>
      <c r="M420" s="58" t="n">
        <v>45985.55625</v>
      </c>
      <c r="N420" s="6" t="n">
        <v>96905</v>
      </c>
      <c r="O420" s="6" t="inlineStr">
        <is>
          <t>-</t>
        </is>
      </c>
      <c r="P420" s="6" t="inlineStr">
        <is>
          <t>OFF LINE</t>
        </is>
      </c>
      <c r="Q420" s="6" t="inlineStr">
        <is>
          <t>Pagamento direto</t>
        </is>
      </c>
      <c r="R420" s="6" t="inlineStr">
        <is>
          <t>Pagamento direto</t>
        </is>
      </c>
      <c r="S420" s="6" t="inlineStr">
        <is>
          <t>Hotel</t>
        </is>
      </c>
      <c r="T420" s="6" t="inlineStr">
        <is>
          <t>N</t>
        </is>
      </c>
      <c r="U420" s="6" t="inlineStr">
        <is>
          <t>Grupo Ache</t>
        </is>
      </c>
      <c r="V420" s="6" t="inlineStr">
        <is>
          <t>Ache Laboratorios Farmaceuticos Sa</t>
        </is>
      </c>
      <c r="W420" s="6" t="inlineStr">
        <is>
          <t>-</t>
        </is>
      </c>
      <c r="X420" s="6" t="inlineStr">
        <is>
          <t>Grande Hotel Paranavai</t>
        </is>
      </c>
      <c r="Y420" s="6" t="inlineStr">
        <is>
          <t>-</t>
        </is>
      </c>
      <c r="Z420" s="6" t="inlineStr">
        <is>
          <t>KON-OPE-SAO-PVI-ACHE</t>
        </is>
      </c>
      <c r="AA420" s="6" t="inlineStr">
        <is>
          <t>-</t>
        </is>
      </c>
      <c r="AB420" s="6" t="n">
        <v>400</v>
      </c>
      <c r="AC420" s="6" t="n">
        <v>0</v>
      </c>
      <c r="AD420" s="6" t="n">
        <v>0</v>
      </c>
      <c r="AE420" s="6" t="n">
        <v>0</v>
      </c>
      <c r="AF420" s="6" t="n">
        <v>0</v>
      </c>
      <c r="AG420" s="6" t="n">
        <v>0</v>
      </c>
      <c r="AH420" s="6" t="n">
        <v>0</v>
      </c>
      <c r="AI420" s="6" t="inlineStr">
        <is>
          <t>Reserva importada do Sistema TMS. OS: 96905</t>
        </is>
      </c>
      <c r="AJ420" s="6" t="inlineStr">
        <is>
          <t>Empenho/departamento não preenchido! (ACC01)</t>
        </is>
      </c>
      <c r="AK420" s="6" t="inlineStr">
        <is>
          <t>ARGO(TMS)</t>
        </is>
      </c>
      <c r="AL420" s="6" t="inlineStr">
        <is>
          <t>Empenho/departamento</t>
        </is>
      </c>
      <c r="AM420" s="6" t="inlineStr">
        <is>
          <t>Falta de informação Gerencial</t>
        </is>
      </c>
      <c r="AN420" s="6" t="inlineStr">
        <is>
          <t>Dados do Fornecedor</t>
        </is>
      </c>
      <c r="AO420" s="6" t="inlineStr">
        <is>
          <t>Qualidade dos dados</t>
        </is>
      </c>
      <c r="AP420" s="6" t="inlineStr">
        <is>
          <t>KONTIK BUSINESS TRAVEL</t>
        </is>
      </c>
      <c r="AQ420" s="6" t="inlineStr">
        <is>
          <t>Operações - CORP</t>
        </is>
      </c>
    </row>
    <row r="421">
      <c r="A421" s="6" t="n">
        <v>23380107</v>
      </c>
      <c r="B421" s="6" t="n">
        <v>24103792</v>
      </c>
      <c r="C421" s="6" t="inlineStr">
        <is>
          <t>ACC01</t>
        </is>
      </c>
      <c r="D421" s="58" t="n">
        <v>45985.69267361111</v>
      </c>
      <c r="E421" s="58" t="n">
        <v>45985.69850694444</v>
      </c>
      <c r="F421" s="6" t="inlineStr">
        <is>
          <t>0 a 02 dias</t>
        </is>
      </c>
      <c r="G421" s="6" t="inlineStr">
        <is>
          <t>0 a 02 dias</t>
        </is>
      </c>
      <c r="H421" s="6" t="inlineStr">
        <is>
          <t>5U9ZCS</t>
        </is>
      </c>
      <c r="I421" s="6" t="inlineStr">
        <is>
          <t>TMS</t>
        </is>
      </c>
      <c r="J421" s="6" t="inlineStr">
        <is>
          <t>PRISCILA MANOEL</t>
        </is>
      </c>
      <c r="K421" s="6" t="inlineStr">
        <is>
          <t>Ana Clara Saturnino Lima</t>
        </is>
      </c>
      <c r="L421" s="6" t="inlineStr">
        <is>
          <t>Ana Clara Saturnino Lima</t>
        </is>
      </c>
      <c r="M421" s="58" t="n">
        <v>45985.67013888889</v>
      </c>
      <c r="N421" s="6" t="n">
        <v>96921</v>
      </c>
      <c r="O421" s="6" t="inlineStr">
        <is>
          <t>-</t>
        </is>
      </c>
      <c r="P421" s="6" t="inlineStr">
        <is>
          <t>OFF LINE</t>
        </is>
      </c>
      <c r="Q421" s="6" t="inlineStr">
        <is>
          <t>Invoice</t>
        </is>
      </c>
      <c r="R421" s="6" t="inlineStr">
        <is>
          <t>Faturado</t>
        </is>
      </c>
      <c r="S421" s="6" t="inlineStr">
        <is>
          <t>Hotel</t>
        </is>
      </c>
      <c r="T421" s="6" t="inlineStr">
        <is>
          <t>N</t>
        </is>
      </c>
      <c r="U421" s="6" t="inlineStr">
        <is>
          <t>Grupo Ache</t>
        </is>
      </c>
      <c r="V421" s="6" t="inlineStr">
        <is>
          <t>Ache Laboratorios Farmaceuticos Sa</t>
        </is>
      </c>
      <c r="W421" s="6" t="inlineStr">
        <is>
          <t>-</t>
        </is>
      </c>
      <c r="X421" s="6" t="inlineStr">
        <is>
          <t>Ibis Hyderabad HITEC City</t>
        </is>
      </c>
      <c r="Y421" s="6" t="inlineStr">
        <is>
          <t>-</t>
        </is>
      </c>
      <c r="Z421" s="6" t="inlineStr">
        <is>
          <t>KON-OPE-SAO-PVI-ACHE</t>
        </is>
      </c>
      <c r="AA421" s="6" t="inlineStr">
        <is>
          <t>-</t>
        </is>
      </c>
      <c r="AB421" s="6" t="n">
        <v>2747.67</v>
      </c>
      <c r="AC421" s="6" t="n">
        <v>0</v>
      </c>
      <c r="AD421" s="6" t="n">
        <v>0</v>
      </c>
      <c r="AE421" s="6" t="n">
        <v>0</v>
      </c>
      <c r="AF421" s="6" t="n">
        <v>0</v>
      </c>
      <c r="AG421" s="6" t="n">
        <v>0</v>
      </c>
      <c r="AH421" s="6" t="n">
        <v>0</v>
      </c>
      <c r="AI421" s="6" t="inlineStr">
        <is>
          <t>Reserva importada do Sistema TMS. OS: 96921</t>
        </is>
      </c>
      <c r="AJ421" s="6" t="inlineStr">
        <is>
          <t>Empenho/departamento não preenchido! (ACC01)</t>
        </is>
      </c>
      <c r="AK421" s="6" t="inlineStr">
        <is>
          <t>ARGO(TMS)</t>
        </is>
      </c>
      <c r="AL421" s="6" t="inlineStr">
        <is>
          <t>Empenho/departamento</t>
        </is>
      </c>
      <c r="AM421" s="6" t="inlineStr">
        <is>
          <t>Falta de informação Gerencial</t>
        </is>
      </c>
      <c r="AN421" s="6" t="inlineStr">
        <is>
          <t>Dados do Fornecedor</t>
        </is>
      </c>
      <c r="AO421" s="6" t="inlineStr">
        <is>
          <t>Qualidade dos dados</t>
        </is>
      </c>
      <c r="AP421" s="6" t="inlineStr">
        <is>
          <t>KONTIK BUSINESS TRAVEL</t>
        </is>
      </c>
      <c r="AQ421" s="6" t="inlineStr">
        <is>
          <t>Operações - CORP</t>
        </is>
      </c>
    </row>
    <row r="422">
      <c r="A422" s="6" t="n">
        <v>23380129</v>
      </c>
      <c r="B422" s="6" t="n">
        <v>24103820</v>
      </c>
      <c r="C422" s="6" t="inlineStr">
        <is>
          <t>ACC01</t>
        </is>
      </c>
      <c r="D422" s="58" t="n">
        <v>45985.69306712963</v>
      </c>
      <c r="E422" s="58" t="n">
        <v>45985.70185185185</v>
      </c>
      <c r="F422" s="6" t="inlineStr">
        <is>
          <t>0 a 02 dias</t>
        </is>
      </c>
      <c r="G422" s="6" t="inlineStr">
        <is>
          <t>0 a 02 dias</t>
        </is>
      </c>
      <c r="H422" s="6" t="inlineStr">
        <is>
          <t>5UODEX</t>
        </is>
      </c>
      <c r="I422" s="6" t="inlineStr">
        <is>
          <t>TMS</t>
        </is>
      </c>
      <c r="J422" s="6" t="inlineStr">
        <is>
          <t>PRISCILLA NISHI</t>
        </is>
      </c>
      <c r="K422" s="6" t="inlineStr">
        <is>
          <t>Ana Clara Saturnino Lima</t>
        </is>
      </c>
      <c r="L422" s="6" t="inlineStr">
        <is>
          <t>Ana Clara Saturnino Lima</t>
        </is>
      </c>
      <c r="M422" s="58" t="n">
        <v>45985.55277777778</v>
      </c>
      <c r="N422" s="6" t="n">
        <v>96726</v>
      </c>
      <c r="O422" s="6" t="inlineStr">
        <is>
          <t>-</t>
        </is>
      </c>
      <c r="P422" s="6" t="inlineStr">
        <is>
          <t>OFF LINE</t>
        </is>
      </c>
      <c r="Q422" s="6" t="inlineStr">
        <is>
          <t>Pagamento direto</t>
        </is>
      </c>
      <c r="R422" s="6" t="inlineStr">
        <is>
          <t>Pagamento direto</t>
        </is>
      </c>
      <c r="S422" s="6" t="inlineStr">
        <is>
          <t>Hotel</t>
        </is>
      </c>
      <c r="T422" s="6" t="inlineStr">
        <is>
          <t>N</t>
        </is>
      </c>
      <c r="U422" s="6" t="inlineStr">
        <is>
          <t>Grupo Ache</t>
        </is>
      </c>
      <c r="V422" s="6" t="inlineStr">
        <is>
          <t>Ache Laboratorios Farmaceuticos Sa</t>
        </is>
      </c>
      <c r="W422" s="6" t="inlineStr">
        <is>
          <t>-</t>
        </is>
      </c>
      <c r="X422" s="6" t="inlineStr">
        <is>
          <t>Hotel Bes</t>
        </is>
      </c>
      <c r="Y422" s="6" t="inlineStr">
        <is>
          <t>-</t>
        </is>
      </c>
      <c r="Z422" s="6" t="inlineStr">
        <is>
          <t>KON-OPE-SAO-PVI-ACHE</t>
        </is>
      </c>
      <c r="AA422" s="6" t="inlineStr">
        <is>
          <t>-</t>
        </is>
      </c>
      <c r="AB422" s="6" t="n">
        <v>620</v>
      </c>
      <c r="AC422" s="6" t="n">
        <v>0</v>
      </c>
      <c r="AD422" s="6" t="n">
        <v>0</v>
      </c>
      <c r="AE422" s="6" t="n">
        <v>0</v>
      </c>
      <c r="AF422" s="6" t="n">
        <v>0</v>
      </c>
      <c r="AG422" s="6" t="n">
        <v>0</v>
      </c>
      <c r="AH422" s="6" t="n">
        <v>0</v>
      </c>
      <c r="AI422" s="6" t="inlineStr">
        <is>
          <t>Reserva importada do Sistema TMS. OS: 96726</t>
        </is>
      </c>
      <c r="AJ422" s="6" t="inlineStr">
        <is>
          <t>Empenho/departamento não preenchido! (ACC01)</t>
        </is>
      </c>
      <c r="AK422" s="6" t="inlineStr">
        <is>
          <t>ARGO(TMS)</t>
        </is>
      </c>
      <c r="AL422" s="6" t="inlineStr">
        <is>
          <t>Empenho/departamento</t>
        </is>
      </c>
      <c r="AM422" s="6" t="inlineStr">
        <is>
          <t>Falta de informação Gerencial</t>
        </is>
      </c>
      <c r="AN422" s="6" t="inlineStr">
        <is>
          <t>Dados do Fornecedor</t>
        </is>
      </c>
      <c r="AO422" s="6" t="inlineStr">
        <is>
          <t>Qualidade dos dados</t>
        </is>
      </c>
      <c r="AP422" s="6" t="inlineStr">
        <is>
          <t>KONTIK BUSINESS TRAVEL</t>
        </is>
      </c>
      <c r="AQ422" s="6" t="inlineStr">
        <is>
          <t>Operações - CORP</t>
        </is>
      </c>
    </row>
    <row r="423">
      <c r="A423" s="6" t="n">
        <v>23380122</v>
      </c>
      <c r="B423" s="6" t="n">
        <v>24103813</v>
      </c>
      <c r="C423" s="6" t="inlineStr">
        <is>
          <t>ACC01</t>
        </is>
      </c>
      <c r="D423" s="58" t="n">
        <v>45985.69291666667</v>
      </c>
      <c r="E423" s="58" t="n">
        <v>45985.70167824074</v>
      </c>
      <c r="F423" s="6" t="inlineStr">
        <is>
          <t>0 a 02 dias</t>
        </is>
      </c>
      <c r="G423" s="6" t="inlineStr">
        <is>
          <t>0 a 02 dias</t>
        </is>
      </c>
      <c r="H423" s="6" t="inlineStr">
        <is>
          <t>5U2DCW</t>
        </is>
      </c>
      <c r="I423" s="6" t="inlineStr">
        <is>
          <t>TMS</t>
        </is>
      </c>
      <c r="J423" s="6" t="inlineStr">
        <is>
          <t>ANIELE TIER</t>
        </is>
      </c>
      <c r="K423" s="6" t="inlineStr">
        <is>
          <t>Ana Clara Saturnino Lima</t>
        </is>
      </c>
      <c r="L423" s="6" t="inlineStr">
        <is>
          <t>Ana Clara Saturnino Lima</t>
        </is>
      </c>
      <c r="M423" s="58" t="n">
        <v>45985.67569444444</v>
      </c>
      <c r="N423" s="6" t="n">
        <v>96859</v>
      </c>
      <c r="O423" s="6" t="inlineStr">
        <is>
          <t>-</t>
        </is>
      </c>
      <c r="P423" s="6" t="inlineStr">
        <is>
          <t>OFF LINE</t>
        </is>
      </c>
      <c r="Q423" s="6" t="inlineStr">
        <is>
          <t>Invoice</t>
        </is>
      </c>
      <c r="R423" s="6" t="inlineStr">
        <is>
          <t>Faturado</t>
        </is>
      </c>
      <c r="S423" s="6" t="inlineStr">
        <is>
          <t>Hotel</t>
        </is>
      </c>
      <c r="T423" s="6" t="inlineStr">
        <is>
          <t>N</t>
        </is>
      </c>
      <c r="U423" s="6" t="inlineStr">
        <is>
          <t>Grupo Ache</t>
        </is>
      </c>
      <c r="V423" s="6" t="inlineStr">
        <is>
          <t>Ache Laboratorios Farmaceuticos Sa</t>
        </is>
      </c>
      <c r="W423" s="6" t="inlineStr">
        <is>
          <t>-</t>
        </is>
      </c>
      <c r="X423" s="6" t="inlineStr">
        <is>
          <t>Moxy Bengaluru Airport Prestige Tech Cloud Bengaluru</t>
        </is>
      </c>
      <c r="Y423" s="6" t="inlineStr">
        <is>
          <t>-</t>
        </is>
      </c>
      <c r="Z423" s="6" t="inlineStr">
        <is>
          <t>KON-OPE-SAO-PVI-ACHE</t>
        </is>
      </c>
      <c r="AA423" s="6" t="inlineStr">
        <is>
          <t>-</t>
        </is>
      </c>
      <c r="AB423" s="6" t="n">
        <v>3295.36</v>
      </c>
      <c r="AC423" s="6" t="n">
        <v>0</v>
      </c>
      <c r="AD423" s="6" t="n">
        <v>0</v>
      </c>
      <c r="AE423" s="6" t="n">
        <v>0</v>
      </c>
      <c r="AF423" s="6" t="n">
        <v>0</v>
      </c>
      <c r="AG423" s="6" t="n">
        <v>0</v>
      </c>
      <c r="AH423" s="6" t="n">
        <v>0</v>
      </c>
      <c r="AI423" s="6" t="inlineStr">
        <is>
          <t>Reserva importada do Sistema TMS. OS: 96859</t>
        </is>
      </c>
      <c r="AJ423" s="6" t="inlineStr">
        <is>
          <t>Empenho/departamento não preenchido! (ACC01)</t>
        </is>
      </c>
      <c r="AK423" s="6" t="inlineStr">
        <is>
          <t>ARGO(TMS)</t>
        </is>
      </c>
      <c r="AL423" s="6" t="inlineStr">
        <is>
          <t>Empenho/departamento</t>
        </is>
      </c>
      <c r="AM423" s="6" t="inlineStr">
        <is>
          <t>Falta de informação Gerencial</t>
        </is>
      </c>
      <c r="AN423" s="6" t="inlineStr">
        <is>
          <t>Dados do Fornecedor</t>
        </is>
      </c>
      <c r="AO423" s="6" t="inlineStr">
        <is>
          <t>Qualidade dos dados</t>
        </is>
      </c>
      <c r="AP423" s="6" t="inlineStr">
        <is>
          <t>KONTIK BUSINESS TRAVEL</t>
        </is>
      </c>
      <c r="AQ423" s="6" t="inlineStr">
        <is>
          <t>Operações - CORP</t>
        </is>
      </c>
    </row>
    <row r="424">
      <c r="A424" s="6" t="n">
        <v>23380123</v>
      </c>
      <c r="B424" s="6" t="n">
        <v>24103814</v>
      </c>
      <c r="C424" s="6" t="inlineStr">
        <is>
          <t>ACC01</t>
        </is>
      </c>
      <c r="D424" s="58" t="n">
        <v>45985.69293981481</v>
      </c>
      <c r="E424" s="58" t="n">
        <v>45985.70167824074</v>
      </c>
      <c r="F424" s="6" t="inlineStr">
        <is>
          <t>0 a 02 dias</t>
        </is>
      </c>
      <c r="G424" s="6" t="inlineStr">
        <is>
          <t>0 a 02 dias</t>
        </is>
      </c>
      <c r="H424" s="6" t="inlineStr">
        <is>
          <t>5UCCDX</t>
        </is>
      </c>
      <c r="I424" s="6" t="inlineStr">
        <is>
          <t>TMS</t>
        </is>
      </c>
      <c r="J424" s="6" t="inlineStr">
        <is>
          <t>RUTE DIOGO</t>
        </is>
      </c>
      <c r="K424" s="6" t="inlineStr">
        <is>
          <t>Ana Clara Saturnino Lima</t>
        </is>
      </c>
      <c r="L424" s="6" t="inlineStr">
        <is>
          <t>Ana Clara Saturnino Lima</t>
        </is>
      </c>
      <c r="M424" s="58" t="n">
        <v>45985.65138888889</v>
      </c>
      <c r="N424" s="6" t="n">
        <v>96857</v>
      </c>
      <c r="O424" s="6" t="inlineStr">
        <is>
          <t>-</t>
        </is>
      </c>
      <c r="P424" s="6" t="inlineStr">
        <is>
          <t>OFF LINE</t>
        </is>
      </c>
      <c r="Q424" s="6" t="inlineStr">
        <is>
          <t>Invoice</t>
        </is>
      </c>
      <c r="R424" s="6" t="inlineStr">
        <is>
          <t>Faturado</t>
        </is>
      </c>
      <c r="S424" s="6" t="inlineStr">
        <is>
          <t>Hotel</t>
        </is>
      </c>
      <c r="T424" s="6" t="inlineStr">
        <is>
          <t>N</t>
        </is>
      </c>
      <c r="U424" s="6" t="inlineStr">
        <is>
          <t>Grupo Ache</t>
        </is>
      </c>
      <c r="V424" s="6" t="inlineStr">
        <is>
          <t>Ache Laboratorios Farmaceuticos Sa</t>
        </is>
      </c>
      <c r="W424" s="6" t="inlineStr">
        <is>
          <t>-</t>
        </is>
      </c>
      <c r="X424" s="6" t="inlineStr">
        <is>
          <t>Moxy Bengaluru Airport Prestige Tech Cloud Bengaluru</t>
        </is>
      </c>
      <c r="Y424" s="6" t="inlineStr">
        <is>
          <t>-</t>
        </is>
      </c>
      <c r="Z424" s="6" t="inlineStr">
        <is>
          <t>KON-OPE-SAO-PVI-ACHE</t>
        </is>
      </c>
      <c r="AA424" s="6" t="inlineStr">
        <is>
          <t>-</t>
        </is>
      </c>
      <c r="AB424" s="6" t="n">
        <v>3295.36</v>
      </c>
      <c r="AC424" s="6" t="n">
        <v>0</v>
      </c>
      <c r="AD424" s="6" t="n">
        <v>0</v>
      </c>
      <c r="AE424" s="6" t="n">
        <v>0</v>
      </c>
      <c r="AF424" s="6" t="n">
        <v>0</v>
      </c>
      <c r="AG424" s="6" t="n">
        <v>0</v>
      </c>
      <c r="AH424" s="6" t="n">
        <v>0</v>
      </c>
      <c r="AI424" s="6" t="inlineStr">
        <is>
          <t>Reserva importada do Sistema TMS. OS: 96857</t>
        </is>
      </c>
      <c r="AJ424" s="6" t="inlineStr">
        <is>
          <t>Empenho/departamento não preenchido! (ACC01)</t>
        </is>
      </c>
      <c r="AK424" s="6" t="inlineStr">
        <is>
          <t>ARGO(TMS)</t>
        </is>
      </c>
      <c r="AL424" s="6" t="inlineStr">
        <is>
          <t>Empenho/departamento</t>
        </is>
      </c>
      <c r="AM424" s="6" t="inlineStr">
        <is>
          <t>Falta de informação Gerencial</t>
        </is>
      </c>
      <c r="AN424" s="6" t="inlineStr">
        <is>
          <t>Dados do Fornecedor</t>
        </is>
      </c>
      <c r="AO424" s="6" t="inlineStr">
        <is>
          <t>Qualidade dos dados</t>
        </is>
      </c>
      <c r="AP424" s="6" t="inlineStr">
        <is>
          <t>KONTIK BUSINESS TRAVEL</t>
        </is>
      </c>
      <c r="AQ424" s="6" t="inlineStr">
        <is>
          <t>Operações - CORP</t>
        </is>
      </c>
    </row>
    <row r="425">
      <c r="A425" s="6" t="n">
        <v>23380115</v>
      </c>
      <c r="B425" s="6" t="n">
        <v>24103804</v>
      </c>
      <c r="C425" s="6" t="inlineStr">
        <is>
          <t>ACC01</t>
        </is>
      </c>
      <c r="D425" s="58" t="n">
        <v>45985.69282407407</v>
      </c>
      <c r="E425" s="58" t="n">
        <v>45985.69873842593</v>
      </c>
      <c r="F425" s="6" t="inlineStr">
        <is>
          <t>0 a 02 dias</t>
        </is>
      </c>
      <c r="G425" s="6" t="inlineStr">
        <is>
          <t>0 a 02 dias</t>
        </is>
      </c>
      <c r="H425" s="6" t="inlineStr">
        <is>
          <t>5UUWEW</t>
        </is>
      </c>
      <c r="I425" s="6" t="inlineStr">
        <is>
          <t>TMS</t>
        </is>
      </c>
      <c r="J425" s="6" t="inlineStr">
        <is>
          <t>REGINALDO VIOLA</t>
        </is>
      </c>
      <c r="K425" s="6" t="inlineStr">
        <is>
          <t>Ana Clara Saturnino Lima</t>
        </is>
      </c>
      <c r="L425" s="6" t="inlineStr">
        <is>
          <t>Ana Clara Saturnino Lima</t>
        </is>
      </c>
      <c r="M425" s="58" t="n">
        <v>45985.56180555555</v>
      </c>
      <c r="N425" s="6" t="n">
        <v>96898</v>
      </c>
      <c r="O425" s="6" t="inlineStr">
        <is>
          <t>-</t>
        </is>
      </c>
      <c r="P425" s="6" t="inlineStr">
        <is>
          <t>OFF LINE</t>
        </is>
      </c>
      <c r="Q425" s="6" t="inlineStr">
        <is>
          <t>Pagamento direto</t>
        </is>
      </c>
      <c r="R425" s="6" t="inlineStr">
        <is>
          <t>Pagamento direto</t>
        </is>
      </c>
      <c r="S425" s="6" t="inlineStr">
        <is>
          <t>Hotel</t>
        </is>
      </c>
      <c r="T425" s="6" t="inlineStr">
        <is>
          <t>N</t>
        </is>
      </c>
      <c r="U425" s="6" t="inlineStr">
        <is>
          <t>Grupo Ache</t>
        </is>
      </c>
      <c r="V425" s="6" t="inlineStr">
        <is>
          <t>Ache Laboratorios Farmaceuticos Sa</t>
        </is>
      </c>
      <c r="W425" s="6" t="inlineStr">
        <is>
          <t>-</t>
        </is>
      </c>
      <c r="X425" s="6" t="inlineStr">
        <is>
          <t>Ibis Ponta Grossa</t>
        </is>
      </c>
      <c r="Y425" s="6" t="inlineStr">
        <is>
          <t>-</t>
        </is>
      </c>
      <c r="Z425" s="6" t="inlineStr">
        <is>
          <t>KON-OPE-SAO-PVI-ACHE</t>
        </is>
      </c>
      <c r="AA425" s="6" t="inlineStr">
        <is>
          <t>-</t>
        </is>
      </c>
      <c r="AB425" s="6" t="n">
        <v>204</v>
      </c>
      <c r="AC425" s="6" t="n">
        <v>0</v>
      </c>
      <c r="AD425" s="6" t="n">
        <v>0</v>
      </c>
      <c r="AE425" s="6" t="n">
        <v>0</v>
      </c>
      <c r="AF425" s="6" t="n">
        <v>0</v>
      </c>
      <c r="AG425" s="6" t="n">
        <v>6.12</v>
      </c>
      <c r="AH425" s="6" t="n">
        <v>0</v>
      </c>
      <c r="AI425" s="6" t="inlineStr">
        <is>
          <t>Reserva importada do Sistema TMS. OS: 96898</t>
        </is>
      </c>
      <c r="AJ425" s="6" t="inlineStr">
        <is>
          <t>Empenho/departamento não preenchido! (ACC01)</t>
        </is>
      </c>
      <c r="AK425" s="6" t="inlineStr">
        <is>
          <t>ARGO(TMS)</t>
        </is>
      </c>
      <c r="AL425" s="6" t="inlineStr">
        <is>
          <t>Empenho/departamento</t>
        </is>
      </c>
      <c r="AM425" s="6" t="inlineStr">
        <is>
          <t>Falta de informação Gerencial</t>
        </is>
      </c>
      <c r="AN425" s="6" t="inlineStr">
        <is>
          <t>Dados do Fornecedor</t>
        </is>
      </c>
      <c r="AO425" s="6" t="inlineStr">
        <is>
          <t>Qualidade dos dados</t>
        </is>
      </c>
      <c r="AP425" s="6" t="inlineStr">
        <is>
          <t>KONTIK BUSINESS TRAVEL</t>
        </is>
      </c>
      <c r="AQ425" s="6" t="inlineStr">
        <is>
          <t>Operações - CORP</t>
        </is>
      </c>
    </row>
    <row r="426">
      <c r="A426" s="6" t="n">
        <v>23382416</v>
      </c>
      <c r="B426" s="6" t="n">
        <v>24106117</v>
      </c>
      <c r="C426" s="6" t="inlineStr">
        <is>
          <t>ACC01</t>
        </is>
      </c>
      <c r="D426" s="58" t="n">
        <v>45985.94652777778</v>
      </c>
      <c r="E426" s="58" t="n">
        <v>45985.95208333333</v>
      </c>
      <c r="F426" s="6" t="inlineStr">
        <is>
          <t>0 a 02 dias</t>
        </is>
      </c>
      <c r="G426" s="6" t="inlineStr">
        <is>
          <t>0 a 02 dias</t>
        </is>
      </c>
      <c r="H426" s="6" t="inlineStr">
        <is>
          <t>5U31BE</t>
        </is>
      </c>
      <c r="I426" s="6" t="inlineStr">
        <is>
          <t>TMS</t>
        </is>
      </c>
      <c r="J426" s="6" t="inlineStr">
        <is>
          <t>TALLITA ROCHA</t>
        </is>
      </c>
      <c r="K426" s="6" t="inlineStr">
        <is>
          <t>Ana Clara Saturnino Lima</t>
        </is>
      </c>
      <c r="L426" s="6" t="inlineStr">
        <is>
          <t>Ana Clara Saturnino Lima</t>
        </is>
      </c>
      <c r="M426" s="58" t="n">
        <v>45985.74097222222</v>
      </c>
      <c r="N426" s="6" t="n">
        <v>93382</v>
      </c>
      <c r="O426" s="6" t="inlineStr">
        <is>
          <t>-</t>
        </is>
      </c>
      <c r="P426" s="6" t="inlineStr">
        <is>
          <t>OFF LINE</t>
        </is>
      </c>
      <c r="Q426" s="6" t="inlineStr">
        <is>
          <t>Pagamento direto</t>
        </is>
      </c>
      <c r="R426" s="6" t="inlineStr">
        <is>
          <t>Pagamento direto</t>
        </is>
      </c>
      <c r="S426" s="6" t="inlineStr">
        <is>
          <t>Hotel</t>
        </is>
      </c>
      <c r="T426" s="6" t="inlineStr">
        <is>
          <t>N</t>
        </is>
      </c>
      <c r="U426" s="6" t="inlineStr">
        <is>
          <t>Grupo Ache</t>
        </is>
      </c>
      <c r="V426" s="6" t="inlineStr">
        <is>
          <t>Ache Laboratorios Farmaceuticos Sa</t>
        </is>
      </c>
      <c r="W426" s="6" t="inlineStr">
        <is>
          <t>-</t>
        </is>
      </c>
      <c r="X426" s="6" t="inlineStr">
        <is>
          <t>Way Hotel Rorainopolis</t>
        </is>
      </c>
      <c r="Y426" s="6" t="inlineStr">
        <is>
          <t>-</t>
        </is>
      </c>
      <c r="Z426" s="6" t="inlineStr">
        <is>
          <t>KON-OPE-SAO-PVI-ACHE</t>
        </is>
      </c>
      <c r="AA426" s="6" t="inlineStr">
        <is>
          <t>-</t>
        </is>
      </c>
      <c r="AB426" s="6" t="n">
        <v>339</v>
      </c>
      <c r="AC426" s="6" t="n">
        <v>0</v>
      </c>
      <c r="AD426" s="6" t="n">
        <v>0</v>
      </c>
      <c r="AE426" s="6" t="n">
        <v>0</v>
      </c>
      <c r="AF426" s="6" t="n">
        <v>0</v>
      </c>
      <c r="AG426" s="6" t="n">
        <v>0</v>
      </c>
      <c r="AH426" s="6" t="n">
        <v>0</v>
      </c>
      <c r="AI426" s="6" t="inlineStr">
        <is>
          <t>Reserva importada do Sistema TMS. OS: 93382</t>
        </is>
      </c>
      <c r="AJ426" s="6" t="inlineStr">
        <is>
          <t>Empenho/departamento não preenchido! (ACC01)</t>
        </is>
      </c>
      <c r="AK426" s="6" t="inlineStr">
        <is>
          <t>ARGO(TMS)</t>
        </is>
      </c>
      <c r="AL426" s="6" t="inlineStr">
        <is>
          <t>Empenho/departamento</t>
        </is>
      </c>
      <c r="AM426" s="6" t="inlineStr">
        <is>
          <t>Falta de informação Gerencial</t>
        </is>
      </c>
      <c r="AN426" s="6" t="inlineStr">
        <is>
          <t>Dados do Fornecedor</t>
        </is>
      </c>
      <c r="AO426" s="6" t="inlineStr">
        <is>
          <t>Qualidade dos dados</t>
        </is>
      </c>
      <c r="AP426" s="6" t="inlineStr">
        <is>
          <t>KONTIK BUSINESS TRAVEL</t>
        </is>
      </c>
      <c r="AQ426" s="6" t="inlineStr">
        <is>
          <t>Operações - CORP</t>
        </is>
      </c>
    </row>
    <row r="427">
      <c r="A427" s="6" t="n">
        <v>23382414</v>
      </c>
      <c r="B427" s="6" t="n">
        <v>24106115</v>
      </c>
      <c r="C427" s="6" t="inlineStr">
        <is>
          <t>ACC01</t>
        </is>
      </c>
      <c r="D427" s="58" t="n">
        <v>45985.94646990741</v>
      </c>
      <c r="E427" s="58" t="n">
        <v>45985.95207175926</v>
      </c>
      <c r="F427" s="6" t="inlineStr">
        <is>
          <t>0 a 02 dias</t>
        </is>
      </c>
      <c r="G427" s="6" t="inlineStr">
        <is>
          <t>0 a 02 dias</t>
        </is>
      </c>
      <c r="H427" s="6" t="inlineStr">
        <is>
          <t>5U1ZPC</t>
        </is>
      </c>
      <c r="I427" s="6" t="inlineStr">
        <is>
          <t>TMS</t>
        </is>
      </c>
      <c r="J427" s="6" t="inlineStr">
        <is>
          <t>WALERIO CARDOSO</t>
        </is>
      </c>
      <c r="K427" s="6" t="inlineStr">
        <is>
          <t>Ana Clara Saturnino Lima</t>
        </is>
      </c>
      <c r="L427" s="6" t="inlineStr">
        <is>
          <t>Ana Clara Saturnino Lima</t>
        </is>
      </c>
      <c r="M427" s="58" t="n">
        <v>45985.74166666667</v>
      </c>
      <c r="N427" s="6" t="n">
        <v>96252</v>
      </c>
      <c r="O427" s="6" t="inlineStr">
        <is>
          <t>-</t>
        </is>
      </c>
      <c r="P427" s="6" t="inlineStr">
        <is>
          <t>OFF LINE</t>
        </is>
      </c>
      <c r="Q427" s="6" t="inlineStr">
        <is>
          <t>Pagamento direto</t>
        </is>
      </c>
      <c r="R427" s="6" t="inlineStr">
        <is>
          <t>Pagamento direto</t>
        </is>
      </c>
      <c r="S427" s="6" t="inlineStr">
        <is>
          <t>Hotel</t>
        </is>
      </c>
      <c r="T427" s="6" t="inlineStr">
        <is>
          <t>N</t>
        </is>
      </c>
      <c r="U427" s="6" t="inlineStr">
        <is>
          <t>Grupo Ache</t>
        </is>
      </c>
      <c r="V427" s="6" t="inlineStr">
        <is>
          <t>Ache Laboratorios Farmaceuticos Sa</t>
        </is>
      </c>
      <c r="W427" s="6" t="inlineStr">
        <is>
          <t>-</t>
        </is>
      </c>
      <c r="X427" s="6" t="inlineStr">
        <is>
          <t>Flamboyant Hotel</t>
        </is>
      </c>
      <c r="Y427" s="6" t="inlineStr">
        <is>
          <t>-</t>
        </is>
      </c>
      <c r="Z427" s="6" t="inlineStr">
        <is>
          <t>KON-OPE-SAO-PVI-ACHE</t>
        </is>
      </c>
      <c r="AA427" s="6" t="inlineStr">
        <is>
          <t>-</t>
        </is>
      </c>
      <c r="AB427" s="6" t="n">
        <v>400</v>
      </c>
      <c r="AC427" s="6" t="n">
        <v>0</v>
      </c>
      <c r="AD427" s="6" t="n">
        <v>0</v>
      </c>
      <c r="AE427" s="6" t="n">
        <v>0</v>
      </c>
      <c r="AF427" s="6" t="n">
        <v>0</v>
      </c>
      <c r="AG427" s="6" t="n">
        <v>0</v>
      </c>
      <c r="AH427" s="6" t="n">
        <v>0</v>
      </c>
      <c r="AI427" s="6" t="inlineStr">
        <is>
          <t>Reserva importada do Sistema TMS. OS: 96252</t>
        </is>
      </c>
      <c r="AJ427" s="6" t="inlineStr">
        <is>
          <t>Empenho/departamento não preenchido! (ACC01)</t>
        </is>
      </c>
      <c r="AK427" s="6" t="inlineStr">
        <is>
          <t>ARGO(TMS)</t>
        </is>
      </c>
      <c r="AL427" s="6" t="inlineStr">
        <is>
          <t>Empenho/departamento</t>
        </is>
      </c>
      <c r="AM427" s="6" t="inlineStr">
        <is>
          <t>Falta de informação Gerencial</t>
        </is>
      </c>
      <c r="AN427" s="6" t="inlineStr">
        <is>
          <t>Dados do Fornecedor</t>
        </is>
      </c>
      <c r="AO427" s="6" t="inlineStr">
        <is>
          <t>Qualidade dos dados</t>
        </is>
      </c>
      <c r="AP427" s="6" t="inlineStr">
        <is>
          <t>KONTIK BUSINESS TRAVEL</t>
        </is>
      </c>
      <c r="AQ427" s="6" t="inlineStr">
        <is>
          <t>Operações - CORP</t>
        </is>
      </c>
    </row>
    <row r="428">
      <c r="A428" s="6" t="n">
        <v>23382408</v>
      </c>
      <c r="B428" s="6" t="n">
        <v>24106109</v>
      </c>
      <c r="C428" s="6" t="inlineStr">
        <is>
          <t>ACC01</t>
        </is>
      </c>
      <c r="D428" s="58" t="n">
        <v>45985.94626157408</v>
      </c>
      <c r="E428" s="58" t="n">
        <v>45985.95203703704</v>
      </c>
      <c r="F428" s="6" t="inlineStr">
        <is>
          <t>0 a 02 dias</t>
        </is>
      </c>
      <c r="G428" s="6" t="inlineStr">
        <is>
          <t>0 a 02 dias</t>
        </is>
      </c>
      <c r="H428" s="6" t="inlineStr">
        <is>
          <t>5U50MD</t>
        </is>
      </c>
      <c r="I428" s="6" t="inlineStr">
        <is>
          <t>TMS</t>
        </is>
      </c>
      <c r="J428" s="6" t="inlineStr">
        <is>
          <t>LEONARDO TEIXEIRA</t>
        </is>
      </c>
      <c r="K428" s="6" t="inlineStr">
        <is>
          <t>Ana Clara Saturnino Lima</t>
        </is>
      </c>
      <c r="L428" s="6" t="inlineStr">
        <is>
          <t>Ana Clara Saturnino Lima</t>
        </is>
      </c>
      <c r="M428" s="58" t="n">
        <v>45985.71458333333</v>
      </c>
      <c r="N428" s="6" t="n">
        <v>96749</v>
      </c>
      <c r="O428" s="6" t="inlineStr">
        <is>
          <t>-</t>
        </is>
      </c>
      <c r="P428" s="6" t="inlineStr">
        <is>
          <t>OFF LINE</t>
        </is>
      </c>
      <c r="Q428" s="6" t="inlineStr">
        <is>
          <t>Pagamento direto</t>
        </is>
      </c>
      <c r="R428" s="6" t="inlineStr">
        <is>
          <t>Pagamento direto</t>
        </is>
      </c>
      <c r="S428" s="6" t="inlineStr">
        <is>
          <t>Hotel</t>
        </is>
      </c>
      <c r="T428" s="6" t="inlineStr">
        <is>
          <t>N</t>
        </is>
      </c>
      <c r="U428" s="6" t="inlineStr">
        <is>
          <t>Grupo Ache</t>
        </is>
      </c>
      <c r="V428" s="6" t="inlineStr">
        <is>
          <t>Ache Laboratorios Farmaceuticos Sa</t>
        </is>
      </c>
      <c r="W428" s="6" t="inlineStr">
        <is>
          <t>-</t>
        </is>
      </c>
      <c r="X428" s="6" t="inlineStr">
        <is>
          <t>Crystal Suites</t>
        </is>
      </c>
      <c r="Y428" s="6" t="inlineStr">
        <is>
          <t>-</t>
        </is>
      </c>
      <c r="Z428" s="6" t="inlineStr">
        <is>
          <t>KON-OPE-SAO-PVI-ACHE</t>
        </is>
      </c>
      <c r="AA428" s="6" t="inlineStr">
        <is>
          <t>-</t>
        </is>
      </c>
      <c r="AB428" s="6" t="n">
        <v>289</v>
      </c>
      <c r="AC428" s="6" t="n">
        <v>0</v>
      </c>
      <c r="AD428" s="6" t="n">
        <v>0</v>
      </c>
      <c r="AE428" s="6" t="n">
        <v>0</v>
      </c>
      <c r="AF428" s="6" t="n">
        <v>0</v>
      </c>
      <c r="AG428" s="6" t="n">
        <v>0</v>
      </c>
      <c r="AH428" s="6" t="n">
        <v>0</v>
      </c>
      <c r="AI428" s="6" t="inlineStr">
        <is>
          <t>Reserva importada do Sistema TMS. OS: 96749</t>
        </is>
      </c>
      <c r="AJ428" s="6" t="inlineStr">
        <is>
          <t>Empenho/departamento não preenchido! (ACC01)</t>
        </is>
      </c>
      <c r="AK428" s="6" t="inlineStr">
        <is>
          <t>ARGO(TMS)</t>
        </is>
      </c>
      <c r="AL428" s="6" t="inlineStr">
        <is>
          <t>Empenho/departamento</t>
        </is>
      </c>
      <c r="AM428" s="6" t="inlineStr">
        <is>
          <t>Falta de informação Gerencial</t>
        </is>
      </c>
      <c r="AN428" s="6" t="inlineStr">
        <is>
          <t>Dados do Fornecedor</t>
        </is>
      </c>
      <c r="AO428" s="6" t="inlineStr">
        <is>
          <t>Qualidade dos dados</t>
        </is>
      </c>
      <c r="AP428" s="6" t="inlineStr">
        <is>
          <t>KONTIK BUSINESS TRAVEL</t>
        </is>
      </c>
      <c r="AQ428" s="6" t="inlineStr">
        <is>
          <t>Operações - CORP</t>
        </is>
      </c>
    </row>
    <row r="429">
      <c r="A429" s="6" t="n">
        <v>23382395</v>
      </c>
      <c r="B429" s="6" t="n">
        <v>24106098</v>
      </c>
      <c r="C429" s="6" t="inlineStr">
        <is>
          <t>ACC01</t>
        </is>
      </c>
      <c r="D429" s="58" t="n">
        <v>45985.9459375</v>
      </c>
      <c r="E429" s="58" t="n">
        <v>45985.95197916667</v>
      </c>
      <c r="F429" s="6" t="inlineStr">
        <is>
          <t>0 a 02 dias</t>
        </is>
      </c>
      <c r="G429" s="6" t="inlineStr">
        <is>
          <t>0 a 02 dias</t>
        </is>
      </c>
      <c r="H429" s="6" t="inlineStr">
        <is>
          <t>5U6LNS</t>
        </is>
      </c>
      <c r="I429" s="6" t="inlineStr">
        <is>
          <t>TMS</t>
        </is>
      </c>
      <c r="J429" s="6" t="inlineStr">
        <is>
          <t>MARIA LEITE</t>
        </is>
      </c>
      <c r="K429" s="6" t="inlineStr">
        <is>
          <t>Ana Clara Saturnino Lima</t>
        </is>
      </c>
      <c r="L429" s="6" t="inlineStr">
        <is>
          <t>Ana Clara Saturnino Lima</t>
        </is>
      </c>
      <c r="M429" s="58" t="n">
        <v>45985.74444444444</v>
      </c>
      <c r="N429" s="6" t="n">
        <v>96959</v>
      </c>
      <c r="O429" s="6" t="inlineStr">
        <is>
          <t>-</t>
        </is>
      </c>
      <c r="P429" s="6" t="inlineStr">
        <is>
          <t>OFF LINE</t>
        </is>
      </c>
      <c r="Q429" s="6" t="inlineStr">
        <is>
          <t>Pagamento direto</t>
        </is>
      </c>
      <c r="R429" s="6" t="inlineStr">
        <is>
          <t>Pagamento direto</t>
        </is>
      </c>
      <c r="S429" s="6" t="inlineStr">
        <is>
          <t>Hotel</t>
        </is>
      </c>
      <c r="T429" s="6" t="inlineStr">
        <is>
          <t>N</t>
        </is>
      </c>
      <c r="U429" s="6" t="inlineStr">
        <is>
          <t>Grupo Ache</t>
        </is>
      </c>
      <c r="V429" s="6" t="inlineStr">
        <is>
          <t>Ache Laboratorios Farmaceuticos Sa</t>
        </is>
      </c>
      <c r="W429" s="6" t="inlineStr">
        <is>
          <t>-</t>
        </is>
      </c>
      <c r="X429" s="6" t="inlineStr">
        <is>
          <t>Best Hotel Sobral</t>
        </is>
      </c>
      <c r="Y429" s="6" t="inlineStr">
        <is>
          <t>-</t>
        </is>
      </c>
      <c r="Z429" s="6" t="inlineStr">
        <is>
          <t>KON-OPE-SAO-PVI-ACHE</t>
        </is>
      </c>
      <c r="AA429" s="6" t="inlineStr">
        <is>
          <t>-</t>
        </is>
      </c>
      <c r="AB429" s="6" t="n">
        <v>314</v>
      </c>
      <c r="AC429" s="6" t="n">
        <v>0</v>
      </c>
      <c r="AD429" s="6" t="n">
        <v>0</v>
      </c>
      <c r="AE429" s="6" t="n">
        <v>0</v>
      </c>
      <c r="AF429" s="6" t="n">
        <v>0</v>
      </c>
      <c r="AG429" s="6" t="n">
        <v>21.6</v>
      </c>
      <c r="AH429" s="6" t="n">
        <v>0</v>
      </c>
      <c r="AI429" s="6" t="inlineStr">
        <is>
          <t>Reserva importada do Sistema TMS. OS: 96959</t>
        </is>
      </c>
      <c r="AJ429" s="6" t="inlineStr">
        <is>
          <t>Empenho/departamento não preenchido! (ACC01)</t>
        </is>
      </c>
      <c r="AK429" s="6" t="inlineStr">
        <is>
          <t>ARGO(TMS)</t>
        </is>
      </c>
      <c r="AL429" s="6" t="inlineStr">
        <is>
          <t>Empenho/departamento</t>
        </is>
      </c>
      <c r="AM429" s="6" t="inlineStr">
        <is>
          <t>Falta de informação Gerencial</t>
        </is>
      </c>
      <c r="AN429" s="6" t="inlineStr">
        <is>
          <t>Dados do Fornecedor</t>
        </is>
      </c>
      <c r="AO429" s="6" t="inlineStr">
        <is>
          <t>Qualidade dos dados</t>
        </is>
      </c>
      <c r="AP429" s="6" t="inlineStr">
        <is>
          <t>KONTIK BUSINESS TRAVEL</t>
        </is>
      </c>
      <c r="AQ429" s="6" t="inlineStr">
        <is>
          <t>Operações - CORP</t>
        </is>
      </c>
    </row>
    <row r="430">
      <c r="A430" s="6" t="n">
        <v>23382406</v>
      </c>
      <c r="B430" s="6" t="n">
        <v>24106107</v>
      </c>
      <c r="C430" s="6" t="inlineStr">
        <is>
          <t>ACC01</t>
        </is>
      </c>
      <c r="D430" s="58" t="n">
        <v>45985.94619212963</v>
      </c>
      <c r="E430" s="58" t="n">
        <v>45985.95201388889</v>
      </c>
      <c r="F430" s="6" t="inlineStr">
        <is>
          <t>0 a 02 dias</t>
        </is>
      </c>
      <c r="G430" s="6" t="inlineStr">
        <is>
          <t>0 a 02 dias</t>
        </is>
      </c>
      <c r="H430" s="6" t="inlineStr">
        <is>
          <t>5UCM0C</t>
        </is>
      </c>
      <c r="I430" s="6" t="inlineStr">
        <is>
          <t>TMS</t>
        </is>
      </c>
      <c r="J430" s="6" t="inlineStr">
        <is>
          <t>ADAILTON SILVA</t>
        </is>
      </c>
      <c r="K430" s="6" t="inlineStr">
        <is>
          <t>Ana Clara Saturnino Lima</t>
        </is>
      </c>
      <c r="L430" s="6" t="inlineStr">
        <is>
          <t>Ana Clara Saturnino Lima</t>
        </is>
      </c>
      <c r="M430" s="58" t="n">
        <v>45985.74027777778</v>
      </c>
      <c r="N430" s="6" t="n">
        <v>96869</v>
      </c>
      <c r="O430" s="6" t="inlineStr">
        <is>
          <t>-</t>
        </is>
      </c>
      <c r="P430" s="6" t="inlineStr">
        <is>
          <t>OFF LINE</t>
        </is>
      </c>
      <c r="Q430" s="6" t="inlineStr">
        <is>
          <t>Pagamento direto</t>
        </is>
      </c>
      <c r="R430" s="6" t="inlineStr">
        <is>
          <t>Pagamento direto</t>
        </is>
      </c>
      <c r="S430" s="6" t="inlineStr">
        <is>
          <t>Hotel</t>
        </is>
      </c>
      <c r="T430" s="6" t="inlineStr">
        <is>
          <t>N</t>
        </is>
      </c>
      <c r="U430" s="6" t="inlineStr">
        <is>
          <t>Grupo Ache</t>
        </is>
      </c>
      <c r="V430" s="6" t="inlineStr">
        <is>
          <t>Ache Laboratorios Farmaceuticos Sa</t>
        </is>
      </c>
      <c r="W430" s="6" t="inlineStr">
        <is>
          <t>-</t>
        </is>
      </c>
      <c r="X430" s="6" t="inlineStr">
        <is>
          <t>Pousada Imperio da Serra</t>
        </is>
      </c>
      <c r="Y430" s="6" t="inlineStr">
        <is>
          <t>-</t>
        </is>
      </c>
      <c r="Z430" s="6" t="inlineStr">
        <is>
          <t>KON-OPE-SAO-PVI-ACHE</t>
        </is>
      </c>
      <c r="AA430" s="6" t="inlineStr">
        <is>
          <t>-</t>
        </is>
      </c>
      <c r="AB430" s="6" t="n">
        <v>600</v>
      </c>
      <c r="AC430" s="6" t="n">
        <v>0</v>
      </c>
      <c r="AD430" s="6" t="n">
        <v>0</v>
      </c>
      <c r="AE430" s="6" t="n">
        <v>0</v>
      </c>
      <c r="AF430" s="6" t="n">
        <v>0</v>
      </c>
      <c r="AG430" s="6" t="n">
        <v>0</v>
      </c>
      <c r="AH430" s="6" t="n">
        <v>0</v>
      </c>
      <c r="AI430" s="6" t="inlineStr">
        <is>
          <t>Reserva importada do Sistema TMS. OS: 96869</t>
        </is>
      </c>
      <c r="AJ430" s="6" t="inlineStr">
        <is>
          <t>Empenho/departamento não preenchido! (ACC01)</t>
        </is>
      </c>
      <c r="AK430" s="6" t="inlineStr">
        <is>
          <t>ARGO(TMS)</t>
        </is>
      </c>
      <c r="AL430" s="6" t="inlineStr">
        <is>
          <t>Empenho/departamento</t>
        </is>
      </c>
      <c r="AM430" s="6" t="inlineStr">
        <is>
          <t>Falta de informação Gerencial</t>
        </is>
      </c>
      <c r="AN430" s="6" t="inlineStr">
        <is>
          <t>Dados do Fornecedor</t>
        </is>
      </c>
      <c r="AO430" s="6" t="inlineStr">
        <is>
          <t>Qualidade dos dados</t>
        </is>
      </c>
      <c r="AP430" s="6" t="inlineStr">
        <is>
          <t>KONTIK BUSINESS TRAVEL</t>
        </is>
      </c>
      <c r="AQ430" s="6" t="inlineStr">
        <is>
          <t>Operações - CORP</t>
        </is>
      </c>
    </row>
    <row r="431">
      <c r="A431" s="6" t="n">
        <v>23380135</v>
      </c>
      <c r="B431" s="6" t="n">
        <v>24103826</v>
      </c>
      <c r="C431" s="6" t="inlineStr">
        <is>
          <t>ACC01</t>
        </is>
      </c>
      <c r="D431" s="58" t="n">
        <v>45985.69318287037</v>
      </c>
      <c r="E431" s="58" t="n">
        <v>45985.70207175926</v>
      </c>
      <c r="F431" s="6" t="inlineStr">
        <is>
          <t>0 a 02 dias</t>
        </is>
      </c>
      <c r="G431" s="6" t="inlineStr">
        <is>
          <t>0 a 02 dias</t>
        </is>
      </c>
      <c r="H431" s="6" t="inlineStr">
        <is>
          <t>5UFRCX</t>
        </is>
      </c>
      <c r="I431" s="6" t="inlineStr">
        <is>
          <t>TMS</t>
        </is>
      </c>
      <c r="J431" s="6" t="inlineStr">
        <is>
          <t>JESSICA SOUZA</t>
        </is>
      </c>
      <c r="K431" s="6" t="inlineStr">
        <is>
          <t>Ana Clara Saturnino Lima</t>
        </is>
      </c>
      <c r="L431" s="6" t="inlineStr">
        <is>
          <t>Ana Clara Saturnino Lima</t>
        </is>
      </c>
      <c r="M431" s="58" t="n">
        <v>45985.61180555556</v>
      </c>
      <c r="N431" s="6" t="n">
        <v>96572</v>
      </c>
      <c r="O431" s="6" t="inlineStr">
        <is>
          <t>-</t>
        </is>
      </c>
      <c r="P431" s="6" t="inlineStr">
        <is>
          <t>OFF LINE</t>
        </is>
      </c>
      <c r="Q431" s="6" t="inlineStr">
        <is>
          <t>Pagamento direto</t>
        </is>
      </c>
      <c r="R431" s="6" t="inlineStr">
        <is>
          <t>Pagamento direto</t>
        </is>
      </c>
      <c r="S431" s="6" t="inlineStr">
        <is>
          <t>Hotel</t>
        </is>
      </c>
      <c r="T431" s="6" t="inlineStr">
        <is>
          <t>N</t>
        </is>
      </c>
      <c r="U431" s="6" t="inlineStr">
        <is>
          <t>Grupo Ache</t>
        </is>
      </c>
      <c r="V431" s="6" t="inlineStr">
        <is>
          <t>Ache Laboratorios Farmaceuticos Sa</t>
        </is>
      </c>
      <c r="W431" s="6" t="inlineStr">
        <is>
          <t>-</t>
        </is>
      </c>
      <c r="X431" s="6" t="inlineStr">
        <is>
          <t>Hitz Hotel</t>
        </is>
      </c>
      <c r="Y431" s="6" t="inlineStr">
        <is>
          <t>-</t>
        </is>
      </c>
      <c r="Z431" s="6" t="inlineStr">
        <is>
          <t>KON-OPE-SAO-PVI-ACHE</t>
        </is>
      </c>
      <c r="AA431" s="6" t="inlineStr">
        <is>
          <t>-</t>
        </is>
      </c>
      <c r="AB431" s="6" t="n">
        <v>570</v>
      </c>
      <c r="AC431" s="6" t="n">
        <v>0</v>
      </c>
      <c r="AD431" s="6" t="n">
        <v>0</v>
      </c>
      <c r="AE431" s="6" t="n">
        <v>0</v>
      </c>
      <c r="AF431" s="6" t="n">
        <v>0</v>
      </c>
      <c r="AG431" s="6" t="n">
        <v>0</v>
      </c>
      <c r="AH431" s="6" t="n">
        <v>0</v>
      </c>
      <c r="AI431" s="6" t="inlineStr">
        <is>
          <t>Reserva importada do Sistema TMS. OS: 96572</t>
        </is>
      </c>
      <c r="AJ431" s="6" t="inlineStr">
        <is>
          <t>Empenho/departamento não preenchido! (ACC01)</t>
        </is>
      </c>
      <c r="AK431" s="6" t="inlineStr">
        <is>
          <t>ARGO(TMS)</t>
        </is>
      </c>
      <c r="AL431" s="6" t="inlineStr">
        <is>
          <t>Empenho/departamento</t>
        </is>
      </c>
      <c r="AM431" s="6" t="inlineStr">
        <is>
          <t>Falta de informação Gerencial</t>
        </is>
      </c>
      <c r="AN431" s="6" t="inlineStr">
        <is>
          <t>Dados do Fornecedor</t>
        </is>
      </c>
      <c r="AO431" s="6" t="inlineStr">
        <is>
          <t>Qualidade dos dados</t>
        </is>
      </c>
      <c r="AP431" s="6" t="inlineStr">
        <is>
          <t>KONTIK BUSINESS TRAVEL</t>
        </is>
      </c>
      <c r="AQ431" s="6" t="inlineStr">
        <is>
          <t>Operações - CORP</t>
        </is>
      </c>
    </row>
    <row r="432">
      <c r="A432" s="6" t="n">
        <v>23380145</v>
      </c>
      <c r="B432" s="6" t="n">
        <v>24103837</v>
      </c>
      <c r="C432" s="6" t="inlineStr">
        <is>
          <t>ACC01</t>
        </is>
      </c>
      <c r="D432" s="58" t="n">
        <v>45985.69336805555</v>
      </c>
      <c r="E432" s="58" t="n">
        <v>45985.7055787037</v>
      </c>
      <c r="F432" s="6" t="inlineStr">
        <is>
          <t>0 a 02 dias</t>
        </is>
      </c>
      <c r="G432" s="6" t="inlineStr">
        <is>
          <t>0 a 02 dias</t>
        </is>
      </c>
      <c r="H432" s="6" t="inlineStr">
        <is>
          <t>5UTTD2</t>
        </is>
      </c>
      <c r="I432" s="6" t="inlineStr">
        <is>
          <t>TMS</t>
        </is>
      </c>
      <c r="J432" s="6" t="inlineStr">
        <is>
          <t>JESSICA UCHOA</t>
        </is>
      </c>
      <c r="K432" s="6" t="inlineStr">
        <is>
          <t>Mauricio Almeida de Lima</t>
        </is>
      </c>
      <c r="L432" s="6" t="inlineStr">
        <is>
          <t>Mauricio Almeida de Lima</t>
        </is>
      </c>
      <c r="M432" s="58" t="n">
        <v>45985.61666666667</v>
      </c>
      <c r="N432" s="6" t="n">
        <v>95935</v>
      </c>
      <c r="O432" s="6" t="inlineStr">
        <is>
          <t>-</t>
        </is>
      </c>
      <c r="P432" s="6" t="inlineStr">
        <is>
          <t>OFF LINE</t>
        </is>
      </c>
      <c r="Q432" s="6" t="inlineStr">
        <is>
          <t>Pagamento direto</t>
        </is>
      </c>
      <c r="R432" s="6" t="inlineStr">
        <is>
          <t>Pagamento direto</t>
        </is>
      </c>
      <c r="S432" s="6" t="inlineStr">
        <is>
          <t>Hotel</t>
        </is>
      </c>
      <c r="T432" s="6" t="inlineStr">
        <is>
          <t>N</t>
        </is>
      </c>
      <c r="U432" s="6" t="inlineStr">
        <is>
          <t>Grupo Ache</t>
        </is>
      </c>
      <c r="V432" s="6" t="inlineStr">
        <is>
          <t>Ache Laboratorios Farmaceuticos Sa</t>
        </is>
      </c>
      <c r="W432" s="6" t="inlineStr">
        <is>
          <t>-</t>
        </is>
      </c>
      <c r="X432" s="6" t="inlineStr">
        <is>
          <t>Uchoa Hotel</t>
        </is>
      </c>
      <c r="Y432" s="6" t="inlineStr">
        <is>
          <t>-</t>
        </is>
      </c>
      <c r="Z432" s="6" t="inlineStr">
        <is>
          <t>KON-OPE-SAO-PVI-ACHE</t>
        </is>
      </c>
      <c r="AA432" s="6" t="inlineStr">
        <is>
          <t>-</t>
        </is>
      </c>
      <c r="AB432" s="6" t="n">
        <v>855</v>
      </c>
      <c r="AC432" s="6" t="n">
        <v>0</v>
      </c>
      <c r="AD432" s="6" t="n">
        <v>0</v>
      </c>
      <c r="AE432" s="6" t="n">
        <v>0</v>
      </c>
      <c r="AF432" s="6" t="n">
        <v>0</v>
      </c>
      <c r="AG432" s="6" t="n">
        <v>42.75</v>
      </c>
      <c r="AH432" s="6" t="n">
        <v>0</v>
      </c>
      <c r="AI432" s="6" t="inlineStr">
        <is>
          <t>Reserva importada do Sistema TMS. OS: 95935</t>
        </is>
      </c>
      <c r="AJ432" s="6" t="inlineStr">
        <is>
          <t>Empenho/departamento não preenchido! (ACC01)</t>
        </is>
      </c>
      <c r="AK432" s="6" t="inlineStr">
        <is>
          <t>ARGO(TMS)</t>
        </is>
      </c>
      <c r="AL432" s="6" t="inlineStr">
        <is>
          <t>Empenho/departamento</t>
        </is>
      </c>
      <c r="AM432" s="6" t="inlineStr">
        <is>
          <t>Falta de informação Gerencial</t>
        </is>
      </c>
      <c r="AN432" s="6" t="inlineStr">
        <is>
          <t>Dados do Fornecedor</t>
        </is>
      </c>
      <c r="AO432" s="6" t="inlineStr">
        <is>
          <t>Qualidade dos dados</t>
        </is>
      </c>
      <c r="AP432" s="6" t="inlineStr">
        <is>
          <t>KONTIK BUSINESS TRAVEL</t>
        </is>
      </c>
      <c r="AQ432" s="6" t="inlineStr">
        <is>
          <t>Operações - CORP</t>
        </is>
      </c>
    </row>
    <row r="433">
      <c r="A433" s="6" t="n">
        <v>23380146</v>
      </c>
      <c r="B433" s="6" t="n">
        <v>24103838</v>
      </c>
      <c r="C433" s="6" t="inlineStr">
        <is>
          <t>ACC01</t>
        </is>
      </c>
      <c r="D433" s="58" t="n">
        <v>45985.69340277778</v>
      </c>
      <c r="E433" s="58" t="n">
        <v>45985.70559027778</v>
      </c>
      <c r="F433" s="6" t="inlineStr">
        <is>
          <t>0 a 02 dias</t>
        </is>
      </c>
      <c r="G433" s="6" t="inlineStr">
        <is>
          <t>0 a 02 dias</t>
        </is>
      </c>
      <c r="H433" s="6" t="inlineStr">
        <is>
          <t>5UJG32</t>
        </is>
      </c>
      <c r="I433" s="6" t="inlineStr">
        <is>
          <t>TMS</t>
        </is>
      </c>
      <c r="J433" s="6" t="inlineStr">
        <is>
          <t>CARLA GOMES</t>
        </is>
      </c>
      <c r="K433" s="6" t="inlineStr">
        <is>
          <t>Mauricio Almeida de Lima</t>
        </is>
      </c>
      <c r="L433" s="6" t="inlineStr">
        <is>
          <t>Mauricio Almeida de Lima</t>
        </is>
      </c>
      <c r="M433" s="58" t="n">
        <v>45985.50694444445</v>
      </c>
      <c r="N433" s="6" t="n">
        <v>95715</v>
      </c>
      <c r="O433" s="6" t="inlineStr">
        <is>
          <t>-</t>
        </is>
      </c>
      <c r="P433" s="6" t="inlineStr">
        <is>
          <t>OFF LINE</t>
        </is>
      </c>
      <c r="Q433" s="6" t="inlineStr">
        <is>
          <t>Pagamento direto</t>
        </is>
      </c>
      <c r="R433" s="6" t="inlineStr">
        <is>
          <t>Pagamento direto</t>
        </is>
      </c>
      <c r="S433" s="6" t="inlineStr">
        <is>
          <t>Hotel</t>
        </is>
      </c>
      <c r="T433" s="6" t="inlineStr">
        <is>
          <t>N</t>
        </is>
      </c>
      <c r="U433" s="6" t="inlineStr">
        <is>
          <t>Grupo Ache</t>
        </is>
      </c>
      <c r="V433" s="6" t="inlineStr">
        <is>
          <t>Ache Laboratorios Farmaceuticos Sa</t>
        </is>
      </c>
      <c r="W433" s="6" t="inlineStr">
        <is>
          <t>-</t>
        </is>
      </c>
      <c r="X433" s="6" t="inlineStr">
        <is>
          <t>Marujos Suites Hotel</t>
        </is>
      </c>
      <c r="Y433" s="6" t="inlineStr">
        <is>
          <t>-</t>
        </is>
      </c>
      <c r="Z433" s="6" t="inlineStr">
        <is>
          <t>KON-OPE-SAO-PVI-ACHE</t>
        </is>
      </c>
      <c r="AA433" s="6" t="inlineStr">
        <is>
          <t>-</t>
        </is>
      </c>
      <c r="AB433" s="6" t="n">
        <v>500</v>
      </c>
      <c r="AC433" s="6" t="n">
        <v>0</v>
      </c>
      <c r="AD433" s="6" t="n">
        <v>0</v>
      </c>
      <c r="AE433" s="6" t="n">
        <v>0</v>
      </c>
      <c r="AF433" s="6" t="n">
        <v>0</v>
      </c>
      <c r="AG433" s="6" t="n">
        <v>0</v>
      </c>
      <c r="AH433" s="6" t="n">
        <v>0</v>
      </c>
      <c r="AI433" s="6" t="inlineStr">
        <is>
          <t>Reserva importada do Sistema TMS. OS: 95715</t>
        </is>
      </c>
      <c r="AJ433" s="6" t="inlineStr">
        <is>
          <t>Empenho/departamento não preenchido! (ACC01)</t>
        </is>
      </c>
      <c r="AK433" s="6" t="inlineStr">
        <is>
          <t>ARGO(TMS)</t>
        </is>
      </c>
      <c r="AL433" s="6" t="inlineStr">
        <is>
          <t>Empenho/departamento</t>
        </is>
      </c>
      <c r="AM433" s="6" t="inlineStr">
        <is>
          <t>Falta de informação Gerencial</t>
        </is>
      </c>
      <c r="AN433" s="6" t="inlineStr">
        <is>
          <t>Dados do Fornecedor</t>
        </is>
      </c>
      <c r="AO433" s="6" t="inlineStr">
        <is>
          <t>Qualidade dos dados</t>
        </is>
      </c>
      <c r="AP433" s="6" t="inlineStr">
        <is>
          <t>KONTIK BUSINESS TRAVEL</t>
        </is>
      </c>
      <c r="AQ433" s="6" t="inlineStr">
        <is>
          <t>Operações - CORP</t>
        </is>
      </c>
    </row>
    <row r="434">
      <c r="A434" s="6" t="n">
        <v>23380132</v>
      </c>
      <c r="B434" s="6" t="n">
        <v>24103823</v>
      </c>
      <c r="C434" s="6" t="inlineStr">
        <is>
          <t>ACC01</t>
        </is>
      </c>
      <c r="D434" s="58" t="n">
        <v>45985.69311342593</v>
      </c>
      <c r="E434" s="58" t="n">
        <v>45985.70186342593</v>
      </c>
      <c r="F434" s="6" t="inlineStr">
        <is>
          <t>0 a 02 dias</t>
        </is>
      </c>
      <c r="G434" s="6" t="inlineStr">
        <is>
          <t>0 a 02 dias</t>
        </is>
      </c>
      <c r="H434" s="6" t="inlineStr">
        <is>
          <t>5UAVCS</t>
        </is>
      </c>
      <c r="I434" s="6" t="inlineStr">
        <is>
          <t>TMS</t>
        </is>
      </c>
      <c r="J434" s="6" t="inlineStr">
        <is>
          <t>RICARDO FERNANDES</t>
        </is>
      </c>
      <c r="K434" s="6" t="inlineStr">
        <is>
          <t>Mauricio Almeida de Lima</t>
        </is>
      </c>
      <c r="L434" s="6" t="inlineStr">
        <is>
          <t>Mauricio Almeida de Lima</t>
        </is>
      </c>
      <c r="M434" s="58" t="n">
        <v>45985.51041666666</v>
      </c>
      <c r="N434" s="6" t="n">
        <v>96667</v>
      </c>
      <c r="O434" s="6" t="inlineStr">
        <is>
          <t>-</t>
        </is>
      </c>
      <c r="P434" s="6" t="inlineStr">
        <is>
          <t>OFF LINE</t>
        </is>
      </c>
      <c r="Q434" s="6" t="inlineStr">
        <is>
          <t>Pagamento direto</t>
        </is>
      </c>
      <c r="R434" s="6" t="inlineStr">
        <is>
          <t>Pagamento direto</t>
        </is>
      </c>
      <c r="S434" s="6" t="inlineStr">
        <is>
          <t>Hotel</t>
        </is>
      </c>
      <c r="T434" s="6" t="inlineStr">
        <is>
          <t>N</t>
        </is>
      </c>
      <c r="U434" s="6" t="inlineStr">
        <is>
          <t>Grupo Ache</t>
        </is>
      </c>
      <c r="V434" s="6" t="inlineStr">
        <is>
          <t>Ache Laboratorios Farmaceuticos Sa</t>
        </is>
      </c>
      <c r="W434" s="6" t="inlineStr">
        <is>
          <t>-</t>
        </is>
      </c>
      <c r="X434" s="6" t="inlineStr">
        <is>
          <t>Fenix Plaza Hotel</t>
        </is>
      </c>
      <c r="Y434" s="6" t="inlineStr">
        <is>
          <t>-</t>
        </is>
      </c>
      <c r="Z434" s="6" t="inlineStr">
        <is>
          <t>KON-OPE-SAO-PVI-ACHE</t>
        </is>
      </c>
      <c r="AA434" s="6" t="inlineStr">
        <is>
          <t>-</t>
        </is>
      </c>
      <c r="AB434" s="6" t="n">
        <v>208</v>
      </c>
      <c r="AC434" s="6" t="n">
        <v>0</v>
      </c>
      <c r="AD434" s="6" t="n">
        <v>0</v>
      </c>
      <c r="AE434" s="6" t="n">
        <v>0</v>
      </c>
      <c r="AF434" s="6" t="n">
        <v>0</v>
      </c>
      <c r="AG434" s="6" t="n">
        <v>0</v>
      </c>
      <c r="AH434" s="6" t="n">
        <v>0</v>
      </c>
      <c r="AI434" s="6" t="inlineStr">
        <is>
          <t>Reserva importada do Sistema TMS. OS: 96667</t>
        </is>
      </c>
      <c r="AJ434" s="6" t="inlineStr">
        <is>
          <t>Empenho/departamento não preenchido! (ACC01)</t>
        </is>
      </c>
      <c r="AK434" s="6" t="inlineStr">
        <is>
          <t>ARGO(TMS)</t>
        </is>
      </c>
      <c r="AL434" s="6" t="inlineStr">
        <is>
          <t>Empenho/departamento</t>
        </is>
      </c>
      <c r="AM434" s="6" t="inlineStr">
        <is>
          <t>Falta de informação Gerencial</t>
        </is>
      </c>
      <c r="AN434" s="6" t="inlineStr">
        <is>
          <t>Dados do Fornecedor</t>
        </is>
      </c>
      <c r="AO434" s="6" t="inlineStr">
        <is>
          <t>Qualidade dos dados</t>
        </is>
      </c>
      <c r="AP434" s="6" t="inlineStr">
        <is>
          <t>KONTIK BUSINESS TRAVEL</t>
        </is>
      </c>
      <c r="AQ434" s="6" t="inlineStr">
        <is>
          <t>Operações - CORP</t>
        </is>
      </c>
    </row>
    <row r="435">
      <c r="A435" s="6" t="n">
        <v>23380120</v>
      </c>
      <c r="B435" s="6" t="n">
        <v>24103810</v>
      </c>
      <c r="C435" s="6" t="inlineStr">
        <is>
          <t>ACC01</t>
        </is>
      </c>
      <c r="D435" s="58" t="n">
        <v>45985.69288194444</v>
      </c>
      <c r="E435" s="58" t="n">
        <v>45985.70166666667</v>
      </c>
      <c r="F435" s="6" t="inlineStr">
        <is>
          <t>0 a 02 dias</t>
        </is>
      </c>
      <c r="G435" s="6" t="inlineStr">
        <is>
          <t>0 a 02 dias</t>
        </is>
      </c>
      <c r="H435" s="6" t="inlineStr">
        <is>
          <t>5UBDC2</t>
        </is>
      </c>
      <c r="I435" s="6" t="inlineStr">
        <is>
          <t>TMS</t>
        </is>
      </c>
      <c r="J435" s="6" t="inlineStr">
        <is>
          <t>ADAILTON SILVA</t>
        </is>
      </c>
      <c r="K435" s="6" t="inlineStr">
        <is>
          <t>Mauricio Almeida de Lima</t>
        </is>
      </c>
      <c r="L435" s="6" t="inlineStr">
        <is>
          <t>Mauricio Almeida de Lima</t>
        </is>
      </c>
      <c r="M435" s="58" t="n">
        <v>45985.50972222222</v>
      </c>
      <c r="N435" s="6" t="n">
        <v>96870</v>
      </c>
      <c r="O435" s="6" t="inlineStr">
        <is>
          <t>-</t>
        </is>
      </c>
      <c r="P435" s="6" t="inlineStr">
        <is>
          <t>OFF LINE</t>
        </is>
      </c>
      <c r="Q435" s="6" t="inlineStr">
        <is>
          <t>Pagamento direto</t>
        </is>
      </c>
      <c r="R435" s="6" t="inlineStr">
        <is>
          <t>Pagamento direto</t>
        </is>
      </c>
      <c r="S435" s="6" t="inlineStr">
        <is>
          <t>Hotel</t>
        </is>
      </c>
      <c r="T435" s="6" t="inlineStr">
        <is>
          <t>N</t>
        </is>
      </c>
      <c r="U435" s="6" t="inlineStr">
        <is>
          <t>Grupo Ache</t>
        </is>
      </c>
      <c r="V435" s="6" t="inlineStr">
        <is>
          <t>Ache Laboratorios Farmaceuticos Sa</t>
        </is>
      </c>
      <c r="W435" s="6" t="inlineStr">
        <is>
          <t>-</t>
        </is>
      </c>
      <c r="X435" s="6" t="inlineStr">
        <is>
          <t>Hotel Brotas</t>
        </is>
      </c>
      <c r="Y435" s="6" t="inlineStr">
        <is>
          <t>-</t>
        </is>
      </c>
      <c r="Z435" s="6" t="inlineStr">
        <is>
          <t>KON-OPE-SAO-PVI-ACHE</t>
        </is>
      </c>
      <c r="AA435" s="6" t="inlineStr">
        <is>
          <t>-</t>
        </is>
      </c>
      <c r="AB435" s="6" t="n">
        <v>630</v>
      </c>
      <c r="AC435" s="6" t="n">
        <v>0</v>
      </c>
      <c r="AD435" s="6" t="n">
        <v>0</v>
      </c>
      <c r="AE435" s="6" t="n">
        <v>0</v>
      </c>
      <c r="AF435" s="6" t="n">
        <v>0</v>
      </c>
      <c r="AG435" s="6" t="n">
        <v>0</v>
      </c>
      <c r="AH435" s="6" t="n">
        <v>0</v>
      </c>
      <c r="AI435" s="6" t="inlineStr">
        <is>
          <t>Reserva importada do Sistema TMS. OS: 96870</t>
        </is>
      </c>
      <c r="AJ435" s="6" t="inlineStr">
        <is>
          <t>Empenho/departamento não preenchido! (ACC01)</t>
        </is>
      </c>
      <c r="AK435" s="6" t="inlineStr">
        <is>
          <t>ARGO(TMS)</t>
        </is>
      </c>
      <c r="AL435" s="6" t="inlineStr">
        <is>
          <t>Empenho/departamento</t>
        </is>
      </c>
      <c r="AM435" s="6" t="inlineStr">
        <is>
          <t>Falta de informação Gerencial</t>
        </is>
      </c>
      <c r="AN435" s="6" t="inlineStr">
        <is>
          <t>Dados do Fornecedor</t>
        </is>
      </c>
      <c r="AO435" s="6" t="inlineStr">
        <is>
          <t>Qualidade dos dados</t>
        </is>
      </c>
      <c r="AP435" s="6" t="inlineStr">
        <is>
          <t>KONTIK BUSINESS TRAVEL</t>
        </is>
      </c>
      <c r="AQ435" s="6" t="inlineStr">
        <is>
          <t>Operações - CORP</t>
        </is>
      </c>
    </row>
    <row r="436">
      <c r="A436" s="6" t="n">
        <v>23380126</v>
      </c>
      <c r="B436" s="6" t="n">
        <v>24103817</v>
      </c>
      <c r="C436" s="6" t="inlineStr">
        <is>
          <t>ACC01</t>
        </is>
      </c>
      <c r="D436" s="58" t="n">
        <v>45985.69300925926</v>
      </c>
      <c r="E436" s="58" t="n">
        <v>45985.70168981481</v>
      </c>
      <c r="F436" s="6" t="inlineStr">
        <is>
          <t>0 a 02 dias</t>
        </is>
      </c>
      <c r="G436" s="6" t="inlineStr">
        <is>
          <t>0 a 02 dias</t>
        </is>
      </c>
      <c r="H436" s="6" t="inlineStr">
        <is>
          <t>5UJCDX</t>
        </is>
      </c>
      <c r="I436" s="6" t="inlineStr">
        <is>
          <t>TMS</t>
        </is>
      </c>
      <c r="J436" s="6" t="inlineStr">
        <is>
          <t>DAYSY OLIVEIRA</t>
        </is>
      </c>
      <c r="K436" s="6" t="inlineStr">
        <is>
          <t>Mauricio Almeida de Lima</t>
        </is>
      </c>
      <c r="L436" s="6" t="inlineStr">
        <is>
          <t>Mauricio Almeida de Lima</t>
        </is>
      </c>
      <c r="M436" s="58" t="n">
        <v>45985.50763888889</v>
      </c>
      <c r="N436" s="6" t="n">
        <v>96808</v>
      </c>
      <c r="O436" s="6" t="inlineStr">
        <is>
          <t>-</t>
        </is>
      </c>
      <c r="P436" s="6" t="inlineStr">
        <is>
          <t>OFF LINE</t>
        </is>
      </c>
      <c r="Q436" s="6" t="inlineStr">
        <is>
          <t>Pagamento direto</t>
        </is>
      </c>
      <c r="R436" s="6" t="inlineStr">
        <is>
          <t>Pagamento direto</t>
        </is>
      </c>
      <c r="S436" s="6" t="inlineStr">
        <is>
          <t>Hotel</t>
        </is>
      </c>
      <c r="T436" s="6" t="inlineStr">
        <is>
          <t>N</t>
        </is>
      </c>
      <c r="U436" s="6" t="inlineStr">
        <is>
          <t>Grupo Ache</t>
        </is>
      </c>
      <c r="V436" s="6" t="inlineStr">
        <is>
          <t>Ache Laboratorios Farmaceuticos Sa</t>
        </is>
      </c>
      <c r="W436" s="6" t="inlineStr">
        <is>
          <t>-</t>
        </is>
      </c>
      <c r="X436" s="6" t="inlineStr">
        <is>
          <t>Atlantis Hotel</t>
        </is>
      </c>
      <c r="Y436" s="6" t="inlineStr">
        <is>
          <t>-</t>
        </is>
      </c>
      <c r="Z436" s="6" t="inlineStr">
        <is>
          <t>KON-OPE-SAO-PVI-ACHE</t>
        </is>
      </c>
      <c r="AA436" s="6" t="inlineStr">
        <is>
          <t>-</t>
        </is>
      </c>
      <c r="AB436" s="6" t="n">
        <v>169</v>
      </c>
      <c r="AC436" s="6" t="n">
        <v>0</v>
      </c>
      <c r="AD436" s="6" t="n">
        <v>0</v>
      </c>
      <c r="AE436" s="6" t="n">
        <v>0</v>
      </c>
      <c r="AF436" s="6" t="n">
        <v>0</v>
      </c>
      <c r="AG436" s="6" t="n">
        <v>0</v>
      </c>
      <c r="AH436" s="6" t="n">
        <v>0</v>
      </c>
      <c r="AI436" s="6" t="inlineStr">
        <is>
          <t>Reserva importada do Sistema TMS. OS: 96808</t>
        </is>
      </c>
      <c r="AJ436" s="6" t="inlineStr">
        <is>
          <t>Empenho/departamento não preenchido! (ACC01)</t>
        </is>
      </c>
      <c r="AK436" s="6" t="inlineStr">
        <is>
          <t>ARGO(TMS)</t>
        </is>
      </c>
      <c r="AL436" s="6" t="inlineStr">
        <is>
          <t>Empenho/departamento</t>
        </is>
      </c>
      <c r="AM436" s="6" t="inlineStr">
        <is>
          <t>Falta de informação Gerencial</t>
        </is>
      </c>
      <c r="AN436" s="6" t="inlineStr">
        <is>
          <t>Dados do Fornecedor</t>
        </is>
      </c>
      <c r="AO436" s="6" t="inlineStr">
        <is>
          <t>Qualidade dos dados</t>
        </is>
      </c>
      <c r="AP436" s="6" t="inlineStr">
        <is>
          <t>KONTIK BUSINESS TRAVEL</t>
        </is>
      </c>
      <c r="AQ436" s="6" t="inlineStr">
        <is>
          <t>Operações - CORP</t>
        </is>
      </c>
    </row>
    <row r="437">
      <c r="A437" s="6" t="n">
        <v>23380138</v>
      </c>
      <c r="B437" s="6" t="n">
        <v>24103828</v>
      </c>
      <c r="C437" s="6" t="inlineStr">
        <is>
          <t>ACC01</t>
        </is>
      </c>
      <c r="D437" s="58" t="n">
        <v>45985.69322916667</v>
      </c>
      <c r="E437" s="58" t="n">
        <v>45985.70207175926</v>
      </c>
      <c r="F437" s="6" t="inlineStr">
        <is>
          <t>0 a 02 dias</t>
        </is>
      </c>
      <c r="G437" s="6" t="inlineStr">
        <is>
          <t>0 a 02 dias</t>
        </is>
      </c>
      <c r="H437" s="6" t="inlineStr">
        <is>
          <t>5UJVCX</t>
        </is>
      </c>
      <c r="I437" s="6" t="inlineStr">
        <is>
          <t>TMS</t>
        </is>
      </c>
      <c r="J437" s="6" t="inlineStr">
        <is>
          <t>RODRIGO SILVA</t>
        </is>
      </c>
      <c r="K437" s="6" t="inlineStr">
        <is>
          <t>Mauricio Almeida de Lima</t>
        </is>
      </c>
      <c r="L437" s="6" t="inlineStr">
        <is>
          <t>Mauricio Almeida de Lima</t>
        </is>
      </c>
      <c r="M437" s="58" t="n">
        <v>45985.52083333334</v>
      </c>
      <c r="N437" s="6" t="n">
        <v>96421</v>
      </c>
      <c r="O437" s="6" t="inlineStr">
        <is>
          <t>-</t>
        </is>
      </c>
      <c r="P437" s="6" t="inlineStr">
        <is>
          <t>OFF LINE</t>
        </is>
      </c>
      <c r="Q437" s="6" t="inlineStr">
        <is>
          <t>Pagamento direto</t>
        </is>
      </c>
      <c r="R437" s="6" t="inlineStr">
        <is>
          <t>Pagamento direto</t>
        </is>
      </c>
      <c r="S437" s="6" t="inlineStr">
        <is>
          <t>Hotel</t>
        </is>
      </c>
      <c r="T437" s="6" t="inlineStr">
        <is>
          <t>N</t>
        </is>
      </c>
      <c r="U437" s="6" t="inlineStr">
        <is>
          <t>Grupo Ache</t>
        </is>
      </c>
      <c r="V437" s="6" t="inlineStr">
        <is>
          <t>Ache Laboratorios Farmaceuticos Sa</t>
        </is>
      </c>
      <c r="W437" s="6" t="inlineStr">
        <is>
          <t>-</t>
        </is>
      </c>
      <c r="X437" s="6" t="inlineStr">
        <is>
          <t>Caleche Park Hotel</t>
        </is>
      </c>
      <c r="Y437" s="6" t="inlineStr">
        <is>
          <t>-</t>
        </is>
      </c>
      <c r="Z437" s="6" t="inlineStr">
        <is>
          <t>KON-OPE-SAO-PVI-ACHE</t>
        </is>
      </c>
      <c r="AA437" s="6" t="inlineStr">
        <is>
          <t>-</t>
        </is>
      </c>
      <c r="AB437" s="6" t="n">
        <v>610.2</v>
      </c>
      <c r="AC437" s="6" t="n">
        <v>0</v>
      </c>
      <c r="AD437" s="6" t="n">
        <v>0</v>
      </c>
      <c r="AE437" s="6" t="n">
        <v>0</v>
      </c>
      <c r="AF437" s="6" t="n">
        <v>0</v>
      </c>
      <c r="AG437" s="6" t="n">
        <v>0</v>
      </c>
      <c r="AH437" s="6" t="n">
        <v>0</v>
      </c>
      <c r="AI437" s="6" t="inlineStr">
        <is>
          <t>Reserva importada do Sistema TMS. OS: 96421</t>
        </is>
      </c>
      <c r="AJ437" s="6" t="inlineStr">
        <is>
          <t>Empenho/departamento não preenchido! (ACC01)</t>
        </is>
      </c>
      <c r="AK437" s="6" t="inlineStr">
        <is>
          <t>ARGO(TMS)</t>
        </is>
      </c>
      <c r="AL437" s="6" t="inlineStr">
        <is>
          <t>Empenho/departamento</t>
        </is>
      </c>
      <c r="AM437" s="6" t="inlineStr">
        <is>
          <t>Falta de informação Gerencial</t>
        </is>
      </c>
      <c r="AN437" s="6" t="inlineStr">
        <is>
          <t>Dados do Fornecedor</t>
        </is>
      </c>
      <c r="AO437" s="6" t="inlineStr">
        <is>
          <t>Qualidade dos dados</t>
        </is>
      </c>
      <c r="AP437" s="6" t="inlineStr">
        <is>
          <t>KONTIK BUSINESS TRAVEL</t>
        </is>
      </c>
      <c r="AQ437" s="6" t="inlineStr">
        <is>
          <t>Operações - CORP</t>
        </is>
      </c>
    </row>
    <row r="438">
      <c r="A438" s="6" t="n">
        <v>23380108</v>
      </c>
      <c r="B438" s="6" t="n">
        <v>24103793</v>
      </c>
      <c r="C438" s="6" t="inlineStr">
        <is>
          <t>ACC01</t>
        </is>
      </c>
      <c r="D438" s="58" t="n">
        <v>45985.69269675926</v>
      </c>
      <c r="E438" s="58" t="n">
        <v>45985.69850694444</v>
      </c>
      <c r="F438" s="6" t="inlineStr">
        <is>
          <t>0 a 02 dias</t>
        </is>
      </c>
      <c r="G438" s="6" t="inlineStr">
        <is>
          <t>0 a 02 dias</t>
        </is>
      </c>
      <c r="H438" s="6" t="inlineStr">
        <is>
          <t>5UZSCW</t>
        </is>
      </c>
      <c r="I438" s="6" t="inlineStr">
        <is>
          <t>TMS</t>
        </is>
      </c>
      <c r="J438" s="6" t="inlineStr">
        <is>
          <t>FLAVIO GONCALVES</t>
        </is>
      </c>
      <c r="K438" s="6" t="inlineStr">
        <is>
          <t>Mauricio Almeida de Lima</t>
        </is>
      </c>
      <c r="L438" s="6" t="inlineStr">
        <is>
          <t>Mauricio Almeida de Lima</t>
        </is>
      </c>
      <c r="M438" s="58" t="n">
        <v>45985.50833333333</v>
      </c>
      <c r="N438" s="6" t="n">
        <v>96915</v>
      </c>
      <c r="O438" s="6" t="inlineStr">
        <is>
          <t>-</t>
        </is>
      </c>
      <c r="P438" s="6" t="inlineStr">
        <is>
          <t>OFF LINE</t>
        </is>
      </c>
      <c r="Q438" s="6" t="inlineStr">
        <is>
          <t>Pagamento direto</t>
        </is>
      </c>
      <c r="R438" s="6" t="inlineStr">
        <is>
          <t>Pagamento direto</t>
        </is>
      </c>
      <c r="S438" s="6" t="inlineStr">
        <is>
          <t>Hotel</t>
        </is>
      </c>
      <c r="T438" s="6" t="inlineStr">
        <is>
          <t>N</t>
        </is>
      </c>
      <c r="U438" s="6" t="inlineStr">
        <is>
          <t>Grupo Ache</t>
        </is>
      </c>
      <c r="V438" s="6" t="inlineStr">
        <is>
          <t>Ache Laboratorios Farmaceuticos Sa</t>
        </is>
      </c>
      <c r="W438" s="6" t="inlineStr">
        <is>
          <t>-</t>
        </is>
      </c>
      <c r="X438" s="6" t="inlineStr">
        <is>
          <t>Hotel Amantykir</t>
        </is>
      </c>
      <c r="Y438" s="6" t="inlineStr">
        <is>
          <t>-</t>
        </is>
      </c>
      <c r="Z438" s="6" t="inlineStr">
        <is>
          <t>KON-OPE-SAO-PVI-ACHE</t>
        </is>
      </c>
      <c r="AA438" s="6" t="inlineStr">
        <is>
          <t>-</t>
        </is>
      </c>
      <c r="AB438" s="6" t="n">
        <v>530</v>
      </c>
      <c r="AC438" s="6" t="n">
        <v>0</v>
      </c>
      <c r="AD438" s="6" t="n">
        <v>0</v>
      </c>
      <c r="AE438" s="6" t="n">
        <v>0</v>
      </c>
      <c r="AF438" s="6" t="n">
        <v>0</v>
      </c>
      <c r="AG438" s="6" t="n">
        <v>0</v>
      </c>
      <c r="AH438" s="6" t="n">
        <v>0</v>
      </c>
      <c r="AI438" s="6" t="inlineStr">
        <is>
          <t>Reserva importada do Sistema TMS. OS: 96915</t>
        </is>
      </c>
      <c r="AJ438" s="6" t="inlineStr">
        <is>
          <t>Empenho/departamento não preenchido! (ACC01)</t>
        </is>
      </c>
      <c r="AK438" s="6" t="inlineStr">
        <is>
          <t>ARGO(TMS)</t>
        </is>
      </c>
      <c r="AL438" s="6" t="inlineStr">
        <is>
          <t>Empenho/departamento</t>
        </is>
      </c>
      <c r="AM438" s="6" t="inlineStr">
        <is>
          <t>Falta de informação Gerencial</t>
        </is>
      </c>
      <c r="AN438" s="6" t="inlineStr">
        <is>
          <t>Dados do Fornecedor</t>
        </is>
      </c>
      <c r="AO438" s="6" t="inlineStr">
        <is>
          <t>Qualidade dos dados</t>
        </is>
      </c>
      <c r="AP438" s="6" t="inlineStr">
        <is>
          <t>KONTIK BUSINESS TRAVEL</t>
        </is>
      </c>
      <c r="AQ438" s="6" t="inlineStr">
        <is>
          <t>Operações - CORP</t>
        </is>
      </c>
    </row>
    <row r="439">
      <c r="A439" s="6" t="n">
        <v>23380114</v>
      </c>
      <c r="B439" s="6" t="n">
        <v>24103800</v>
      </c>
      <c r="C439" s="6" t="inlineStr">
        <is>
          <t>ACC01</t>
        </is>
      </c>
      <c r="D439" s="58" t="n">
        <v>45985.69278935185</v>
      </c>
      <c r="E439" s="58" t="n">
        <v>45985.69872685185</v>
      </c>
      <c r="F439" s="6" t="inlineStr">
        <is>
          <t>0 a 02 dias</t>
        </is>
      </c>
      <c r="G439" s="6" t="inlineStr">
        <is>
          <t>0 a 02 dias</t>
        </is>
      </c>
      <c r="H439" s="6" t="inlineStr">
        <is>
          <t>5UTS3S</t>
        </is>
      </c>
      <c r="I439" s="6" t="inlineStr">
        <is>
          <t>TMS</t>
        </is>
      </c>
      <c r="J439" s="6" t="inlineStr">
        <is>
          <t>MAX MOREIRA</t>
        </is>
      </c>
      <c r="K439" s="6" t="inlineStr">
        <is>
          <t>Mauricio Almeida de Lima</t>
        </is>
      </c>
      <c r="L439" s="6" t="inlineStr">
        <is>
          <t>Mauricio Almeida de Lima</t>
        </is>
      </c>
      <c r="M439" s="58" t="n">
        <v>45985.48402777778</v>
      </c>
      <c r="N439" s="6" t="n">
        <v>96900</v>
      </c>
      <c r="O439" s="6" t="inlineStr">
        <is>
          <t>-</t>
        </is>
      </c>
      <c r="P439" s="6" t="inlineStr">
        <is>
          <t>OFF LINE</t>
        </is>
      </c>
      <c r="Q439" s="6" t="inlineStr">
        <is>
          <t>Pagamento direto</t>
        </is>
      </c>
      <c r="R439" s="6" t="inlineStr">
        <is>
          <t>Pagamento direto</t>
        </is>
      </c>
      <c r="S439" s="6" t="inlineStr">
        <is>
          <t>Hotel</t>
        </is>
      </c>
      <c r="T439" s="6" t="inlineStr">
        <is>
          <t>N</t>
        </is>
      </c>
      <c r="U439" s="6" t="inlineStr">
        <is>
          <t>Grupo Ache</t>
        </is>
      </c>
      <c r="V439" s="6" t="inlineStr">
        <is>
          <t>Ache Laboratorios Farmaceuticos Sa</t>
        </is>
      </c>
      <c r="W439" s="6" t="inlineStr">
        <is>
          <t>-</t>
        </is>
      </c>
      <c r="X439" s="6" t="inlineStr">
        <is>
          <t>Ibis Bacabal</t>
        </is>
      </c>
      <c r="Y439" s="6" t="inlineStr">
        <is>
          <t>-</t>
        </is>
      </c>
      <c r="Z439" s="6" t="inlineStr">
        <is>
          <t>KON-OPE-SAO-PVI-ACHE</t>
        </is>
      </c>
      <c r="AA439" s="6" t="inlineStr">
        <is>
          <t>-</t>
        </is>
      </c>
      <c r="AB439" s="6" t="n">
        <v>439.98</v>
      </c>
      <c r="AC439" s="6" t="n">
        <v>0</v>
      </c>
      <c r="AD439" s="6" t="n">
        <v>0</v>
      </c>
      <c r="AE439" s="6" t="n">
        <v>0</v>
      </c>
      <c r="AF439" s="6" t="n">
        <v>0</v>
      </c>
      <c r="AG439" s="6" t="n">
        <v>22</v>
      </c>
      <c r="AH439" s="6" t="n">
        <v>0</v>
      </c>
      <c r="AI439" s="6" t="inlineStr">
        <is>
          <t>Reserva importada do Sistema TMS. OS: 96900</t>
        </is>
      </c>
      <c r="AJ439" s="6" t="inlineStr">
        <is>
          <t>Empenho/departamento não preenchido! (ACC01)</t>
        </is>
      </c>
      <c r="AK439" s="6" t="inlineStr">
        <is>
          <t>ARGO(TMS)</t>
        </is>
      </c>
      <c r="AL439" s="6" t="inlineStr">
        <is>
          <t>Empenho/departamento</t>
        </is>
      </c>
      <c r="AM439" s="6" t="inlineStr">
        <is>
          <t>Falta de informação Gerencial</t>
        </is>
      </c>
      <c r="AN439" s="6" t="inlineStr">
        <is>
          <t>Dados do Fornecedor</t>
        </is>
      </c>
      <c r="AO439" s="6" t="inlineStr">
        <is>
          <t>Qualidade dos dados</t>
        </is>
      </c>
      <c r="AP439" s="6" t="inlineStr">
        <is>
          <t>KONTIK BUSINESS TRAVEL</t>
        </is>
      </c>
      <c r="AQ439" s="6" t="inlineStr">
        <is>
          <t>Operações - CORP</t>
        </is>
      </c>
    </row>
    <row r="440">
      <c r="A440" s="6" t="n">
        <v>23380101</v>
      </c>
      <c r="B440" s="6" t="n">
        <v>24103786</v>
      </c>
      <c r="C440" s="6" t="inlineStr">
        <is>
          <t>ACC01</t>
        </is>
      </c>
      <c r="D440" s="58" t="n">
        <v>45985.69255787037</v>
      </c>
      <c r="E440" s="58" t="n">
        <v>45985.69814814815</v>
      </c>
      <c r="F440" s="6" t="inlineStr">
        <is>
          <t>0 a 02 dias</t>
        </is>
      </c>
      <c r="G440" s="6" t="inlineStr">
        <is>
          <t>0 a 02 dias</t>
        </is>
      </c>
      <c r="H440" s="6" t="inlineStr">
        <is>
          <t>5URQDX</t>
        </is>
      </c>
      <c r="I440" s="6" t="inlineStr">
        <is>
          <t>TMS</t>
        </is>
      </c>
      <c r="J440" s="6" t="inlineStr">
        <is>
          <t>ANA PATRICIA RODRIGUES</t>
        </is>
      </c>
      <c r="K440" s="6" t="inlineStr">
        <is>
          <t>Mauricio Almeida de Lima</t>
        </is>
      </c>
      <c r="L440" s="6" t="inlineStr">
        <is>
          <t>Mauricio Almeida de Lima</t>
        </is>
      </c>
      <c r="M440" s="58" t="n">
        <v>45985.47430555556</v>
      </c>
      <c r="N440" s="6" t="n">
        <v>96946</v>
      </c>
      <c r="O440" s="6" t="inlineStr">
        <is>
          <t>-</t>
        </is>
      </c>
      <c r="P440" s="6" t="inlineStr">
        <is>
          <t>OFF LINE</t>
        </is>
      </c>
      <c r="Q440" s="6" t="inlineStr">
        <is>
          <t>Pagamento direto</t>
        </is>
      </c>
      <c r="R440" s="6" t="inlineStr">
        <is>
          <t>Pagamento direto</t>
        </is>
      </c>
      <c r="S440" s="6" t="inlineStr">
        <is>
          <t>Hotel</t>
        </is>
      </c>
      <c r="T440" s="6" t="inlineStr">
        <is>
          <t>N</t>
        </is>
      </c>
      <c r="U440" s="6" t="inlineStr">
        <is>
          <t>Grupo Ache</t>
        </is>
      </c>
      <c r="V440" s="6" t="inlineStr">
        <is>
          <t>Ache Laboratorios Farmaceuticos Sa</t>
        </is>
      </c>
      <c r="W440" s="6" t="inlineStr">
        <is>
          <t>-</t>
        </is>
      </c>
      <c r="X440" s="6" t="inlineStr">
        <is>
          <t>Nobile Hotel Araripina</t>
        </is>
      </c>
      <c r="Y440" s="6" t="inlineStr">
        <is>
          <t>-</t>
        </is>
      </c>
      <c r="Z440" s="6" t="inlineStr">
        <is>
          <t>KON-OPE-SAO-PVI-ACHE</t>
        </is>
      </c>
      <c r="AA440" s="6" t="inlineStr">
        <is>
          <t>-</t>
        </is>
      </c>
      <c r="AB440" s="6" t="n">
        <v>480</v>
      </c>
      <c r="AC440" s="6" t="n">
        <v>0</v>
      </c>
      <c r="AD440" s="6" t="n">
        <v>0</v>
      </c>
      <c r="AE440" s="6" t="n">
        <v>0</v>
      </c>
      <c r="AF440" s="6" t="n">
        <v>0</v>
      </c>
      <c r="AG440" s="6" t="n">
        <v>0</v>
      </c>
      <c r="AH440" s="6" t="n">
        <v>0</v>
      </c>
      <c r="AI440" s="6" t="inlineStr">
        <is>
          <t>Reserva importada do Sistema TMS. OS: 96946</t>
        </is>
      </c>
      <c r="AJ440" s="6" t="inlineStr">
        <is>
          <t>Empenho/departamento não preenchido! (ACC01)</t>
        </is>
      </c>
      <c r="AK440" s="6" t="inlineStr">
        <is>
          <t>ARGO(TMS)</t>
        </is>
      </c>
      <c r="AL440" s="6" t="inlineStr">
        <is>
          <t>Empenho/departamento</t>
        </is>
      </c>
      <c r="AM440" s="6" t="inlineStr">
        <is>
          <t>Falta de informação Gerencial</t>
        </is>
      </c>
      <c r="AN440" s="6" t="inlineStr">
        <is>
          <t>Dados do Fornecedor</t>
        </is>
      </c>
      <c r="AO440" s="6" t="inlineStr">
        <is>
          <t>Qualidade dos dados</t>
        </is>
      </c>
      <c r="AP440" s="6" t="inlineStr">
        <is>
          <t>KONTIK BUSINESS TRAVEL</t>
        </is>
      </c>
      <c r="AQ440" s="6" t="inlineStr">
        <is>
          <t>Operações - CORP</t>
        </is>
      </c>
    </row>
    <row r="441">
      <c r="A441" s="6" t="n">
        <v>23380103</v>
      </c>
      <c r="B441" s="6" t="n">
        <v>24103788</v>
      </c>
      <c r="C441" s="6" t="inlineStr">
        <is>
          <t>ACC01</t>
        </is>
      </c>
      <c r="D441" s="58" t="n">
        <v>45985.69258101852</v>
      </c>
      <c r="E441" s="58" t="n">
        <v>45985.69833333333</v>
      </c>
      <c r="F441" s="6" t="inlineStr">
        <is>
          <t>0 a 02 dias</t>
        </is>
      </c>
      <c r="G441" s="6" t="inlineStr">
        <is>
          <t>0 a 02 dias</t>
        </is>
      </c>
      <c r="H441" s="6" t="inlineStr">
        <is>
          <t>5UGZDX</t>
        </is>
      </c>
      <c r="I441" s="6" t="inlineStr">
        <is>
          <t>TMS</t>
        </is>
      </c>
      <c r="J441" s="6" t="inlineStr">
        <is>
          <t>HELEN SANTOS</t>
        </is>
      </c>
      <c r="K441" s="6" t="inlineStr">
        <is>
          <t>Mauricio Almeida de Lima</t>
        </is>
      </c>
      <c r="L441" s="6" t="inlineStr">
        <is>
          <t>Mauricio Almeida de Lima</t>
        </is>
      </c>
      <c r="M441" s="58" t="n">
        <v>45985.46805555555</v>
      </c>
      <c r="N441" s="6" t="n">
        <v>96942</v>
      </c>
      <c r="O441" s="6" t="inlineStr">
        <is>
          <t>-</t>
        </is>
      </c>
      <c r="P441" s="6" t="inlineStr">
        <is>
          <t>OFF LINE</t>
        </is>
      </c>
      <c r="Q441" s="6" t="inlineStr">
        <is>
          <t>Invoice</t>
        </is>
      </c>
      <c r="R441" s="6" t="inlineStr">
        <is>
          <t>Faturado</t>
        </is>
      </c>
      <c r="S441" s="6" t="inlineStr">
        <is>
          <t>Hotel</t>
        </is>
      </c>
      <c r="T441" s="6" t="inlineStr">
        <is>
          <t>N</t>
        </is>
      </c>
      <c r="U441" s="6" t="inlineStr">
        <is>
          <t>Grupo Ache</t>
        </is>
      </c>
      <c r="V441" s="6" t="inlineStr">
        <is>
          <t>Ache Laboratorios Farmaceuticos Sa</t>
        </is>
      </c>
      <c r="W441" s="6" t="inlineStr">
        <is>
          <t>-</t>
        </is>
      </c>
      <c r="X441" s="6" t="inlineStr">
        <is>
          <t>Nobile Inn London Anapolis</t>
        </is>
      </c>
      <c r="Y441" s="6" t="inlineStr">
        <is>
          <t>-</t>
        </is>
      </c>
      <c r="Z441" s="6" t="inlineStr">
        <is>
          <t>KON-OPE-SAO-PVI-ACHE</t>
        </is>
      </c>
      <c r="AA441" s="6" t="inlineStr">
        <is>
          <t>-</t>
        </is>
      </c>
      <c r="AB441" s="6" t="n">
        <v>2860</v>
      </c>
      <c r="AC441" s="6" t="n">
        <v>0</v>
      </c>
      <c r="AD441" s="6" t="n">
        <v>0</v>
      </c>
      <c r="AE441" s="6" t="n">
        <v>0</v>
      </c>
      <c r="AF441" s="6" t="n">
        <v>0</v>
      </c>
      <c r="AG441" s="6" t="n">
        <v>343.2</v>
      </c>
      <c r="AH441" s="6" t="n">
        <v>0</v>
      </c>
      <c r="AI441" s="6" t="inlineStr">
        <is>
          <t>Reserva importada do Sistema TMS. OS: 96942</t>
        </is>
      </c>
      <c r="AJ441" s="6" t="inlineStr">
        <is>
          <t>Empenho/departamento não preenchido! (ACC01)</t>
        </is>
      </c>
      <c r="AK441" s="6" t="inlineStr">
        <is>
          <t>ARGO(TMS)</t>
        </is>
      </c>
      <c r="AL441" s="6" t="inlineStr">
        <is>
          <t>Empenho/departamento</t>
        </is>
      </c>
      <c r="AM441" s="6" t="inlineStr">
        <is>
          <t>Falta de informação Gerencial</t>
        </is>
      </c>
      <c r="AN441" s="6" t="inlineStr">
        <is>
          <t>Dados do Fornecedor</t>
        </is>
      </c>
      <c r="AO441" s="6" t="inlineStr">
        <is>
          <t>Qualidade dos dados</t>
        </is>
      </c>
      <c r="AP441" s="6" t="inlineStr">
        <is>
          <t>KONTIK BUSINESS TRAVEL</t>
        </is>
      </c>
      <c r="AQ441" s="6" t="inlineStr">
        <is>
          <t>Operações - CORP</t>
        </is>
      </c>
    </row>
    <row r="442">
      <c r="A442" s="6" t="n">
        <v>23382415</v>
      </c>
      <c r="B442" s="6" t="n">
        <v>24106116</v>
      </c>
      <c r="C442" s="6" t="inlineStr">
        <is>
          <t>ACC01</t>
        </is>
      </c>
      <c r="D442" s="58" t="n">
        <v>45985.94650462963</v>
      </c>
      <c r="E442" s="58" t="n">
        <v>45985.95207175926</v>
      </c>
      <c r="F442" s="6" t="inlineStr">
        <is>
          <t>0 a 02 dias</t>
        </is>
      </c>
      <c r="G442" s="6" t="inlineStr">
        <is>
          <t>0 a 02 dias</t>
        </is>
      </c>
      <c r="H442" s="6" t="inlineStr">
        <is>
          <t>5UWQPE</t>
        </is>
      </c>
      <c r="I442" s="6" t="inlineStr">
        <is>
          <t>TMS</t>
        </is>
      </c>
      <c r="J442" s="6" t="inlineStr">
        <is>
          <t>PATRICIA ANJOS</t>
        </is>
      </c>
      <c r="K442" s="6" t="inlineStr">
        <is>
          <t>Camila Martines Ruis de Lima</t>
        </is>
      </c>
      <c r="L442" s="6" t="inlineStr">
        <is>
          <t>Camila Martines Ruis de Lima</t>
        </is>
      </c>
      <c r="M442" s="58" t="n">
        <v>45985.80694444444</v>
      </c>
      <c r="N442" s="6" t="n">
        <v>95661</v>
      </c>
      <c r="O442" s="6" t="inlineStr">
        <is>
          <t>-</t>
        </is>
      </c>
      <c r="P442" s="6" t="inlineStr">
        <is>
          <t>OFF LINE</t>
        </is>
      </c>
      <c r="Q442" s="6" t="inlineStr">
        <is>
          <t>Invoice</t>
        </is>
      </c>
      <c r="R442" s="6" t="inlineStr">
        <is>
          <t>Faturado</t>
        </is>
      </c>
      <c r="S442" s="6" t="inlineStr">
        <is>
          <t>Hotel</t>
        </is>
      </c>
      <c r="T442" s="6" t="inlineStr">
        <is>
          <t>N</t>
        </is>
      </c>
      <c r="U442" s="6" t="inlineStr">
        <is>
          <t>Grupo Ache</t>
        </is>
      </c>
      <c r="V442" s="6" t="inlineStr">
        <is>
          <t>Ache Laboratorios Farmaceuticos Sa</t>
        </is>
      </c>
      <c r="W442" s="6" t="inlineStr">
        <is>
          <t>-</t>
        </is>
      </c>
      <c r="X442" s="6" t="inlineStr">
        <is>
          <t>Hotel Saint Moritz Hplus Express</t>
        </is>
      </c>
      <c r="Y442" s="6" t="inlineStr">
        <is>
          <t>-</t>
        </is>
      </c>
      <c r="Z442" s="6" t="inlineStr">
        <is>
          <t>KON-OPE-SAO-PVI-ACHE</t>
        </is>
      </c>
      <c r="AA442" s="6" t="inlineStr">
        <is>
          <t>-</t>
        </is>
      </c>
      <c r="AB442" s="6" t="n">
        <v>1635</v>
      </c>
      <c r="AC442" s="6" t="n">
        <v>0</v>
      </c>
      <c r="AD442" s="6" t="n">
        <v>0</v>
      </c>
      <c r="AE442" s="6" t="n">
        <v>0</v>
      </c>
      <c r="AF442" s="6" t="n">
        <v>0</v>
      </c>
      <c r="AG442" s="6" t="n">
        <v>0</v>
      </c>
      <c r="AH442" s="6" t="n">
        <v>0</v>
      </c>
      <c r="AI442" s="6" t="inlineStr">
        <is>
          <t>Reserva importada do Sistema TMS. OS: 95661</t>
        </is>
      </c>
      <c r="AJ442" s="6" t="inlineStr">
        <is>
          <t>Empenho/departamento não preenchido! (ACC01)</t>
        </is>
      </c>
      <c r="AK442" s="6" t="inlineStr">
        <is>
          <t>ARGO(TMS)</t>
        </is>
      </c>
      <c r="AL442" s="6" t="inlineStr">
        <is>
          <t>Empenho/departamento</t>
        </is>
      </c>
      <c r="AM442" s="6" t="inlineStr">
        <is>
          <t>Falta de informação Gerencial</t>
        </is>
      </c>
      <c r="AN442" s="6" t="inlineStr">
        <is>
          <t>Dados do Fornecedor</t>
        </is>
      </c>
      <c r="AO442" s="6" t="inlineStr">
        <is>
          <t>Qualidade dos dados</t>
        </is>
      </c>
      <c r="AP442" s="6" t="inlineStr">
        <is>
          <t>KONTIK BUSINESS TRAVEL</t>
        </is>
      </c>
      <c r="AQ442" s="6" t="inlineStr">
        <is>
          <t>Operações - CORP</t>
        </is>
      </c>
    </row>
    <row r="443">
      <c r="A443" s="6" t="n">
        <v>23382382</v>
      </c>
      <c r="B443" s="6" t="n">
        <v>24106085</v>
      </c>
      <c r="C443" s="6" t="inlineStr">
        <is>
          <t>ACC01</t>
        </is>
      </c>
      <c r="D443" s="58" t="n">
        <v>45985.94560185185</v>
      </c>
      <c r="E443" s="58" t="n">
        <v>45985.94895833333</v>
      </c>
      <c r="F443" s="6" t="inlineStr">
        <is>
          <t>0 a 02 dias</t>
        </is>
      </c>
      <c r="G443" s="6" t="inlineStr">
        <is>
          <t>0 a 02 dias</t>
        </is>
      </c>
      <c r="H443" s="6" t="inlineStr">
        <is>
          <t>SQKVFX</t>
        </is>
      </c>
      <c r="I443" s="6" t="inlineStr">
        <is>
          <t>TMS</t>
        </is>
      </c>
      <c r="J443" s="6" t="inlineStr">
        <is>
          <t>ELTON JORGE</t>
        </is>
      </c>
      <c r="K443" s="6" t="inlineStr">
        <is>
          <t>Wellington Ribeiro da Silva</t>
        </is>
      </c>
      <c r="L443" s="6" t="inlineStr">
        <is>
          <t>Wellington Ribeiro da Silva</t>
        </is>
      </c>
      <c r="M443" s="58" t="n">
        <v>45985.90416666667</v>
      </c>
      <c r="N443" s="6" t="n">
        <v>97090</v>
      </c>
      <c r="O443" s="6" t="inlineStr">
        <is>
          <t>-</t>
        </is>
      </c>
      <c r="P443" s="6" t="inlineStr">
        <is>
          <t>ON LINE</t>
        </is>
      </c>
      <c r="Q443" s="6" t="inlineStr">
        <is>
          <t>Cartão de crédito</t>
        </is>
      </c>
      <c r="R443" s="6" t="inlineStr">
        <is>
          <t>Cartão de crédito</t>
        </is>
      </c>
      <c r="S443" s="6" t="inlineStr">
        <is>
          <t>Aéreo</t>
        </is>
      </c>
      <c r="T443" s="6" t="inlineStr">
        <is>
          <t>N</t>
        </is>
      </c>
      <c r="U443" s="6" t="inlineStr">
        <is>
          <t>Grupo Ache</t>
        </is>
      </c>
      <c r="V443" s="6" t="inlineStr">
        <is>
          <t>Ache Laboratorios Farmaceuticos Sa</t>
        </is>
      </c>
      <c r="W443" s="6" t="inlineStr">
        <is>
          <t>-</t>
        </is>
      </c>
      <c r="X443" s="6" t="inlineStr">
        <is>
          <t>Azul Linhas Aereas</t>
        </is>
      </c>
      <c r="Y443" s="6" t="n">
        <v>3024106084</v>
      </c>
      <c r="Z443" s="6" t="inlineStr">
        <is>
          <t>KON-OPE-SAO-PVI-ACHE</t>
        </is>
      </c>
      <c r="AA443" s="6" t="inlineStr">
        <is>
          <t>-</t>
        </is>
      </c>
      <c r="AB443" s="6" t="n">
        <v>724.5599999999999</v>
      </c>
      <c r="AC443" s="6" t="n">
        <v>91.12</v>
      </c>
      <c r="AD443" s="6" t="n">
        <v>0</v>
      </c>
      <c r="AE443" s="6" t="n">
        <v>0</v>
      </c>
      <c r="AF443" s="6" t="n">
        <v>0</v>
      </c>
      <c r="AG443" s="6" t="n">
        <v>0</v>
      </c>
      <c r="AH443" s="6" t="n">
        <v>0</v>
      </c>
      <c r="AI443" s="6" t="inlineStr">
        <is>
          <t>Reserva importada do Sistema TMS. OS: 97090</t>
        </is>
      </c>
      <c r="AJ443" s="6" t="inlineStr">
        <is>
          <t>Empenho/departamento não preenchido! (ACC01)</t>
        </is>
      </c>
      <c r="AK443" s="6" t="inlineStr">
        <is>
          <t>ARGO(TMS)</t>
        </is>
      </c>
      <c r="AL443" s="6" t="inlineStr">
        <is>
          <t>Empenho/departamento</t>
        </is>
      </c>
      <c r="AM443" s="6" t="inlineStr">
        <is>
          <t>Falta de informação Gerencial</t>
        </is>
      </c>
      <c r="AN443" s="6" t="inlineStr">
        <is>
          <t>Dados do Fornecedor</t>
        </is>
      </c>
      <c r="AO443" s="6" t="inlineStr">
        <is>
          <t>Qualidade dos dados</t>
        </is>
      </c>
      <c r="AP443" s="6" t="inlineStr">
        <is>
          <t>GRUPO KONTIK</t>
        </is>
      </c>
      <c r="AQ443" s="6" t="inlineStr">
        <is>
          <t>Central de Emissão</t>
        </is>
      </c>
    </row>
    <row r="444">
      <c r="A444" s="6" t="n">
        <v>23266636</v>
      </c>
      <c r="B444" s="6" t="n">
        <v>23999155</v>
      </c>
      <c r="C444" s="6" t="inlineStr">
        <is>
          <t>ACC01</t>
        </is>
      </c>
      <c r="D444" s="58" t="n">
        <v>45966.93722222222</v>
      </c>
      <c r="E444" s="58" t="n">
        <v>45967.55276620371</v>
      </c>
      <c r="F444" s="59" t="inlineStr">
        <is>
          <t>16 a 23 dias</t>
        </is>
      </c>
      <c r="G444" s="59" t="inlineStr">
        <is>
          <t>16 a 23 dias</t>
        </is>
      </c>
      <c r="H444" s="6" t="inlineStr">
        <is>
          <t>5REOJC</t>
        </is>
      </c>
      <c r="I444" s="6" t="inlineStr">
        <is>
          <t>TMS</t>
        </is>
      </c>
      <c r="J444" s="6" t="inlineStr">
        <is>
          <t>TIAGO MONTEIRO</t>
        </is>
      </c>
      <c r="K444" s="6" t="inlineStr">
        <is>
          <t>Ariane de Sousa Farias</t>
        </is>
      </c>
      <c r="L444" s="6" t="inlineStr">
        <is>
          <t>Ariane de Sousa Farias</t>
        </is>
      </c>
      <c r="M444" s="58" t="n">
        <v>45966.7625</v>
      </c>
      <c r="N444" s="6" t="n">
        <v>94375</v>
      </c>
      <c r="O444" s="6" t="inlineStr">
        <is>
          <t>-</t>
        </is>
      </c>
      <c r="P444" s="6" t="inlineStr">
        <is>
          <t>OFF LINE</t>
        </is>
      </c>
      <c r="Q444" s="6" t="inlineStr">
        <is>
          <t>Pagamento direto</t>
        </is>
      </c>
      <c r="R444" s="6" t="inlineStr">
        <is>
          <t>Pagamento direto</t>
        </is>
      </c>
      <c r="S444" s="6" t="inlineStr">
        <is>
          <t>Hotel</t>
        </is>
      </c>
      <c r="T444" s="6" t="inlineStr">
        <is>
          <t>N</t>
        </is>
      </c>
      <c r="U444" s="6" t="inlineStr">
        <is>
          <t>Grupo Ache</t>
        </is>
      </c>
      <c r="V444" s="6" t="inlineStr">
        <is>
          <t>Ache Laboratorios Farmaceuticos Sa</t>
        </is>
      </c>
      <c r="W444" s="6" t="inlineStr">
        <is>
          <t>-</t>
        </is>
      </c>
      <c r="X444" s="6" t="inlineStr">
        <is>
          <t>FORMOSA HOTEL LTDA</t>
        </is>
      </c>
      <c r="Y444" s="6" t="inlineStr">
        <is>
          <t>-</t>
        </is>
      </c>
      <c r="Z444" s="6" t="inlineStr">
        <is>
          <t>KON-OPE-SAO-PVI-ACHE</t>
        </is>
      </c>
      <c r="AA444" s="6" t="inlineStr">
        <is>
          <t>-</t>
        </is>
      </c>
      <c r="AB444" s="6" t="n">
        <v>190</v>
      </c>
      <c r="AC444" s="6" t="n">
        <v>0</v>
      </c>
      <c r="AD444" s="6" t="n">
        <v>0</v>
      </c>
      <c r="AE444" s="6" t="n">
        <v>0</v>
      </c>
      <c r="AF444" s="6" t="n">
        <v>0</v>
      </c>
      <c r="AG444" s="6" t="n">
        <v>0</v>
      </c>
      <c r="AH444" s="6" t="n">
        <v>0</v>
      </c>
      <c r="AI444" s="6" t="inlineStr">
        <is>
          <t>Reserva importada do Sistema TMS. OS: 94375</t>
        </is>
      </c>
      <c r="AJ444" s="6" t="inlineStr">
        <is>
          <t xml:space="preserve">Não foi possível encontrar um contrato válido para o fornecedor 728825 (Código fornecedor) </t>
        </is>
      </c>
      <c r="AK444" s="6" t="inlineStr">
        <is>
          <t>ARGO(TMS)</t>
        </is>
      </c>
      <c r="AL444" s="6" t="inlineStr">
        <is>
          <t>Contrato de fornecedor</t>
        </is>
      </c>
      <c r="AM444" s="6" t="inlineStr">
        <is>
          <t>Análise Cadastro</t>
        </is>
      </c>
      <c r="AN444" s="6" t="inlineStr">
        <is>
          <t>Dados do Fornecedor</t>
        </is>
      </c>
      <c r="AO444" s="6" t="inlineStr">
        <is>
          <t>Qualidade dos dados</t>
        </is>
      </c>
      <c r="AP444" s="6" t="inlineStr">
        <is>
          <t>KONTIK BUSINESS TRAVEL</t>
        </is>
      </c>
      <c r="AQ444" s="6" t="inlineStr">
        <is>
          <t>Suporte KCS</t>
        </is>
      </c>
    </row>
    <row r="445">
      <c r="A445" s="6" t="n">
        <v>23380133</v>
      </c>
      <c r="B445" s="6" t="n">
        <v>24103824</v>
      </c>
      <c r="C445" s="6" t="inlineStr">
        <is>
          <t>ACC01</t>
        </is>
      </c>
      <c r="D445" s="58" t="n">
        <v>45985.69314814815</v>
      </c>
      <c r="E445" s="58" t="n">
        <v>45985.70186342593</v>
      </c>
      <c r="F445" s="6" t="inlineStr">
        <is>
          <t>0 a 02 dias</t>
        </is>
      </c>
      <c r="G445" s="6" t="inlineStr">
        <is>
          <t>0 a 02 dias</t>
        </is>
      </c>
      <c r="H445" s="6" t="inlineStr">
        <is>
          <t>5U3432</t>
        </is>
      </c>
      <c r="I445" s="6" t="inlineStr">
        <is>
          <t>TMS</t>
        </is>
      </c>
      <c r="J445" s="6" t="inlineStr">
        <is>
          <t>SAMYA FAUSTINO</t>
        </is>
      </c>
      <c r="K445" s="6" t="inlineStr">
        <is>
          <t>Ariane de Sousa Farias</t>
        </is>
      </c>
      <c r="L445" s="6" t="inlineStr">
        <is>
          <t>Ariane de Sousa Farias</t>
        </is>
      </c>
      <c r="M445" s="58" t="n">
        <v>45985.68472222222</v>
      </c>
      <c r="N445" s="6" t="n">
        <v>96577</v>
      </c>
      <c r="O445" s="6" t="inlineStr">
        <is>
          <t>-</t>
        </is>
      </c>
      <c r="P445" s="6" t="inlineStr">
        <is>
          <t>OFF LINE</t>
        </is>
      </c>
      <c r="Q445" s="6" t="inlineStr">
        <is>
          <t>Pagamento direto</t>
        </is>
      </c>
      <c r="R445" s="6" t="inlineStr">
        <is>
          <t>Pagamento direto</t>
        </is>
      </c>
      <c r="S445" s="6" t="inlineStr">
        <is>
          <t>Hotel</t>
        </is>
      </c>
      <c r="T445" s="6" t="inlineStr">
        <is>
          <t>N</t>
        </is>
      </c>
      <c r="U445" s="6" t="inlineStr">
        <is>
          <t>Grupo Ache</t>
        </is>
      </c>
      <c r="V445" s="6" t="inlineStr">
        <is>
          <t>Ache Laboratorios Farmaceuticos Sa</t>
        </is>
      </c>
      <c r="W445" s="6" t="inlineStr">
        <is>
          <t>-</t>
        </is>
      </c>
      <c r="X445" s="6" t="inlineStr">
        <is>
          <t>Hotel Goiano</t>
        </is>
      </c>
      <c r="Y445" s="6" t="inlineStr">
        <is>
          <t>-</t>
        </is>
      </c>
      <c r="Z445" s="6" t="inlineStr">
        <is>
          <t>KON-OPE-SAO-PVI-ACHE</t>
        </is>
      </c>
      <c r="AA445" s="6" t="inlineStr">
        <is>
          <t>-</t>
        </is>
      </c>
      <c r="AB445" s="6" t="n">
        <v>200</v>
      </c>
      <c r="AC445" s="6" t="n">
        <v>0</v>
      </c>
      <c r="AD445" s="6" t="n">
        <v>0</v>
      </c>
      <c r="AE445" s="6" t="n">
        <v>0</v>
      </c>
      <c r="AF445" s="6" t="n">
        <v>0</v>
      </c>
      <c r="AG445" s="6" t="n">
        <v>0</v>
      </c>
      <c r="AH445" s="6" t="n">
        <v>0</v>
      </c>
      <c r="AI445" s="6" t="inlineStr">
        <is>
          <t>Reserva importada do Sistema TMS. OS: 96577</t>
        </is>
      </c>
      <c r="AJ445" s="6" t="inlineStr">
        <is>
          <t>Empenho/departamento não preenchido! (ACC01)</t>
        </is>
      </c>
      <c r="AK445" s="6" t="inlineStr">
        <is>
          <t>ARGO(TMS)</t>
        </is>
      </c>
      <c r="AL445" s="6" t="inlineStr">
        <is>
          <t>Empenho/departamento</t>
        </is>
      </c>
      <c r="AM445" s="6" t="inlineStr">
        <is>
          <t>Falta de informação Gerencial</t>
        </is>
      </c>
      <c r="AN445" s="6" t="inlineStr">
        <is>
          <t>Dados do Fornecedor</t>
        </is>
      </c>
      <c r="AO445" s="6" t="inlineStr">
        <is>
          <t>Qualidade dos dados</t>
        </is>
      </c>
      <c r="AP445" s="6" t="inlineStr">
        <is>
          <t>KONTIK BUSINESS TRAVEL</t>
        </is>
      </c>
      <c r="AQ445" s="6" t="inlineStr">
        <is>
          <t>Operações - CORP</t>
        </is>
      </c>
    </row>
    <row r="446">
      <c r="A446" s="6" t="n">
        <v>23380143</v>
      </c>
      <c r="B446" s="6" t="n">
        <v>24103835</v>
      </c>
      <c r="C446" s="6" t="inlineStr">
        <is>
          <t>ACC01</t>
        </is>
      </c>
      <c r="D446" s="58" t="n">
        <v>45985.69334490741</v>
      </c>
      <c r="E446" s="58" t="n">
        <v>45985.70556712963</v>
      </c>
      <c r="F446" s="6" t="inlineStr">
        <is>
          <t>0 a 02 dias</t>
        </is>
      </c>
      <c r="G446" s="6" t="inlineStr">
        <is>
          <t>0 a 02 dias</t>
        </is>
      </c>
      <c r="H446" s="6" t="inlineStr">
        <is>
          <t>5U3TDX</t>
        </is>
      </c>
      <c r="I446" s="6" t="inlineStr">
        <is>
          <t>TMS</t>
        </is>
      </c>
      <c r="J446" s="6" t="inlineStr">
        <is>
          <t>MARCIA FREZZOLINO</t>
        </is>
      </c>
      <c r="K446" s="6" t="inlineStr">
        <is>
          <t>Ariane de Sousa Farias</t>
        </is>
      </c>
      <c r="L446" s="6" t="inlineStr">
        <is>
          <t>Ariane de Sousa Farias</t>
        </is>
      </c>
      <c r="M446" s="58" t="n">
        <v>45985.60486111111</v>
      </c>
      <c r="N446" s="6" t="n">
        <v>95993</v>
      </c>
      <c r="O446" s="6" t="inlineStr">
        <is>
          <t>-</t>
        </is>
      </c>
      <c r="P446" s="6" t="inlineStr">
        <is>
          <t>OFF LINE</t>
        </is>
      </c>
      <c r="Q446" s="6" t="inlineStr">
        <is>
          <t>Pagamento direto</t>
        </is>
      </c>
      <c r="R446" s="6" t="inlineStr">
        <is>
          <t>Pagamento direto</t>
        </is>
      </c>
      <c r="S446" s="6" t="inlineStr">
        <is>
          <t>Hotel</t>
        </is>
      </c>
      <c r="T446" s="6" t="inlineStr">
        <is>
          <t>N</t>
        </is>
      </c>
      <c r="U446" s="6" t="inlineStr">
        <is>
          <t>Grupo Ache</t>
        </is>
      </c>
      <c r="V446" s="6" t="inlineStr">
        <is>
          <t>Ache Laboratorios Farmaceuticos Sa</t>
        </is>
      </c>
      <c r="W446" s="6" t="inlineStr">
        <is>
          <t>-</t>
        </is>
      </c>
      <c r="X446" s="6" t="inlineStr">
        <is>
          <t>Hotel Sao Pedro</t>
        </is>
      </c>
      <c r="Y446" s="6" t="inlineStr">
        <is>
          <t>-</t>
        </is>
      </c>
      <c r="Z446" s="6" t="inlineStr">
        <is>
          <t>KON-OPE-SAO-PVI-ACHE</t>
        </is>
      </c>
      <c r="AA446" s="6" t="inlineStr">
        <is>
          <t>-</t>
        </is>
      </c>
      <c r="AB446" s="6" t="n">
        <v>198.9</v>
      </c>
      <c r="AC446" s="6" t="n">
        <v>0</v>
      </c>
      <c r="AD446" s="6" t="n">
        <v>0</v>
      </c>
      <c r="AE446" s="6" t="n">
        <v>0</v>
      </c>
      <c r="AF446" s="6" t="n">
        <v>0</v>
      </c>
      <c r="AG446" s="6" t="n">
        <v>0</v>
      </c>
      <c r="AH446" s="6" t="n">
        <v>0</v>
      </c>
      <c r="AI446" s="6" t="inlineStr">
        <is>
          <t>Reserva importada do Sistema TMS. OS: 95993</t>
        </is>
      </c>
      <c r="AJ446" s="6" t="inlineStr">
        <is>
          <t>Empenho/departamento não preenchido! (ACC01)</t>
        </is>
      </c>
      <c r="AK446" s="6" t="inlineStr">
        <is>
          <t>ARGO(TMS)</t>
        </is>
      </c>
      <c r="AL446" s="6" t="inlineStr">
        <is>
          <t>Empenho/departamento</t>
        </is>
      </c>
      <c r="AM446" s="6" t="inlineStr">
        <is>
          <t>Falta de informação Gerencial</t>
        </is>
      </c>
      <c r="AN446" s="6" t="inlineStr">
        <is>
          <t>Dados do Fornecedor</t>
        </is>
      </c>
      <c r="AO446" s="6" t="inlineStr">
        <is>
          <t>Qualidade dos dados</t>
        </is>
      </c>
      <c r="AP446" s="6" t="inlineStr">
        <is>
          <t>KONTIK BUSINESS TRAVEL</t>
        </is>
      </c>
      <c r="AQ446" s="6" t="inlineStr">
        <is>
          <t>Operações - CORP</t>
        </is>
      </c>
    </row>
    <row r="447">
      <c r="A447" s="6" t="n">
        <v>23382404</v>
      </c>
      <c r="B447" s="6" t="n">
        <v>24106105</v>
      </c>
      <c r="C447" s="6" t="inlineStr">
        <is>
          <t>ACC01</t>
        </is>
      </c>
      <c r="D447" s="58" t="n">
        <v>45985.94612268519</v>
      </c>
      <c r="E447" s="58" t="n">
        <v>45985.95201388889</v>
      </c>
      <c r="F447" s="6" t="inlineStr">
        <is>
          <t>0 a 02 dias</t>
        </is>
      </c>
      <c r="G447" s="6" t="inlineStr">
        <is>
          <t>0 a 02 dias</t>
        </is>
      </c>
      <c r="H447" s="6" t="inlineStr">
        <is>
          <t>5U1MME</t>
        </is>
      </c>
      <c r="I447" s="6" t="inlineStr">
        <is>
          <t>TMS</t>
        </is>
      </c>
      <c r="J447" s="6" t="inlineStr">
        <is>
          <t>CELSO FLORINDO</t>
        </is>
      </c>
      <c r="K447" s="6" t="inlineStr">
        <is>
          <t>Ariane de Sousa Farias</t>
        </is>
      </c>
      <c r="L447" s="6" t="inlineStr">
        <is>
          <t>Ariane de Sousa Farias</t>
        </is>
      </c>
      <c r="M447" s="58" t="n">
        <v>45985.74236111111</v>
      </c>
      <c r="N447" s="6" t="n">
        <v>96904</v>
      </c>
      <c r="O447" s="6" t="inlineStr">
        <is>
          <t>-</t>
        </is>
      </c>
      <c r="P447" s="6" t="inlineStr">
        <is>
          <t>OFF LINE</t>
        </is>
      </c>
      <c r="Q447" s="6" t="inlineStr">
        <is>
          <t>Pagamento direto</t>
        </is>
      </c>
      <c r="R447" s="6" t="inlineStr">
        <is>
          <t>Pagamento direto</t>
        </is>
      </c>
      <c r="S447" s="6" t="inlineStr">
        <is>
          <t>Hotel</t>
        </is>
      </c>
      <c r="T447" s="6" t="inlineStr">
        <is>
          <t>N</t>
        </is>
      </c>
      <c r="U447" s="6" t="inlineStr">
        <is>
          <t>Grupo Ache</t>
        </is>
      </c>
      <c r="V447" s="6" t="inlineStr">
        <is>
          <t>Ache Laboratorios Farmaceuticos Sa</t>
        </is>
      </c>
      <c r="W447" s="6" t="inlineStr">
        <is>
          <t>-</t>
        </is>
      </c>
      <c r="X447" s="6" t="inlineStr">
        <is>
          <t>Campo Palace Hotel</t>
        </is>
      </c>
      <c r="Y447" s="6" t="inlineStr">
        <is>
          <t>-</t>
        </is>
      </c>
      <c r="Z447" s="6" t="inlineStr">
        <is>
          <t>KON-OPE-SAO-PVI-ACHE</t>
        </is>
      </c>
      <c r="AA447" s="6" t="inlineStr">
        <is>
          <t>-</t>
        </is>
      </c>
      <c r="AB447" s="6" t="n">
        <v>420</v>
      </c>
      <c r="AC447" s="6" t="n">
        <v>0</v>
      </c>
      <c r="AD447" s="6" t="n">
        <v>0</v>
      </c>
      <c r="AE447" s="6" t="n">
        <v>0</v>
      </c>
      <c r="AF447" s="6" t="n">
        <v>0</v>
      </c>
      <c r="AG447" s="6" t="n">
        <v>0</v>
      </c>
      <c r="AH447" s="6" t="n">
        <v>0</v>
      </c>
      <c r="AI447" s="6" t="inlineStr">
        <is>
          <t>Reserva importada do Sistema TMS. OS: 96904</t>
        </is>
      </c>
      <c r="AJ447" s="6" t="inlineStr">
        <is>
          <t>Empenho/departamento não preenchido! (ACC01)</t>
        </is>
      </c>
      <c r="AK447" s="6" t="inlineStr">
        <is>
          <t>ARGO(TMS)</t>
        </is>
      </c>
      <c r="AL447" s="6" t="inlineStr">
        <is>
          <t>Empenho/departamento</t>
        </is>
      </c>
      <c r="AM447" s="6" t="inlineStr">
        <is>
          <t>Falta de informação Gerencial</t>
        </is>
      </c>
      <c r="AN447" s="6" t="inlineStr">
        <is>
          <t>Dados do Fornecedor</t>
        </is>
      </c>
      <c r="AO447" s="6" t="inlineStr">
        <is>
          <t>Qualidade dos dados</t>
        </is>
      </c>
      <c r="AP447" s="6" t="inlineStr">
        <is>
          <t>KONTIK BUSINESS TRAVEL</t>
        </is>
      </c>
      <c r="AQ447" s="6" t="inlineStr">
        <is>
          <t>Operações - CORP</t>
        </is>
      </c>
    </row>
    <row r="448">
      <c r="A448" s="6" t="n">
        <v>23382405</v>
      </c>
      <c r="B448" s="6" t="n">
        <v>24106106</v>
      </c>
      <c r="C448" s="6" t="inlineStr">
        <is>
          <t>ACC01</t>
        </is>
      </c>
      <c r="D448" s="58" t="n">
        <v>45985.94615740741</v>
      </c>
      <c r="E448" s="58" t="n">
        <v>45985.95201388889</v>
      </c>
      <c r="F448" s="6" t="inlineStr">
        <is>
          <t>0 a 02 dias</t>
        </is>
      </c>
      <c r="G448" s="6" t="inlineStr">
        <is>
          <t>0 a 02 dias</t>
        </is>
      </c>
      <c r="H448" s="6" t="inlineStr">
        <is>
          <t>5U20BC</t>
        </is>
      </c>
      <c r="I448" s="6" t="inlineStr">
        <is>
          <t>TMS</t>
        </is>
      </c>
      <c r="J448" s="6" t="inlineStr">
        <is>
          <t>PEDRO GAMA</t>
        </is>
      </c>
      <c r="K448" s="6" t="inlineStr">
        <is>
          <t>Ariane de Sousa Farias</t>
        </is>
      </c>
      <c r="L448" s="6" t="inlineStr">
        <is>
          <t>Ariane de Sousa Farias</t>
        </is>
      </c>
      <c r="M448" s="58" t="n">
        <v>45985.77291666667</v>
      </c>
      <c r="N448" s="6" t="n">
        <v>96895</v>
      </c>
      <c r="O448" s="6" t="inlineStr">
        <is>
          <t>-</t>
        </is>
      </c>
      <c r="P448" s="6" t="inlineStr">
        <is>
          <t>OFF LINE</t>
        </is>
      </c>
      <c r="Q448" s="6" t="inlineStr">
        <is>
          <t>Pagamento direto</t>
        </is>
      </c>
      <c r="R448" s="6" t="inlineStr">
        <is>
          <t>Pagamento direto</t>
        </is>
      </c>
      <c r="S448" s="6" t="inlineStr">
        <is>
          <t>Hotel</t>
        </is>
      </c>
      <c r="T448" s="6" t="inlineStr">
        <is>
          <t>N</t>
        </is>
      </c>
      <c r="U448" s="6" t="inlineStr">
        <is>
          <t>Grupo Ache</t>
        </is>
      </c>
      <c r="V448" s="6" t="inlineStr">
        <is>
          <t>Ache Laboratorios Farmaceuticos Sa</t>
        </is>
      </c>
      <c r="W448" s="6" t="inlineStr">
        <is>
          <t>-</t>
        </is>
      </c>
      <c r="X448" s="6" t="inlineStr">
        <is>
          <t>Catuai Hotel</t>
        </is>
      </c>
      <c r="Y448" s="6" t="inlineStr">
        <is>
          <t>-</t>
        </is>
      </c>
      <c r="Z448" s="6" t="inlineStr">
        <is>
          <t>KON-OPE-SAO-PVI-ACHE</t>
        </is>
      </c>
      <c r="AA448" s="6" t="inlineStr">
        <is>
          <t>-</t>
        </is>
      </c>
      <c r="AB448" s="6" t="n">
        <v>1209.6</v>
      </c>
      <c r="AC448" s="6" t="n">
        <v>0</v>
      </c>
      <c r="AD448" s="6" t="n">
        <v>0</v>
      </c>
      <c r="AE448" s="6" t="n">
        <v>0</v>
      </c>
      <c r="AF448" s="6" t="n">
        <v>0</v>
      </c>
      <c r="AG448" s="6" t="n">
        <v>0</v>
      </c>
      <c r="AH448" s="6" t="n">
        <v>0</v>
      </c>
      <c r="AI448" s="6" t="inlineStr">
        <is>
          <t>Reserva importada do Sistema TMS. OS: 96895</t>
        </is>
      </c>
      <c r="AJ448" s="6" t="inlineStr">
        <is>
          <t>Empenho/departamento não preenchido! (ACC01)</t>
        </is>
      </c>
      <c r="AK448" s="6" t="inlineStr">
        <is>
          <t>ARGO(TMS)</t>
        </is>
      </c>
      <c r="AL448" s="6" t="inlineStr">
        <is>
          <t>Empenho/departamento</t>
        </is>
      </c>
      <c r="AM448" s="6" t="inlineStr">
        <is>
          <t>Falta de informação Gerencial</t>
        </is>
      </c>
      <c r="AN448" s="6" t="inlineStr">
        <is>
          <t>Dados do Fornecedor</t>
        </is>
      </c>
      <c r="AO448" s="6" t="inlineStr">
        <is>
          <t>Qualidade dos dados</t>
        </is>
      </c>
      <c r="AP448" s="6" t="inlineStr">
        <is>
          <t>KONTIK BUSINESS TRAVEL</t>
        </is>
      </c>
      <c r="AQ448" s="6" t="inlineStr">
        <is>
          <t>Operações - CORP</t>
        </is>
      </c>
    </row>
    <row r="449">
      <c r="A449" s="6" t="n">
        <v>23382394</v>
      </c>
      <c r="B449" s="6" t="n">
        <v>24106097</v>
      </c>
      <c r="C449" s="6" t="inlineStr">
        <is>
          <t>ACC01</t>
        </is>
      </c>
      <c r="D449" s="58" t="n">
        <v>45985.9458912037</v>
      </c>
      <c r="E449" s="58" t="n">
        <v>45985.95197916667</v>
      </c>
      <c r="F449" s="6" t="inlineStr">
        <is>
          <t>0 a 02 dias</t>
        </is>
      </c>
      <c r="G449" s="6" t="inlineStr">
        <is>
          <t>0 a 02 dias</t>
        </is>
      </c>
      <c r="H449" s="6" t="inlineStr">
        <is>
          <t>5UT9O2</t>
        </is>
      </c>
      <c r="I449" s="6" t="inlineStr">
        <is>
          <t>TMS</t>
        </is>
      </c>
      <c r="J449" s="6" t="inlineStr">
        <is>
          <t>LEANDRO SOUSA</t>
        </is>
      </c>
      <c r="K449" s="6" t="inlineStr">
        <is>
          <t>Ariane de Sousa Farias</t>
        </is>
      </c>
      <c r="L449" s="6" t="inlineStr">
        <is>
          <t>Ariane de Sousa Farias</t>
        </is>
      </c>
      <c r="M449" s="58" t="n">
        <v>45985.77361111111</v>
      </c>
      <c r="N449" s="6" t="n">
        <v>96981</v>
      </c>
      <c r="O449" s="6" t="inlineStr">
        <is>
          <t>-</t>
        </is>
      </c>
      <c r="P449" s="6" t="inlineStr">
        <is>
          <t>OFF LINE</t>
        </is>
      </c>
      <c r="Q449" s="6" t="inlineStr">
        <is>
          <t>Pagamento direto</t>
        </is>
      </c>
      <c r="R449" s="6" t="inlineStr">
        <is>
          <t>Pagamento direto</t>
        </is>
      </c>
      <c r="S449" s="6" t="inlineStr">
        <is>
          <t>Hotel</t>
        </is>
      </c>
      <c r="T449" s="6" t="inlineStr">
        <is>
          <t>N</t>
        </is>
      </c>
      <c r="U449" s="6" t="inlineStr">
        <is>
          <t>Grupo Ache</t>
        </is>
      </c>
      <c r="V449" s="6" t="inlineStr">
        <is>
          <t>Ache Laboratorios Farmaceuticos Sa</t>
        </is>
      </c>
      <c r="W449" s="6" t="inlineStr">
        <is>
          <t>-</t>
        </is>
      </c>
      <c r="X449" s="6" t="inlineStr">
        <is>
          <t>Hotel Sapucua</t>
        </is>
      </c>
      <c r="Y449" s="6" t="inlineStr">
        <is>
          <t>-</t>
        </is>
      </c>
      <c r="Z449" s="6" t="inlineStr">
        <is>
          <t>KON-OPE-SAO-PVI-ACHE</t>
        </is>
      </c>
      <c r="AA449" s="6" t="inlineStr">
        <is>
          <t>-</t>
        </is>
      </c>
      <c r="AB449" s="6" t="n">
        <v>340</v>
      </c>
      <c r="AC449" s="6" t="n">
        <v>0</v>
      </c>
      <c r="AD449" s="6" t="n">
        <v>0</v>
      </c>
      <c r="AE449" s="6" t="n">
        <v>0</v>
      </c>
      <c r="AF449" s="6" t="n">
        <v>0</v>
      </c>
      <c r="AG449" s="6" t="n">
        <v>0</v>
      </c>
      <c r="AH449" s="6" t="n">
        <v>0</v>
      </c>
      <c r="AI449" s="6" t="inlineStr">
        <is>
          <t>Reserva importada do Sistema TMS. OS: 96981</t>
        </is>
      </c>
      <c r="AJ449" s="6" t="inlineStr">
        <is>
          <t>Empenho/departamento não preenchido! (ACC01)</t>
        </is>
      </c>
      <c r="AK449" s="6" t="inlineStr">
        <is>
          <t>ARGO(TMS)</t>
        </is>
      </c>
      <c r="AL449" s="6" t="inlineStr">
        <is>
          <t>Empenho/departamento</t>
        </is>
      </c>
      <c r="AM449" s="6" t="inlineStr">
        <is>
          <t>Falta de informação Gerencial</t>
        </is>
      </c>
      <c r="AN449" s="6" t="inlineStr">
        <is>
          <t>Dados do Fornecedor</t>
        </is>
      </c>
      <c r="AO449" s="6" t="inlineStr">
        <is>
          <t>Qualidade dos dados</t>
        </is>
      </c>
      <c r="AP449" s="6" t="inlineStr">
        <is>
          <t>KONTIK BUSINESS TRAVEL</t>
        </is>
      </c>
      <c r="AQ449" s="6" t="inlineStr">
        <is>
          <t>Operações - CORP</t>
        </is>
      </c>
    </row>
    <row r="450">
      <c r="A450" s="6" t="n">
        <v>23382407</v>
      </c>
      <c r="B450" s="6" t="n">
        <v>24106108</v>
      </c>
      <c r="C450" s="6" t="inlineStr">
        <is>
          <t>ACC01</t>
        </is>
      </c>
      <c r="D450" s="58" t="n">
        <v>45985.94622685185</v>
      </c>
      <c r="E450" s="58" t="n">
        <v>45985.95203703704</v>
      </c>
      <c r="F450" s="6" t="inlineStr">
        <is>
          <t>0 a 02 dias</t>
        </is>
      </c>
      <c r="G450" s="6" t="inlineStr">
        <is>
          <t>0 a 02 dias</t>
        </is>
      </c>
      <c r="H450" s="6" t="inlineStr">
        <is>
          <t>5UV0PE</t>
        </is>
      </c>
      <c r="I450" s="6" t="inlineStr">
        <is>
          <t>TMS</t>
        </is>
      </c>
      <c r="J450" s="6" t="inlineStr">
        <is>
          <t>DAYSY OLIVEIRA</t>
        </is>
      </c>
      <c r="K450" s="6" t="inlineStr">
        <is>
          <t>Ariane de Sousa Farias</t>
        </is>
      </c>
      <c r="L450" s="6" t="inlineStr">
        <is>
          <t>Ariane de Sousa Farias</t>
        </is>
      </c>
      <c r="M450" s="58" t="n">
        <v>45985.70069444444</v>
      </c>
      <c r="N450" s="6" t="n">
        <v>96806</v>
      </c>
      <c r="O450" s="6" t="inlineStr">
        <is>
          <t>-</t>
        </is>
      </c>
      <c r="P450" s="6" t="inlineStr">
        <is>
          <t>OFF LINE</t>
        </is>
      </c>
      <c r="Q450" s="6" t="inlineStr">
        <is>
          <t>Invoice</t>
        </is>
      </c>
      <c r="R450" s="6" t="inlineStr">
        <is>
          <t>Faturado</t>
        </is>
      </c>
      <c r="S450" s="6" t="inlineStr">
        <is>
          <t>Hotel</t>
        </is>
      </c>
      <c r="T450" s="6" t="inlineStr">
        <is>
          <t>N</t>
        </is>
      </c>
      <c r="U450" s="6" t="inlineStr">
        <is>
          <t>Grupo Ache</t>
        </is>
      </c>
      <c r="V450" s="6" t="inlineStr">
        <is>
          <t>Ache Laboratorios Farmaceuticos Sa</t>
        </is>
      </c>
      <c r="W450" s="6" t="inlineStr">
        <is>
          <t>-</t>
        </is>
      </c>
      <c r="X450" s="6" t="inlineStr">
        <is>
          <t>Gran Park Hotel e Convencoes</t>
        </is>
      </c>
      <c r="Y450" s="6" t="inlineStr">
        <is>
          <t>-</t>
        </is>
      </c>
      <c r="Z450" s="6" t="inlineStr">
        <is>
          <t>KON-OPE-SAO-PVI-ACHE</t>
        </is>
      </c>
      <c r="AA450" s="6" t="inlineStr">
        <is>
          <t>-</t>
        </is>
      </c>
      <c r="AB450" s="6" t="n">
        <v>295</v>
      </c>
      <c r="AC450" s="6" t="n">
        <v>0</v>
      </c>
      <c r="AD450" s="6" t="n">
        <v>0</v>
      </c>
      <c r="AE450" s="6" t="n">
        <v>0</v>
      </c>
      <c r="AF450" s="6" t="n">
        <v>0</v>
      </c>
      <c r="AG450" s="6" t="n">
        <v>0</v>
      </c>
      <c r="AH450" s="6" t="n">
        <v>0</v>
      </c>
      <c r="AI450" s="6" t="inlineStr">
        <is>
          <t>Reserva importada do Sistema TMS. OS: 96806</t>
        </is>
      </c>
      <c r="AJ450" s="6" t="inlineStr">
        <is>
          <t>Empenho/departamento não preenchido! (ACC01)</t>
        </is>
      </c>
      <c r="AK450" s="6" t="inlineStr">
        <is>
          <t>ARGO(TMS)</t>
        </is>
      </c>
      <c r="AL450" s="6" t="inlineStr">
        <is>
          <t>Empenho/departamento</t>
        </is>
      </c>
      <c r="AM450" s="6" t="inlineStr">
        <is>
          <t>Falta de informação Gerencial</t>
        </is>
      </c>
      <c r="AN450" s="6" t="inlineStr">
        <is>
          <t>Dados do Fornecedor</t>
        </is>
      </c>
      <c r="AO450" s="6" t="inlineStr">
        <is>
          <t>Qualidade dos dados</t>
        </is>
      </c>
      <c r="AP450" s="6" t="inlineStr">
        <is>
          <t>KONTIK BUSINESS TRAVEL</t>
        </is>
      </c>
      <c r="AQ450" s="6" t="inlineStr">
        <is>
          <t>Operações - CORP</t>
        </is>
      </c>
    </row>
    <row r="451">
      <c r="A451" s="6" t="n">
        <v>23382397</v>
      </c>
      <c r="B451" s="6" t="n">
        <v>24106100</v>
      </c>
      <c r="C451" s="6" t="inlineStr">
        <is>
          <t>ACC01</t>
        </is>
      </c>
      <c r="D451" s="58" t="n">
        <v>45985.94598379629</v>
      </c>
      <c r="E451" s="58" t="n">
        <v>45985.95199074074</v>
      </c>
      <c r="F451" s="6" t="inlineStr">
        <is>
          <t>0 a 02 dias</t>
        </is>
      </c>
      <c r="G451" s="6" t="inlineStr">
        <is>
          <t>0 a 02 dias</t>
        </is>
      </c>
      <c r="H451" s="6" t="inlineStr">
        <is>
          <t>5U7ONX</t>
        </is>
      </c>
      <c r="I451" s="6" t="inlineStr">
        <is>
          <t>TMS</t>
        </is>
      </c>
      <c r="J451" s="6" t="inlineStr">
        <is>
          <t>JULIANA SANTOS PATRICIO</t>
        </is>
      </c>
      <c r="K451" s="6" t="inlineStr">
        <is>
          <t>Ariane de Sousa Farias</t>
        </is>
      </c>
      <c r="L451" s="6" t="inlineStr">
        <is>
          <t>Ariane de Sousa Farias</t>
        </is>
      </c>
      <c r="M451" s="58" t="n">
        <v>45985.77708333333</v>
      </c>
      <c r="N451" s="6" t="n">
        <v>96955</v>
      </c>
      <c r="O451" s="6" t="inlineStr">
        <is>
          <t>-</t>
        </is>
      </c>
      <c r="P451" s="6" t="inlineStr">
        <is>
          <t>OFF LINE</t>
        </is>
      </c>
      <c r="Q451" s="6" t="inlineStr">
        <is>
          <t>Invoice</t>
        </is>
      </c>
      <c r="R451" s="6" t="inlineStr">
        <is>
          <t>Faturado</t>
        </is>
      </c>
      <c r="S451" s="6" t="inlineStr">
        <is>
          <t>Hotel</t>
        </is>
      </c>
      <c r="T451" s="6" t="inlineStr">
        <is>
          <t>N</t>
        </is>
      </c>
      <c r="U451" s="6" t="inlineStr">
        <is>
          <t>Grupo Ache</t>
        </is>
      </c>
      <c r="V451" s="6" t="inlineStr">
        <is>
          <t>Ache Laboratorios Farmaceuticos Sa</t>
        </is>
      </c>
      <c r="W451" s="6" t="inlineStr">
        <is>
          <t>-</t>
        </is>
      </c>
      <c r="X451" s="6" t="inlineStr">
        <is>
          <t>Pousada Parador da Figueira</t>
        </is>
      </c>
      <c r="Y451" s="6" t="inlineStr">
        <is>
          <t>-</t>
        </is>
      </c>
      <c r="Z451" s="6" t="inlineStr">
        <is>
          <t>KON-OPE-SAO-PVI-ACHE</t>
        </is>
      </c>
      <c r="AA451" s="6" t="inlineStr">
        <is>
          <t>-</t>
        </is>
      </c>
      <c r="AB451" s="6" t="n">
        <v>225</v>
      </c>
      <c r="AC451" s="6" t="n">
        <v>0</v>
      </c>
      <c r="AD451" s="6" t="n">
        <v>0</v>
      </c>
      <c r="AE451" s="6" t="n">
        <v>0</v>
      </c>
      <c r="AF451" s="6" t="n">
        <v>0</v>
      </c>
      <c r="AG451" s="6" t="n">
        <v>0</v>
      </c>
      <c r="AH451" s="6" t="n">
        <v>0</v>
      </c>
      <c r="AI451" s="6" t="inlineStr">
        <is>
          <t>Reserva importada do Sistema TMS. OS: 96955</t>
        </is>
      </c>
      <c r="AJ451" s="6" t="inlineStr">
        <is>
          <t>Empenho/departamento não preenchido! (ACC01)</t>
        </is>
      </c>
      <c r="AK451" s="6" t="inlineStr">
        <is>
          <t>ARGO(TMS)</t>
        </is>
      </c>
      <c r="AL451" s="6" t="inlineStr">
        <is>
          <t>Empenho/departamento</t>
        </is>
      </c>
      <c r="AM451" s="6" t="inlineStr">
        <is>
          <t>Falta de informação Gerencial</t>
        </is>
      </c>
      <c r="AN451" s="6" t="inlineStr">
        <is>
          <t>Dados do Fornecedor</t>
        </is>
      </c>
      <c r="AO451" s="6" t="inlineStr">
        <is>
          <t>Qualidade dos dados</t>
        </is>
      </c>
      <c r="AP451" s="6" t="inlineStr">
        <is>
          <t>KONTIK BUSINESS TRAVEL</t>
        </is>
      </c>
      <c r="AQ451" s="6" t="inlineStr">
        <is>
          <t>Operações - CORP</t>
        </is>
      </c>
    </row>
    <row r="452">
      <c r="A452" s="6" t="n">
        <v>23382399</v>
      </c>
      <c r="B452" s="6" t="n">
        <v>24106101</v>
      </c>
      <c r="C452" s="6" t="inlineStr">
        <is>
          <t>ACC01</t>
        </is>
      </c>
      <c r="D452" s="58" t="n">
        <v>45985.94603009259</v>
      </c>
      <c r="E452" s="58" t="n">
        <v>45986.14961805556</v>
      </c>
      <c r="F452" s="6" t="inlineStr">
        <is>
          <t>0 a 02 dias</t>
        </is>
      </c>
      <c r="G452" s="6" t="inlineStr">
        <is>
          <t>0 a 02 dias</t>
        </is>
      </c>
      <c r="H452" s="6" t="inlineStr">
        <is>
          <t>5UK9LX</t>
        </is>
      </c>
      <c r="I452" s="6" t="inlineStr">
        <is>
          <t>TMS</t>
        </is>
      </c>
      <c r="J452" s="6" t="inlineStr">
        <is>
          <t>GUSTAVO DE ALMEIDA</t>
        </is>
      </c>
      <c r="K452" s="6" t="inlineStr">
        <is>
          <t>Ariane de Sousa Farias</t>
        </is>
      </c>
      <c r="L452" s="6" t="inlineStr">
        <is>
          <t>Ariane de Sousa Farias</t>
        </is>
      </c>
      <c r="M452" s="58" t="n">
        <v>45985.71527777778</v>
      </c>
      <c r="N452" s="6" t="n">
        <v>96954</v>
      </c>
      <c r="O452" s="6" t="inlineStr">
        <is>
          <t>-</t>
        </is>
      </c>
      <c r="P452" s="6" t="inlineStr">
        <is>
          <t>OFF LINE</t>
        </is>
      </c>
      <c r="Q452" s="6" t="inlineStr">
        <is>
          <t>Pagamento direto</t>
        </is>
      </c>
      <c r="R452" s="6" t="inlineStr">
        <is>
          <t>Pagamento direto</t>
        </is>
      </c>
      <c r="S452" s="6" t="inlineStr">
        <is>
          <t>Hotel</t>
        </is>
      </c>
      <c r="T452" s="6" t="inlineStr">
        <is>
          <t>N</t>
        </is>
      </c>
      <c r="U452" s="6" t="inlineStr">
        <is>
          <t>Grupo Ache</t>
        </is>
      </c>
      <c r="V452" s="6" t="inlineStr">
        <is>
          <t>Ache Laboratorios Farmaceuticos Sa</t>
        </is>
      </c>
      <c r="W452" s="6" t="inlineStr">
        <is>
          <t>-</t>
        </is>
      </c>
      <c r="X452" s="6" t="inlineStr">
        <is>
          <t>Mercure Sao Paulo Barra Funda</t>
        </is>
      </c>
      <c r="Y452" s="6" t="inlineStr">
        <is>
          <t>-</t>
        </is>
      </c>
      <c r="Z452" s="6" t="inlineStr">
        <is>
          <t>KON-OPE-SAO-PVI-ACHE</t>
        </is>
      </c>
      <c r="AA452" s="6" t="inlineStr">
        <is>
          <t>-</t>
        </is>
      </c>
      <c r="AB452" s="6" t="n">
        <v>389</v>
      </c>
      <c r="AC452" s="6" t="n">
        <v>0</v>
      </c>
      <c r="AD452" s="6" t="n">
        <v>0</v>
      </c>
      <c r="AE452" s="6" t="n">
        <v>0</v>
      </c>
      <c r="AF452" s="6" t="n">
        <v>0</v>
      </c>
      <c r="AG452" s="6" t="n">
        <v>0</v>
      </c>
      <c r="AH452" s="6" t="n">
        <v>0</v>
      </c>
      <c r="AI452" s="6" t="inlineStr">
        <is>
          <t>Reserva importada do Sistema TMS. OS: 96954</t>
        </is>
      </c>
      <c r="AJ452" s="6" t="inlineStr">
        <is>
          <t>Empenho/departamento não preenchido! (ACC01)</t>
        </is>
      </c>
      <c r="AK452" s="6" t="inlineStr">
        <is>
          <t>ARGO(TMS)</t>
        </is>
      </c>
      <c r="AL452" s="6" t="inlineStr">
        <is>
          <t>Empenho/departamento</t>
        </is>
      </c>
      <c r="AM452" s="6" t="inlineStr">
        <is>
          <t>Falta de informação Gerencial</t>
        </is>
      </c>
      <c r="AN452" s="6" t="inlineStr">
        <is>
          <t>Dados do Fornecedor</t>
        </is>
      </c>
      <c r="AO452" s="6" t="inlineStr">
        <is>
          <t>Qualidade dos dados</t>
        </is>
      </c>
      <c r="AP452" s="6" t="inlineStr">
        <is>
          <t>KONTIK BUSINESS TRAVEL</t>
        </is>
      </c>
      <c r="AQ452" s="6" t="inlineStr">
        <is>
          <t>Operações - CORP</t>
        </is>
      </c>
    </row>
    <row r="453">
      <c r="A453" s="6" t="n">
        <v>23382409</v>
      </c>
      <c r="B453" s="6" t="n">
        <v>24106110</v>
      </c>
      <c r="C453" s="6" t="inlineStr">
        <is>
          <t>ACC01</t>
        </is>
      </c>
      <c r="D453" s="58" t="n">
        <v>45985.94629629629</v>
      </c>
      <c r="E453" s="58" t="n">
        <v>45985.95204861111</v>
      </c>
      <c r="F453" s="6" t="inlineStr">
        <is>
          <t>0 a 02 dias</t>
        </is>
      </c>
      <c r="G453" s="6" t="inlineStr">
        <is>
          <t>0 a 02 dias</t>
        </is>
      </c>
      <c r="H453" s="6" t="inlineStr">
        <is>
          <t>5UH0PC</t>
        </is>
      </c>
      <c r="I453" s="6" t="inlineStr">
        <is>
          <t>TMS</t>
        </is>
      </c>
      <c r="J453" s="6" t="inlineStr">
        <is>
          <t>LUIZ NEGRINI</t>
        </is>
      </c>
      <c r="K453" s="6" t="inlineStr">
        <is>
          <t>Ariane de Sousa Farias</t>
        </is>
      </c>
      <c r="L453" s="6" t="inlineStr">
        <is>
          <t>Ariane de Sousa Farias</t>
        </is>
      </c>
      <c r="M453" s="58" t="n">
        <v>45985.74305555555</v>
      </c>
      <c r="N453" s="6" t="n">
        <v>96748</v>
      </c>
      <c r="O453" s="6" t="inlineStr">
        <is>
          <t>-</t>
        </is>
      </c>
      <c r="P453" s="6" t="inlineStr">
        <is>
          <t>OFF LINE</t>
        </is>
      </c>
      <c r="Q453" s="6" t="inlineStr">
        <is>
          <t>Pagamento direto</t>
        </is>
      </c>
      <c r="R453" s="6" t="inlineStr">
        <is>
          <t>Pagamento direto</t>
        </is>
      </c>
      <c r="S453" s="6" t="inlineStr">
        <is>
          <t>Hotel</t>
        </is>
      </c>
      <c r="T453" s="6" t="inlineStr">
        <is>
          <t>N</t>
        </is>
      </c>
      <c r="U453" s="6" t="inlineStr">
        <is>
          <t>Grupo Ache</t>
        </is>
      </c>
      <c r="V453" s="6" t="inlineStr">
        <is>
          <t>Ache Laboratorios Farmaceuticos Sa</t>
        </is>
      </c>
      <c r="W453" s="6" t="inlineStr">
        <is>
          <t>-</t>
        </is>
      </c>
      <c r="X453" s="6" t="inlineStr">
        <is>
          <t>Catuai Hotel</t>
        </is>
      </c>
      <c r="Y453" s="6" t="inlineStr">
        <is>
          <t>-</t>
        </is>
      </c>
      <c r="Z453" s="6" t="inlineStr">
        <is>
          <t>KON-OPE-SAO-PVI-ACHE</t>
        </is>
      </c>
      <c r="AA453" s="6" t="inlineStr">
        <is>
          <t>-</t>
        </is>
      </c>
      <c r="AB453" s="6" t="n">
        <v>302.4</v>
      </c>
      <c r="AC453" s="6" t="n">
        <v>0</v>
      </c>
      <c r="AD453" s="6" t="n">
        <v>0</v>
      </c>
      <c r="AE453" s="6" t="n">
        <v>0</v>
      </c>
      <c r="AF453" s="6" t="n">
        <v>0</v>
      </c>
      <c r="AG453" s="6" t="n">
        <v>0</v>
      </c>
      <c r="AH453" s="6" t="n">
        <v>0</v>
      </c>
      <c r="AI453" s="6" t="inlineStr">
        <is>
          <t>Reserva importada do Sistema TMS. OS: 96748</t>
        </is>
      </c>
      <c r="AJ453" s="6" t="inlineStr">
        <is>
          <t>Empenho/departamento não preenchido! (ACC01)</t>
        </is>
      </c>
      <c r="AK453" s="6" t="inlineStr">
        <is>
          <t>ARGO(TMS)</t>
        </is>
      </c>
      <c r="AL453" s="6" t="inlineStr">
        <is>
          <t>Empenho/departamento</t>
        </is>
      </c>
      <c r="AM453" s="6" t="inlineStr">
        <is>
          <t>Falta de informação Gerencial</t>
        </is>
      </c>
      <c r="AN453" s="6" t="inlineStr">
        <is>
          <t>Dados do Fornecedor</t>
        </is>
      </c>
      <c r="AO453" s="6" t="inlineStr">
        <is>
          <t>Qualidade dos dados</t>
        </is>
      </c>
      <c r="AP453" s="6" t="inlineStr">
        <is>
          <t>KONTIK BUSINESS TRAVEL</t>
        </is>
      </c>
      <c r="AQ453" s="6" t="inlineStr">
        <is>
          <t>Operações - CORP</t>
        </is>
      </c>
    </row>
    <row r="454">
      <c r="A454" s="6" t="n">
        <v>23382410</v>
      </c>
      <c r="B454" s="6" t="n">
        <v>24106111</v>
      </c>
      <c r="C454" s="6" t="inlineStr">
        <is>
          <t>ACC01</t>
        </is>
      </c>
      <c r="D454" s="58" t="n">
        <v>45985.94633101852</v>
      </c>
      <c r="E454" s="58" t="n">
        <v>45985.95204861111</v>
      </c>
      <c r="F454" s="6" t="inlineStr">
        <is>
          <t>0 a 02 dias</t>
        </is>
      </c>
      <c r="G454" s="6" t="inlineStr">
        <is>
          <t>0 a 02 dias</t>
        </is>
      </c>
      <c r="H454" s="6" t="inlineStr">
        <is>
          <t>5UJ0PD</t>
        </is>
      </c>
      <c r="I454" s="6" t="inlineStr">
        <is>
          <t>TMS</t>
        </is>
      </c>
      <c r="J454" s="6" t="inlineStr">
        <is>
          <t>LUIZ NEGRINI</t>
        </is>
      </c>
      <c r="K454" s="6" t="inlineStr">
        <is>
          <t>Ariane de Sousa Farias</t>
        </is>
      </c>
      <c r="L454" s="6" t="inlineStr">
        <is>
          <t>Ariane de Sousa Farias</t>
        </is>
      </c>
      <c r="M454" s="58" t="n">
        <v>45985.73680555556</v>
      </c>
      <c r="N454" s="6" t="n">
        <v>96745</v>
      </c>
      <c r="O454" s="6" t="inlineStr">
        <is>
          <t>-</t>
        </is>
      </c>
      <c r="P454" s="6" t="inlineStr">
        <is>
          <t>OFF LINE</t>
        </is>
      </c>
      <c r="Q454" s="6" t="inlineStr">
        <is>
          <t>Pagamento direto</t>
        </is>
      </c>
      <c r="R454" s="6" t="inlineStr">
        <is>
          <t>Pagamento direto</t>
        </is>
      </c>
      <c r="S454" s="6" t="inlineStr">
        <is>
          <t>Hotel</t>
        </is>
      </c>
      <c r="T454" s="6" t="inlineStr">
        <is>
          <t>N</t>
        </is>
      </c>
      <c r="U454" s="6" t="inlineStr">
        <is>
          <t>Grupo Ache</t>
        </is>
      </c>
      <c r="V454" s="6" t="inlineStr">
        <is>
          <t>Ache Laboratorios Farmaceuticos Sa</t>
        </is>
      </c>
      <c r="W454" s="6" t="inlineStr">
        <is>
          <t>-</t>
        </is>
      </c>
      <c r="X454" s="6" t="inlineStr">
        <is>
          <t>Catuai Hotel</t>
        </is>
      </c>
      <c r="Y454" s="6" t="inlineStr">
        <is>
          <t>-</t>
        </is>
      </c>
      <c r="Z454" s="6" t="inlineStr">
        <is>
          <t>KON-OPE-SAO-PVI-ACHE</t>
        </is>
      </c>
      <c r="AA454" s="6" t="inlineStr">
        <is>
          <t>-</t>
        </is>
      </c>
      <c r="AB454" s="6" t="n">
        <v>907.2</v>
      </c>
      <c r="AC454" s="6" t="n">
        <v>0</v>
      </c>
      <c r="AD454" s="6" t="n">
        <v>0</v>
      </c>
      <c r="AE454" s="6" t="n">
        <v>0</v>
      </c>
      <c r="AF454" s="6" t="n">
        <v>0</v>
      </c>
      <c r="AG454" s="6" t="n">
        <v>0</v>
      </c>
      <c r="AH454" s="6" t="n">
        <v>0</v>
      </c>
      <c r="AI454" s="6" t="inlineStr">
        <is>
          <t>Reserva importada do Sistema TMS. OS: 96745</t>
        </is>
      </c>
      <c r="AJ454" s="6" t="inlineStr">
        <is>
          <t>Empenho/departamento não preenchido! (ACC01)</t>
        </is>
      </c>
      <c r="AK454" s="6" t="inlineStr">
        <is>
          <t>ARGO(TMS)</t>
        </is>
      </c>
      <c r="AL454" s="6" t="inlineStr">
        <is>
          <t>Empenho/departamento</t>
        </is>
      </c>
      <c r="AM454" s="6" t="inlineStr">
        <is>
          <t>Falta de informação Gerencial</t>
        </is>
      </c>
      <c r="AN454" s="6" t="inlineStr">
        <is>
          <t>Dados do Fornecedor</t>
        </is>
      </c>
      <c r="AO454" s="6" t="inlineStr">
        <is>
          <t>Qualidade dos dados</t>
        </is>
      </c>
      <c r="AP454" s="6" t="inlineStr">
        <is>
          <t>KONTIK BUSINESS TRAVEL</t>
        </is>
      </c>
      <c r="AQ454" s="6" t="inlineStr">
        <is>
          <t>Operações - CORP</t>
        </is>
      </c>
    </row>
    <row r="455">
      <c r="A455" s="6" t="n">
        <v>23382412</v>
      </c>
      <c r="B455" s="6" t="n">
        <v>24106113</v>
      </c>
      <c r="C455" s="6" t="inlineStr">
        <is>
          <t>ACC01</t>
        </is>
      </c>
      <c r="D455" s="58" t="n">
        <v>45985.94640046296</v>
      </c>
      <c r="E455" s="58" t="n">
        <v>45985.95207175926</v>
      </c>
      <c r="F455" s="6" t="inlineStr">
        <is>
          <t>0 a 02 dias</t>
        </is>
      </c>
      <c r="G455" s="6" t="inlineStr">
        <is>
          <t>0 a 02 dias</t>
        </is>
      </c>
      <c r="H455" s="6" t="inlineStr">
        <is>
          <t>5UOMME</t>
        </is>
      </c>
      <c r="I455" s="6" t="inlineStr">
        <is>
          <t>TMS</t>
        </is>
      </c>
      <c r="J455" s="6" t="inlineStr">
        <is>
          <t>YASMIN ALMEIDA</t>
        </is>
      </c>
      <c r="K455" s="6" t="inlineStr">
        <is>
          <t>Ariane de Sousa Farias</t>
        </is>
      </c>
      <c r="L455" s="6" t="inlineStr">
        <is>
          <t>Ariane de Sousa Farias</t>
        </is>
      </c>
      <c r="M455" s="58" t="n">
        <v>45985.76458333333</v>
      </c>
      <c r="N455" s="6" t="n">
        <v>96597</v>
      </c>
      <c r="O455" s="6" t="inlineStr">
        <is>
          <t>-</t>
        </is>
      </c>
      <c r="P455" s="6" t="inlineStr">
        <is>
          <t>OFF LINE</t>
        </is>
      </c>
      <c r="Q455" s="6" t="inlineStr">
        <is>
          <t>Pagamento direto</t>
        </is>
      </c>
      <c r="R455" s="6" t="inlineStr">
        <is>
          <t>Pagamento direto</t>
        </is>
      </c>
      <c r="S455" s="6" t="inlineStr">
        <is>
          <t>Hotel</t>
        </is>
      </c>
      <c r="T455" s="6" t="inlineStr">
        <is>
          <t>N</t>
        </is>
      </c>
      <c r="U455" s="6" t="inlineStr">
        <is>
          <t>Grupo Ache</t>
        </is>
      </c>
      <c r="V455" s="6" t="inlineStr">
        <is>
          <t>Ache Laboratorios Farmaceuticos Sa</t>
        </is>
      </c>
      <c r="W455" s="6" t="inlineStr">
        <is>
          <t>-</t>
        </is>
      </c>
      <c r="X455" s="6" t="inlineStr">
        <is>
          <t>Catuai Hotel</t>
        </is>
      </c>
      <c r="Y455" s="6" t="inlineStr">
        <is>
          <t>-</t>
        </is>
      </c>
      <c r="Z455" s="6" t="inlineStr">
        <is>
          <t>KON-OPE-SAO-PVI-ACHE</t>
        </is>
      </c>
      <c r="AA455" s="6" t="inlineStr">
        <is>
          <t>-</t>
        </is>
      </c>
      <c r="AB455" s="6" t="n">
        <v>1209.6</v>
      </c>
      <c r="AC455" s="6" t="n">
        <v>0</v>
      </c>
      <c r="AD455" s="6" t="n">
        <v>0</v>
      </c>
      <c r="AE455" s="6" t="n">
        <v>0</v>
      </c>
      <c r="AF455" s="6" t="n">
        <v>0</v>
      </c>
      <c r="AG455" s="6" t="n">
        <v>0</v>
      </c>
      <c r="AH455" s="6" t="n">
        <v>0</v>
      </c>
      <c r="AI455" s="6" t="inlineStr">
        <is>
          <t>Reserva importada do Sistema TMS. OS: 96597</t>
        </is>
      </c>
      <c r="AJ455" s="6" t="inlineStr">
        <is>
          <t>Empenho/departamento não preenchido! (ACC01)</t>
        </is>
      </c>
      <c r="AK455" s="6" t="inlineStr">
        <is>
          <t>ARGO(TMS)</t>
        </is>
      </c>
      <c r="AL455" s="6" t="inlineStr">
        <is>
          <t>Empenho/departamento</t>
        </is>
      </c>
      <c r="AM455" s="6" t="inlineStr">
        <is>
          <t>Falta de informação Gerencial</t>
        </is>
      </c>
      <c r="AN455" s="6" t="inlineStr">
        <is>
          <t>Dados do Fornecedor</t>
        </is>
      </c>
      <c r="AO455" s="6" t="inlineStr">
        <is>
          <t>Qualidade dos dados</t>
        </is>
      </c>
      <c r="AP455" s="6" t="inlineStr">
        <is>
          <t>KONTIK BUSINESS TRAVEL</t>
        </is>
      </c>
      <c r="AQ455" s="6" t="inlineStr">
        <is>
          <t>Operações - CORP</t>
        </is>
      </c>
    </row>
    <row r="456">
      <c r="A456" s="6" t="n">
        <v>23382413</v>
      </c>
      <c r="B456" s="6" t="n">
        <v>24106114</v>
      </c>
      <c r="C456" s="6" t="inlineStr">
        <is>
          <t>ACC01</t>
        </is>
      </c>
      <c r="D456" s="58" t="n">
        <v>45985.94643518519</v>
      </c>
      <c r="E456" s="58" t="n">
        <v>45985.95207175926</v>
      </c>
      <c r="F456" s="6" t="inlineStr">
        <is>
          <t>0 a 02 dias</t>
        </is>
      </c>
      <c r="G456" s="6" t="inlineStr">
        <is>
          <t>0 a 02 dias</t>
        </is>
      </c>
      <c r="H456" s="6" t="inlineStr">
        <is>
          <t>5U0AM3</t>
        </is>
      </c>
      <c r="I456" s="6" t="inlineStr">
        <is>
          <t>TMS</t>
        </is>
      </c>
      <c r="J456" s="6" t="inlineStr">
        <is>
          <t>HERLON VIANA</t>
        </is>
      </c>
      <c r="K456" s="6" t="inlineStr">
        <is>
          <t>Ariane de Sousa Farias</t>
        </is>
      </c>
      <c r="L456" s="6" t="inlineStr">
        <is>
          <t>Ariane de Sousa Farias</t>
        </is>
      </c>
      <c r="M456" s="58" t="n">
        <v>45985.71736111111</v>
      </c>
      <c r="N456" s="6" t="n">
        <v>96361</v>
      </c>
      <c r="O456" s="6" t="inlineStr">
        <is>
          <t>-</t>
        </is>
      </c>
      <c r="P456" s="6" t="inlineStr">
        <is>
          <t>OFF LINE</t>
        </is>
      </c>
      <c r="Q456" s="6" t="inlineStr">
        <is>
          <t>Pagamento direto</t>
        </is>
      </c>
      <c r="R456" s="6" t="inlineStr">
        <is>
          <t>Pagamento direto</t>
        </is>
      </c>
      <c r="S456" s="6" t="inlineStr">
        <is>
          <t>Hotel</t>
        </is>
      </c>
      <c r="T456" s="6" t="inlineStr">
        <is>
          <t>N</t>
        </is>
      </c>
      <c r="U456" s="6" t="inlineStr">
        <is>
          <t>Grupo Ache</t>
        </is>
      </c>
      <c r="V456" s="6" t="inlineStr">
        <is>
          <t>Ache Laboratorios Farmaceuticos Sa</t>
        </is>
      </c>
      <c r="W456" s="6" t="inlineStr">
        <is>
          <t>-</t>
        </is>
      </c>
      <c r="X456" s="6" t="inlineStr">
        <is>
          <t>Manancial Hotel E eventos</t>
        </is>
      </c>
      <c r="Y456" s="6" t="inlineStr">
        <is>
          <t>-</t>
        </is>
      </c>
      <c r="Z456" s="6" t="inlineStr">
        <is>
          <t>KON-OPE-SAO-PVI-ACHE</t>
        </is>
      </c>
      <c r="AA456" s="6" t="inlineStr">
        <is>
          <t>-</t>
        </is>
      </c>
      <c r="AB456" s="6" t="n">
        <v>314</v>
      </c>
      <c r="AC456" s="6" t="n">
        <v>0</v>
      </c>
      <c r="AD456" s="6" t="n">
        <v>0</v>
      </c>
      <c r="AE456" s="6" t="n">
        <v>0</v>
      </c>
      <c r="AF456" s="6" t="n">
        <v>0</v>
      </c>
      <c r="AG456" s="6" t="n">
        <v>0</v>
      </c>
      <c r="AH456" s="6" t="n">
        <v>0</v>
      </c>
      <c r="AI456" s="6" t="inlineStr">
        <is>
          <t>Reserva importada do Sistema TMS. OS: 96361</t>
        </is>
      </c>
      <c r="AJ456" s="6" t="inlineStr">
        <is>
          <t>Empenho/departamento não preenchido! (ACC01)</t>
        </is>
      </c>
      <c r="AK456" s="6" t="inlineStr">
        <is>
          <t>ARGO(TMS)</t>
        </is>
      </c>
      <c r="AL456" s="6" t="inlineStr">
        <is>
          <t>Empenho/departamento</t>
        </is>
      </c>
      <c r="AM456" s="6" t="inlineStr">
        <is>
          <t>Falta de informação Gerencial</t>
        </is>
      </c>
      <c r="AN456" s="6" t="inlineStr">
        <is>
          <t>Dados do Fornecedor</t>
        </is>
      </c>
      <c r="AO456" s="6" t="inlineStr">
        <is>
          <t>Qualidade dos dados</t>
        </is>
      </c>
      <c r="AP456" s="6" t="inlineStr">
        <is>
          <t>KONTIK BUSINESS TRAVEL</t>
        </is>
      </c>
      <c r="AQ456" s="6" t="inlineStr">
        <is>
          <t>Operações - CORP</t>
        </is>
      </c>
    </row>
    <row r="457">
      <c r="A457" s="6" t="n">
        <v>23380092</v>
      </c>
      <c r="B457" s="6" t="n">
        <v>24103777</v>
      </c>
      <c r="C457" s="6" t="inlineStr">
        <is>
          <t>ACC01</t>
        </is>
      </c>
      <c r="D457" s="58" t="n">
        <v>45985.69234953704</v>
      </c>
      <c r="E457" s="58" t="n">
        <v>45985.69662037037</v>
      </c>
      <c r="F457" s="6" t="inlineStr">
        <is>
          <t>0 a 02 dias</t>
        </is>
      </c>
      <c r="G457" s="6" t="inlineStr">
        <is>
          <t>0 a 02 dias</t>
        </is>
      </c>
      <c r="H457" s="6" t="inlineStr">
        <is>
          <t>5UTMDS</t>
        </is>
      </c>
      <c r="I457" s="6" t="inlineStr">
        <is>
          <t>TMS</t>
        </is>
      </c>
      <c r="J457" s="6" t="inlineStr">
        <is>
          <t>AGDA SILVA</t>
        </is>
      </c>
      <c r="K457" s="6" t="inlineStr">
        <is>
          <t>Ariane de Sousa Farias</t>
        </is>
      </c>
      <c r="L457" s="6" t="inlineStr">
        <is>
          <t>Ariane de Sousa Farias</t>
        </is>
      </c>
      <c r="M457" s="58" t="n">
        <v>45985.55833333333</v>
      </c>
      <c r="N457" s="6" t="n">
        <v>97027</v>
      </c>
      <c r="O457" s="6" t="inlineStr">
        <is>
          <t>-</t>
        </is>
      </c>
      <c r="P457" s="6" t="inlineStr">
        <is>
          <t>OFF LINE</t>
        </is>
      </c>
      <c r="Q457" s="6" t="inlineStr">
        <is>
          <t>Pagamento direto</t>
        </is>
      </c>
      <c r="R457" s="6" t="inlineStr">
        <is>
          <t>Pagamento direto</t>
        </is>
      </c>
      <c r="S457" s="6" t="inlineStr">
        <is>
          <t>Hotel</t>
        </is>
      </c>
      <c r="T457" s="6" t="inlineStr">
        <is>
          <t>N</t>
        </is>
      </c>
      <c r="U457" s="6" t="inlineStr">
        <is>
          <t>Grupo Ache</t>
        </is>
      </c>
      <c r="V457" s="6" t="inlineStr">
        <is>
          <t>Ache Laboratorios Farmaceuticos Sa</t>
        </is>
      </c>
      <c r="W457" s="6" t="inlineStr">
        <is>
          <t>-</t>
        </is>
      </c>
      <c r="X457" s="6" t="inlineStr">
        <is>
          <t>Rio Sol</t>
        </is>
      </c>
      <c r="Y457" s="6" t="inlineStr">
        <is>
          <t>-</t>
        </is>
      </c>
      <c r="Z457" s="6" t="inlineStr">
        <is>
          <t>KON-OPE-SAO-PVI-ACHE</t>
        </is>
      </c>
      <c r="AA457" s="6" t="inlineStr">
        <is>
          <t>-</t>
        </is>
      </c>
      <c r="AB457" s="6" t="n">
        <v>585</v>
      </c>
      <c r="AC457" s="6" t="n">
        <v>0</v>
      </c>
      <c r="AD457" s="6" t="n">
        <v>0</v>
      </c>
      <c r="AE457" s="6" t="n">
        <v>0</v>
      </c>
      <c r="AF457" s="6" t="n">
        <v>0</v>
      </c>
      <c r="AG457" s="6" t="n">
        <v>0</v>
      </c>
      <c r="AH457" s="6" t="n">
        <v>0</v>
      </c>
      <c r="AI457" s="6" t="inlineStr">
        <is>
          <t>Reserva importada do Sistema TMS. OS: 97027</t>
        </is>
      </c>
      <c r="AJ457" s="6" t="inlineStr">
        <is>
          <t>Empenho/departamento não preenchido! (ACC01)</t>
        </is>
      </c>
      <c r="AK457" s="6" t="inlineStr">
        <is>
          <t>ARGO(TMS)</t>
        </is>
      </c>
      <c r="AL457" s="6" t="inlineStr">
        <is>
          <t>Empenho/departamento</t>
        </is>
      </c>
      <c r="AM457" s="6" t="inlineStr">
        <is>
          <t>Falta de informação Gerencial</t>
        </is>
      </c>
      <c r="AN457" s="6" t="inlineStr">
        <is>
          <t>Dados do Fornecedor</t>
        </is>
      </c>
      <c r="AO457" s="6" t="inlineStr">
        <is>
          <t>Qualidade dos dados</t>
        </is>
      </c>
      <c r="AP457" s="6" t="inlineStr">
        <is>
          <t>KONTIK BUSINESS TRAVEL</t>
        </is>
      </c>
      <c r="AQ457" s="6" t="inlineStr">
        <is>
          <t>Operações - CORP</t>
        </is>
      </c>
    </row>
    <row r="458">
      <c r="A458" s="6" t="n">
        <v>23380089</v>
      </c>
      <c r="B458" s="6" t="n">
        <v>24103774</v>
      </c>
      <c r="C458" s="6" t="inlineStr">
        <is>
          <t>ACC01</t>
        </is>
      </c>
      <c r="D458" s="58" t="n">
        <v>45985.69228009259</v>
      </c>
      <c r="E458" s="58" t="n">
        <v>45986.14960648148</v>
      </c>
      <c r="F458" s="6" t="inlineStr">
        <is>
          <t>0 a 02 dias</t>
        </is>
      </c>
      <c r="G458" s="6" t="inlineStr">
        <is>
          <t>0 a 02 dias</t>
        </is>
      </c>
      <c r="H458" s="6" t="inlineStr">
        <is>
          <t>5UF03S</t>
        </is>
      </c>
      <c r="I458" s="6" t="inlineStr">
        <is>
          <t>TMS</t>
        </is>
      </c>
      <c r="J458" s="6" t="inlineStr">
        <is>
          <t>ERIK FREIRE</t>
        </is>
      </c>
      <c r="K458" s="6" t="inlineStr">
        <is>
          <t>Ariane de Sousa Farias</t>
        </is>
      </c>
      <c r="L458" s="6" t="inlineStr">
        <is>
          <t>Ariane de Sousa Farias</t>
        </is>
      </c>
      <c r="M458" s="58" t="n">
        <v>45985.64375</v>
      </c>
      <c r="N458" s="6" t="n">
        <v>97036</v>
      </c>
      <c r="O458" s="6" t="inlineStr">
        <is>
          <t>-</t>
        </is>
      </c>
      <c r="P458" s="6" t="inlineStr">
        <is>
          <t>OFF LINE</t>
        </is>
      </c>
      <c r="Q458" s="6" t="inlineStr">
        <is>
          <t>Pagamento direto</t>
        </is>
      </c>
      <c r="R458" s="6" t="inlineStr">
        <is>
          <t>Pagamento direto</t>
        </is>
      </c>
      <c r="S458" s="6" t="inlineStr">
        <is>
          <t>Hotel</t>
        </is>
      </c>
      <c r="T458" s="6" t="inlineStr">
        <is>
          <t>N</t>
        </is>
      </c>
      <c r="U458" s="6" t="inlineStr">
        <is>
          <t>Grupo Ache</t>
        </is>
      </c>
      <c r="V458" s="6" t="inlineStr">
        <is>
          <t>Ache Laboratorios Farmaceuticos Sa</t>
        </is>
      </c>
      <c r="W458" s="6" t="inlineStr">
        <is>
          <t>-</t>
        </is>
      </c>
      <c r="X458" s="6" t="inlineStr">
        <is>
          <t>Hotel Village Premium Campina Grande</t>
        </is>
      </c>
      <c r="Y458" s="6" t="inlineStr">
        <is>
          <t>-</t>
        </is>
      </c>
      <c r="Z458" s="6" t="inlineStr">
        <is>
          <t>KON-OPE-SAO-PVI-ACHE</t>
        </is>
      </c>
      <c r="AA458" s="6" t="inlineStr">
        <is>
          <t>-</t>
        </is>
      </c>
      <c r="AB458" s="6" t="n">
        <v>430</v>
      </c>
      <c r="AC458" s="6" t="n">
        <v>0</v>
      </c>
      <c r="AD458" s="6" t="n">
        <v>0</v>
      </c>
      <c r="AE458" s="6" t="n">
        <v>0</v>
      </c>
      <c r="AF458" s="6" t="n">
        <v>0</v>
      </c>
      <c r="AG458" s="6" t="n">
        <v>0</v>
      </c>
      <c r="AH458" s="6" t="n">
        <v>0</v>
      </c>
      <c r="AI458" s="6" t="inlineStr">
        <is>
          <t>Reserva importada do Sistema TMS. OS: 97036</t>
        </is>
      </c>
      <c r="AJ458" s="6" t="inlineStr">
        <is>
          <t>Empenho/departamento não preenchido! (ACC01)</t>
        </is>
      </c>
      <c r="AK458" s="6" t="inlineStr">
        <is>
          <t>ARGO(TMS)</t>
        </is>
      </c>
      <c r="AL458" s="6" t="inlineStr">
        <is>
          <t>Empenho/departamento</t>
        </is>
      </c>
      <c r="AM458" s="6" t="inlineStr">
        <is>
          <t>Falta de informação Gerencial</t>
        </is>
      </c>
      <c r="AN458" s="6" t="inlineStr">
        <is>
          <t>Dados do Fornecedor</t>
        </is>
      </c>
      <c r="AO458" s="6" t="inlineStr">
        <is>
          <t>Qualidade dos dados</t>
        </is>
      </c>
      <c r="AP458" s="6" t="inlineStr">
        <is>
          <t>KONTIK BUSINESS TRAVEL</t>
        </is>
      </c>
      <c r="AQ458" s="6" t="inlineStr">
        <is>
          <t>Operações - CORP</t>
        </is>
      </c>
    </row>
    <row r="459">
      <c r="A459" s="6" t="n">
        <v>23380085</v>
      </c>
      <c r="B459" s="6" t="n">
        <v>24103770</v>
      </c>
      <c r="C459" s="6" t="inlineStr">
        <is>
          <t>ACC01</t>
        </is>
      </c>
      <c r="D459" s="58" t="n">
        <v>45985.6921875</v>
      </c>
      <c r="E459" s="58" t="n">
        <v>45985.69644675926</v>
      </c>
      <c r="F459" s="6" t="inlineStr">
        <is>
          <t>0 a 02 dias</t>
        </is>
      </c>
      <c r="G459" s="6" t="inlineStr">
        <is>
          <t>0 a 02 dias</t>
        </is>
      </c>
      <c r="H459" s="6" t="inlineStr">
        <is>
          <t>5UMP3X</t>
        </is>
      </c>
      <c r="I459" s="6" t="inlineStr">
        <is>
          <t>TMS</t>
        </is>
      </c>
      <c r="J459" s="6" t="inlineStr">
        <is>
          <t>DAVID SANTOS</t>
        </is>
      </c>
      <c r="K459" s="6" t="inlineStr">
        <is>
          <t>Ariane de Sousa Farias</t>
        </is>
      </c>
      <c r="L459" s="6" t="inlineStr">
        <is>
          <t>Ariane de Sousa Farias</t>
        </is>
      </c>
      <c r="M459" s="58" t="n">
        <v>45985.65625</v>
      </c>
      <c r="N459" s="6" t="n">
        <v>97044</v>
      </c>
      <c r="O459" s="6" t="inlineStr">
        <is>
          <t>-</t>
        </is>
      </c>
      <c r="P459" s="6" t="inlineStr">
        <is>
          <t>OFF LINE</t>
        </is>
      </c>
      <c r="Q459" s="6" t="inlineStr">
        <is>
          <t>Pagamento direto</t>
        </is>
      </c>
      <c r="R459" s="6" t="inlineStr">
        <is>
          <t>Pagamento direto</t>
        </is>
      </c>
      <c r="S459" s="6" t="inlineStr">
        <is>
          <t>Hotel</t>
        </is>
      </c>
      <c r="T459" s="6" t="inlineStr">
        <is>
          <t>N</t>
        </is>
      </c>
      <c r="U459" s="6" t="inlineStr">
        <is>
          <t>Grupo Ache</t>
        </is>
      </c>
      <c r="V459" s="6" t="inlineStr">
        <is>
          <t>Ache Laboratorios Farmaceuticos Sa</t>
        </is>
      </c>
      <c r="W459" s="6" t="inlineStr">
        <is>
          <t>-</t>
        </is>
      </c>
      <c r="X459" s="6" t="inlineStr">
        <is>
          <t>Hotel D Leon</t>
        </is>
      </c>
      <c r="Y459" s="6" t="inlineStr">
        <is>
          <t>-</t>
        </is>
      </c>
      <c r="Z459" s="6" t="inlineStr">
        <is>
          <t>KON-OPE-SAO-PVI-ACHE</t>
        </is>
      </c>
      <c r="AA459" s="6" t="inlineStr">
        <is>
          <t>-</t>
        </is>
      </c>
      <c r="AB459" s="6" t="n">
        <v>500</v>
      </c>
      <c r="AC459" s="6" t="n">
        <v>0</v>
      </c>
      <c r="AD459" s="6" t="n">
        <v>0</v>
      </c>
      <c r="AE459" s="6" t="n">
        <v>0</v>
      </c>
      <c r="AF459" s="6" t="n">
        <v>0</v>
      </c>
      <c r="AG459" s="6" t="n">
        <v>0</v>
      </c>
      <c r="AH459" s="6" t="n">
        <v>0</v>
      </c>
      <c r="AI459" s="6" t="inlineStr">
        <is>
          <t>Reserva importada do Sistema TMS. OS: 97044</t>
        </is>
      </c>
      <c r="AJ459" s="6" t="inlineStr">
        <is>
          <t>Empenho/departamento não preenchido! (ACC01)</t>
        </is>
      </c>
      <c r="AK459" s="6" t="inlineStr">
        <is>
          <t>ARGO(TMS)</t>
        </is>
      </c>
      <c r="AL459" s="6" t="inlineStr">
        <is>
          <t>Empenho/departamento</t>
        </is>
      </c>
      <c r="AM459" s="6" t="inlineStr">
        <is>
          <t>Falta de informação Gerencial</t>
        </is>
      </c>
      <c r="AN459" s="6" t="inlineStr">
        <is>
          <t>Dados do Fornecedor</t>
        </is>
      </c>
      <c r="AO459" s="6" t="inlineStr">
        <is>
          <t>Qualidade dos dados</t>
        </is>
      </c>
      <c r="AP459" s="6" t="inlineStr">
        <is>
          <t>KONTIK BUSINESS TRAVEL</t>
        </is>
      </c>
      <c r="AQ459" s="6" t="inlineStr">
        <is>
          <t>Operações - CORP</t>
        </is>
      </c>
    </row>
    <row r="460">
      <c r="A460" s="6" t="n">
        <v>23380086</v>
      </c>
      <c r="B460" s="6" t="n">
        <v>24103771</v>
      </c>
      <c r="C460" s="6" t="inlineStr">
        <is>
          <t>ACC01</t>
        </is>
      </c>
      <c r="D460" s="58" t="n">
        <v>45985.69221064815</v>
      </c>
      <c r="E460" s="58" t="n">
        <v>45985.69645833333</v>
      </c>
      <c r="F460" s="6" t="inlineStr">
        <is>
          <t>0 a 02 dias</t>
        </is>
      </c>
      <c r="G460" s="6" t="inlineStr">
        <is>
          <t>0 a 02 dias</t>
        </is>
      </c>
      <c r="H460" s="6" t="inlineStr">
        <is>
          <t>5U2BCW</t>
        </is>
      </c>
      <c r="I460" s="6" t="inlineStr">
        <is>
          <t>TMS</t>
        </is>
      </c>
      <c r="J460" s="6" t="inlineStr">
        <is>
          <t>LUIZ GONCALVES</t>
        </is>
      </c>
      <c r="K460" s="6" t="inlineStr">
        <is>
          <t>Ariane de Sousa Farias</t>
        </is>
      </c>
      <c r="L460" s="6" t="inlineStr">
        <is>
          <t>Ariane de Sousa Farias</t>
        </is>
      </c>
      <c r="M460" s="58" t="n">
        <v>45985.64097222222</v>
      </c>
      <c r="N460" s="6" t="n">
        <v>97042</v>
      </c>
      <c r="O460" s="6" t="inlineStr">
        <is>
          <t>-</t>
        </is>
      </c>
      <c r="P460" s="6" t="inlineStr">
        <is>
          <t>OFF LINE</t>
        </is>
      </c>
      <c r="Q460" s="6" t="inlineStr">
        <is>
          <t>Pagamento direto</t>
        </is>
      </c>
      <c r="R460" s="6" t="inlineStr">
        <is>
          <t>Pagamento direto</t>
        </is>
      </c>
      <c r="S460" s="6" t="inlineStr">
        <is>
          <t>Hotel</t>
        </is>
      </c>
      <c r="T460" s="6" t="inlineStr">
        <is>
          <t>N</t>
        </is>
      </c>
      <c r="U460" s="6" t="inlineStr">
        <is>
          <t>Grupo Ache</t>
        </is>
      </c>
      <c r="V460" s="6" t="inlineStr">
        <is>
          <t>Ache Laboratorios Farmaceuticos Sa</t>
        </is>
      </c>
      <c r="W460" s="6" t="inlineStr">
        <is>
          <t>-</t>
        </is>
      </c>
      <c r="X460" s="6" t="inlineStr">
        <is>
          <t>Ceu Palmas Hotel</t>
        </is>
      </c>
      <c r="Y460" s="6" t="inlineStr">
        <is>
          <t>-</t>
        </is>
      </c>
      <c r="Z460" s="6" t="inlineStr">
        <is>
          <t>KON-OPE-SAO-PVI-ACHE</t>
        </is>
      </c>
      <c r="AA460" s="6" t="inlineStr">
        <is>
          <t>-</t>
        </is>
      </c>
      <c r="AB460" s="6" t="n">
        <v>1396</v>
      </c>
      <c r="AC460" s="6" t="n">
        <v>0</v>
      </c>
      <c r="AD460" s="6" t="n">
        <v>0</v>
      </c>
      <c r="AE460" s="6" t="n">
        <v>0</v>
      </c>
      <c r="AF460" s="6" t="n">
        <v>0</v>
      </c>
      <c r="AG460" s="6" t="n">
        <v>69.8</v>
      </c>
      <c r="AH460" s="6" t="n">
        <v>0</v>
      </c>
      <c r="AI460" s="6" t="inlineStr">
        <is>
          <t>Reserva importada do Sistema TMS. OS: 97042</t>
        </is>
      </c>
      <c r="AJ460" s="6" t="inlineStr">
        <is>
          <t>Empenho/departamento não preenchido! (ACC01)</t>
        </is>
      </c>
      <c r="AK460" s="6" t="inlineStr">
        <is>
          <t>ARGO(TMS)</t>
        </is>
      </c>
      <c r="AL460" s="6" t="inlineStr">
        <is>
          <t>Empenho/departamento</t>
        </is>
      </c>
      <c r="AM460" s="6" t="inlineStr">
        <is>
          <t>Falta de informação Gerencial</t>
        </is>
      </c>
      <c r="AN460" s="6" t="inlineStr">
        <is>
          <t>Dados do Fornecedor</t>
        </is>
      </c>
      <c r="AO460" s="6" t="inlineStr">
        <is>
          <t>Qualidade dos dados</t>
        </is>
      </c>
      <c r="AP460" s="6" t="inlineStr">
        <is>
          <t>KONTIK BUSINESS TRAVEL</t>
        </is>
      </c>
      <c r="AQ460" s="6" t="inlineStr">
        <is>
          <t>Operações - CORP</t>
        </is>
      </c>
    </row>
    <row r="461">
      <c r="A461" s="6" t="n">
        <v>23380100</v>
      </c>
      <c r="B461" s="6" t="n">
        <v>24103785</v>
      </c>
      <c r="C461" s="6" t="inlineStr">
        <is>
          <t>ACC01</t>
        </is>
      </c>
      <c r="D461" s="58" t="n">
        <v>45985.69252314815</v>
      </c>
      <c r="E461" s="58" t="n">
        <v>45985.698125</v>
      </c>
      <c r="F461" s="6" t="inlineStr">
        <is>
          <t>0 a 02 dias</t>
        </is>
      </c>
      <c r="G461" s="6" t="inlineStr">
        <is>
          <t>0 a 02 dias</t>
        </is>
      </c>
      <c r="H461" s="6" t="inlineStr">
        <is>
          <t>5UCZEW</t>
        </is>
      </c>
      <c r="I461" s="6" t="inlineStr">
        <is>
          <t>TMS</t>
        </is>
      </c>
      <c r="J461" s="6" t="inlineStr">
        <is>
          <t>JOENICE SANTOS</t>
        </is>
      </c>
      <c r="K461" s="6" t="inlineStr">
        <is>
          <t>Ariane de Sousa Farias</t>
        </is>
      </c>
      <c r="L461" s="6" t="inlineStr">
        <is>
          <t>Ariane de Sousa Farias</t>
        </is>
      </c>
      <c r="M461" s="58" t="n">
        <v>45985.49861111111</v>
      </c>
      <c r="N461" s="6" t="n">
        <v>96951</v>
      </c>
      <c r="O461" s="6" t="inlineStr">
        <is>
          <t>-</t>
        </is>
      </c>
      <c r="P461" s="6" t="inlineStr">
        <is>
          <t>OFF LINE</t>
        </is>
      </c>
      <c r="Q461" s="6" t="inlineStr">
        <is>
          <t>Pagamento direto</t>
        </is>
      </c>
      <c r="R461" s="6" t="inlineStr">
        <is>
          <t>Pagamento direto</t>
        </is>
      </c>
      <c r="S461" s="6" t="inlineStr">
        <is>
          <t>Hotel</t>
        </is>
      </c>
      <c r="T461" s="6" t="inlineStr">
        <is>
          <t>N</t>
        </is>
      </c>
      <c r="U461" s="6" t="inlineStr">
        <is>
          <t>Grupo Ache</t>
        </is>
      </c>
      <c r="V461" s="6" t="inlineStr">
        <is>
          <t>Ache Laboratorios Farmaceuticos Sa</t>
        </is>
      </c>
      <c r="W461" s="6" t="inlineStr">
        <is>
          <t>-</t>
        </is>
      </c>
      <c r="X461" s="6" t="inlineStr">
        <is>
          <t>Pousada Pier do Pontal</t>
        </is>
      </c>
      <c r="Y461" s="6" t="inlineStr">
        <is>
          <t>-</t>
        </is>
      </c>
      <c r="Z461" s="6" t="inlineStr">
        <is>
          <t>KON-OPE-SAO-PVI-ACHE</t>
        </is>
      </c>
      <c r="AA461" s="6" t="inlineStr">
        <is>
          <t>-</t>
        </is>
      </c>
      <c r="AB461" s="6" t="n">
        <v>592</v>
      </c>
      <c r="AC461" s="6" t="n">
        <v>0</v>
      </c>
      <c r="AD461" s="6" t="n">
        <v>0</v>
      </c>
      <c r="AE461" s="6" t="n">
        <v>0</v>
      </c>
      <c r="AF461" s="6" t="n">
        <v>0</v>
      </c>
      <c r="AG461" s="6" t="n">
        <v>0</v>
      </c>
      <c r="AH461" s="6" t="n">
        <v>0</v>
      </c>
      <c r="AI461" s="6" t="inlineStr">
        <is>
          <t>Reserva importada do Sistema TMS. OS: 96951</t>
        </is>
      </c>
      <c r="AJ461" s="6" t="inlineStr">
        <is>
          <t>Empenho/departamento não preenchido! (ACC01)</t>
        </is>
      </c>
      <c r="AK461" s="6" t="inlineStr">
        <is>
          <t>ARGO(TMS)</t>
        </is>
      </c>
      <c r="AL461" s="6" t="inlineStr">
        <is>
          <t>Empenho/departamento</t>
        </is>
      </c>
      <c r="AM461" s="6" t="inlineStr">
        <is>
          <t>Falta de informação Gerencial</t>
        </is>
      </c>
      <c r="AN461" s="6" t="inlineStr">
        <is>
          <t>Dados do Fornecedor</t>
        </is>
      </c>
      <c r="AO461" s="6" t="inlineStr">
        <is>
          <t>Qualidade dos dados</t>
        </is>
      </c>
      <c r="AP461" s="6" t="inlineStr">
        <is>
          <t>KONTIK BUSINESS TRAVEL</t>
        </is>
      </c>
      <c r="AQ461" s="6" t="inlineStr">
        <is>
          <t>Operações - CORP</t>
        </is>
      </c>
    </row>
    <row r="462">
      <c r="A462" s="6" t="n">
        <v>23380096</v>
      </c>
      <c r="B462" s="6" t="n">
        <v>24103781</v>
      </c>
      <c r="C462" s="6" t="inlineStr">
        <is>
          <t>ACC01</t>
        </is>
      </c>
      <c r="D462" s="58" t="n">
        <v>45985.69244212963</v>
      </c>
      <c r="E462" s="58" t="n">
        <v>45985.69664351852</v>
      </c>
      <c r="F462" s="6" t="inlineStr">
        <is>
          <t>0 a 02 dias</t>
        </is>
      </c>
      <c r="G462" s="6" t="inlineStr">
        <is>
          <t>0 a 02 dias</t>
        </is>
      </c>
      <c r="H462" s="6" t="inlineStr">
        <is>
          <t>5UOP32</t>
        </is>
      </c>
      <c r="I462" s="6" t="inlineStr">
        <is>
          <t>TMS</t>
        </is>
      </c>
      <c r="J462" s="6" t="inlineStr">
        <is>
          <t>LARISSA AZEVEDO</t>
        </is>
      </c>
      <c r="K462" s="6" t="inlineStr">
        <is>
          <t>Ariane de Sousa Farias</t>
        </is>
      </c>
      <c r="L462" s="6" t="inlineStr">
        <is>
          <t>Ariane de Sousa Farias</t>
        </is>
      </c>
      <c r="M462" s="58" t="n">
        <v>45985.59097222222</v>
      </c>
      <c r="N462" s="6" t="n">
        <v>97003</v>
      </c>
      <c r="O462" s="6" t="inlineStr">
        <is>
          <t>-</t>
        </is>
      </c>
      <c r="P462" s="6" t="inlineStr">
        <is>
          <t>OFF LINE</t>
        </is>
      </c>
      <c r="Q462" s="6" t="inlineStr">
        <is>
          <t>Pagamento direto</t>
        </is>
      </c>
      <c r="R462" s="6" t="inlineStr">
        <is>
          <t>Pagamento direto</t>
        </is>
      </c>
      <c r="S462" s="6" t="inlineStr">
        <is>
          <t>Hotel</t>
        </is>
      </c>
      <c r="T462" s="6" t="inlineStr">
        <is>
          <t>N</t>
        </is>
      </c>
      <c r="U462" s="6" t="inlineStr">
        <is>
          <t>Grupo Ache</t>
        </is>
      </c>
      <c r="V462" s="6" t="inlineStr">
        <is>
          <t>Ache Laboratorios Farmaceuticos Sa</t>
        </is>
      </c>
      <c r="W462" s="6" t="inlineStr">
        <is>
          <t>-</t>
        </is>
      </c>
      <c r="X462" s="6" t="inlineStr">
        <is>
          <t>Pousada Paddock</t>
        </is>
      </c>
      <c r="Y462" s="6" t="inlineStr">
        <is>
          <t>-</t>
        </is>
      </c>
      <c r="Z462" s="6" t="inlineStr">
        <is>
          <t>KON-OPE-SAO-PVI-ACHE</t>
        </is>
      </c>
      <c r="AA462" s="6" t="inlineStr">
        <is>
          <t>-</t>
        </is>
      </c>
      <c r="AB462" s="6" t="n">
        <v>85</v>
      </c>
      <c r="AC462" s="6" t="n">
        <v>0</v>
      </c>
      <c r="AD462" s="6" t="n">
        <v>0</v>
      </c>
      <c r="AE462" s="6" t="n">
        <v>0</v>
      </c>
      <c r="AF462" s="6" t="n">
        <v>0</v>
      </c>
      <c r="AG462" s="6" t="n">
        <v>0</v>
      </c>
      <c r="AH462" s="6" t="n">
        <v>0</v>
      </c>
      <c r="AI462" s="6" t="inlineStr">
        <is>
          <t>Reserva importada do Sistema TMS. OS: 97003</t>
        </is>
      </c>
      <c r="AJ462" s="6" t="inlineStr">
        <is>
          <t>Empenho/departamento não preenchido! (ACC01)</t>
        </is>
      </c>
      <c r="AK462" s="6" t="inlineStr">
        <is>
          <t>ARGO(TMS)</t>
        </is>
      </c>
      <c r="AL462" s="6" t="inlineStr">
        <is>
          <t>Empenho/departamento</t>
        </is>
      </c>
      <c r="AM462" s="6" t="inlineStr">
        <is>
          <t>Falta de informação Gerencial</t>
        </is>
      </c>
      <c r="AN462" s="6" t="inlineStr">
        <is>
          <t>Dados do Fornecedor</t>
        </is>
      </c>
      <c r="AO462" s="6" t="inlineStr">
        <is>
          <t>Qualidade dos dados</t>
        </is>
      </c>
      <c r="AP462" s="6" t="inlineStr">
        <is>
          <t>KONTIK BUSINESS TRAVEL</t>
        </is>
      </c>
      <c r="AQ462" s="6" t="inlineStr">
        <is>
          <t>Operações - CORP</t>
        </is>
      </c>
    </row>
    <row r="463">
      <c r="A463" s="6" t="n">
        <v>23380098</v>
      </c>
      <c r="B463" s="6" t="n">
        <v>24103783</v>
      </c>
      <c r="C463" s="6" t="inlineStr">
        <is>
          <t>ACC01</t>
        </is>
      </c>
      <c r="D463" s="58" t="n">
        <v>45985.69246527777</v>
      </c>
      <c r="E463" s="58" t="n">
        <v>45985.69811342593</v>
      </c>
      <c r="F463" s="6" t="inlineStr">
        <is>
          <t>0 a 02 dias</t>
        </is>
      </c>
      <c r="G463" s="6" t="inlineStr">
        <is>
          <t>0 a 02 dias</t>
        </is>
      </c>
      <c r="H463" s="6" t="inlineStr">
        <is>
          <t>5UPACW</t>
        </is>
      </c>
      <c r="I463" s="6" t="inlineStr">
        <is>
          <t>TMS</t>
        </is>
      </c>
      <c r="J463" s="6" t="inlineStr">
        <is>
          <t>DIOGO LUIZ CALIXTO DE ARAUJO</t>
        </is>
      </c>
      <c r="K463" s="6" t="inlineStr">
        <is>
          <t>Ariane de Sousa Farias</t>
        </is>
      </c>
      <c r="L463" s="6" t="inlineStr">
        <is>
          <t>Ariane de Sousa Farias</t>
        </is>
      </c>
      <c r="M463" s="58" t="n">
        <v>45985.56736111111</v>
      </c>
      <c r="N463" s="6" t="n">
        <v>96990</v>
      </c>
      <c r="O463" s="6" t="inlineStr">
        <is>
          <t>-</t>
        </is>
      </c>
      <c r="P463" s="6" t="inlineStr">
        <is>
          <t>OFF LINE</t>
        </is>
      </c>
      <c r="Q463" s="6" t="inlineStr">
        <is>
          <t>Pagamento direto</t>
        </is>
      </c>
      <c r="R463" s="6" t="inlineStr">
        <is>
          <t>Pagamento direto</t>
        </is>
      </c>
      <c r="S463" s="6" t="inlineStr">
        <is>
          <t>Hotel</t>
        </is>
      </c>
      <c r="T463" s="6" t="inlineStr">
        <is>
          <t>N</t>
        </is>
      </c>
      <c r="U463" s="6" t="inlineStr">
        <is>
          <t>Grupo Ache</t>
        </is>
      </c>
      <c r="V463" s="6" t="inlineStr">
        <is>
          <t>Ache Laboratorios Farmaceuticos Sa</t>
        </is>
      </c>
      <c r="W463" s="6" t="inlineStr">
        <is>
          <t>-</t>
        </is>
      </c>
      <c r="X463" s="6" t="inlineStr">
        <is>
          <t>Casablanca Palace Hotel - Frutal</t>
        </is>
      </c>
      <c r="Y463" s="6" t="inlineStr">
        <is>
          <t>-</t>
        </is>
      </c>
      <c r="Z463" s="6" t="inlineStr">
        <is>
          <t>KON-OPE-SAO-PVI-ACHE</t>
        </is>
      </c>
      <c r="AA463" s="6" t="inlineStr">
        <is>
          <t>-</t>
        </is>
      </c>
      <c r="AB463" s="6" t="n">
        <v>570</v>
      </c>
      <c r="AC463" s="6" t="n">
        <v>0</v>
      </c>
      <c r="AD463" s="6" t="n">
        <v>0</v>
      </c>
      <c r="AE463" s="6" t="n">
        <v>0</v>
      </c>
      <c r="AF463" s="6" t="n">
        <v>0</v>
      </c>
      <c r="AG463" s="6" t="n">
        <v>0</v>
      </c>
      <c r="AH463" s="6" t="n">
        <v>0</v>
      </c>
      <c r="AI463" s="6" t="inlineStr">
        <is>
          <t>Reserva importada do Sistema TMS. OS: 96990</t>
        </is>
      </c>
      <c r="AJ463" s="6" t="inlineStr">
        <is>
          <t>Empenho/departamento não preenchido! (ACC01)</t>
        </is>
      </c>
      <c r="AK463" s="6" t="inlineStr">
        <is>
          <t>ARGO(TMS)</t>
        </is>
      </c>
      <c r="AL463" s="6" t="inlineStr">
        <is>
          <t>Empenho/departamento</t>
        </is>
      </c>
      <c r="AM463" s="6" t="inlineStr">
        <is>
          <t>Falta de informação Gerencial</t>
        </is>
      </c>
      <c r="AN463" s="6" t="inlineStr">
        <is>
          <t>Dados do Fornecedor</t>
        </is>
      </c>
      <c r="AO463" s="6" t="inlineStr">
        <is>
          <t>Qualidade dos dados</t>
        </is>
      </c>
      <c r="AP463" s="6" t="inlineStr">
        <is>
          <t>KONTIK BUSINESS TRAVEL</t>
        </is>
      </c>
      <c r="AQ463" s="6" t="inlineStr">
        <is>
          <t>Operações - CORP</t>
        </is>
      </c>
    </row>
    <row r="464">
      <c r="A464" s="6" t="n">
        <v>23380110</v>
      </c>
      <c r="B464" s="6" t="n">
        <v>24103795</v>
      </c>
      <c r="C464" s="6" t="inlineStr">
        <is>
          <t>ACC01</t>
        </is>
      </c>
      <c r="D464" s="58" t="n">
        <v>45985.69273148148</v>
      </c>
      <c r="E464" s="58" t="n">
        <v>45985.6987037037</v>
      </c>
      <c r="F464" s="6" t="inlineStr">
        <is>
          <t>0 a 02 dias</t>
        </is>
      </c>
      <c r="G464" s="6" t="inlineStr">
        <is>
          <t>0 a 02 dias</t>
        </is>
      </c>
      <c r="H464" s="6" t="inlineStr">
        <is>
          <t>5UX2EX</t>
        </is>
      </c>
      <c r="I464" s="6" t="inlineStr">
        <is>
          <t>TMS</t>
        </is>
      </c>
      <c r="J464" s="6" t="inlineStr">
        <is>
          <t>ELENA OLIVEIRA</t>
        </is>
      </c>
      <c r="K464" s="6" t="inlineStr">
        <is>
          <t>Ariane de Sousa Farias</t>
        </is>
      </c>
      <c r="L464" s="6" t="inlineStr">
        <is>
          <t>Ariane de Sousa Farias</t>
        </is>
      </c>
      <c r="M464" s="58" t="n">
        <v>45985.65694444445</v>
      </c>
      <c r="N464" s="6" t="n">
        <v>96908</v>
      </c>
      <c r="O464" s="6" t="inlineStr">
        <is>
          <t>-</t>
        </is>
      </c>
      <c r="P464" s="6" t="inlineStr">
        <is>
          <t>OFF LINE</t>
        </is>
      </c>
      <c r="Q464" s="6" t="inlineStr">
        <is>
          <t>Pagamento direto</t>
        </is>
      </c>
      <c r="R464" s="6" t="inlineStr">
        <is>
          <t>Pagamento direto</t>
        </is>
      </c>
      <c r="S464" s="6" t="inlineStr">
        <is>
          <t>Hotel</t>
        </is>
      </c>
      <c r="T464" s="6" t="inlineStr">
        <is>
          <t>N</t>
        </is>
      </c>
      <c r="U464" s="6" t="inlineStr">
        <is>
          <t>Grupo Ache</t>
        </is>
      </c>
      <c r="V464" s="6" t="inlineStr">
        <is>
          <t>Ache Laboratorios Farmaceuticos Sa</t>
        </is>
      </c>
      <c r="W464" s="6" t="inlineStr">
        <is>
          <t>-</t>
        </is>
      </c>
      <c r="X464" s="6" t="inlineStr">
        <is>
          <t>Bertelli Chui Hotel</t>
        </is>
      </c>
      <c r="Y464" s="6" t="inlineStr">
        <is>
          <t>-</t>
        </is>
      </c>
      <c r="Z464" s="6" t="inlineStr">
        <is>
          <t>KON-OPE-SAO-PVI-ACHE</t>
        </is>
      </c>
      <c r="AA464" s="6" t="inlineStr">
        <is>
          <t>-</t>
        </is>
      </c>
      <c r="AB464" s="6" t="n">
        <v>285</v>
      </c>
      <c r="AC464" s="6" t="n">
        <v>0</v>
      </c>
      <c r="AD464" s="6" t="n">
        <v>0</v>
      </c>
      <c r="AE464" s="6" t="n">
        <v>0</v>
      </c>
      <c r="AF464" s="6" t="n">
        <v>0</v>
      </c>
      <c r="AG464" s="6" t="n">
        <v>0</v>
      </c>
      <c r="AH464" s="6" t="n">
        <v>0</v>
      </c>
      <c r="AI464" s="6" t="inlineStr">
        <is>
          <t>Reserva importada do Sistema TMS. OS: 96908</t>
        </is>
      </c>
      <c r="AJ464" s="6" t="inlineStr">
        <is>
          <t>Empenho/departamento não preenchido! (ACC01)</t>
        </is>
      </c>
      <c r="AK464" s="6" t="inlineStr">
        <is>
          <t>ARGO(TMS)</t>
        </is>
      </c>
      <c r="AL464" s="6" t="inlineStr">
        <is>
          <t>Empenho/departamento</t>
        </is>
      </c>
      <c r="AM464" s="6" t="inlineStr">
        <is>
          <t>Falta de informação Gerencial</t>
        </is>
      </c>
      <c r="AN464" s="6" t="inlineStr">
        <is>
          <t>Dados do Fornecedor</t>
        </is>
      </c>
      <c r="AO464" s="6" t="inlineStr">
        <is>
          <t>Qualidade dos dados</t>
        </is>
      </c>
      <c r="AP464" s="6" t="inlineStr">
        <is>
          <t>KONTIK BUSINESS TRAVEL</t>
        </is>
      </c>
      <c r="AQ464" s="6" t="inlineStr">
        <is>
          <t>Operações - CORP</t>
        </is>
      </c>
    </row>
    <row r="465">
      <c r="A465" s="6" t="n">
        <v>23380139</v>
      </c>
      <c r="B465" s="6" t="n">
        <v>24103829</v>
      </c>
      <c r="C465" s="6" t="inlineStr">
        <is>
          <t>ACC01</t>
        </is>
      </c>
      <c r="D465" s="58" t="n">
        <v>45985.69327546296</v>
      </c>
      <c r="E465" s="58" t="n">
        <v>45985.70208333333</v>
      </c>
      <c r="F465" s="6" t="inlineStr">
        <is>
          <t>0 a 02 dias</t>
        </is>
      </c>
      <c r="G465" s="6" t="inlineStr">
        <is>
          <t>0 a 02 dias</t>
        </is>
      </c>
      <c r="H465" s="6" t="inlineStr">
        <is>
          <t>5UO4CS</t>
        </is>
      </c>
      <c r="I465" s="6" t="inlineStr">
        <is>
          <t>TMS</t>
        </is>
      </c>
      <c r="J465" s="6" t="inlineStr">
        <is>
          <t>ADILSON SOUZA</t>
        </is>
      </c>
      <c r="K465" s="6" t="inlineStr">
        <is>
          <t>Ariane de Sousa Farias</t>
        </is>
      </c>
      <c r="L465" s="6" t="inlineStr">
        <is>
          <t>Ariane de Sousa Farias</t>
        </is>
      </c>
      <c r="M465" s="58" t="n">
        <v>45985.59097222222</v>
      </c>
      <c r="N465" s="6" t="n">
        <v>96266</v>
      </c>
      <c r="O465" s="6" t="inlineStr">
        <is>
          <t>-</t>
        </is>
      </c>
      <c r="P465" s="6" t="inlineStr">
        <is>
          <t>OFF LINE</t>
        </is>
      </c>
      <c r="Q465" s="6" t="inlineStr">
        <is>
          <t>Pagamento direto</t>
        </is>
      </c>
      <c r="R465" s="6" t="inlineStr">
        <is>
          <t>Pagamento direto</t>
        </is>
      </c>
      <c r="S465" s="6" t="inlineStr">
        <is>
          <t>Hotel</t>
        </is>
      </c>
      <c r="T465" s="6" t="inlineStr">
        <is>
          <t>N</t>
        </is>
      </c>
      <c r="U465" s="6" t="inlineStr">
        <is>
          <t>Grupo Ache</t>
        </is>
      </c>
      <c r="V465" s="6" t="inlineStr">
        <is>
          <t>Ache Laboratorios Farmaceuticos Sa</t>
        </is>
      </c>
      <c r="W465" s="6" t="inlineStr">
        <is>
          <t>-</t>
        </is>
      </c>
      <c r="X465" s="6" t="inlineStr">
        <is>
          <t>France Hotel</t>
        </is>
      </c>
      <c r="Y465" s="6" t="inlineStr">
        <is>
          <t>-</t>
        </is>
      </c>
      <c r="Z465" s="6" t="inlineStr">
        <is>
          <t>KON-OPE-SAO-PVI-ACHE</t>
        </is>
      </c>
      <c r="AA465" s="6" t="inlineStr">
        <is>
          <t>-</t>
        </is>
      </c>
      <c r="AB465" s="6" t="n">
        <v>576</v>
      </c>
      <c r="AC465" s="6" t="n">
        <v>0</v>
      </c>
      <c r="AD465" s="6" t="n">
        <v>0</v>
      </c>
      <c r="AE465" s="6" t="n">
        <v>0</v>
      </c>
      <c r="AF465" s="6" t="n">
        <v>0</v>
      </c>
      <c r="AG465" s="6" t="n">
        <v>0</v>
      </c>
      <c r="AH465" s="6" t="n">
        <v>0</v>
      </c>
      <c r="AI465" s="6" t="inlineStr">
        <is>
          <t>Reserva importada do Sistema TMS. OS: 96266</t>
        </is>
      </c>
      <c r="AJ465" s="6" t="inlineStr">
        <is>
          <t>Empenho/departamento não preenchido! (ACC01)</t>
        </is>
      </c>
      <c r="AK465" s="6" t="inlineStr">
        <is>
          <t>ARGO(TMS)</t>
        </is>
      </c>
      <c r="AL465" s="6" t="inlineStr">
        <is>
          <t>Empenho/departamento</t>
        </is>
      </c>
      <c r="AM465" s="6" t="inlineStr">
        <is>
          <t>Falta de informação Gerencial</t>
        </is>
      </c>
      <c r="AN465" s="6" t="inlineStr">
        <is>
          <t>Dados do Fornecedor</t>
        </is>
      </c>
      <c r="AO465" s="6" t="inlineStr">
        <is>
          <t>Qualidade dos dados</t>
        </is>
      </c>
      <c r="AP465" s="6" t="inlineStr">
        <is>
          <t>KONTIK BUSINESS TRAVEL</t>
        </is>
      </c>
      <c r="AQ465" s="6" t="inlineStr">
        <is>
          <t>Operações - CORP</t>
        </is>
      </c>
    </row>
    <row r="466">
      <c r="A466" s="6" t="n">
        <v>23380141</v>
      </c>
      <c r="B466" s="6" t="n">
        <v>24103831</v>
      </c>
      <c r="C466" s="6" t="inlineStr">
        <is>
          <t>ACC01</t>
        </is>
      </c>
      <c r="D466" s="58" t="n">
        <v>45985.69331018518</v>
      </c>
      <c r="E466" s="58" t="n">
        <v>45985.70555555556</v>
      </c>
      <c r="F466" s="6" t="inlineStr">
        <is>
          <t>0 a 02 dias</t>
        </is>
      </c>
      <c r="G466" s="6" t="inlineStr">
        <is>
          <t>0 a 02 dias</t>
        </is>
      </c>
      <c r="H466" s="6" t="inlineStr">
        <is>
          <t>5UAG3W</t>
        </is>
      </c>
      <c r="I466" s="6" t="inlineStr">
        <is>
          <t>TMS</t>
        </is>
      </c>
      <c r="J466" s="6" t="inlineStr">
        <is>
          <t>JOAO DOMICIANO</t>
        </is>
      </c>
      <c r="K466" s="6" t="inlineStr">
        <is>
          <t>Ariane de Sousa Farias</t>
        </is>
      </c>
      <c r="L466" s="6" t="inlineStr">
        <is>
          <t>Ariane de Sousa Farias</t>
        </is>
      </c>
      <c r="M466" s="58" t="n">
        <v>45985.65138888889</v>
      </c>
      <c r="N466" s="6" t="n">
        <v>96098</v>
      </c>
      <c r="O466" s="6" t="inlineStr">
        <is>
          <t>-</t>
        </is>
      </c>
      <c r="P466" s="6" t="inlineStr">
        <is>
          <t>OFF LINE</t>
        </is>
      </c>
      <c r="Q466" s="6" t="inlineStr">
        <is>
          <t>Pagamento direto</t>
        </is>
      </c>
      <c r="R466" s="6" t="inlineStr">
        <is>
          <t>Pagamento direto</t>
        </is>
      </c>
      <c r="S466" s="6" t="inlineStr">
        <is>
          <t>Hotel</t>
        </is>
      </c>
      <c r="T466" s="6" t="inlineStr">
        <is>
          <t>N</t>
        </is>
      </c>
      <c r="U466" s="6" t="inlineStr">
        <is>
          <t>Grupo Ache</t>
        </is>
      </c>
      <c r="V466" s="6" t="inlineStr">
        <is>
          <t>Ache Laboratorios Farmaceuticos Sa</t>
        </is>
      </c>
      <c r="W466" s="6" t="inlineStr">
        <is>
          <t>-</t>
        </is>
      </c>
      <c r="X466" s="6" t="inlineStr">
        <is>
          <t>Hotel Cecilia</t>
        </is>
      </c>
      <c r="Y466" s="6" t="inlineStr">
        <is>
          <t>-</t>
        </is>
      </c>
      <c r="Z466" s="6" t="inlineStr">
        <is>
          <t>KON-OPE-SAO-PVI-ACHE</t>
        </is>
      </c>
      <c r="AA466" s="6" t="inlineStr">
        <is>
          <t>-</t>
        </is>
      </c>
      <c r="AB466" s="6" t="n">
        <v>155</v>
      </c>
      <c r="AC466" s="6" t="n">
        <v>0</v>
      </c>
      <c r="AD466" s="6" t="n">
        <v>0</v>
      </c>
      <c r="AE466" s="6" t="n">
        <v>0</v>
      </c>
      <c r="AF466" s="6" t="n">
        <v>0</v>
      </c>
      <c r="AG466" s="6" t="n">
        <v>0</v>
      </c>
      <c r="AH466" s="6" t="n">
        <v>0</v>
      </c>
      <c r="AI466" s="6" t="inlineStr">
        <is>
          <t>Reserva importada do Sistema TMS. OS: 96098</t>
        </is>
      </c>
      <c r="AJ466" s="6" t="inlineStr">
        <is>
          <t>Empenho/departamento não preenchido! (ACC01)</t>
        </is>
      </c>
      <c r="AK466" s="6" t="inlineStr">
        <is>
          <t>ARGO(TMS)</t>
        </is>
      </c>
      <c r="AL466" s="6" t="inlineStr">
        <is>
          <t>Empenho/departamento</t>
        </is>
      </c>
      <c r="AM466" s="6" t="inlineStr">
        <is>
          <t>Falta de informação Gerencial</t>
        </is>
      </c>
      <c r="AN466" s="6" t="inlineStr">
        <is>
          <t>Dados do Fornecedor</t>
        </is>
      </c>
      <c r="AO466" s="6" t="inlineStr">
        <is>
          <t>Qualidade dos dados</t>
        </is>
      </c>
      <c r="AP466" s="6" t="inlineStr">
        <is>
          <t>KONTIK BUSINESS TRAVEL</t>
        </is>
      </c>
      <c r="AQ466" s="6" t="inlineStr">
        <is>
          <t>Operações - CORP</t>
        </is>
      </c>
    </row>
    <row r="467">
      <c r="A467" s="6" t="n">
        <v>23380131</v>
      </c>
      <c r="B467" s="6" t="n">
        <v>24103822</v>
      </c>
      <c r="C467" s="6" t="inlineStr">
        <is>
          <t>ACC01</t>
        </is>
      </c>
      <c r="D467" s="58" t="n">
        <v>45985.69309027777</v>
      </c>
      <c r="E467" s="58" t="n">
        <v>45985.70186342593</v>
      </c>
      <c r="F467" s="6" t="inlineStr">
        <is>
          <t>0 a 02 dias</t>
        </is>
      </c>
      <c r="G467" s="6" t="inlineStr">
        <is>
          <t>0 a 02 dias</t>
        </is>
      </c>
      <c r="H467" s="6" t="inlineStr">
        <is>
          <t>5UPFD2</t>
        </is>
      </c>
      <c r="I467" s="6" t="inlineStr">
        <is>
          <t>TMS</t>
        </is>
      </c>
      <c r="J467" s="6" t="inlineStr">
        <is>
          <t>RICARDO FERNANDES</t>
        </is>
      </c>
      <c r="K467" s="6" t="inlineStr">
        <is>
          <t>Ariane de Sousa Farias</t>
        </is>
      </c>
      <c r="L467" s="6" t="inlineStr">
        <is>
          <t>Ariane de Sousa Farias</t>
        </is>
      </c>
      <c r="M467" s="58" t="n">
        <v>45985.48958333334</v>
      </c>
      <c r="N467" s="6" t="n">
        <v>96669</v>
      </c>
      <c r="O467" s="6" t="inlineStr">
        <is>
          <t>-</t>
        </is>
      </c>
      <c r="P467" s="6" t="inlineStr">
        <is>
          <t>OFF LINE</t>
        </is>
      </c>
      <c r="Q467" s="6" t="inlineStr">
        <is>
          <t>Pagamento direto</t>
        </is>
      </c>
      <c r="R467" s="6" t="inlineStr">
        <is>
          <t>Pagamento direto</t>
        </is>
      </c>
      <c r="S467" s="6" t="inlineStr">
        <is>
          <t>Hotel</t>
        </is>
      </c>
      <c r="T467" s="6" t="inlineStr">
        <is>
          <t>N</t>
        </is>
      </c>
      <c r="U467" s="6" t="inlineStr">
        <is>
          <t>Grupo Ache</t>
        </is>
      </c>
      <c r="V467" s="6" t="inlineStr">
        <is>
          <t>Ache Laboratorios Farmaceuticos Sa</t>
        </is>
      </c>
      <c r="W467" s="6" t="inlineStr">
        <is>
          <t>-</t>
        </is>
      </c>
      <c r="X467" s="6" t="inlineStr">
        <is>
          <t>Nacional Palace Hotel</t>
        </is>
      </c>
      <c r="Y467" s="6" t="inlineStr">
        <is>
          <t>-</t>
        </is>
      </c>
      <c r="Z467" s="6" t="inlineStr">
        <is>
          <t>KON-OPE-SAO-PVI-ACHE</t>
        </is>
      </c>
      <c r="AA467" s="6" t="inlineStr">
        <is>
          <t>-</t>
        </is>
      </c>
      <c r="AB467" s="6" t="n">
        <v>1020</v>
      </c>
      <c r="AC467" s="6" t="n">
        <v>0</v>
      </c>
      <c r="AD467" s="6" t="n">
        <v>0</v>
      </c>
      <c r="AE467" s="6" t="n">
        <v>0</v>
      </c>
      <c r="AF467" s="6" t="n">
        <v>0</v>
      </c>
      <c r="AG467" s="6" t="n">
        <v>51</v>
      </c>
      <c r="AH467" s="6" t="n">
        <v>0</v>
      </c>
      <c r="AI467" s="6" t="inlineStr">
        <is>
          <t>Reserva importada do Sistema TMS. OS: 96669</t>
        </is>
      </c>
      <c r="AJ467" s="6" t="inlineStr">
        <is>
          <t>Empenho/departamento não preenchido! (ACC01)</t>
        </is>
      </c>
      <c r="AK467" s="6" t="inlineStr">
        <is>
          <t>ARGO(TMS)</t>
        </is>
      </c>
      <c r="AL467" s="6" t="inlineStr">
        <is>
          <t>Empenho/departamento</t>
        </is>
      </c>
      <c r="AM467" s="6" t="inlineStr">
        <is>
          <t>Falta de informação Gerencial</t>
        </is>
      </c>
      <c r="AN467" s="6" t="inlineStr">
        <is>
          <t>Dados do Fornecedor</t>
        </is>
      </c>
      <c r="AO467" s="6" t="inlineStr">
        <is>
          <t>Qualidade dos dados</t>
        </is>
      </c>
      <c r="AP467" s="6" t="inlineStr">
        <is>
          <t>KONTIK BUSINESS TRAVEL</t>
        </is>
      </c>
      <c r="AQ467" s="6" t="inlineStr">
        <is>
          <t>Operações - CORP</t>
        </is>
      </c>
    </row>
    <row r="468">
      <c r="A468" s="6" t="n">
        <v>23380117</v>
      </c>
      <c r="B468" s="6" t="n">
        <v>24103807</v>
      </c>
      <c r="C468" s="6" t="inlineStr">
        <is>
          <t>ACC01</t>
        </is>
      </c>
      <c r="D468" s="58" t="n">
        <v>45985.6928587963</v>
      </c>
      <c r="E468" s="58" t="n">
        <v>45985.69888888889</v>
      </c>
      <c r="F468" s="6" t="inlineStr">
        <is>
          <t>0 a 02 dias</t>
        </is>
      </c>
      <c r="G468" s="6" t="inlineStr">
        <is>
          <t>0 a 02 dias</t>
        </is>
      </c>
      <c r="H468" s="6" t="inlineStr">
        <is>
          <t>5UKXCW</t>
        </is>
      </c>
      <c r="I468" s="6" t="inlineStr">
        <is>
          <t>TMS</t>
        </is>
      </c>
      <c r="J468" s="6" t="inlineStr">
        <is>
          <t>FRANCIELLE DIAS BRUTTI</t>
        </is>
      </c>
      <c r="K468" s="6" t="inlineStr">
        <is>
          <t>Ariane de Sousa Farias</t>
        </is>
      </c>
      <c r="L468" s="6" t="inlineStr">
        <is>
          <t>Ariane de Sousa Farias</t>
        </is>
      </c>
      <c r="M468" s="58" t="n">
        <v>45985.4875</v>
      </c>
      <c r="N468" s="6" t="n">
        <v>96890</v>
      </c>
      <c r="O468" s="6" t="inlineStr">
        <is>
          <t>-</t>
        </is>
      </c>
      <c r="P468" s="6" t="inlineStr">
        <is>
          <t>OFF LINE</t>
        </is>
      </c>
      <c r="Q468" s="6" t="inlineStr">
        <is>
          <t>Pagamento direto</t>
        </is>
      </c>
      <c r="R468" s="6" t="inlineStr">
        <is>
          <t>Pagamento direto</t>
        </is>
      </c>
      <c r="S468" s="6" t="inlineStr">
        <is>
          <t>Hotel</t>
        </is>
      </c>
      <c r="T468" s="6" t="inlineStr">
        <is>
          <t>N</t>
        </is>
      </c>
      <c r="U468" s="6" t="inlineStr">
        <is>
          <t>Grupo Ache</t>
        </is>
      </c>
      <c r="V468" s="6" t="inlineStr">
        <is>
          <t>Ache Laboratorios Farmaceuticos Sa</t>
        </is>
      </c>
      <c r="W468" s="6" t="inlineStr">
        <is>
          <t>-</t>
        </is>
      </c>
      <c r="X468" s="6" t="inlineStr">
        <is>
          <t>Hotel Jacui</t>
        </is>
      </c>
      <c r="Y468" s="6" t="inlineStr">
        <is>
          <t>-</t>
        </is>
      </c>
      <c r="Z468" s="6" t="inlineStr">
        <is>
          <t>KON-OPE-SAO-PVI-ACHE</t>
        </is>
      </c>
      <c r="AA468" s="6" t="inlineStr">
        <is>
          <t>-</t>
        </is>
      </c>
      <c r="AB468" s="6" t="n">
        <v>580</v>
      </c>
      <c r="AC468" s="6" t="n">
        <v>0</v>
      </c>
      <c r="AD468" s="6" t="n">
        <v>0</v>
      </c>
      <c r="AE468" s="6" t="n">
        <v>0</v>
      </c>
      <c r="AF468" s="6" t="n">
        <v>0</v>
      </c>
      <c r="AG468" s="6" t="n">
        <v>0</v>
      </c>
      <c r="AH468" s="6" t="n">
        <v>0</v>
      </c>
      <c r="AI468" s="6" t="inlineStr">
        <is>
          <t>Reserva importada do Sistema TMS. OS: 96890</t>
        </is>
      </c>
      <c r="AJ468" s="6" t="inlineStr">
        <is>
          <t>Empenho/departamento não preenchido! (ACC01)</t>
        </is>
      </c>
      <c r="AK468" s="6" t="inlineStr">
        <is>
          <t>ARGO(TMS)</t>
        </is>
      </c>
      <c r="AL468" s="6" t="inlineStr">
        <is>
          <t>Empenho/departamento</t>
        </is>
      </c>
      <c r="AM468" s="6" t="inlineStr">
        <is>
          <t>Falta de informação Gerencial</t>
        </is>
      </c>
      <c r="AN468" s="6" t="inlineStr">
        <is>
          <t>Dados do Fornecedor</t>
        </is>
      </c>
      <c r="AO468" s="6" t="inlineStr">
        <is>
          <t>Qualidade dos dados</t>
        </is>
      </c>
      <c r="AP468" s="6" t="inlineStr">
        <is>
          <t>KONTIK BUSINESS TRAVEL</t>
        </is>
      </c>
      <c r="AQ468" s="6" t="inlineStr">
        <is>
          <t>Operações - CORP</t>
        </is>
      </c>
    </row>
    <row r="469">
      <c r="A469" s="6" t="n">
        <v>23380125</v>
      </c>
      <c r="B469" s="6" t="n">
        <v>24103816</v>
      </c>
      <c r="C469" s="6" t="inlineStr">
        <is>
          <t>ACC01</t>
        </is>
      </c>
      <c r="D469" s="58" t="n">
        <v>45985.69297453704</v>
      </c>
      <c r="E469" s="58" t="n">
        <v>45985.70168981481</v>
      </c>
      <c r="F469" s="6" t="inlineStr">
        <is>
          <t>0 a 02 dias</t>
        </is>
      </c>
      <c r="G469" s="6" t="inlineStr">
        <is>
          <t>0 a 02 dias</t>
        </is>
      </c>
      <c r="H469" s="6" t="inlineStr">
        <is>
          <t>5UTECW</t>
        </is>
      </c>
      <c r="I469" s="6" t="inlineStr">
        <is>
          <t>TMS</t>
        </is>
      </c>
      <c r="J469" s="6" t="inlineStr">
        <is>
          <t>BRUNO TORRES</t>
        </is>
      </c>
      <c r="K469" s="6" t="inlineStr">
        <is>
          <t>Ariane de Sousa Farias</t>
        </is>
      </c>
      <c r="L469" s="6" t="inlineStr">
        <is>
          <t>Ariane de Sousa Farias</t>
        </is>
      </c>
      <c r="M469" s="58" t="n">
        <v>45985.68263888889</v>
      </c>
      <c r="N469" s="6" t="n">
        <v>96851</v>
      </c>
      <c r="O469" s="6" t="inlineStr">
        <is>
          <t>-</t>
        </is>
      </c>
      <c r="P469" s="6" t="inlineStr">
        <is>
          <t>OFF LINE</t>
        </is>
      </c>
      <c r="Q469" s="6" t="inlineStr">
        <is>
          <t>Pagamento direto</t>
        </is>
      </c>
      <c r="R469" s="6" t="inlineStr">
        <is>
          <t>Pagamento direto</t>
        </is>
      </c>
      <c r="S469" s="6" t="inlineStr">
        <is>
          <t>Hotel</t>
        </is>
      </c>
      <c r="T469" s="6" t="inlineStr">
        <is>
          <t>N</t>
        </is>
      </c>
      <c r="U469" s="6" t="inlineStr">
        <is>
          <t>Grupo Ache</t>
        </is>
      </c>
      <c r="V469" s="6" t="inlineStr">
        <is>
          <t>Ache Laboratorios Farmaceuticos Sa</t>
        </is>
      </c>
      <c r="W469" s="6" t="inlineStr">
        <is>
          <t>-</t>
        </is>
      </c>
      <c r="X469" s="6" t="inlineStr">
        <is>
          <t>Balsas Premier Hotel</t>
        </is>
      </c>
      <c r="Y469" s="6" t="inlineStr">
        <is>
          <t>-</t>
        </is>
      </c>
      <c r="Z469" s="6" t="inlineStr">
        <is>
          <t>KON-OPE-SAO-PVI-ACHE</t>
        </is>
      </c>
      <c r="AA469" s="6" t="inlineStr">
        <is>
          <t>-</t>
        </is>
      </c>
      <c r="AB469" s="6" t="n">
        <v>1072</v>
      </c>
      <c r="AC469" s="6" t="n">
        <v>0</v>
      </c>
      <c r="AD469" s="6" t="n">
        <v>0</v>
      </c>
      <c r="AE469" s="6" t="n">
        <v>0</v>
      </c>
      <c r="AF469" s="6" t="n">
        <v>0</v>
      </c>
      <c r="AG469" s="6" t="n">
        <v>0</v>
      </c>
      <c r="AH469" s="6" t="n">
        <v>0</v>
      </c>
      <c r="AI469" s="6" t="inlineStr">
        <is>
          <t>Reserva importada do Sistema TMS. OS: 96851</t>
        </is>
      </c>
      <c r="AJ469" s="6" t="inlineStr">
        <is>
          <t>Empenho/departamento não preenchido! (ACC01)</t>
        </is>
      </c>
      <c r="AK469" s="6" t="inlineStr">
        <is>
          <t>ARGO(TMS)</t>
        </is>
      </c>
      <c r="AL469" s="6" t="inlineStr">
        <is>
          <t>Empenho/departamento</t>
        </is>
      </c>
      <c r="AM469" s="6" t="inlineStr">
        <is>
          <t>Falta de informação Gerencial</t>
        </is>
      </c>
      <c r="AN469" s="6" t="inlineStr">
        <is>
          <t>Dados do Fornecedor</t>
        </is>
      </c>
      <c r="AO469" s="6" t="inlineStr">
        <is>
          <t>Qualidade dos dados</t>
        </is>
      </c>
      <c r="AP469" s="6" t="inlineStr">
        <is>
          <t>KONTIK BUSINESS TRAVEL</t>
        </is>
      </c>
      <c r="AQ469" s="6" t="inlineStr">
        <is>
          <t>Operações - CORP</t>
        </is>
      </c>
    </row>
    <row r="470">
      <c r="A470" s="6" t="n">
        <v>23324417</v>
      </c>
      <c r="B470" s="6" t="n">
        <v>24053900</v>
      </c>
      <c r="C470" s="6" t="inlineStr">
        <is>
          <t>ACC01</t>
        </is>
      </c>
      <c r="D470" s="58" t="n">
        <v>45975.55564814815</v>
      </c>
      <c r="E470" s="58" t="n">
        <v>45978.25383101852</v>
      </c>
      <c r="F470" s="6" t="inlineStr">
        <is>
          <t>06 a 08 dias</t>
        </is>
      </c>
      <c r="G470" s="6" t="inlineStr">
        <is>
          <t>09 a 15 dias</t>
        </is>
      </c>
      <c r="H470" s="6" t="inlineStr">
        <is>
          <t>5TI5LC</t>
        </is>
      </c>
      <c r="I470" s="6" t="inlineStr">
        <is>
          <t>TMS</t>
        </is>
      </c>
      <c r="J470" s="6" t="inlineStr">
        <is>
          <t>LAIS CRUZ</t>
        </is>
      </c>
      <c r="K470" s="6" t="inlineStr">
        <is>
          <t>BEATRYZ DA SILVA COSTA</t>
        </is>
      </c>
      <c r="L470" s="6" t="inlineStr">
        <is>
          <t>BEATRYZ DA SILVA COSTA</t>
        </is>
      </c>
      <c r="M470" s="58" t="n">
        <v>45975.42013888889</v>
      </c>
      <c r="N470" s="6" t="n">
        <v>96293</v>
      </c>
      <c r="O470" s="6" t="inlineStr">
        <is>
          <t>-</t>
        </is>
      </c>
      <c r="P470" s="6" t="inlineStr">
        <is>
          <t>OFF LINE</t>
        </is>
      </c>
      <c r="Q470" s="6" t="inlineStr">
        <is>
          <t>Pagamento direto</t>
        </is>
      </c>
      <c r="R470" s="6" t="inlineStr">
        <is>
          <t>Pagamento direto</t>
        </is>
      </c>
      <c r="S470" s="6" t="inlineStr">
        <is>
          <t>Hotel</t>
        </is>
      </c>
      <c r="T470" s="6" t="inlineStr">
        <is>
          <t>N</t>
        </is>
      </c>
      <c r="U470" s="6" t="inlineStr">
        <is>
          <t>Grupo Ache</t>
        </is>
      </c>
      <c r="V470" s="6" t="inlineStr">
        <is>
          <t>Ache Laboratorios Farmaceuticos Sa</t>
        </is>
      </c>
      <c r="W470" s="6" t="inlineStr">
        <is>
          <t>-</t>
        </is>
      </c>
      <c r="X470" s="6" t="inlineStr">
        <is>
          <t>FORMOSA HOTEL LTDA</t>
        </is>
      </c>
      <c r="Y470" s="6" t="inlineStr">
        <is>
          <t>-</t>
        </is>
      </c>
      <c r="Z470" s="6" t="inlineStr">
        <is>
          <t>KON-OPE-SAO-PVI-ACHE</t>
        </is>
      </c>
      <c r="AA470" s="6" t="inlineStr">
        <is>
          <t>-</t>
        </is>
      </c>
      <c r="AB470" s="6" t="n">
        <v>190</v>
      </c>
      <c r="AC470" s="6" t="n">
        <v>0</v>
      </c>
      <c r="AD470" s="6" t="n">
        <v>0</v>
      </c>
      <c r="AE470" s="6" t="n">
        <v>0</v>
      </c>
      <c r="AF470" s="6" t="n">
        <v>0</v>
      </c>
      <c r="AG470" s="6" t="n">
        <v>0</v>
      </c>
      <c r="AH470" s="6" t="n">
        <v>0</v>
      </c>
      <c r="AI470" s="6" t="inlineStr">
        <is>
          <t>Reserva importada do Sistema TMS. OS: 96293</t>
        </is>
      </c>
      <c r="AJ470" s="6" t="inlineStr">
        <is>
          <t xml:space="preserve">Não foi possível encontrar um contrato válido para o fornecedor 728825 (Código fornecedor) </t>
        </is>
      </c>
      <c r="AK470" s="6" t="inlineStr">
        <is>
          <t>ARGO(TMS)</t>
        </is>
      </c>
      <c r="AL470" s="6" t="inlineStr">
        <is>
          <t>Contrato de fornecedor</t>
        </is>
      </c>
      <c r="AM470" s="6" t="inlineStr">
        <is>
          <t>Análise Cadastro</t>
        </is>
      </c>
      <c r="AN470" s="6" t="inlineStr">
        <is>
          <t>Dados do Fornecedor</t>
        </is>
      </c>
      <c r="AO470" s="6" t="inlineStr">
        <is>
          <t>Qualidade dos dados</t>
        </is>
      </c>
      <c r="AP470" s="6" t="inlineStr">
        <is>
          <t>KONTIK BUSINESS TRAVEL</t>
        </is>
      </c>
      <c r="AQ470" s="6" t="inlineStr">
        <is>
          <t>Suporte KCS</t>
        </is>
      </c>
    </row>
    <row r="471">
      <c r="A471" s="6" t="n">
        <v>23380128</v>
      </c>
      <c r="B471" s="6" t="n">
        <v>24103819</v>
      </c>
      <c r="C471" s="6" t="inlineStr">
        <is>
          <t>ACC01</t>
        </is>
      </c>
      <c r="D471" s="58" t="n">
        <v>45985.69303240741</v>
      </c>
      <c r="E471" s="58" t="n">
        <v>45985.70184027778</v>
      </c>
      <c r="F471" s="6" t="inlineStr">
        <is>
          <t>0 a 02 dias</t>
        </is>
      </c>
      <c r="G471" s="6" t="inlineStr">
        <is>
          <t>0 a 02 dias</t>
        </is>
      </c>
      <c r="H471" s="6" t="inlineStr">
        <is>
          <t>5U8CES</t>
        </is>
      </c>
      <c r="I471" s="6" t="inlineStr">
        <is>
          <t>TMS</t>
        </is>
      </c>
      <c r="J471" s="6" t="inlineStr">
        <is>
          <t>LEONARDO TEIXEIRA</t>
        </is>
      </c>
      <c r="K471" s="6" t="inlineStr">
        <is>
          <t>Leticia Jesus Vital</t>
        </is>
      </c>
      <c r="L471" s="6" t="inlineStr">
        <is>
          <t>Leticia Jesus Vital</t>
        </is>
      </c>
      <c r="M471" s="58" t="n">
        <v>45985.46041666667</v>
      </c>
      <c r="N471" s="6" t="n">
        <v>96751</v>
      </c>
      <c r="O471" s="6" t="inlineStr">
        <is>
          <t>-</t>
        </is>
      </c>
      <c r="P471" s="6" t="inlineStr">
        <is>
          <t>ON LINE</t>
        </is>
      </c>
      <c r="Q471" s="6" t="inlineStr">
        <is>
          <t>Pagamento direto</t>
        </is>
      </c>
      <c r="R471" s="6" t="inlineStr">
        <is>
          <t>Pagamento direto</t>
        </is>
      </c>
      <c r="S471" s="6" t="inlineStr">
        <is>
          <t>Hotel</t>
        </is>
      </c>
      <c r="T471" s="6" t="inlineStr">
        <is>
          <t>N</t>
        </is>
      </c>
      <c r="U471" s="6" t="inlineStr">
        <is>
          <t>Grupo Ache</t>
        </is>
      </c>
      <c r="V471" s="6" t="inlineStr">
        <is>
          <t>Ache Laboratorios Farmaceuticos Sa</t>
        </is>
      </c>
      <c r="W471" s="6" t="inlineStr">
        <is>
          <t>-</t>
        </is>
      </c>
      <c r="X471" s="6" t="inlineStr">
        <is>
          <t>Lindoya Hotel</t>
        </is>
      </c>
      <c r="Y471" s="6" t="inlineStr">
        <is>
          <t>-</t>
        </is>
      </c>
      <c r="Z471" s="6" t="inlineStr">
        <is>
          <t>KON-OPE-SAO-PVI-ACHE</t>
        </is>
      </c>
      <c r="AA471" s="6" t="inlineStr">
        <is>
          <t>-</t>
        </is>
      </c>
      <c r="AB471" s="6" t="n">
        <v>944</v>
      </c>
      <c r="AC471" s="6" t="n">
        <v>0</v>
      </c>
      <c r="AD471" s="6" t="n">
        <v>0</v>
      </c>
      <c r="AE471" s="6" t="n">
        <v>0</v>
      </c>
      <c r="AF471" s="6" t="n">
        <v>0</v>
      </c>
      <c r="AG471" s="6" t="n">
        <v>0</v>
      </c>
      <c r="AH471" s="6" t="n">
        <v>0</v>
      </c>
      <c r="AI471" s="6" t="inlineStr">
        <is>
          <t>Reserva importada do Sistema TMS. OS: 96751</t>
        </is>
      </c>
      <c r="AJ471" s="6" t="inlineStr">
        <is>
          <t>Empenho/departamento não preenchido! (ACC01)</t>
        </is>
      </c>
      <c r="AK471" s="6" t="inlineStr">
        <is>
          <t>ARGO(TMS)</t>
        </is>
      </c>
      <c r="AL471" s="6" t="inlineStr">
        <is>
          <t>Empenho/departamento</t>
        </is>
      </c>
      <c r="AM471" s="6" t="inlineStr">
        <is>
          <t>Falta de informação Gerencial</t>
        </is>
      </c>
      <c r="AN471" s="6" t="inlineStr">
        <is>
          <t>Dados do Fornecedor</t>
        </is>
      </c>
      <c r="AO471" s="6" t="inlineStr">
        <is>
          <t>Qualidade dos dados</t>
        </is>
      </c>
      <c r="AP471" s="6" t="inlineStr">
        <is>
          <t>KONTIK BUSINESS TRAVEL</t>
        </is>
      </c>
      <c r="AQ471" s="6" t="inlineStr">
        <is>
          <t>Operações - CORP</t>
        </is>
      </c>
    </row>
    <row r="472">
      <c r="A472" s="6" t="n">
        <v>23302505</v>
      </c>
      <c r="B472" s="6" t="n">
        <v>24033143</v>
      </c>
      <c r="C472" s="6" t="inlineStr">
        <is>
          <t>ACC01</t>
        </is>
      </c>
      <c r="D472" s="58" t="n">
        <v>45972.52733796297</v>
      </c>
      <c r="E472" s="58" t="n">
        <v>45972.52960648148</v>
      </c>
      <c r="F472" s="6" t="inlineStr">
        <is>
          <t>09 a 15 dias</t>
        </is>
      </c>
      <c r="G472" s="6" t="inlineStr">
        <is>
          <t>09 a 15 dias</t>
        </is>
      </c>
      <c r="H472" s="6" t="inlineStr">
        <is>
          <t>5RBOE9</t>
        </is>
      </c>
      <c r="I472" s="6" t="inlineStr">
        <is>
          <t>TMS</t>
        </is>
      </c>
      <c r="J472" s="6" t="inlineStr">
        <is>
          <t>RODRIGUES/ALEXANDRE</t>
        </is>
      </c>
      <c r="K472" s="6" t="inlineStr">
        <is>
          <t>Alexandre Isidio da Silva</t>
        </is>
      </c>
      <c r="L472" s="6" t="inlineStr">
        <is>
          <t>Alexandre Isidio da Silva</t>
        </is>
      </c>
      <c r="M472" s="58" t="n">
        <v>45972.4125</v>
      </c>
      <c r="N472" s="6" t="n">
        <v>26523</v>
      </c>
      <c r="O472" s="6" t="inlineStr">
        <is>
          <t>-</t>
        </is>
      </c>
      <c r="P472" s="6" t="inlineStr">
        <is>
          <t>OFF LINE</t>
        </is>
      </c>
      <c r="Q472" s="6" t="inlineStr">
        <is>
          <t>Invoice</t>
        </is>
      </c>
      <c r="R472" s="6" t="inlineStr">
        <is>
          <t>Faturado</t>
        </is>
      </c>
      <c r="S472" s="6" t="inlineStr">
        <is>
          <t>Aéreo</t>
        </is>
      </c>
      <c r="T472" s="6" t="inlineStr">
        <is>
          <t>N</t>
        </is>
      </c>
      <c r="U472" s="6" t="inlineStr">
        <is>
          <t>Grupo Taesa</t>
        </is>
      </c>
      <c r="V472" s="6" t="inlineStr">
        <is>
          <t>Jurua Transmissora de Energia Eletrica S/a</t>
        </is>
      </c>
      <c r="W472" s="6" t="inlineStr">
        <is>
          <t>-</t>
        </is>
      </c>
      <c r="X472" s="6" t="inlineStr">
        <is>
          <t>Air France</t>
        </is>
      </c>
      <c r="Y472" s="6" t="n">
        <v>1928697594</v>
      </c>
      <c r="Z472" s="6" t="inlineStr">
        <is>
          <t>KON-OPE-RIO-POS-TAESA</t>
        </is>
      </c>
      <c r="AA472" s="6" t="inlineStr">
        <is>
          <t>-</t>
        </is>
      </c>
      <c r="AB472" s="6" t="n">
        <v>0</v>
      </c>
      <c r="AC472" s="6" t="n">
        <v>1.23</v>
      </c>
      <c r="AD472" s="6" t="n">
        <v>0</v>
      </c>
      <c r="AE472" s="6" t="n">
        <v>0</v>
      </c>
      <c r="AF472" s="6" t="n">
        <v>0</v>
      </c>
      <c r="AG472" s="6" t="n">
        <v>0</v>
      </c>
      <c r="AH472" s="6" t="n">
        <v>0</v>
      </c>
      <c r="AI472" s="6" t="inlineStr">
        <is>
          <t>Reserva importada do Sistema TMS. OS: 26523</t>
        </is>
      </c>
      <c r="AJ472" s="6" t="inlineStr">
        <is>
          <t>Tarifa mínima não preenchida! (ACC01)</t>
        </is>
      </c>
      <c r="AK472" s="6" t="inlineStr">
        <is>
          <t>ARGO(TMS)</t>
        </is>
      </c>
      <c r="AL472" s="6" t="inlineStr">
        <is>
          <t>Tarifa mínima</t>
        </is>
      </c>
      <c r="AM472" s="6" t="inlineStr">
        <is>
          <t>Falta de informação Gerencial</t>
        </is>
      </c>
      <c r="AN472" s="6" t="inlineStr">
        <is>
          <t>Dados do Fornecedor</t>
        </is>
      </c>
      <c r="AO472" s="6" t="inlineStr">
        <is>
          <t>Qualidade dos dados</t>
        </is>
      </c>
      <c r="AP472" s="6" t="inlineStr">
        <is>
          <t>KONTIK BUSINESS TRAVEL</t>
        </is>
      </c>
      <c r="AQ472" s="6" t="inlineStr">
        <is>
          <t>Operações - CORP</t>
        </is>
      </c>
    </row>
    <row r="473">
      <c r="A473" s="6" t="n">
        <v>23302506</v>
      </c>
      <c r="B473" s="6" t="n">
        <v>24033144</v>
      </c>
      <c r="C473" s="6" t="inlineStr">
        <is>
          <t>ACC01</t>
        </is>
      </c>
      <c r="D473" s="58" t="n">
        <v>45972.52738425926</v>
      </c>
      <c r="E473" s="58" t="n">
        <v>45972.52960648148</v>
      </c>
      <c r="F473" s="6" t="inlineStr">
        <is>
          <t>09 a 15 dias</t>
        </is>
      </c>
      <c r="G473" s="6" t="inlineStr">
        <is>
          <t>09 a 15 dias</t>
        </is>
      </c>
      <c r="H473" s="6" t="inlineStr">
        <is>
          <t>5RALEO</t>
        </is>
      </c>
      <c r="I473" s="6" t="inlineStr">
        <is>
          <t>TMS</t>
        </is>
      </c>
      <c r="J473" s="6" t="inlineStr">
        <is>
          <t>ARTEIRO DE OLIVEIRA/EDUARDO</t>
        </is>
      </c>
      <c r="K473" s="6" t="inlineStr">
        <is>
          <t>Alexandre Isidio da Silva</t>
        </is>
      </c>
      <c r="L473" s="6" t="inlineStr">
        <is>
          <t>Alexandre Isidio da Silva</t>
        </is>
      </c>
      <c r="M473" s="58" t="n">
        <v>45972.41180555556</v>
      </c>
      <c r="N473" s="6" t="n">
        <v>26522</v>
      </c>
      <c r="O473" s="6" t="inlineStr">
        <is>
          <t>-</t>
        </is>
      </c>
      <c r="P473" s="6" t="inlineStr">
        <is>
          <t>OFF LINE</t>
        </is>
      </c>
      <c r="Q473" s="6" t="inlineStr">
        <is>
          <t>Invoice</t>
        </is>
      </c>
      <c r="R473" s="6" t="inlineStr">
        <is>
          <t>Faturado</t>
        </is>
      </c>
      <c r="S473" s="6" t="inlineStr">
        <is>
          <t>Aéreo</t>
        </is>
      </c>
      <c r="T473" s="6" t="inlineStr">
        <is>
          <t>N</t>
        </is>
      </c>
      <c r="U473" s="6" t="inlineStr">
        <is>
          <t>Grupo Taesa</t>
        </is>
      </c>
      <c r="V473" s="6" t="inlineStr">
        <is>
          <t>Jurua Transmissora de Energia Eletrica S/a</t>
        </is>
      </c>
      <c r="W473" s="6" t="inlineStr">
        <is>
          <t>-</t>
        </is>
      </c>
      <c r="X473" s="6" t="inlineStr">
        <is>
          <t>Air France</t>
        </is>
      </c>
      <c r="Y473" s="6" t="n">
        <v>1936170477</v>
      </c>
      <c r="Z473" s="6" t="inlineStr">
        <is>
          <t>KON-OPE-RIO-POS-TAESA</t>
        </is>
      </c>
      <c r="AA473" s="6" t="inlineStr">
        <is>
          <t>-</t>
        </is>
      </c>
      <c r="AB473" s="6" t="n">
        <v>0</v>
      </c>
      <c r="AC473" s="6" t="n">
        <v>1231.92</v>
      </c>
      <c r="AD473" s="6" t="n">
        <v>0</v>
      </c>
      <c r="AE473" s="6" t="n">
        <v>0</v>
      </c>
      <c r="AF473" s="6" t="n">
        <v>0</v>
      </c>
      <c r="AG473" s="6" t="n">
        <v>0</v>
      </c>
      <c r="AH473" s="6" t="n">
        <v>0</v>
      </c>
      <c r="AI473" s="6" t="inlineStr">
        <is>
          <t>Reserva importada do Sistema TMS. OS: 26522</t>
        </is>
      </c>
      <c r="AJ473" s="6" t="inlineStr">
        <is>
          <t>Tarifa mínima não preenchida! (ACC01)</t>
        </is>
      </c>
      <c r="AK473" s="6" t="inlineStr">
        <is>
          <t>ARGO(TMS)</t>
        </is>
      </c>
      <c r="AL473" s="6" t="inlineStr">
        <is>
          <t>Tarifa mínima</t>
        </is>
      </c>
      <c r="AM473" s="6" t="inlineStr">
        <is>
          <t>Falta de informação Gerencial</t>
        </is>
      </c>
      <c r="AN473" s="6" t="inlineStr">
        <is>
          <t>Dados do Fornecedor</t>
        </is>
      </c>
      <c r="AO473" s="6" t="inlineStr">
        <is>
          <t>Qualidade dos dados</t>
        </is>
      </c>
      <c r="AP473" s="6" t="inlineStr">
        <is>
          <t>KONTIK BUSINESS TRAVEL</t>
        </is>
      </c>
      <c r="AQ473" s="6" t="inlineStr">
        <is>
          <t>Operações - CORP</t>
        </is>
      </c>
    </row>
    <row r="474">
      <c r="A474" s="6" t="n">
        <v>23357618</v>
      </c>
      <c r="B474" s="6" t="n">
        <v>24084627</v>
      </c>
      <c r="C474" s="6" t="inlineStr">
        <is>
          <t>ACC01</t>
        </is>
      </c>
      <c r="D474" s="58" t="n">
        <v>45980.89077546296</v>
      </c>
      <c r="E474" s="58" t="n">
        <v>45980.92527777778</v>
      </c>
      <c r="F474" s="6" t="inlineStr">
        <is>
          <t>06 a 08 dias</t>
        </is>
      </c>
      <c r="G474" s="6" t="inlineStr">
        <is>
          <t>06 a 08 dias</t>
        </is>
      </c>
      <c r="H474" s="6" t="inlineStr">
        <is>
          <t>5TL0HL</t>
        </is>
      </c>
      <c r="I474" s="6" t="inlineStr">
        <is>
          <t>TMS</t>
        </is>
      </c>
      <c r="J474" s="6" t="inlineStr">
        <is>
          <t>LUCAS RIBEIRO</t>
        </is>
      </c>
      <c r="K474" s="6" t="inlineStr">
        <is>
          <t>Tms</t>
        </is>
      </c>
      <c r="L474" s="6" t="inlineStr">
        <is>
          <t>Tms</t>
        </is>
      </c>
      <c r="M474" s="58" t="n">
        <v>45980.76736111111</v>
      </c>
      <c r="N474" s="6" t="n">
        <v>6403</v>
      </c>
      <c r="O474" s="6" t="inlineStr">
        <is>
          <t>-</t>
        </is>
      </c>
      <c r="P474" s="6" t="inlineStr">
        <is>
          <t>ON LINE</t>
        </is>
      </c>
      <c r="Q474" s="6" t="inlineStr">
        <is>
          <t>Múltiplos</t>
        </is>
      </c>
      <c r="R474" s="6" t="inlineStr">
        <is>
          <t>Múltiplos</t>
        </is>
      </c>
      <c r="S474" s="6" t="inlineStr">
        <is>
          <t>Hotel</t>
        </is>
      </c>
      <c r="T474" s="6" t="inlineStr">
        <is>
          <t>N</t>
        </is>
      </c>
      <c r="U474" s="6" t="inlineStr">
        <is>
          <t>Grupo Mattos Filho</t>
        </is>
      </c>
      <c r="V474" s="6" t="inlineStr">
        <is>
          <t>Mattos Filho</t>
        </is>
      </c>
      <c r="W474" s="6" t="inlineStr">
        <is>
          <t>-</t>
        </is>
      </c>
      <c r="X474" s="6" t="inlineStr">
        <is>
          <t>Mercure Sao Paulo Paulista</t>
        </is>
      </c>
      <c r="Y474" s="6" t="inlineStr">
        <is>
          <t>-</t>
        </is>
      </c>
      <c r="Z474" s="6" t="inlineStr">
        <is>
          <t>KON-OPE-SAO-PVI-MATTOS FILHO</t>
        </is>
      </c>
      <c r="AA474" s="6" t="inlineStr">
        <is>
          <t>-</t>
        </is>
      </c>
      <c r="AB474" s="6" t="n">
        <v>571</v>
      </c>
      <c r="AC474" s="6" t="n">
        <v>0</v>
      </c>
      <c r="AD474" s="6" t="n">
        <v>0</v>
      </c>
      <c r="AE474" s="6" t="n">
        <v>0</v>
      </c>
      <c r="AF474" s="6" t="n">
        <v>0</v>
      </c>
      <c r="AG474" s="6" t="n">
        <v>28.55</v>
      </c>
      <c r="AH474" s="6" t="n">
        <v>0</v>
      </c>
      <c r="AI474" s="6" t="inlineStr">
        <is>
          <t>Reserva importada do Sistema TMS. OS: 6403</t>
        </is>
      </c>
      <c r="AJ474" s="6" t="inlineStr">
        <is>
          <t>A soma das taxas extras dos registros múltiplos ultrapassa a taxas extras  da accounting</t>
        </is>
      </c>
      <c r="AK474" s="6" t="inlineStr">
        <is>
          <t>ARGO(TMS)</t>
        </is>
      </c>
      <c r="AL474" s="6" t="inlineStr">
        <is>
          <t>Não identificado</t>
        </is>
      </c>
      <c r="AM474" s="6" t="inlineStr">
        <is>
          <t>Análise Benner</t>
        </is>
      </c>
      <c r="AN474" s="6" t="inlineStr">
        <is>
          <t>Sistema</t>
        </is>
      </c>
      <c r="AO474" s="6" t="inlineStr">
        <is>
          <t>Qualidade dos dados</t>
        </is>
      </c>
      <c r="AP474" s="6" t="inlineStr">
        <is>
          <t>KONTIK BUSINESS TRAVEL</t>
        </is>
      </c>
      <c r="AQ474" s="6" t="inlineStr">
        <is>
          <t>Operações - CORP</t>
        </is>
      </c>
    </row>
    <row r="475">
      <c r="A475" s="6" t="n">
        <v>23357623</v>
      </c>
      <c r="B475" s="6" t="n">
        <v>24084632</v>
      </c>
      <c r="C475" s="6" t="inlineStr">
        <is>
          <t>ACC01</t>
        </is>
      </c>
      <c r="D475" s="58" t="n">
        <v>45980.89103009259</v>
      </c>
      <c r="E475" s="58" t="n">
        <v>45980.9258449074</v>
      </c>
      <c r="F475" s="6" t="inlineStr">
        <is>
          <t>06 a 08 dias</t>
        </is>
      </c>
      <c r="G475" s="6" t="inlineStr">
        <is>
          <t>06 a 08 dias</t>
        </is>
      </c>
      <c r="H475" s="6" t="inlineStr">
        <is>
          <t>5TV1YO</t>
        </is>
      </c>
      <c r="I475" s="6" t="inlineStr">
        <is>
          <t>TMS</t>
        </is>
      </c>
      <c r="J475" s="6" t="inlineStr">
        <is>
          <t>PEDRO WAGNER</t>
        </is>
      </c>
      <c r="K475" s="6" t="inlineStr">
        <is>
          <t>Tms</t>
        </is>
      </c>
      <c r="L475" s="6" t="inlineStr">
        <is>
          <t>Tms</t>
        </is>
      </c>
      <c r="M475" s="58" t="n">
        <v>45980.75694444445</v>
      </c>
      <c r="N475" s="6" t="n">
        <v>6398</v>
      </c>
      <c r="O475" s="6" t="inlineStr">
        <is>
          <t>-</t>
        </is>
      </c>
      <c r="P475" s="6" t="inlineStr">
        <is>
          <t>ON LINE</t>
        </is>
      </c>
      <c r="Q475" s="6" t="inlineStr">
        <is>
          <t>Múltiplos</t>
        </is>
      </c>
      <c r="R475" s="6" t="inlineStr">
        <is>
          <t>Múltiplos</t>
        </is>
      </c>
      <c r="S475" s="6" t="inlineStr">
        <is>
          <t>Hotel</t>
        </is>
      </c>
      <c r="T475" s="6" t="inlineStr">
        <is>
          <t>N</t>
        </is>
      </c>
      <c r="U475" s="6" t="inlineStr">
        <is>
          <t>Grupo Mattos Filho</t>
        </is>
      </c>
      <c r="V475" s="6" t="inlineStr">
        <is>
          <t>Mattos Filho</t>
        </is>
      </c>
      <c r="W475" s="6" t="inlineStr">
        <is>
          <t>-</t>
        </is>
      </c>
      <c r="X475" s="6" t="inlineStr">
        <is>
          <t>Mercure Sao Paulo Paulista</t>
        </is>
      </c>
      <c r="Y475" s="6" t="inlineStr">
        <is>
          <t>-</t>
        </is>
      </c>
      <c r="Z475" s="6" t="inlineStr">
        <is>
          <t>KON-OPE-SAO-PVI-MATTOS FILHO</t>
        </is>
      </c>
      <c r="AA475" s="6" t="inlineStr">
        <is>
          <t>-</t>
        </is>
      </c>
      <c r="AB475" s="6" t="n">
        <v>571</v>
      </c>
      <c r="AC475" s="6" t="n">
        <v>0</v>
      </c>
      <c r="AD475" s="6" t="n">
        <v>0</v>
      </c>
      <c r="AE475" s="6" t="n">
        <v>0</v>
      </c>
      <c r="AF475" s="6" t="n">
        <v>0</v>
      </c>
      <c r="AG475" s="6" t="n">
        <v>28.55</v>
      </c>
      <c r="AH475" s="6" t="n">
        <v>0</v>
      </c>
      <c r="AI475" s="6" t="inlineStr">
        <is>
          <t>Reserva importada do Sistema TMS. OS: 6398</t>
        </is>
      </c>
      <c r="AJ475" s="6" t="inlineStr">
        <is>
          <t>A soma das taxas extras dos registros múltiplos ultrapassa a taxas extras  da accounting</t>
        </is>
      </c>
      <c r="AK475" s="6" t="inlineStr">
        <is>
          <t>ARGO(TMS)</t>
        </is>
      </c>
      <c r="AL475" s="6" t="inlineStr">
        <is>
          <t>Não identificado</t>
        </is>
      </c>
      <c r="AM475" s="6" t="inlineStr">
        <is>
          <t>Análise Benner</t>
        </is>
      </c>
      <c r="AN475" s="6" t="inlineStr">
        <is>
          <t>Sistema</t>
        </is>
      </c>
      <c r="AO475" s="6" t="inlineStr">
        <is>
          <t>Qualidade dos dados</t>
        </is>
      </c>
      <c r="AP475" s="6" t="inlineStr">
        <is>
          <t>KONTIK BUSINESS TRAVEL</t>
        </is>
      </c>
      <c r="AQ475" s="6" t="inlineStr">
        <is>
          <t>Operações - CORP</t>
        </is>
      </c>
    </row>
    <row r="476">
      <c r="A476" s="6" t="n">
        <v>23357631</v>
      </c>
      <c r="B476" s="6" t="n">
        <v>24084640</v>
      </c>
      <c r="C476" s="6" t="inlineStr">
        <is>
          <t>ACC01</t>
        </is>
      </c>
      <c r="D476" s="58" t="n">
        <v>45980.89129629629</v>
      </c>
      <c r="E476" s="58" t="n">
        <v>45980.92626157407</v>
      </c>
      <c r="F476" s="6" t="inlineStr">
        <is>
          <t>06 a 08 dias</t>
        </is>
      </c>
      <c r="G476" s="6" t="inlineStr">
        <is>
          <t>06 a 08 dias</t>
        </is>
      </c>
      <c r="H476" s="6" t="inlineStr">
        <is>
          <t>5TKQ6N</t>
        </is>
      </c>
      <c r="I476" s="6" t="inlineStr">
        <is>
          <t>TMS</t>
        </is>
      </c>
      <c r="J476" s="6" t="inlineStr">
        <is>
          <t>KYARA KOMOCHENA</t>
        </is>
      </c>
      <c r="K476" s="6" t="inlineStr">
        <is>
          <t>Tms</t>
        </is>
      </c>
      <c r="L476" s="6" t="inlineStr">
        <is>
          <t>Tms</t>
        </is>
      </c>
      <c r="M476" s="58" t="n">
        <v>45980.7375</v>
      </c>
      <c r="N476" s="6" t="n">
        <v>6389</v>
      </c>
      <c r="O476" s="6" t="inlineStr">
        <is>
          <t>-</t>
        </is>
      </c>
      <c r="P476" s="6" t="inlineStr">
        <is>
          <t>ON LINE</t>
        </is>
      </c>
      <c r="Q476" s="6" t="inlineStr">
        <is>
          <t>Múltiplos</t>
        </is>
      </c>
      <c r="R476" s="6" t="inlineStr">
        <is>
          <t>Múltiplos</t>
        </is>
      </c>
      <c r="S476" s="6" t="inlineStr">
        <is>
          <t>Hotel</t>
        </is>
      </c>
      <c r="T476" s="6" t="inlineStr">
        <is>
          <t>N</t>
        </is>
      </c>
      <c r="U476" s="6" t="inlineStr">
        <is>
          <t>Grupo Mattos Filho</t>
        </is>
      </c>
      <c r="V476" s="6" t="inlineStr">
        <is>
          <t>Mattos Filho</t>
        </is>
      </c>
      <c r="W476" s="6" t="inlineStr">
        <is>
          <t>-</t>
        </is>
      </c>
      <c r="X476" s="6" t="inlineStr">
        <is>
          <t>Mercure Sao Paulo Paulista</t>
        </is>
      </c>
      <c r="Y476" s="6" t="inlineStr">
        <is>
          <t>-</t>
        </is>
      </c>
      <c r="Z476" s="6" t="inlineStr">
        <is>
          <t>KON-OPE-SAO-PVI-MATTOS FILHO</t>
        </is>
      </c>
      <c r="AA476" s="6" t="inlineStr">
        <is>
          <t>-</t>
        </is>
      </c>
      <c r="AB476" s="6" t="n">
        <v>531</v>
      </c>
      <c r="AC476" s="6" t="n">
        <v>0</v>
      </c>
      <c r="AD476" s="6" t="n">
        <v>0</v>
      </c>
      <c r="AE476" s="6" t="n">
        <v>0</v>
      </c>
      <c r="AF476" s="6" t="n">
        <v>0</v>
      </c>
      <c r="AG476" s="6" t="n">
        <v>26.55</v>
      </c>
      <c r="AH476" s="6" t="n">
        <v>0</v>
      </c>
      <c r="AI476" s="6" t="inlineStr">
        <is>
          <t>Reserva importada do Sistema TMS. OS: 6389</t>
        </is>
      </c>
      <c r="AJ476" s="6" t="inlineStr">
        <is>
          <t>A soma das taxas extras dos registros múltiplos ultrapassa a taxas extras  da accounting</t>
        </is>
      </c>
      <c r="AK476" s="6" t="inlineStr">
        <is>
          <t>ARGO(TMS)</t>
        </is>
      </c>
      <c r="AL476" s="6" t="inlineStr">
        <is>
          <t>Não identificado</t>
        </is>
      </c>
      <c r="AM476" s="6" t="inlineStr">
        <is>
          <t>Análise Benner</t>
        </is>
      </c>
      <c r="AN476" s="6" t="inlineStr">
        <is>
          <t>Sistema</t>
        </is>
      </c>
      <c r="AO476" s="6" t="inlineStr">
        <is>
          <t>Qualidade dos dados</t>
        </is>
      </c>
      <c r="AP476" s="6" t="inlineStr">
        <is>
          <t>KONTIK BUSINESS TRAVEL</t>
        </is>
      </c>
      <c r="AQ476" s="6" t="inlineStr">
        <is>
          <t>Operações - CORP</t>
        </is>
      </c>
    </row>
    <row r="477">
      <c r="A477" s="6" t="n">
        <v>23357637</v>
      </c>
      <c r="B477" s="6" t="n">
        <v>24084645</v>
      </c>
      <c r="C477" s="6" t="inlineStr">
        <is>
          <t>ACC01</t>
        </is>
      </c>
      <c r="D477" s="58" t="n">
        <v>45980.89144675926</v>
      </c>
      <c r="E477" s="58" t="n">
        <v>45980.92952546296</v>
      </c>
      <c r="F477" s="6" t="inlineStr">
        <is>
          <t>06 a 08 dias</t>
        </is>
      </c>
      <c r="G477" s="6" t="inlineStr">
        <is>
          <t>06 a 08 dias</t>
        </is>
      </c>
      <c r="H477" s="6" t="inlineStr">
        <is>
          <t>5TMWYO</t>
        </is>
      </c>
      <c r="I477" s="6" t="inlineStr">
        <is>
          <t>TMS</t>
        </is>
      </c>
      <c r="J477" s="6" t="inlineStr">
        <is>
          <t>LOUI DAVI</t>
        </is>
      </c>
      <c r="K477" s="6" t="inlineStr">
        <is>
          <t>Tms</t>
        </is>
      </c>
      <c r="L477" s="6" t="inlineStr">
        <is>
          <t>Tms</t>
        </is>
      </c>
      <c r="M477" s="58" t="n">
        <v>45980.73680555556</v>
      </c>
      <c r="N477" s="6" t="n">
        <v>6383</v>
      </c>
      <c r="O477" s="6" t="inlineStr">
        <is>
          <t>-</t>
        </is>
      </c>
      <c r="P477" s="6" t="inlineStr">
        <is>
          <t>ON LINE</t>
        </is>
      </c>
      <c r="Q477" s="6" t="inlineStr">
        <is>
          <t>Múltiplos</t>
        </is>
      </c>
      <c r="R477" s="6" t="inlineStr">
        <is>
          <t>Múltiplos</t>
        </is>
      </c>
      <c r="S477" s="6" t="inlineStr">
        <is>
          <t>Hotel</t>
        </is>
      </c>
      <c r="T477" s="6" t="inlineStr">
        <is>
          <t>N</t>
        </is>
      </c>
      <c r="U477" s="6" t="inlineStr">
        <is>
          <t>Grupo Mattos Filho</t>
        </is>
      </c>
      <c r="V477" s="6" t="inlineStr">
        <is>
          <t>Mattos Filho</t>
        </is>
      </c>
      <c r="W477" s="6" t="inlineStr">
        <is>
          <t>-</t>
        </is>
      </c>
      <c r="X477" s="6" t="inlineStr">
        <is>
          <t>Mercure Sao Paulo Paulista</t>
        </is>
      </c>
      <c r="Y477" s="6" t="inlineStr">
        <is>
          <t>-</t>
        </is>
      </c>
      <c r="Z477" s="6" t="inlineStr">
        <is>
          <t>KON-OPE-SAO-PVI-MATTOS FILHO</t>
        </is>
      </c>
      <c r="AA477" s="6" t="inlineStr">
        <is>
          <t>-</t>
        </is>
      </c>
      <c r="AB477" s="6" t="n">
        <v>531</v>
      </c>
      <c r="AC477" s="6" t="n">
        <v>0</v>
      </c>
      <c r="AD477" s="6" t="n">
        <v>0</v>
      </c>
      <c r="AE477" s="6" t="n">
        <v>0</v>
      </c>
      <c r="AF477" s="6" t="n">
        <v>0</v>
      </c>
      <c r="AG477" s="6" t="n">
        <v>26.55</v>
      </c>
      <c r="AH477" s="6" t="n">
        <v>0</v>
      </c>
      <c r="AI477" s="6" t="inlineStr">
        <is>
          <t>Reserva importada do Sistema TMS. OS: 6383</t>
        </is>
      </c>
      <c r="AJ477" s="6" t="inlineStr">
        <is>
          <t>A soma das taxas extras dos registros múltiplos ultrapassa a taxas extras  da accounting</t>
        </is>
      </c>
      <c r="AK477" s="6" t="inlineStr">
        <is>
          <t>ARGO(TMS)</t>
        </is>
      </c>
      <c r="AL477" s="6" t="inlineStr">
        <is>
          <t>Não identificado</t>
        </is>
      </c>
      <c r="AM477" s="6" t="inlineStr">
        <is>
          <t>Análise Benner</t>
        </is>
      </c>
      <c r="AN477" s="6" t="inlineStr">
        <is>
          <t>Sistema</t>
        </is>
      </c>
      <c r="AO477" s="6" t="inlineStr">
        <is>
          <t>Qualidade dos dados</t>
        </is>
      </c>
      <c r="AP477" s="6" t="inlineStr">
        <is>
          <t>KONTIK BUSINESS TRAVEL</t>
        </is>
      </c>
      <c r="AQ477" s="6" t="inlineStr">
        <is>
          <t>Operações - CORP</t>
        </is>
      </c>
    </row>
    <row r="478">
      <c r="A478" s="6" t="n">
        <v>23357639</v>
      </c>
      <c r="B478" s="6" t="n">
        <v>24084647</v>
      </c>
      <c r="C478" s="6" t="inlineStr">
        <is>
          <t>ACC01</t>
        </is>
      </c>
      <c r="D478" s="58" t="n">
        <v>45980.89148148148</v>
      </c>
      <c r="E478" s="58" t="n">
        <v>45980.92956018518</v>
      </c>
      <c r="F478" s="6" t="inlineStr">
        <is>
          <t>06 a 08 dias</t>
        </is>
      </c>
      <c r="G478" s="6" t="inlineStr">
        <is>
          <t>06 a 08 dias</t>
        </is>
      </c>
      <c r="H478" s="6" t="inlineStr">
        <is>
          <t>5TAW69</t>
        </is>
      </c>
      <c r="I478" s="6" t="inlineStr">
        <is>
          <t>TMS</t>
        </is>
      </c>
      <c r="J478" s="6" t="inlineStr">
        <is>
          <t>ANA ZAMBELLI</t>
        </is>
      </c>
      <c r="K478" s="6" t="inlineStr">
        <is>
          <t>Tms</t>
        </is>
      </c>
      <c r="L478" s="6" t="inlineStr">
        <is>
          <t>Tms</t>
        </is>
      </c>
      <c r="M478" s="58" t="n">
        <v>45980.73680555556</v>
      </c>
      <c r="N478" s="6" t="n">
        <v>6382</v>
      </c>
      <c r="O478" s="6" t="inlineStr">
        <is>
          <t>-</t>
        </is>
      </c>
      <c r="P478" s="6" t="inlineStr">
        <is>
          <t>ON LINE</t>
        </is>
      </c>
      <c r="Q478" s="6" t="inlineStr">
        <is>
          <t>Múltiplos</t>
        </is>
      </c>
      <c r="R478" s="6" t="inlineStr">
        <is>
          <t>Múltiplos</t>
        </is>
      </c>
      <c r="S478" s="6" t="inlineStr">
        <is>
          <t>Hotel</t>
        </is>
      </c>
      <c r="T478" s="6" t="inlineStr">
        <is>
          <t>N</t>
        </is>
      </c>
      <c r="U478" s="6" t="inlineStr">
        <is>
          <t>Grupo Mattos Filho</t>
        </is>
      </c>
      <c r="V478" s="6" t="inlineStr">
        <is>
          <t>Mattos Filho</t>
        </is>
      </c>
      <c r="W478" s="6" t="inlineStr">
        <is>
          <t>-</t>
        </is>
      </c>
      <c r="X478" s="6" t="inlineStr">
        <is>
          <t>Mercure Sao Paulo Paulista</t>
        </is>
      </c>
      <c r="Y478" s="6" t="inlineStr">
        <is>
          <t>-</t>
        </is>
      </c>
      <c r="Z478" s="6" t="inlineStr">
        <is>
          <t>KON-OPE-SAO-PVI-MATTOS FILHO</t>
        </is>
      </c>
      <c r="AA478" s="6" t="inlineStr">
        <is>
          <t>-</t>
        </is>
      </c>
      <c r="AB478" s="6" t="n">
        <v>531</v>
      </c>
      <c r="AC478" s="6" t="n">
        <v>0</v>
      </c>
      <c r="AD478" s="6" t="n">
        <v>0</v>
      </c>
      <c r="AE478" s="6" t="n">
        <v>0</v>
      </c>
      <c r="AF478" s="6" t="n">
        <v>0</v>
      </c>
      <c r="AG478" s="6" t="n">
        <v>26.55</v>
      </c>
      <c r="AH478" s="6" t="n">
        <v>0</v>
      </c>
      <c r="AI478" s="6" t="inlineStr">
        <is>
          <t>Reserva importada do Sistema TMS. OS: 6382</t>
        </is>
      </c>
      <c r="AJ478" s="6" t="inlineStr">
        <is>
          <t>A soma das taxas extras dos registros múltiplos ultrapassa a taxas extras  da accounting</t>
        </is>
      </c>
      <c r="AK478" s="6" t="inlineStr">
        <is>
          <t>ARGO(TMS)</t>
        </is>
      </c>
      <c r="AL478" s="6" t="inlineStr">
        <is>
          <t>Não identificado</t>
        </is>
      </c>
      <c r="AM478" s="6" t="inlineStr">
        <is>
          <t>Análise Benner</t>
        </is>
      </c>
      <c r="AN478" s="6" t="inlineStr">
        <is>
          <t>Sistema</t>
        </is>
      </c>
      <c r="AO478" s="6" t="inlineStr">
        <is>
          <t>Qualidade dos dados</t>
        </is>
      </c>
      <c r="AP478" s="6" t="inlineStr">
        <is>
          <t>KONTIK BUSINESS TRAVEL</t>
        </is>
      </c>
      <c r="AQ478" s="6" t="inlineStr">
        <is>
          <t>Operações - CORP</t>
        </is>
      </c>
    </row>
    <row r="479">
      <c r="A479" s="6" t="n">
        <v>23357647</v>
      </c>
      <c r="B479" s="6" t="n">
        <v>24084652</v>
      </c>
      <c r="C479" s="6" t="inlineStr">
        <is>
          <t>ACC01</t>
        </is>
      </c>
      <c r="D479" s="58" t="n">
        <v>45980.89162037037</v>
      </c>
      <c r="E479" s="58" t="n">
        <v>45980.93081018519</v>
      </c>
      <c r="F479" s="6" t="inlineStr">
        <is>
          <t>06 a 08 dias</t>
        </is>
      </c>
      <c r="G479" s="6" t="inlineStr">
        <is>
          <t>06 a 08 dias</t>
        </is>
      </c>
      <c r="H479" s="6" t="inlineStr">
        <is>
          <t>5TVSY9</t>
        </is>
      </c>
      <c r="I479" s="6" t="inlineStr">
        <is>
          <t>TMS</t>
        </is>
      </c>
      <c r="J479" s="6" t="inlineStr">
        <is>
          <t>GIOVANNA SILVA</t>
        </is>
      </c>
      <c r="K479" s="6" t="inlineStr">
        <is>
          <t>Tms</t>
        </is>
      </c>
      <c r="L479" s="6" t="inlineStr">
        <is>
          <t>Tms</t>
        </is>
      </c>
      <c r="M479" s="58" t="n">
        <v>45980.73680555556</v>
      </c>
      <c r="N479" s="6" t="n">
        <v>6377</v>
      </c>
      <c r="O479" s="6" t="inlineStr">
        <is>
          <t>-</t>
        </is>
      </c>
      <c r="P479" s="6" t="inlineStr">
        <is>
          <t>ON LINE</t>
        </is>
      </c>
      <c r="Q479" s="6" t="inlineStr">
        <is>
          <t>Múltiplos</t>
        </is>
      </c>
      <c r="R479" s="6" t="inlineStr">
        <is>
          <t>Múltiplos</t>
        </is>
      </c>
      <c r="S479" s="6" t="inlineStr">
        <is>
          <t>Hotel</t>
        </is>
      </c>
      <c r="T479" s="6" t="inlineStr">
        <is>
          <t>N</t>
        </is>
      </c>
      <c r="U479" s="6" t="inlineStr">
        <is>
          <t>Grupo Mattos Filho</t>
        </is>
      </c>
      <c r="V479" s="6" t="inlineStr">
        <is>
          <t>Mattos Filho</t>
        </is>
      </c>
      <c r="W479" s="6" t="inlineStr">
        <is>
          <t>-</t>
        </is>
      </c>
      <c r="X479" s="6" t="inlineStr">
        <is>
          <t>Mercure Sao Paulo Paulista</t>
        </is>
      </c>
      <c r="Y479" s="6" t="inlineStr">
        <is>
          <t>-</t>
        </is>
      </c>
      <c r="Z479" s="6" t="inlineStr">
        <is>
          <t>KON-OPE-SAO-PVI-MATTOS FILHO</t>
        </is>
      </c>
      <c r="AA479" s="6" t="inlineStr">
        <is>
          <t>-</t>
        </is>
      </c>
      <c r="AB479" s="6" t="n">
        <v>531</v>
      </c>
      <c r="AC479" s="6" t="n">
        <v>0</v>
      </c>
      <c r="AD479" s="6" t="n">
        <v>0</v>
      </c>
      <c r="AE479" s="6" t="n">
        <v>0</v>
      </c>
      <c r="AF479" s="6" t="n">
        <v>0</v>
      </c>
      <c r="AG479" s="6" t="n">
        <v>26.55</v>
      </c>
      <c r="AH479" s="6" t="n">
        <v>0</v>
      </c>
      <c r="AI479" s="6" t="inlineStr">
        <is>
          <t>Reserva importada do Sistema TMS. OS: 6377</t>
        </is>
      </c>
      <c r="AJ479" s="6" t="inlineStr">
        <is>
          <t>A soma das taxas extras dos registros múltiplos ultrapassa a taxas extras  da accounting</t>
        </is>
      </c>
      <c r="AK479" s="6" t="inlineStr">
        <is>
          <t>ARGO(TMS)</t>
        </is>
      </c>
      <c r="AL479" s="6" t="inlineStr">
        <is>
          <t>Não identificado</t>
        </is>
      </c>
      <c r="AM479" s="6" t="inlineStr">
        <is>
          <t>Análise Benner</t>
        </is>
      </c>
      <c r="AN479" s="6" t="inlineStr">
        <is>
          <t>Sistema</t>
        </is>
      </c>
      <c r="AO479" s="6" t="inlineStr">
        <is>
          <t>Qualidade dos dados</t>
        </is>
      </c>
      <c r="AP479" s="6" t="inlineStr">
        <is>
          <t>KONTIK BUSINESS TRAVEL</t>
        </is>
      </c>
      <c r="AQ479" s="6" t="inlineStr">
        <is>
          <t>Operações - CORP</t>
        </is>
      </c>
    </row>
    <row r="480">
      <c r="A480" s="6" t="n">
        <v>23379368</v>
      </c>
      <c r="B480" s="6" t="n">
        <v>24103064</v>
      </c>
      <c r="C480" s="6" t="inlineStr">
        <is>
          <t>ACC01</t>
        </is>
      </c>
      <c r="D480" s="58" t="n">
        <v>45985.5658912037</v>
      </c>
      <c r="E480" s="58" t="n">
        <v>45985.67115740741</v>
      </c>
      <c r="F480" s="6" t="inlineStr">
        <is>
          <t>0 a 02 dias</t>
        </is>
      </c>
      <c r="G480" s="6" t="inlineStr">
        <is>
          <t>0 a 02 dias</t>
        </is>
      </c>
      <c r="H480" s="6" t="inlineStr">
        <is>
          <t>YEOUSAT</t>
        </is>
      </c>
      <c r="I480" s="6" t="inlineStr">
        <is>
          <t>SABRE</t>
        </is>
      </c>
      <c r="J480" s="6" t="inlineStr">
        <is>
          <t>ZAMARO FILHO/JOAO BATISTA MR</t>
        </is>
      </c>
      <c r="K480" s="6" t="inlineStr">
        <is>
          <t>CT</t>
        </is>
      </c>
      <c r="L480" s="6" t="inlineStr">
        <is>
          <t>CT</t>
        </is>
      </c>
      <c r="M480" s="58" t="n">
        <v>45985.32986111111</v>
      </c>
      <c r="N480" s="6" t="inlineStr">
        <is>
          <t>YEOUSA</t>
        </is>
      </c>
      <c r="O480" s="6" t="inlineStr">
        <is>
          <t>-</t>
        </is>
      </c>
      <c r="P480" s="6" t="inlineStr">
        <is>
          <t>ON LINE</t>
        </is>
      </c>
      <c r="Q480" s="6" t="inlineStr">
        <is>
          <t>Cartão de crédito</t>
        </is>
      </c>
      <c r="R480" s="6" t="inlineStr">
        <is>
          <t>Cartão de crédito</t>
        </is>
      </c>
      <c r="S480" s="6" t="inlineStr">
        <is>
          <t>Hotel</t>
        </is>
      </c>
      <c r="T480" s="6" t="inlineStr">
        <is>
          <t>N</t>
        </is>
      </c>
      <c r="U480" s="6" t="inlineStr">
        <is>
          <t>Grupo Livanova</t>
        </is>
      </c>
      <c r="V480" s="6" t="inlineStr">
        <is>
          <t>Livanova Brasil</t>
        </is>
      </c>
      <c r="W480" s="6" t="inlineStr">
        <is>
          <t>-</t>
        </is>
      </c>
      <c r="X480" s="6" t="inlineStr">
        <is>
          <t>-</t>
        </is>
      </c>
      <c r="Y480" s="6" t="inlineStr">
        <is>
          <t>-</t>
        </is>
      </c>
      <c r="Z480" s="6" t="inlineStr">
        <is>
          <t>FCM-OPE-SAO-PVI-BTC</t>
        </is>
      </c>
      <c r="AA480" s="6" t="inlineStr">
        <is>
          <t>-</t>
        </is>
      </c>
      <c r="AB480" s="6" t="n">
        <v>1088.78</v>
      </c>
      <c r="AC480" s="6" t="n">
        <v>0</v>
      </c>
      <c r="AD480" s="6" t="n">
        <v>0</v>
      </c>
      <c r="AE480" s="6" t="n">
        <v>0</v>
      </c>
      <c r="AF480" s="6" t="n">
        <v>0</v>
      </c>
      <c r="AG480" s="6" t="n">
        <v>0</v>
      </c>
      <c r="AH480" s="6" t="n">
        <v>0</v>
      </c>
      <c r="AI480" s="6" t="inlineStr">
        <is>
          <t>Reserva importada por HubTravel</t>
        </is>
      </c>
      <c r="AJ480" s="6" t="inlineStr">
        <is>
          <t>Fornecedor não preenchido! (ACC01)</t>
        </is>
      </c>
      <c r="AK480" s="6" t="inlineStr">
        <is>
          <t>SABRE</t>
        </is>
      </c>
      <c r="AL480" s="6" t="inlineStr">
        <is>
          <t>Falta de Fornecedor</t>
        </is>
      </c>
      <c r="AM480" s="6" t="inlineStr">
        <is>
          <t>Campo Fornecedor</t>
        </is>
      </c>
      <c r="AN480" s="6" t="inlineStr">
        <is>
          <t>Dados do Fornecedor</t>
        </is>
      </c>
      <c r="AO480" s="6" t="inlineStr">
        <is>
          <t>Sistêmico</t>
        </is>
      </c>
      <c r="AP480" s="6" t="inlineStr">
        <is>
          <t>GRUPO KONTIK</t>
        </is>
      </c>
      <c r="AQ480" s="6" t="inlineStr">
        <is>
          <t>Suporte Benner</t>
        </is>
      </c>
    </row>
    <row r="481">
      <c r="A481" s="6" t="n">
        <v>23270323</v>
      </c>
      <c r="B481" s="6" t="n">
        <v>24002665</v>
      </c>
      <c r="C481" s="6" t="inlineStr">
        <is>
          <t>ACC01</t>
        </is>
      </c>
      <c r="D481" s="58" t="n">
        <v>45967.49482638889</v>
      </c>
      <c r="E481" s="58" t="n">
        <v>45978.48364583333</v>
      </c>
      <c r="F481" s="6" t="inlineStr">
        <is>
          <t>06 a 08 dias</t>
        </is>
      </c>
      <c r="G481" s="6" t="inlineStr">
        <is>
          <t>16 a 23 dias</t>
        </is>
      </c>
      <c r="H481" s="6" t="inlineStr">
        <is>
          <t>MCLTFLT</t>
        </is>
      </c>
      <c r="I481" s="6" t="inlineStr">
        <is>
          <t>SABRE</t>
        </is>
      </c>
      <c r="J481" s="6" t="inlineStr">
        <is>
          <t>SALES/MONIQUE FERNANDES MRS</t>
        </is>
      </c>
      <c r="K481" s="6" t="inlineStr">
        <is>
          <t>Andreia de Alencar Alves</t>
        </is>
      </c>
      <c r="L481" s="6" t="inlineStr">
        <is>
          <t>Andreia de Alencar Alves</t>
        </is>
      </c>
      <c r="M481" s="58" t="n">
        <v>45966.82430555556</v>
      </c>
      <c r="N481" s="6" t="inlineStr">
        <is>
          <t>MCLTFL</t>
        </is>
      </c>
      <c r="O481" s="6" t="inlineStr">
        <is>
          <t>-</t>
        </is>
      </c>
      <c r="P481" s="6" t="inlineStr">
        <is>
          <t>OFF LINE</t>
        </is>
      </c>
      <c r="Q481" s="6" t="inlineStr">
        <is>
          <t>?</t>
        </is>
      </c>
      <c r="R481" s="6" t="inlineStr">
        <is>
          <t>?</t>
        </is>
      </c>
      <c r="S481" s="6" t="inlineStr">
        <is>
          <t>Hotel</t>
        </is>
      </c>
      <c r="T481" s="6" t="inlineStr">
        <is>
          <t>N</t>
        </is>
      </c>
      <c r="U481" s="6" t="inlineStr">
        <is>
          <t>Grupo Livanova</t>
        </is>
      </c>
      <c r="V481" s="6" t="inlineStr">
        <is>
          <t>Livanova Brasil</t>
        </is>
      </c>
      <c r="W481" s="6" t="inlineStr">
        <is>
          <t>-</t>
        </is>
      </c>
      <c r="X481" s="6" t="inlineStr">
        <is>
          <t>Ibis Styles Belem do Para</t>
        </is>
      </c>
      <c r="Y481" s="6" t="inlineStr">
        <is>
          <t>-</t>
        </is>
      </c>
      <c r="Z481" s="6" t="inlineStr">
        <is>
          <t>FCM-OPE-SAO-PVI-BTC</t>
        </is>
      </c>
      <c r="AA481" s="6" t="inlineStr">
        <is>
          <t>-</t>
        </is>
      </c>
      <c r="AB481" s="6" t="n">
        <v>290000</v>
      </c>
      <c r="AC481" s="6" t="n">
        <v>0</v>
      </c>
      <c r="AD481" s="6" t="n">
        <v>0</v>
      </c>
      <c r="AE481" s="6" t="n">
        <v>0</v>
      </c>
      <c r="AF481" s="6" t="n">
        <v>0</v>
      </c>
      <c r="AG481" s="6" t="n">
        <v>0</v>
      </c>
      <c r="AH481" s="6" t="n">
        <v>0</v>
      </c>
      <c r="AI481" s="6" t="inlineStr">
        <is>
          <t>Reserva importada por HubTravel</t>
        </is>
      </c>
      <c r="AJ481" s="6" t="inlineStr">
        <is>
          <t xml:space="preserve"> Módulo Operações    -&gt; Configurações      -&gt; Configurações do sistema turismo        -&gt; Importação das vendas          -&gt; Entradas/Saídas  Para o </t>
        </is>
      </c>
      <c r="AK481" s="6" t="inlineStr">
        <is>
          <t>SABRE</t>
        </is>
      </c>
      <c r="AL481" s="6" t="inlineStr">
        <is>
          <t>Forma de Pagamento indevida</t>
        </is>
      </c>
      <c r="AM481" s="6" t="inlineStr">
        <is>
          <t>Forma PG. e REC.</t>
        </is>
      </c>
      <c r="AN481" s="6" t="inlineStr">
        <is>
          <t>Dados do Fornecedor</t>
        </is>
      </c>
      <c r="AO481" s="6" t="inlineStr">
        <is>
          <t>Qualidade dos dados</t>
        </is>
      </c>
      <c r="AP481" s="6" t="inlineStr">
        <is>
          <t>KONTIK BUSINESS TRAVEL</t>
        </is>
      </c>
      <c r="AQ481" s="6" t="inlineStr">
        <is>
          <t>Operações - FCM</t>
        </is>
      </c>
    </row>
    <row r="482">
      <c r="A482" s="6" t="n">
        <v>23331590</v>
      </c>
      <c r="B482" s="6" t="n">
        <v>24060552</v>
      </c>
      <c r="C482" s="6" t="inlineStr">
        <is>
          <t>ACC01</t>
        </is>
      </c>
      <c r="D482" s="58" t="n">
        <v>45976.66258101852</v>
      </c>
      <c r="E482" s="58" t="n">
        <v>45976.67798611111</v>
      </c>
      <c r="F482" s="6" t="inlineStr">
        <is>
          <t>09 a 15 dias</t>
        </is>
      </c>
      <c r="G482" s="6" t="inlineStr">
        <is>
          <t>09 a 15 dias</t>
        </is>
      </c>
      <c r="H482" s="6" t="inlineStr">
        <is>
          <t>IFUFYA</t>
        </is>
      </c>
      <c r="I482" s="6" t="inlineStr">
        <is>
          <t>GOVER</t>
        </is>
      </c>
      <c r="J482" s="6" t="inlineStr">
        <is>
          <t>Jacqueline Nascimento Silva</t>
        </is>
      </c>
      <c r="K482" s="6" t="inlineStr">
        <is>
          <t>Felipe Aparecido da Silva Neves</t>
        </is>
      </c>
      <c r="L482" s="6" t="inlineStr">
        <is>
          <t>Felipe Aparecido da Silva Neves</t>
        </is>
      </c>
      <c r="M482" s="58" t="n">
        <v>45976.54791666667</v>
      </c>
      <c r="N482" s="6" t="n">
        <v>4628644</v>
      </c>
      <c r="O482" s="6" t="inlineStr">
        <is>
          <t>-</t>
        </is>
      </c>
      <c r="P482" s="6" t="inlineStr">
        <is>
          <t>OFF LINE</t>
        </is>
      </c>
      <c r="Q482" s="6" t="inlineStr">
        <is>
          <t>Cartão de crédito</t>
        </is>
      </c>
      <c r="R482" s="6" t="inlineStr">
        <is>
          <t>Cartão AMEX</t>
        </is>
      </c>
      <c r="S482" s="6" t="inlineStr">
        <is>
          <t>Aéreo</t>
        </is>
      </c>
      <c r="T482" s="6" t="inlineStr">
        <is>
          <t>N</t>
        </is>
      </c>
      <c r="U482" s="6" t="inlineStr">
        <is>
          <t>Grupo Livanova</t>
        </is>
      </c>
      <c r="V482" s="6" t="inlineStr">
        <is>
          <t>Livanova Brasil</t>
        </is>
      </c>
      <c r="W482" s="6" t="inlineStr">
        <is>
          <t>-</t>
        </is>
      </c>
      <c r="X482" s="6" t="inlineStr">
        <is>
          <t>Gol Linhas Aereas</t>
        </is>
      </c>
      <c r="Y482" s="6" t="n">
        <v>2149559764</v>
      </c>
      <c r="Z482" s="6" t="inlineStr">
        <is>
          <t>-</t>
        </is>
      </c>
      <c r="AA482" s="6" t="inlineStr">
        <is>
          <t>-</t>
        </is>
      </c>
      <c r="AB482" s="6" t="n">
        <v>1629.02</v>
      </c>
      <c r="AC482" s="6" t="n">
        <v>60.62</v>
      </c>
      <c r="AD482" s="6" t="n">
        <v>0</v>
      </c>
      <c r="AE482" s="6" t="n">
        <v>0</v>
      </c>
      <c r="AF482" s="6" t="n">
        <v>0</v>
      </c>
      <c r="AG482" s="6" t="n">
        <v>0</v>
      </c>
      <c r="AH482" s="6" t="n">
        <v>0</v>
      </c>
      <c r="AI482" s="6" t="inlineStr">
        <is>
          <t>Reserva importada do sistema Gover. Id: 4628644</t>
        </is>
      </c>
      <c r="AJ482" s="6" t="inlineStr">
        <is>
          <t>Canal de venda não preenchido! (ACC01)</t>
        </is>
      </c>
      <c r="AK482" s="6" t="inlineStr">
        <is>
          <t>GOVER</t>
        </is>
      </c>
      <c r="AL482" s="6" t="inlineStr">
        <is>
          <t>Canal de venda</t>
        </is>
      </c>
      <c r="AM482" s="6" t="inlineStr">
        <is>
          <t>Falta de informação Gerencial</t>
        </is>
      </c>
      <c r="AN482" s="6" t="inlineStr">
        <is>
          <t>Dados do Fornecedor</t>
        </is>
      </c>
      <c r="AO482" s="6" t="inlineStr">
        <is>
          <t>Qualidade dos dados</t>
        </is>
      </c>
      <c r="AP482" s="6" t="inlineStr">
        <is>
          <t>KONTIK BUSINESS TRAVEL</t>
        </is>
      </c>
      <c r="AQ482" s="6" t="inlineStr">
        <is>
          <t>Operações - CORP</t>
        </is>
      </c>
    </row>
    <row r="483">
      <c r="A483" s="6" t="n">
        <v>23383911</v>
      </c>
      <c r="B483" s="6" t="n">
        <v>24107369</v>
      </c>
      <c r="C483" s="6" t="inlineStr">
        <is>
          <t>ACC01</t>
        </is>
      </c>
      <c r="D483" s="58" t="n">
        <v>45986.22045138889</v>
      </c>
      <c r="E483" s="58" t="n">
        <v>45986.25950231482</v>
      </c>
      <c r="F483" s="6" t="inlineStr">
        <is>
          <t>0 a 02 dias</t>
        </is>
      </c>
      <c r="G483" s="6" t="inlineStr">
        <is>
          <t>0 a 02 dias</t>
        </is>
      </c>
      <c r="H483" s="6" t="inlineStr">
        <is>
          <t>5UQKGC</t>
        </is>
      </c>
      <c r="I483" s="6" t="inlineStr">
        <is>
          <t>TMS</t>
        </is>
      </c>
      <c r="J483" s="6" t="inlineStr">
        <is>
          <t>FERNANDO GABANE</t>
        </is>
      </c>
      <c r="K483" s="6" t="inlineStr">
        <is>
          <t>NATALIA BARRAL DE OLIVEIRA</t>
        </is>
      </c>
      <c r="L483" s="6" t="inlineStr">
        <is>
          <t>NATALIA BARRAL DE OLIVEIRA</t>
        </is>
      </c>
      <c r="M483" s="58" t="n">
        <v>45985.59305555555</v>
      </c>
      <c r="N483" s="6" t="n">
        <v>32955</v>
      </c>
      <c r="O483" s="6" t="inlineStr">
        <is>
          <t>-</t>
        </is>
      </c>
      <c r="P483" s="6" t="inlineStr">
        <is>
          <t>OFF LINE</t>
        </is>
      </c>
      <c r="Q483" s="6" t="inlineStr">
        <is>
          <t>Invoice</t>
        </is>
      </c>
      <c r="R483" s="6" t="inlineStr">
        <is>
          <t>Faturado</t>
        </is>
      </c>
      <c r="S483" s="6" t="inlineStr">
        <is>
          <t>Serviço</t>
        </is>
      </c>
      <c r="T483" s="6" t="inlineStr">
        <is>
          <t>N</t>
        </is>
      </c>
      <c r="U483" s="6" t="inlineStr">
        <is>
          <t>Grupo Uol</t>
        </is>
      </c>
      <c r="V483" s="6" t="inlineStr">
        <is>
          <t>Pagseguro Internet Instituicao de Pagamento S.a.</t>
        </is>
      </c>
      <c r="W483" s="6" t="inlineStr">
        <is>
          <t>-</t>
        </is>
      </c>
      <c r="X483" s="6" t="inlineStr">
        <is>
          <t>-</t>
        </is>
      </c>
      <c r="Y483" s="6" t="inlineStr">
        <is>
          <t>-</t>
        </is>
      </c>
      <c r="Z483" s="6" t="inlineStr">
        <is>
          <t>KON-OPE-RIO-PVI-UOL</t>
        </is>
      </c>
      <c r="AA483" s="6" t="inlineStr">
        <is>
          <t>-</t>
        </is>
      </c>
      <c r="AB483" s="6" t="n">
        <v>75.56</v>
      </c>
      <c r="AC483" s="6" t="n">
        <v>0</v>
      </c>
      <c r="AD483" s="6" t="n">
        <v>0</v>
      </c>
      <c r="AE483" s="6" t="n">
        <v>0</v>
      </c>
      <c r="AF483" s="6" t="n">
        <v>0</v>
      </c>
      <c r="AG483" s="6" t="n">
        <v>0</v>
      </c>
      <c r="AH483" s="6" t="n">
        <v>0</v>
      </c>
      <c r="AI483" s="6" t="inlineStr">
        <is>
          <t>Reserva importada do Sistema TMS. OS: 32955</t>
        </is>
      </c>
      <c r="AJ483" s="6" t="inlineStr">
        <is>
          <t>Fornecedor não preenchido! (ACC01)</t>
        </is>
      </c>
      <c r="AK483" s="6" t="inlineStr">
        <is>
          <t>ARGO(TMS)</t>
        </is>
      </c>
      <c r="AL483" s="6" t="inlineStr">
        <is>
          <t>Falta de Fornecedor</t>
        </is>
      </c>
      <c r="AM483" s="6" t="inlineStr">
        <is>
          <t>Campo Fornecedor</t>
        </is>
      </c>
      <c r="AN483" s="6" t="inlineStr">
        <is>
          <t>Dados do Fornecedor</t>
        </is>
      </c>
      <c r="AO483" s="6" t="inlineStr">
        <is>
          <t>Qualidade dos dados</t>
        </is>
      </c>
      <c r="AP483" s="6" t="inlineStr">
        <is>
          <t>KONTIK BUSINESS TRAVEL</t>
        </is>
      </c>
      <c r="AQ483" s="6" t="inlineStr">
        <is>
          <t>Suporte KCS</t>
        </is>
      </c>
    </row>
    <row r="484">
      <c r="A484" s="6" t="n">
        <v>23383912</v>
      </c>
      <c r="B484" s="6" t="n">
        <v>24107370</v>
      </c>
      <c r="C484" s="6" t="inlineStr">
        <is>
          <t>ACC01</t>
        </is>
      </c>
      <c r="D484" s="58" t="n">
        <v>45986.22045138889</v>
      </c>
      <c r="E484" s="58" t="n">
        <v>45986.26075231482</v>
      </c>
      <c r="F484" s="6" t="inlineStr">
        <is>
          <t>0 a 02 dias</t>
        </is>
      </c>
      <c r="G484" s="6" t="inlineStr">
        <is>
          <t>0 a 02 dias</t>
        </is>
      </c>
      <c r="H484" s="6" t="inlineStr">
        <is>
          <t>5UW8GC</t>
        </is>
      </c>
      <c r="I484" s="6" t="inlineStr">
        <is>
          <t>TMS</t>
        </is>
      </c>
      <c r="J484" s="6" t="inlineStr">
        <is>
          <t>FERNANDO GABANE</t>
        </is>
      </c>
      <c r="K484" s="6" t="inlineStr">
        <is>
          <t>NATALIA BARRAL DE OLIVEIRA</t>
        </is>
      </c>
      <c r="L484" s="6" t="inlineStr">
        <is>
          <t>NATALIA BARRAL DE OLIVEIRA</t>
        </is>
      </c>
      <c r="M484" s="58" t="n">
        <v>45985.59305555555</v>
      </c>
      <c r="N484" s="6" t="n">
        <v>32955</v>
      </c>
      <c r="O484" s="6" t="inlineStr">
        <is>
          <t>-</t>
        </is>
      </c>
      <c r="P484" s="6" t="inlineStr">
        <is>
          <t>OFF LINE</t>
        </is>
      </c>
      <c r="Q484" s="6" t="inlineStr">
        <is>
          <t>Invoice</t>
        </is>
      </c>
      <c r="R484" s="6" t="inlineStr">
        <is>
          <t>Faturado</t>
        </is>
      </c>
      <c r="S484" s="6" t="inlineStr">
        <is>
          <t>Serviço</t>
        </is>
      </c>
      <c r="T484" s="6" t="inlineStr">
        <is>
          <t>N</t>
        </is>
      </c>
      <c r="U484" s="6" t="inlineStr">
        <is>
          <t>Grupo Uol</t>
        </is>
      </c>
      <c r="V484" s="6" t="inlineStr">
        <is>
          <t>Pagseguro Internet Instituicao de Pagamento S.a.</t>
        </is>
      </c>
      <c r="W484" s="6" t="inlineStr">
        <is>
          <t>-</t>
        </is>
      </c>
      <c r="X484" s="6" t="inlineStr">
        <is>
          <t>-</t>
        </is>
      </c>
      <c r="Y484" s="6" t="inlineStr">
        <is>
          <t>-</t>
        </is>
      </c>
      <c r="Z484" s="6" t="inlineStr">
        <is>
          <t>KON-OPE-RIO-PVI-UOL</t>
        </is>
      </c>
      <c r="AA484" s="6" t="inlineStr">
        <is>
          <t>-</t>
        </is>
      </c>
      <c r="AB484" s="6" t="n">
        <v>75.56</v>
      </c>
      <c r="AC484" s="6" t="n">
        <v>0</v>
      </c>
      <c r="AD484" s="6" t="n">
        <v>0</v>
      </c>
      <c r="AE484" s="6" t="n">
        <v>0</v>
      </c>
      <c r="AF484" s="6" t="n">
        <v>0</v>
      </c>
      <c r="AG484" s="6" t="n">
        <v>0</v>
      </c>
      <c r="AH484" s="6" t="n">
        <v>0</v>
      </c>
      <c r="AI484" s="6" t="inlineStr">
        <is>
          <t>Reserva importada do Sistema TMS. OS: 32955</t>
        </is>
      </c>
      <c r="AJ484" s="6" t="inlineStr">
        <is>
          <t>Fornecedor não preenchido! (ACC01)</t>
        </is>
      </c>
      <c r="AK484" s="6" t="inlineStr">
        <is>
          <t>ARGO(TMS)</t>
        </is>
      </c>
      <c r="AL484" s="6" t="inlineStr">
        <is>
          <t>Falta de Fornecedor</t>
        </is>
      </c>
      <c r="AM484" s="6" t="inlineStr">
        <is>
          <t>Campo Fornecedor</t>
        </is>
      </c>
      <c r="AN484" s="6" t="inlineStr">
        <is>
          <t>Dados do Fornecedor</t>
        </is>
      </c>
      <c r="AO484" s="6" t="inlineStr">
        <is>
          <t>Qualidade dos dados</t>
        </is>
      </c>
      <c r="AP484" s="6" t="inlineStr">
        <is>
          <t>KONTIK BUSINESS TRAVEL</t>
        </is>
      </c>
      <c r="AQ484" s="6" t="inlineStr">
        <is>
          <t>Suporte KCS</t>
        </is>
      </c>
    </row>
    <row r="485">
      <c r="A485" s="6" t="n">
        <v>23381059</v>
      </c>
      <c r="B485" s="6" t="n">
        <v>24104783</v>
      </c>
      <c r="C485" s="6" t="inlineStr">
        <is>
          <t>ACC01</t>
        </is>
      </c>
      <c r="D485" s="58" t="n">
        <v>45985.72525462963</v>
      </c>
      <c r="E485" s="58" t="n">
        <v>45985.81045138889</v>
      </c>
      <c r="F485" s="6" t="inlineStr">
        <is>
          <t>0 a 02 dias</t>
        </is>
      </c>
      <c r="G485" s="6" t="inlineStr">
        <is>
          <t>0 a 02 dias</t>
        </is>
      </c>
      <c r="H485" s="6" t="inlineStr">
        <is>
          <t>5U3Y82</t>
        </is>
      </c>
      <c r="I485" s="6" t="inlineStr">
        <is>
          <t>TMS</t>
        </is>
      </c>
      <c r="J485" s="6" t="inlineStr">
        <is>
          <t>WELLINGTON VIZONI</t>
        </is>
      </c>
      <c r="K485" s="6" t="inlineStr">
        <is>
          <t>Tms</t>
        </is>
      </c>
      <c r="L485" s="6" t="inlineStr">
        <is>
          <t>Tms</t>
        </is>
      </c>
      <c r="M485" s="58" t="n">
        <v>45985.45694444444</v>
      </c>
      <c r="N485" s="6" t="n">
        <v>32991</v>
      </c>
      <c r="O485" s="6" t="inlineStr">
        <is>
          <t>Florianópolis / FLN</t>
        </is>
      </c>
      <c r="P485" s="6" t="inlineStr">
        <is>
          <t>ON LINE</t>
        </is>
      </c>
      <c r="Q485" s="6" t="inlineStr">
        <is>
          <t>Invoice</t>
        </is>
      </c>
      <c r="R485" s="6" t="inlineStr">
        <is>
          <t>Faturado</t>
        </is>
      </c>
      <c r="S485" s="6" t="inlineStr">
        <is>
          <t>Carro</t>
        </is>
      </c>
      <c r="T485" s="6" t="inlineStr">
        <is>
          <t>N</t>
        </is>
      </c>
      <c r="U485" s="6" t="inlineStr">
        <is>
          <t>Grupo Uol</t>
        </is>
      </c>
      <c r="V485" s="6" t="inlineStr">
        <is>
          <t>Pagseguro Internet Instituicao de Pagamento S.a.</t>
        </is>
      </c>
      <c r="W485" s="6" t="inlineStr">
        <is>
          <t>-</t>
        </is>
      </c>
      <c r="X485" s="6" t="inlineStr">
        <is>
          <t>-</t>
        </is>
      </c>
      <c r="Y485" s="6" t="inlineStr">
        <is>
          <t>-</t>
        </is>
      </c>
      <c r="Z485" s="6" t="inlineStr">
        <is>
          <t>KON-OPE-RIO-PVI-UOL</t>
        </is>
      </c>
      <c r="AA485" s="6" t="inlineStr">
        <is>
          <t>-</t>
        </is>
      </c>
      <c r="AB485" s="6" t="n">
        <v>223.2866</v>
      </c>
      <c r="AC485" s="6" t="n">
        <v>0</v>
      </c>
      <c r="AD485" s="6" t="n">
        <v>0</v>
      </c>
      <c r="AE485" s="6" t="n">
        <v>0</v>
      </c>
      <c r="AF485" s="6" t="n">
        <v>0</v>
      </c>
      <c r="AG485" s="6" t="n">
        <v>0</v>
      </c>
      <c r="AH485" s="6" t="n">
        <v>0</v>
      </c>
      <c r="AI485" s="6" t="inlineStr">
        <is>
          <t>Reserva importada do Sistema TMS. OS: 32991</t>
        </is>
      </c>
      <c r="AJ485" s="6" t="inlineStr">
        <is>
          <t>Fornecedor não preenchido! (ACC01)</t>
        </is>
      </c>
      <c r="AK485" s="6" t="inlineStr">
        <is>
          <t>ARGO(TMS)</t>
        </is>
      </c>
      <c r="AL485" s="6" t="inlineStr">
        <is>
          <t>Falta de Fornecedor</t>
        </is>
      </c>
      <c r="AM485" s="6" t="inlineStr">
        <is>
          <t>Campo Fornecedor</t>
        </is>
      </c>
      <c r="AN485" s="6" t="inlineStr">
        <is>
          <t>Dados do Fornecedor</t>
        </is>
      </c>
      <c r="AO485" s="6" t="inlineStr">
        <is>
          <t>Qualidade dos dados</t>
        </is>
      </c>
      <c r="AP485" s="6" t="inlineStr">
        <is>
          <t>KONTIK BUSINESS TRAVEL</t>
        </is>
      </c>
      <c r="AQ485" s="6" t="inlineStr">
        <is>
          <t>Suporte KCS</t>
        </is>
      </c>
    </row>
    <row r="486">
      <c r="A486" s="6" t="n">
        <v>23381060</v>
      </c>
      <c r="B486" s="6" t="n">
        <v>24104784</v>
      </c>
      <c r="C486" s="6" t="inlineStr">
        <is>
          <t>ACC01</t>
        </is>
      </c>
      <c r="D486" s="58" t="n">
        <v>45985.72528935185</v>
      </c>
      <c r="E486" s="58" t="n">
        <v>45985.81045138889</v>
      </c>
      <c r="F486" s="6" t="inlineStr">
        <is>
          <t>0 a 02 dias</t>
        </is>
      </c>
      <c r="G486" s="6" t="inlineStr">
        <is>
          <t>0 a 02 dias</t>
        </is>
      </c>
      <c r="H486" s="6" t="inlineStr">
        <is>
          <t>5UF6K2</t>
        </is>
      </c>
      <c r="I486" s="6" t="inlineStr">
        <is>
          <t>TMS</t>
        </is>
      </c>
      <c r="J486" s="6" t="inlineStr">
        <is>
          <t>ROSANA PARMEZANE</t>
        </is>
      </c>
      <c r="K486" s="6" t="inlineStr">
        <is>
          <t>Tms</t>
        </is>
      </c>
      <c r="L486" s="6" t="inlineStr">
        <is>
          <t>Tms</t>
        </is>
      </c>
      <c r="M486" s="58" t="n">
        <v>45985.45694444444</v>
      </c>
      <c r="N486" s="6" t="n">
        <v>32985</v>
      </c>
      <c r="O486" s="6" t="inlineStr">
        <is>
          <t>Manaus / MAO</t>
        </is>
      </c>
      <c r="P486" s="6" t="inlineStr">
        <is>
          <t>ON LINE</t>
        </is>
      </c>
      <c r="Q486" s="6" t="inlineStr">
        <is>
          <t>Invoice</t>
        </is>
      </c>
      <c r="R486" s="6" t="inlineStr">
        <is>
          <t>Faturado</t>
        </is>
      </c>
      <c r="S486" s="6" t="inlineStr">
        <is>
          <t>Carro</t>
        </is>
      </c>
      <c r="T486" s="6" t="inlineStr">
        <is>
          <t>N</t>
        </is>
      </c>
      <c r="U486" s="6" t="inlineStr">
        <is>
          <t>Grupo Uol</t>
        </is>
      </c>
      <c r="V486" s="6" t="inlineStr">
        <is>
          <t>Pagseguro Internet Instituicao de Pagamento S.a.</t>
        </is>
      </c>
      <c r="W486" s="6" t="inlineStr">
        <is>
          <t>-</t>
        </is>
      </c>
      <c r="X486" s="6" t="inlineStr">
        <is>
          <t>-</t>
        </is>
      </c>
      <c r="Y486" s="6" t="inlineStr">
        <is>
          <t>-</t>
        </is>
      </c>
      <c r="Z486" s="6" t="inlineStr">
        <is>
          <t>KON-OPE-RIO-PVI-UOL</t>
        </is>
      </c>
      <c r="AA486" s="6" t="inlineStr">
        <is>
          <t>-</t>
        </is>
      </c>
      <c r="AB486" s="6" t="n">
        <v>506.4528</v>
      </c>
      <c r="AC486" s="6" t="n">
        <v>0</v>
      </c>
      <c r="AD486" s="6" t="n">
        <v>0</v>
      </c>
      <c r="AE486" s="6" t="n">
        <v>0</v>
      </c>
      <c r="AF486" s="6" t="n">
        <v>0</v>
      </c>
      <c r="AG486" s="6" t="n">
        <v>0</v>
      </c>
      <c r="AH486" s="6" t="n">
        <v>0</v>
      </c>
      <c r="AI486" s="6" t="inlineStr">
        <is>
          <t>Reserva importada do Sistema TMS. OS: 32985</t>
        </is>
      </c>
      <c r="AJ486" s="6" t="inlineStr">
        <is>
          <t>Fornecedor não preenchido! (ACC01)</t>
        </is>
      </c>
      <c r="AK486" s="6" t="inlineStr">
        <is>
          <t>ARGO(TMS)</t>
        </is>
      </c>
      <c r="AL486" s="6" t="inlineStr">
        <is>
          <t>Falta de Fornecedor</t>
        </is>
      </c>
      <c r="AM486" s="6" t="inlineStr">
        <is>
          <t>Campo Fornecedor</t>
        </is>
      </c>
      <c r="AN486" s="6" t="inlineStr">
        <is>
          <t>Dados do Fornecedor</t>
        </is>
      </c>
      <c r="AO486" s="6" t="inlineStr">
        <is>
          <t>Qualidade dos dados</t>
        </is>
      </c>
      <c r="AP486" s="6" t="inlineStr">
        <is>
          <t>KONTIK BUSINESS TRAVEL</t>
        </is>
      </c>
      <c r="AQ486" s="6" t="inlineStr">
        <is>
          <t>Suporte KCS</t>
        </is>
      </c>
    </row>
    <row r="487">
      <c r="A487" s="6" t="n">
        <v>23383880</v>
      </c>
      <c r="B487" s="6" t="n">
        <v>24107332</v>
      </c>
      <c r="C487" s="6" t="inlineStr">
        <is>
          <t>ACC01</t>
        </is>
      </c>
      <c r="D487" s="58" t="n">
        <v>45986.2193287037</v>
      </c>
      <c r="E487" s="58" t="n">
        <v>45986.25833333333</v>
      </c>
      <c r="F487" s="6" t="inlineStr">
        <is>
          <t>0 a 02 dias</t>
        </is>
      </c>
      <c r="G487" s="6" t="inlineStr">
        <is>
          <t>0 a 02 dias</t>
        </is>
      </c>
      <c r="H487" s="6" t="inlineStr">
        <is>
          <t>5UAUTD</t>
        </is>
      </c>
      <c r="I487" s="6" t="inlineStr">
        <is>
          <t>TMS</t>
        </is>
      </c>
      <c r="J487" s="6" t="inlineStr">
        <is>
          <t>MAGNO SANTOS</t>
        </is>
      </c>
      <c r="K487" s="6" t="inlineStr">
        <is>
          <t>Tms</t>
        </is>
      </c>
      <c r="L487" s="6" t="inlineStr">
        <is>
          <t>Tms</t>
        </is>
      </c>
      <c r="M487" s="58" t="n">
        <v>45985.77083333334</v>
      </c>
      <c r="N487" s="6" t="n">
        <v>33049</v>
      </c>
      <c r="O487" s="6" t="inlineStr">
        <is>
          <t>Florianópolis / FLN</t>
        </is>
      </c>
      <c r="P487" s="6" t="inlineStr">
        <is>
          <t>ON LINE</t>
        </is>
      </c>
      <c r="Q487" s="6" t="inlineStr">
        <is>
          <t>Invoice</t>
        </is>
      </c>
      <c r="R487" s="6" t="inlineStr">
        <is>
          <t>Faturado</t>
        </is>
      </c>
      <c r="S487" s="6" t="inlineStr">
        <is>
          <t>Carro</t>
        </is>
      </c>
      <c r="T487" s="6" t="inlineStr">
        <is>
          <t>N</t>
        </is>
      </c>
      <c r="U487" s="6" t="inlineStr">
        <is>
          <t>Grupo Uol</t>
        </is>
      </c>
      <c r="V487" s="6" t="inlineStr">
        <is>
          <t>Pagseguro Internet Instituicao de Pagamento S.a.</t>
        </is>
      </c>
      <c r="W487" s="6" t="inlineStr">
        <is>
          <t>-</t>
        </is>
      </c>
      <c r="X487" s="6" t="inlineStr">
        <is>
          <t>-</t>
        </is>
      </c>
      <c r="Y487" s="6" t="inlineStr">
        <is>
          <t>-</t>
        </is>
      </c>
      <c r="Z487" s="6" t="inlineStr">
        <is>
          <t>KON-OPE-RIO-PVI-UOL</t>
        </is>
      </c>
      <c r="AA487" s="6" t="inlineStr">
        <is>
          <t>-</t>
        </is>
      </c>
      <c r="AB487" s="6" t="n">
        <v>565.7791999999999</v>
      </c>
      <c r="AC487" s="6" t="n">
        <v>0</v>
      </c>
      <c r="AD487" s="6" t="n">
        <v>0</v>
      </c>
      <c r="AE487" s="6" t="n">
        <v>0</v>
      </c>
      <c r="AF487" s="6" t="n">
        <v>0</v>
      </c>
      <c r="AG487" s="6" t="n">
        <v>0</v>
      </c>
      <c r="AH487" s="6" t="n">
        <v>0</v>
      </c>
      <c r="AI487" s="6" t="inlineStr">
        <is>
          <t>Reserva importada do Sistema TMS. OS: 33049</t>
        </is>
      </c>
      <c r="AJ487" s="6" t="inlineStr">
        <is>
          <t>Fornecedor não preenchido! (ACC01)</t>
        </is>
      </c>
      <c r="AK487" s="6" t="inlineStr">
        <is>
          <t>ARGO(TMS)</t>
        </is>
      </c>
      <c r="AL487" s="6" t="inlineStr">
        <is>
          <t>Falta de Fornecedor</t>
        </is>
      </c>
      <c r="AM487" s="6" t="inlineStr">
        <is>
          <t>Campo Fornecedor</t>
        </is>
      </c>
      <c r="AN487" s="6" t="inlineStr">
        <is>
          <t>Dados do Fornecedor</t>
        </is>
      </c>
      <c r="AO487" s="6" t="inlineStr">
        <is>
          <t>Qualidade dos dados</t>
        </is>
      </c>
      <c r="AP487" s="6" t="inlineStr">
        <is>
          <t>KONTIK BUSINESS TRAVEL</t>
        </is>
      </c>
      <c r="AQ487" s="6" t="inlineStr">
        <is>
          <t>Suporte KCS</t>
        </is>
      </c>
    </row>
    <row r="488">
      <c r="A488" s="6" t="n">
        <v>23241881</v>
      </c>
      <c r="B488" s="6" t="n">
        <v>23975296</v>
      </c>
      <c r="C488" s="6" t="inlineStr">
        <is>
          <t>ACC01</t>
        </is>
      </c>
      <c r="D488" s="58" t="n">
        <v>45963.70482638889</v>
      </c>
      <c r="E488" s="58" t="n">
        <v>45963.7062962963</v>
      </c>
      <c r="F488" s="59" t="inlineStr">
        <is>
          <t>16 a 23 dias</t>
        </is>
      </c>
      <c r="G488" s="59" t="inlineStr">
        <is>
          <t>16 a 23 dias</t>
        </is>
      </c>
      <c r="H488" s="6" t="n">
        <v>20669134</v>
      </c>
      <c r="I488" s="6" t="inlineStr">
        <is>
          <t>GOVER</t>
        </is>
      </c>
      <c r="J488" s="6" t="inlineStr">
        <is>
          <t>GABRIEL RODRIGO ARAUJO MONTEIRO</t>
        </is>
      </c>
      <c r="K488" s="6" t="inlineStr">
        <is>
          <t>Gover</t>
        </is>
      </c>
      <c r="L488" s="6" t="inlineStr">
        <is>
          <t>Gover</t>
        </is>
      </c>
      <c r="M488" s="58" t="n">
        <v>45963.69930555556</v>
      </c>
      <c r="N488" s="6" t="n">
        <v>4622144</v>
      </c>
      <c r="O488" s="6" t="inlineStr">
        <is>
          <t>-</t>
        </is>
      </c>
      <c r="P488" s="6" t="inlineStr">
        <is>
          <t>ON LINE</t>
        </is>
      </c>
      <c r="Q488" s="6" t="inlineStr">
        <is>
          <t>Cartão de crédito</t>
        </is>
      </c>
      <c r="R488" s="6" t="inlineStr">
        <is>
          <t>Cartão de crédito</t>
        </is>
      </c>
      <c r="S488" s="6" t="inlineStr">
        <is>
          <t>Hotel</t>
        </is>
      </c>
      <c r="T488" s="6" t="inlineStr">
        <is>
          <t>N</t>
        </is>
      </c>
      <c r="U488" s="6" t="inlineStr">
        <is>
          <t>Grupo Marisa</t>
        </is>
      </c>
      <c r="V488" s="6" t="inlineStr">
        <is>
          <t>Lojas Marisa</t>
        </is>
      </c>
      <c r="W488" s="6" t="inlineStr">
        <is>
          <t>-</t>
        </is>
      </c>
      <c r="X488" s="6" t="inlineStr">
        <is>
          <t>-</t>
        </is>
      </c>
      <c r="Y488" s="6" t="inlineStr">
        <is>
          <t>-</t>
        </is>
      </c>
      <c r="Z488" s="6" t="inlineStr">
        <is>
          <t>KON-OPE-RIO-PVI-BTC RJ</t>
        </is>
      </c>
      <c r="AA488" s="6" t="inlineStr">
        <is>
          <t>-</t>
        </is>
      </c>
      <c r="AB488" s="6" t="n">
        <v>1196</v>
      </c>
      <c r="AC488" s="6" t="n">
        <v>0</v>
      </c>
      <c r="AD488" s="6" t="n">
        <v>0</v>
      </c>
      <c r="AE488" s="6" t="n">
        <v>0</v>
      </c>
      <c r="AF488" s="6" t="n">
        <v>0</v>
      </c>
      <c r="AG488" s="6" t="n">
        <v>0</v>
      </c>
      <c r="AH488" s="6" t="n">
        <v>0</v>
      </c>
      <c r="AI488" s="6" t="inlineStr">
        <is>
          <t>Reserva importada do sistema Gover. Id: 4622144</t>
        </is>
      </c>
      <c r="AJ488" s="6" t="inlineStr">
        <is>
          <t>Fornecedor não preenchido! (ACC01)</t>
        </is>
      </c>
      <c r="AK488" s="6" t="inlineStr">
        <is>
          <t>GOVER</t>
        </is>
      </c>
      <c r="AL488" s="6" t="inlineStr">
        <is>
          <t>Falta de Fornecedor</t>
        </is>
      </c>
      <c r="AM488" s="6" t="inlineStr">
        <is>
          <t>Campo Fornecedor</t>
        </is>
      </c>
      <c r="AN488" s="6" t="inlineStr">
        <is>
          <t>Dados do Fornecedor</t>
        </is>
      </c>
      <c r="AO488" s="6" t="inlineStr">
        <is>
          <t>Sistêmico</t>
        </is>
      </c>
      <c r="AP488" s="6" t="inlineStr">
        <is>
          <t>GRUPO KONTIK</t>
        </is>
      </c>
      <c r="AQ488" s="6" t="inlineStr">
        <is>
          <t>Suporte Benner</t>
        </is>
      </c>
    </row>
    <row r="489">
      <c r="A489" s="6" t="n">
        <v>23326030</v>
      </c>
      <c r="B489" s="6" t="n">
        <v>24055576</v>
      </c>
      <c r="C489" s="6" t="inlineStr">
        <is>
          <t>ACC01</t>
        </is>
      </c>
      <c r="D489" s="58" t="n">
        <v>45975.69189814815</v>
      </c>
      <c r="E489" s="58" t="n">
        <v>45975.70040509259</v>
      </c>
      <c r="F489" s="6" t="inlineStr">
        <is>
          <t>09 a 15 dias</t>
        </is>
      </c>
      <c r="G489" s="6" t="inlineStr">
        <is>
          <t>09 a 15 dias</t>
        </is>
      </c>
      <c r="H489" s="6" t="n">
        <v>6523</v>
      </c>
      <c r="I489" s="6" t="inlineStr">
        <is>
          <t>GOVER</t>
        </is>
      </c>
      <c r="J489" s="6" t="inlineStr">
        <is>
          <t>ROSELANE MARIA DE SOUZA LIMA</t>
        </is>
      </c>
      <c r="K489" s="6" t="inlineStr">
        <is>
          <t>ALEXANDRE DA CONCEIÇÃO ALVES</t>
        </is>
      </c>
      <c r="L489" s="6" t="inlineStr">
        <is>
          <t>ALEXANDRE DA CONCEIÇÃO ALVES</t>
        </is>
      </c>
      <c r="M489" s="58" t="n">
        <v>45975.70833333334</v>
      </c>
      <c r="N489" s="6" t="n">
        <v>4628330</v>
      </c>
      <c r="O489" s="6" t="inlineStr">
        <is>
          <t>-</t>
        </is>
      </c>
      <c r="P489" s="6" t="inlineStr">
        <is>
          <t>OFF LINE</t>
        </is>
      </c>
      <c r="Q489" s="6" t="inlineStr">
        <is>
          <t>Cartão de crédito</t>
        </is>
      </c>
      <c r="R489" s="6" t="inlineStr">
        <is>
          <t>Cartão de crédito</t>
        </is>
      </c>
      <c r="S489" s="6" t="inlineStr">
        <is>
          <t>Hotel</t>
        </is>
      </c>
      <c r="T489" s="6" t="inlineStr">
        <is>
          <t>N</t>
        </is>
      </c>
      <c r="U489" s="6" t="inlineStr">
        <is>
          <t>Grupo Marisa</t>
        </is>
      </c>
      <c r="V489" s="6" t="inlineStr">
        <is>
          <t>Lojas Marisa</t>
        </is>
      </c>
      <c r="W489" s="6" t="inlineStr">
        <is>
          <t>-</t>
        </is>
      </c>
      <c r="X489" s="6" t="inlineStr">
        <is>
          <t>-</t>
        </is>
      </c>
      <c r="Y489" s="6" t="inlineStr">
        <is>
          <t>-</t>
        </is>
      </c>
      <c r="Z489" s="6" t="inlineStr">
        <is>
          <t>KON-OPE-RIO-PVI-BTC RJ</t>
        </is>
      </c>
      <c r="AA489" s="6" t="inlineStr">
        <is>
          <t>-</t>
        </is>
      </c>
      <c r="AB489" s="6" t="n">
        <v>3740</v>
      </c>
      <c r="AC489" s="6" t="n">
        <v>0</v>
      </c>
      <c r="AD489" s="6" t="n">
        <v>0</v>
      </c>
      <c r="AE489" s="6" t="n">
        <v>0</v>
      </c>
      <c r="AF489" s="6" t="n">
        <v>0</v>
      </c>
      <c r="AG489" s="6" t="n">
        <v>0</v>
      </c>
      <c r="AH489" s="6" t="n">
        <v>0</v>
      </c>
      <c r="AI489" s="6" t="inlineStr">
        <is>
          <t>Reserva importada do sistema Gover. Id: 4628330</t>
        </is>
      </c>
      <c r="AJ489" s="6" t="inlineStr">
        <is>
          <t>Fornecedor não preenchido! (ACC01)</t>
        </is>
      </c>
      <c r="AK489" s="6" t="inlineStr">
        <is>
          <t>GOVER</t>
        </is>
      </c>
      <c r="AL489" s="6" t="inlineStr">
        <is>
          <t>Falta de Fornecedor</t>
        </is>
      </c>
      <c r="AM489" s="6" t="inlineStr">
        <is>
          <t>Campo Fornecedor</t>
        </is>
      </c>
      <c r="AN489" s="6" t="inlineStr">
        <is>
          <t>Dados do Fornecedor</t>
        </is>
      </c>
      <c r="AO489" s="6" t="inlineStr">
        <is>
          <t>Sistêmico</t>
        </is>
      </c>
      <c r="AP489" s="6" t="inlineStr">
        <is>
          <t>GRUPO KONTIK</t>
        </is>
      </c>
      <c r="AQ489" s="6" t="inlineStr">
        <is>
          <t>Suporte Benner</t>
        </is>
      </c>
    </row>
    <row r="490">
      <c r="A490" s="6" t="n">
        <v>23157684</v>
      </c>
      <c r="B490" s="6" t="n">
        <v>23901740</v>
      </c>
      <c r="C490" s="6" t="inlineStr">
        <is>
          <t>ACC01</t>
        </is>
      </c>
      <c r="D490" s="58" t="n">
        <v>45951.61427083334</v>
      </c>
      <c r="E490" s="58" t="n">
        <v>45951.65030092592</v>
      </c>
      <c r="F490" s="59" t="inlineStr">
        <is>
          <t>31 dias ou +</t>
        </is>
      </c>
      <c r="G490" s="59" t="inlineStr">
        <is>
          <t>31 dias ou +</t>
        </is>
      </c>
      <c r="H490" s="6" t="n">
        <v>22234</v>
      </c>
      <c r="I490" s="6" t="inlineStr">
        <is>
          <t>GOVER</t>
        </is>
      </c>
      <c r="J490" s="6" t="inlineStr">
        <is>
          <t>DEBORA VIANA DA SILVA</t>
        </is>
      </c>
      <c r="K490" s="6" t="inlineStr">
        <is>
          <t>Marcos de Oliveira Miklos</t>
        </is>
      </c>
      <c r="L490" s="6" t="inlineStr">
        <is>
          <t>Marcos de Oliveira Miklos</t>
        </is>
      </c>
      <c r="M490" s="58" t="n">
        <v>45951.60902777778</v>
      </c>
      <c r="N490" s="6" t="n">
        <v>4613090</v>
      </c>
      <c r="O490" s="6" t="inlineStr">
        <is>
          <t>-</t>
        </is>
      </c>
      <c r="P490" s="6" t="inlineStr">
        <is>
          <t>OFF LINE</t>
        </is>
      </c>
      <c r="Q490" s="6" t="inlineStr">
        <is>
          <t>Cartão de crédito</t>
        </is>
      </c>
      <c r="R490" s="6" t="inlineStr">
        <is>
          <t>Cartão de crédito</t>
        </is>
      </c>
      <c r="S490" s="6" t="inlineStr">
        <is>
          <t>Hotel</t>
        </is>
      </c>
      <c r="T490" s="6" t="inlineStr">
        <is>
          <t>N</t>
        </is>
      </c>
      <c r="U490" s="6" t="inlineStr">
        <is>
          <t>Grupo Marisa</t>
        </is>
      </c>
      <c r="V490" s="6" t="inlineStr">
        <is>
          <t>Lojas Marisa</t>
        </is>
      </c>
      <c r="W490" s="6" t="inlineStr">
        <is>
          <t>-</t>
        </is>
      </c>
      <c r="X490" s="6" t="inlineStr">
        <is>
          <t>-</t>
        </is>
      </c>
      <c r="Y490" s="6" t="inlineStr">
        <is>
          <t>-</t>
        </is>
      </c>
      <c r="Z490" s="6" t="inlineStr">
        <is>
          <t>KON-OPE-RIO-PVI-BTC RJ</t>
        </is>
      </c>
      <c r="AA490" s="6" t="inlineStr">
        <is>
          <t>-</t>
        </is>
      </c>
      <c r="AB490" s="6" t="n">
        <v>4800</v>
      </c>
      <c r="AC490" s="6" t="n">
        <v>0</v>
      </c>
      <c r="AD490" s="6" t="n">
        <v>0</v>
      </c>
      <c r="AE490" s="6" t="n">
        <v>0</v>
      </c>
      <c r="AF490" s="6" t="n">
        <v>0</v>
      </c>
      <c r="AG490" s="6" t="n">
        <v>0</v>
      </c>
      <c r="AH490" s="6" t="n">
        <v>0</v>
      </c>
      <c r="AI490" s="6" t="inlineStr">
        <is>
          <t>Reserva importada do sistema Gover. Id: 4613090</t>
        </is>
      </c>
      <c r="AJ490" s="6" t="inlineStr">
        <is>
          <t>Fornecedor não preenchido! (ACC01)</t>
        </is>
      </c>
      <c r="AK490" s="6" t="inlineStr">
        <is>
          <t>GOVER</t>
        </is>
      </c>
      <c r="AL490" s="6" t="inlineStr">
        <is>
          <t>Falta de Fornecedor</t>
        </is>
      </c>
      <c r="AM490" s="6" t="inlineStr">
        <is>
          <t>Campo Fornecedor</t>
        </is>
      </c>
      <c r="AN490" s="6" t="inlineStr">
        <is>
          <t>Dados do Fornecedor</t>
        </is>
      </c>
      <c r="AO490" s="6" t="inlineStr">
        <is>
          <t>Sistêmico</t>
        </is>
      </c>
      <c r="AP490" s="6" t="inlineStr">
        <is>
          <t>GRUPO KONTIK</t>
        </is>
      </c>
      <c r="AQ490" s="6" t="inlineStr">
        <is>
          <t>Suporte Benner</t>
        </is>
      </c>
    </row>
    <row r="491">
      <c r="A491" s="6" t="n">
        <v>23156916</v>
      </c>
      <c r="B491" s="6" t="n">
        <v>23901088</v>
      </c>
      <c r="C491" s="6" t="inlineStr">
        <is>
          <t>ACC01</t>
        </is>
      </c>
      <c r="D491" s="58" t="n">
        <v>45951.48993055556</v>
      </c>
      <c r="E491" s="58" t="n">
        <v>45951.63194444445</v>
      </c>
      <c r="F491" s="59" t="inlineStr">
        <is>
          <t>31 dias ou +</t>
        </is>
      </c>
      <c r="G491" s="59" t="inlineStr">
        <is>
          <t>31 dias ou +</t>
        </is>
      </c>
      <c r="H491" s="6" t="n">
        <v>20504034</v>
      </c>
      <c r="I491" s="6" t="inlineStr">
        <is>
          <t>GOVER</t>
        </is>
      </c>
      <c r="J491" s="6" t="inlineStr">
        <is>
          <t>ANDRE LUIZ CERQUEIRA COSTA</t>
        </is>
      </c>
      <c r="K491" s="6" t="inlineStr">
        <is>
          <t>RAIANY DA PAZ VIDAL CORREIA DA SILVA</t>
        </is>
      </c>
      <c r="L491" s="6" t="inlineStr">
        <is>
          <t>RAIANY DA PAZ VIDAL CORREIA DA SILVA</t>
        </is>
      </c>
      <c r="M491" s="58" t="n">
        <v>45951</v>
      </c>
      <c r="N491" s="6" t="n">
        <v>4610503</v>
      </c>
      <c r="O491" s="6" t="inlineStr">
        <is>
          <t>-</t>
        </is>
      </c>
      <c r="P491" s="6" t="inlineStr">
        <is>
          <t>OFF LINE</t>
        </is>
      </c>
      <c r="Q491" s="6" t="inlineStr">
        <is>
          <t>Cartão de crédito</t>
        </is>
      </c>
      <c r="R491" s="6" t="inlineStr">
        <is>
          <t>Cartão de crédito</t>
        </is>
      </c>
      <c r="S491" s="6" t="inlineStr">
        <is>
          <t>Hotel</t>
        </is>
      </c>
      <c r="T491" s="6" t="inlineStr">
        <is>
          <t>N</t>
        </is>
      </c>
      <c r="U491" s="6" t="inlineStr">
        <is>
          <t>Grupo Marisa</t>
        </is>
      </c>
      <c r="V491" s="6" t="inlineStr">
        <is>
          <t>Lojas Marisa</t>
        </is>
      </c>
      <c r="W491" s="6" t="inlineStr">
        <is>
          <t>-</t>
        </is>
      </c>
      <c r="X491" s="6" t="inlineStr">
        <is>
          <t>-</t>
        </is>
      </c>
      <c r="Y491" s="6" t="inlineStr">
        <is>
          <t>-</t>
        </is>
      </c>
      <c r="Z491" s="6" t="inlineStr">
        <is>
          <t>KON-OPE-RIO-PVI-BTC RJ</t>
        </is>
      </c>
      <c r="AA491" s="6" t="inlineStr">
        <is>
          <t>-</t>
        </is>
      </c>
      <c r="AB491" s="6" t="n">
        <v>3460</v>
      </c>
      <c r="AC491" s="6" t="n">
        <v>365.15</v>
      </c>
      <c r="AD491" s="6" t="n">
        <v>0</v>
      </c>
      <c r="AE491" s="6" t="n">
        <v>0</v>
      </c>
      <c r="AF491" s="6" t="n">
        <v>0</v>
      </c>
      <c r="AG491" s="6" t="n">
        <v>0</v>
      </c>
      <c r="AH491" s="6" t="n">
        <v>0</v>
      </c>
      <c r="AI491" s="6" t="inlineStr">
        <is>
          <t>Reserva importada do sistema Gover. Id: 4610503</t>
        </is>
      </c>
      <c r="AJ491" s="6" t="inlineStr">
        <is>
          <t>Fornecedor não preenchido! (ACC01)</t>
        </is>
      </c>
      <c r="AK491" s="6" t="inlineStr">
        <is>
          <t>GOVER</t>
        </is>
      </c>
      <c r="AL491" s="6" t="inlineStr">
        <is>
          <t>Falta de Fornecedor</t>
        </is>
      </c>
      <c r="AM491" s="6" t="inlineStr">
        <is>
          <t>Campo Fornecedor</t>
        </is>
      </c>
      <c r="AN491" s="6" t="inlineStr">
        <is>
          <t>Dados do Fornecedor</t>
        </is>
      </c>
      <c r="AO491" s="6" t="inlineStr">
        <is>
          <t>Sistêmico</t>
        </is>
      </c>
      <c r="AP491" s="6" t="inlineStr">
        <is>
          <t>GRUPO KONTIK</t>
        </is>
      </c>
      <c r="AQ491" s="6" t="inlineStr">
        <is>
          <t>Suporte Benner</t>
        </is>
      </c>
    </row>
    <row r="492">
      <c r="A492" s="6" t="n">
        <v>23303823</v>
      </c>
      <c r="B492" s="6" t="n">
        <v>24034476</v>
      </c>
      <c r="C492" s="6" t="inlineStr">
        <is>
          <t>ACC01</t>
        </is>
      </c>
      <c r="D492" s="58" t="n">
        <v>45972.68393518519</v>
      </c>
      <c r="E492" s="58" t="n">
        <v>45973.15486111111</v>
      </c>
      <c r="F492" s="6" t="inlineStr">
        <is>
          <t>09 a 15 dias</t>
        </is>
      </c>
      <c r="G492" s="6" t="inlineStr">
        <is>
          <t>09 a 15 dias</t>
        </is>
      </c>
      <c r="H492" s="6" t="inlineStr">
        <is>
          <t>h4625674</t>
        </is>
      </c>
      <c r="I492" s="6" t="inlineStr">
        <is>
          <t>GOVER</t>
        </is>
      </c>
      <c r="J492" s="6" t="inlineStr">
        <is>
          <t>Messias Donizete Garcia</t>
        </is>
      </c>
      <c r="K492" s="6" t="inlineStr">
        <is>
          <t>Cristiane Santos Pio Memoria</t>
        </is>
      </c>
      <c r="L492" s="6" t="inlineStr">
        <is>
          <t>Cristiane Santos Pio Memoria</t>
        </is>
      </c>
      <c r="M492" s="58" t="n">
        <v>45972.79166666666</v>
      </c>
      <c r="N492" s="6" t="n">
        <v>4625674</v>
      </c>
      <c r="O492" s="6" t="inlineStr">
        <is>
          <t>-</t>
        </is>
      </c>
      <c r="P492" s="6" t="inlineStr">
        <is>
          <t>OFF LINE</t>
        </is>
      </c>
      <c r="Q492" s="6" t="inlineStr">
        <is>
          <t>Cartão de crédito</t>
        </is>
      </c>
      <c r="R492" s="6" t="inlineStr">
        <is>
          <t>Cartão de crédito</t>
        </is>
      </c>
      <c r="S492" s="6" t="inlineStr">
        <is>
          <t>Hotel</t>
        </is>
      </c>
      <c r="T492" s="6" t="inlineStr">
        <is>
          <t>N</t>
        </is>
      </c>
      <c r="U492" s="6" t="inlineStr">
        <is>
          <t>Grupo British American Tobacco</t>
        </is>
      </c>
      <c r="V492" s="6" t="inlineStr">
        <is>
          <t>Souza Cruz</t>
        </is>
      </c>
      <c r="W492" s="6" t="inlineStr">
        <is>
          <t>-</t>
        </is>
      </c>
      <c r="X492" s="6" t="inlineStr">
        <is>
          <t>Hotel Cosini</t>
        </is>
      </c>
      <c r="Y492" s="6" t="inlineStr">
        <is>
          <t>-</t>
        </is>
      </c>
      <c r="Z492" s="6" t="inlineStr">
        <is>
          <t>FCM-OPE-SAO-PVI-BAT</t>
        </is>
      </c>
      <c r="AA492" s="6" t="inlineStr">
        <is>
          <t>-</t>
        </is>
      </c>
      <c r="AB492" s="6" t="n">
        <v>160</v>
      </c>
      <c r="AC492" s="6" t="n">
        <v>0</v>
      </c>
      <c r="AD492" s="6" t="n">
        <v>0</v>
      </c>
      <c r="AE492" s="6" t="n">
        <v>0</v>
      </c>
      <c r="AF492" s="6" t="n">
        <v>0</v>
      </c>
      <c r="AG492" s="6" t="n">
        <v>0</v>
      </c>
      <c r="AH492" s="6" t="n">
        <v>0</v>
      </c>
      <c r="AI492" s="6" t="inlineStr">
        <is>
          <t>Reserva importada do sistema Gover. Id: 4625674</t>
        </is>
      </c>
      <c r="AJ492" s="6" t="inlineStr">
        <is>
          <t>Fornecedor não preenchido! (ACC02)</t>
        </is>
      </c>
      <c r="AK492" s="6" t="inlineStr">
        <is>
          <t>GOVER</t>
        </is>
      </c>
      <c r="AL492" s="6" t="inlineStr">
        <is>
          <t>Falta de Fornecedor</t>
        </is>
      </c>
      <c r="AM492" s="6" t="inlineStr">
        <is>
          <t>Campo Fornecedor</t>
        </is>
      </c>
      <c r="AN492" s="6" t="inlineStr">
        <is>
          <t>Dados do Fornecedor</t>
        </is>
      </c>
      <c r="AO492" s="6" t="inlineStr">
        <is>
          <t>Sistêmico</t>
        </is>
      </c>
      <c r="AP492" s="6" t="inlineStr">
        <is>
          <t>GRUPO KONTIK</t>
        </is>
      </c>
      <c r="AQ492" s="6" t="inlineStr">
        <is>
          <t>Suporte Benner</t>
        </is>
      </c>
    </row>
    <row r="493">
      <c r="A493" s="6" t="n">
        <v>23303823</v>
      </c>
      <c r="B493" s="6" t="n">
        <v>24034477</v>
      </c>
      <c r="C493" s="6" t="inlineStr">
        <is>
          <t>ACC02</t>
        </is>
      </c>
      <c r="D493" s="58" t="n">
        <v>45972.68393518519</v>
      </c>
      <c r="E493" s="58" t="n">
        <v>45973.15486111111</v>
      </c>
      <c r="F493" s="6" t="inlineStr">
        <is>
          <t>09 a 15 dias</t>
        </is>
      </c>
      <c r="G493" s="6" t="inlineStr">
        <is>
          <t>09 a 15 dias</t>
        </is>
      </c>
      <c r="H493" s="6" t="inlineStr">
        <is>
          <t>h4625674</t>
        </is>
      </c>
      <c r="I493" s="6" t="inlineStr">
        <is>
          <t>GOVER</t>
        </is>
      </c>
      <c r="J493" s="6" t="inlineStr">
        <is>
          <t>Dionathan Elves De Paula</t>
        </is>
      </c>
      <c r="K493" s="6" t="inlineStr">
        <is>
          <t>Cristiane Santos Pio Memoria</t>
        </is>
      </c>
      <c r="L493" s="6" t="inlineStr">
        <is>
          <t>Cristiane Santos Pio Memoria</t>
        </is>
      </c>
      <c r="M493" s="58" t="n">
        <v>45972.79166666666</v>
      </c>
      <c r="N493" s="6" t="n">
        <v>4625674</v>
      </c>
      <c r="O493" s="6" t="inlineStr">
        <is>
          <t>-</t>
        </is>
      </c>
      <c r="P493" s="6" t="inlineStr">
        <is>
          <t>OFF LINE</t>
        </is>
      </c>
      <c r="Q493" s="6" t="inlineStr">
        <is>
          <t>Cartão de crédito</t>
        </is>
      </c>
      <c r="R493" s="6" t="inlineStr">
        <is>
          <t>Cartão de crédito</t>
        </is>
      </c>
      <c r="S493" s="6" t="inlineStr">
        <is>
          <t>Hotel</t>
        </is>
      </c>
      <c r="T493" s="6" t="inlineStr">
        <is>
          <t>N</t>
        </is>
      </c>
      <c r="U493" s="6" t="inlineStr">
        <is>
          <t>Grupo British American Tobacco</t>
        </is>
      </c>
      <c r="V493" s="6" t="inlineStr">
        <is>
          <t>Souza Cruz</t>
        </is>
      </c>
      <c r="W493" s="6" t="inlineStr">
        <is>
          <t>-</t>
        </is>
      </c>
      <c r="X493" s="6" t="inlineStr">
        <is>
          <t>-</t>
        </is>
      </c>
      <c r="Y493" s="6" t="inlineStr">
        <is>
          <t>-</t>
        </is>
      </c>
      <c r="Z493" s="6" t="inlineStr">
        <is>
          <t>FCM-OPE-SAO-PVI-BAT</t>
        </is>
      </c>
      <c r="AA493" s="6" t="inlineStr">
        <is>
          <t>-</t>
        </is>
      </c>
      <c r="AB493" s="6" t="n">
        <v>220</v>
      </c>
      <c r="AC493" s="6" t="n">
        <v>0</v>
      </c>
      <c r="AD493" s="6" t="n">
        <v>0</v>
      </c>
      <c r="AE493" s="6" t="n">
        <v>0</v>
      </c>
      <c r="AF493" s="6" t="n">
        <v>0</v>
      </c>
      <c r="AG493" s="6" t="n">
        <v>0</v>
      </c>
      <c r="AH493" s="6" t="n">
        <v>0</v>
      </c>
      <c r="AI493" s="6" t="inlineStr">
        <is>
          <t>Reserva importada do sistema Gover. Id: 4625674</t>
        </is>
      </c>
      <c r="AJ493" s="6" t="inlineStr">
        <is>
          <t>Fornecedor não preenchido! (ACC02)</t>
        </is>
      </c>
      <c r="AK493" s="6" t="inlineStr">
        <is>
          <t>GOVER</t>
        </is>
      </c>
      <c r="AL493" s="6" t="inlineStr">
        <is>
          <t>Falta de Fornecedor</t>
        </is>
      </c>
      <c r="AM493" s="6" t="inlineStr">
        <is>
          <t>Campo Fornecedor</t>
        </is>
      </c>
      <c r="AN493" s="6" t="inlineStr">
        <is>
          <t>Dados do Fornecedor</t>
        </is>
      </c>
      <c r="AO493" s="6" t="inlineStr">
        <is>
          <t>Sistêmico</t>
        </is>
      </c>
      <c r="AP493" s="6" t="inlineStr">
        <is>
          <t>GRUPO KONTIK</t>
        </is>
      </c>
      <c r="AQ493" s="6" t="inlineStr">
        <is>
          <t>Suporte Benner</t>
        </is>
      </c>
    </row>
    <row r="494">
      <c r="A494" s="6" t="n">
        <v>23340519</v>
      </c>
      <c r="B494" s="6" t="n">
        <v>24068276</v>
      </c>
      <c r="C494" s="6" t="inlineStr">
        <is>
          <t>ACC01</t>
        </is>
      </c>
      <c r="D494" s="58" t="n">
        <v>45978.6146875</v>
      </c>
      <c r="E494" s="58" t="n">
        <v>45979.15363425926</v>
      </c>
      <c r="F494" s="6" t="inlineStr">
        <is>
          <t>06 a 08 dias</t>
        </is>
      </c>
      <c r="G494" s="6" t="inlineStr">
        <is>
          <t>06 a 08 dias</t>
        </is>
      </c>
      <c r="H494" s="6" t="inlineStr">
        <is>
          <t>h4628328</t>
        </is>
      </c>
      <c r="I494" s="6" t="inlineStr">
        <is>
          <t>GOVER</t>
        </is>
      </c>
      <c r="J494" s="6" t="inlineStr">
        <is>
          <t>Bruno Chaves Cajueiro</t>
        </is>
      </c>
      <c r="K494" s="6" t="inlineStr">
        <is>
          <t>Cristiane Santos Pio Memoria</t>
        </is>
      </c>
      <c r="L494" s="6" t="inlineStr">
        <is>
          <t>Cristiane Santos Pio Memoria</t>
        </is>
      </c>
      <c r="M494" s="58" t="n">
        <v>45978.79166666666</v>
      </c>
      <c r="N494" s="6" t="n">
        <v>4628328</v>
      </c>
      <c r="O494" s="6" t="inlineStr">
        <is>
          <t>-</t>
        </is>
      </c>
      <c r="P494" s="6" t="inlineStr">
        <is>
          <t>OFF LINE</t>
        </is>
      </c>
      <c r="Q494" s="6" t="inlineStr">
        <is>
          <t>Cartão de crédito</t>
        </is>
      </c>
      <c r="R494" s="6" t="inlineStr">
        <is>
          <t>Cartão de crédito</t>
        </is>
      </c>
      <c r="S494" s="6" t="inlineStr">
        <is>
          <t>Hotel</t>
        </is>
      </c>
      <c r="T494" s="6" t="inlineStr">
        <is>
          <t>N</t>
        </is>
      </c>
      <c r="U494" s="6" t="inlineStr">
        <is>
          <t>Grupo British American Tobacco</t>
        </is>
      </c>
      <c r="V494" s="6" t="inlineStr">
        <is>
          <t>Souza Cruz</t>
        </is>
      </c>
      <c r="W494" s="6" t="inlineStr">
        <is>
          <t>-</t>
        </is>
      </c>
      <c r="X494" s="6" t="inlineStr">
        <is>
          <t>-</t>
        </is>
      </c>
      <c r="Y494" s="6" t="inlineStr">
        <is>
          <t>-</t>
        </is>
      </c>
      <c r="Z494" s="6" t="inlineStr">
        <is>
          <t>FCM-OPE-SAO-PVI-BAT</t>
        </is>
      </c>
      <c r="AA494" s="6" t="inlineStr">
        <is>
          <t>-</t>
        </is>
      </c>
      <c r="AB494" s="6" t="n">
        <v>201.88</v>
      </c>
      <c r="AC494" s="6" t="n">
        <v>0</v>
      </c>
      <c r="AD494" s="6" t="n">
        <v>0</v>
      </c>
      <c r="AE494" s="6" t="n">
        <v>0</v>
      </c>
      <c r="AF494" s="6" t="n">
        <v>0</v>
      </c>
      <c r="AG494" s="6" t="n">
        <v>0</v>
      </c>
      <c r="AH494" s="6" t="n">
        <v>0</v>
      </c>
      <c r="AI494" s="6" t="inlineStr">
        <is>
          <t>Reserva importada do sistema Gover. Id: 4628328</t>
        </is>
      </c>
      <c r="AJ494" s="6" t="inlineStr">
        <is>
          <t>Fornecedor não preenchido! (ACC01)</t>
        </is>
      </c>
      <c r="AK494" s="6" t="inlineStr">
        <is>
          <t>GOVER</t>
        </is>
      </c>
      <c r="AL494" s="6" t="inlineStr">
        <is>
          <t>Falta de Fornecedor</t>
        </is>
      </c>
      <c r="AM494" s="6" t="inlineStr">
        <is>
          <t>Campo Fornecedor</t>
        </is>
      </c>
      <c r="AN494" s="6" t="inlineStr">
        <is>
          <t>Dados do Fornecedor</t>
        </is>
      </c>
      <c r="AO494" s="6" t="inlineStr">
        <is>
          <t>Sistêmico</t>
        </is>
      </c>
      <c r="AP494" s="6" t="inlineStr">
        <is>
          <t>GRUPO KONTIK</t>
        </is>
      </c>
      <c r="AQ494" s="6" t="inlineStr">
        <is>
          <t>Suporte Benner</t>
        </is>
      </c>
    </row>
    <row r="495">
      <c r="A495" s="6" t="n">
        <v>23341340</v>
      </c>
      <c r="B495" s="6" t="n">
        <v>24069088</v>
      </c>
      <c r="C495" s="6" t="inlineStr">
        <is>
          <t>ACC01</t>
        </is>
      </c>
      <c r="D495" s="58" t="n">
        <v>45978.68436342593</v>
      </c>
      <c r="E495" s="58" t="n">
        <v>45979.15649305555</v>
      </c>
      <c r="F495" s="6" t="inlineStr">
        <is>
          <t>06 a 08 dias</t>
        </is>
      </c>
      <c r="G495" s="6" t="inlineStr">
        <is>
          <t>06 a 08 dias</t>
        </is>
      </c>
      <c r="H495" s="6" t="inlineStr">
        <is>
          <t>h4627760</t>
        </is>
      </c>
      <c r="I495" s="6" t="inlineStr">
        <is>
          <t>GOVER</t>
        </is>
      </c>
      <c r="J495" s="6" t="inlineStr">
        <is>
          <t>Rodrigo Teixeira De Oliveira</t>
        </is>
      </c>
      <c r="K495" s="6" t="inlineStr">
        <is>
          <t>Cristiane Santos Pio Memoria</t>
        </is>
      </c>
      <c r="L495" s="6" t="inlineStr">
        <is>
          <t>Cristiane Santos Pio Memoria</t>
        </is>
      </c>
      <c r="M495" s="58" t="n">
        <v>45978.79166666666</v>
      </c>
      <c r="N495" s="6" t="n">
        <v>4627760</v>
      </c>
      <c r="O495" s="6" t="inlineStr">
        <is>
          <t>-</t>
        </is>
      </c>
      <c r="P495" s="6" t="inlineStr">
        <is>
          <t>OFF LINE</t>
        </is>
      </c>
      <c r="Q495" s="6" t="inlineStr">
        <is>
          <t>Cartão de crédito</t>
        </is>
      </c>
      <c r="R495" s="6" t="inlineStr">
        <is>
          <t>Cartão de crédito</t>
        </is>
      </c>
      <c r="S495" s="6" t="inlineStr">
        <is>
          <t>Hotel</t>
        </is>
      </c>
      <c r="T495" s="6" t="inlineStr">
        <is>
          <t>N</t>
        </is>
      </c>
      <c r="U495" s="6" t="inlineStr">
        <is>
          <t>Grupo British American Tobacco</t>
        </is>
      </c>
      <c r="V495" s="6" t="inlineStr">
        <is>
          <t>Souza Cruz</t>
        </is>
      </c>
      <c r="W495" s="6" t="inlineStr">
        <is>
          <t>-</t>
        </is>
      </c>
      <c r="X495" s="6" t="inlineStr">
        <is>
          <t>-</t>
        </is>
      </c>
      <c r="Y495" s="6" t="inlineStr">
        <is>
          <t>-</t>
        </is>
      </c>
      <c r="Z495" s="6" t="inlineStr">
        <is>
          <t>FCM-OPE-SAO-PVI-BAT</t>
        </is>
      </c>
      <c r="AA495" s="6" t="inlineStr">
        <is>
          <t>-</t>
        </is>
      </c>
      <c r="AB495" s="6" t="n">
        <v>201.88</v>
      </c>
      <c r="AC495" s="6" t="n">
        <v>0</v>
      </c>
      <c r="AD495" s="6" t="n">
        <v>0</v>
      </c>
      <c r="AE495" s="6" t="n">
        <v>0</v>
      </c>
      <c r="AF495" s="6" t="n">
        <v>0</v>
      </c>
      <c r="AG495" s="6" t="n">
        <v>0</v>
      </c>
      <c r="AH495" s="6" t="n">
        <v>0</v>
      </c>
      <c r="AI495" s="6" t="inlineStr">
        <is>
          <t>Reserva importada do sistema Gover. Id: 4627760</t>
        </is>
      </c>
      <c r="AJ495" s="6" t="inlineStr">
        <is>
          <t>Fornecedor não preenchido! (ACC01)</t>
        </is>
      </c>
      <c r="AK495" s="6" t="inlineStr">
        <is>
          <t>GOVER</t>
        </is>
      </c>
      <c r="AL495" s="6" t="inlineStr">
        <is>
          <t>Falta de Fornecedor</t>
        </is>
      </c>
      <c r="AM495" s="6" t="inlineStr">
        <is>
          <t>Campo Fornecedor</t>
        </is>
      </c>
      <c r="AN495" s="6" t="inlineStr">
        <is>
          <t>Dados do Fornecedor</t>
        </is>
      </c>
      <c r="AO495" s="6" t="inlineStr">
        <is>
          <t>Sistêmico</t>
        </is>
      </c>
      <c r="AP495" s="6" t="inlineStr">
        <is>
          <t>GRUPO KONTIK</t>
        </is>
      </c>
      <c r="AQ495" s="6" t="inlineStr">
        <is>
          <t>Suporte Benner</t>
        </is>
      </c>
    </row>
    <row r="496">
      <c r="A496" s="6" t="n">
        <v>23356295</v>
      </c>
      <c r="B496" s="6" t="n">
        <v>24083281</v>
      </c>
      <c r="C496" s="6" t="inlineStr">
        <is>
          <t>ACC01</t>
        </is>
      </c>
      <c r="D496" s="58" t="n">
        <v>45980.75328703703</v>
      </c>
      <c r="E496" s="58" t="n">
        <v>45981.16424768518</v>
      </c>
      <c r="F496" s="6" t="inlineStr">
        <is>
          <t>03 a 05 dias</t>
        </is>
      </c>
      <c r="G496" s="6" t="inlineStr">
        <is>
          <t>06 a 08 dias</t>
        </is>
      </c>
      <c r="H496" s="6" t="inlineStr">
        <is>
          <t>H4630380-1</t>
        </is>
      </c>
      <c r="I496" s="6" t="inlineStr">
        <is>
          <t>GOVER</t>
        </is>
      </c>
      <c r="J496" s="6" t="inlineStr">
        <is>
          <t>N/I</t>
        </is>
      </c>
      <c r="K496" s="6" t="inlineStr">
        <is>
          <t>Ingrid Vianna Vargas de Oliveira</t>
        </is>
      </c>
      <c r="L496" s="6" t="inlineStr">
        <is>
          <t>Ingrid Vianna Vargas de Oliveira</t>
        </is>
      </c>
      <c r="M496" s="58" t="n">
        <v>45980.73888888889</v>
      </c>
      <c r="N496" s="6" t="n">
        <v>4630380</v>
      </c>
      <c r="O496" s="6" t="inlineStr">
        <is>
          <t>-</t>
        </is>
      </c>
      <c r="P496" s="6" t="inlineStr">
        <is>
          <t>OFF LINE</t>
        </is>
      </c>
      <c r="Q496" s="6" t="inlineStr">
        <is>
          <t>Cartão de crédito</t>
        </is>
      </c>
      <c r="R496" s="6" t="inlineStr">
        <is>
          <t>Cartão de crédito</t>
        </is>
      </c>
      <c r="S496" s="6" t="inlineStr">
        <is>
          <t>Hotel</t>
        </is>
      </c>
      <c r="T496" s="6" t="inlineStr">
        <is>
          <t>N</t>
        </is>
      </c>
      <c r="U496" s="6" t="inlineStr">
        <is>
          <t>Grupo British American Tobacco</t>
        </is>
      </c>
      <c r="V496" s="6" t="inlineStr">
        <is>
          <t>Souza Cruz</t>
        </is>
      </c>
      <c r="W496" s="6" t="inlineStr">
        <is>
          <t>-</t>
        </is>
      </c>
      <c r="X496" s="6" t="inlineStr">
        <is>
          <t>Kanoa Tropical Hotel</t>
        </is>
      </c>
      <c r="Y496" s="6" t="inlineStr">
        <is>
          <t>-</t>
        </is>
      </c>
      <c r="Z496" s="6" t="inlineStr">
        <is>
          <t>FCM-OPE-SAO-PVI-BAT</t>
        </is>
      </c>
      <c r="AA496" s="6" t="inlineStr">
        <is>
          <t>-</t>
        </is>
      </c>
      <c r="AB496" s="6" t="n">
        <v>825</v>
      </c>
      <c r="AC496" s="6" t="n">
        <v>0</v>
      </c>
      <c r="AD496" s="6" t="n">
        <v>0</v>
      </c>
      <c r="AE496" s="6" t="n">
        <v>0</v>
      </c>
      <c r="AF496" s="6" t="n">
        <v>0</v>
      </c>
      <c r="AG496" s="6" t="n">
        <v>0</v>
      </c>
      <c r="AH496" s="6" t="n">
        <v>0</v>
      </c>
      <c r="AI496" s="6" t="inlineStr">
        <is>
          <t>Reserva importada do sistema Gover. Id: 4630380</t>
        </is>
      </c>
      <c r="AJ496" s="6" t="inlineStr">
        <is>
          <t>Centro de custo não preenchido! (ACC01)</t>
        </is>
      </c>
      <c r="AK496" s="6" t="inlineStr">
        <is>
          <t>GOVER</t>
        </is>
      </c>
      <c r="AL496" s="6" t="inlineStr">
        <is>
          <t>Centro de custo</t>
        </is>
      </c>
      <c r="AM496" s="6" t="inlineStr">
        <is>
          <t>Falta de informação Gerencial</t>
        </is>
      </c>
      <c r="AN496" s="6" t="inlineStr">
        <is>
          <t>Dados do Fornecedor</t>
        </is>
      </c>
      <c r="AO496" s="6" t="inlineStr">
        <is>
          <t>Qualidade dos dados</t>
        </is>
      </c>
      <c r="AP496" s="6" t="inlineStr">
        <is>
          <t>KONTIK BUSINESS TRAVEL</t>
        </is>
      </c>
      <c r="AQ496" s="6" t="inlineStr">
        <is>
          <t>Operações - FCM</t>
        </is>
      </c>
    </row>
    <row r="497">
      <c r="A497" s="6" t="n">
        <v>23355824</v>
      </c>
      <c r="B497" s="6" t="n">
        <v>24082789</v>
      </c>
      <c r="C497" s="6" t="inlineStr">
        <is>
          <t>ACC01</t>
        </is>
      </c>
      <c r="D497" s="58" t="n">
        <v>45980.7046412037</v>
      </c>
      <c r="E497" s="58" t="n">
        <v>45981.16164351852</v>
      </c>
      <c r="F497" s="6" t="inlineStr">
        <is>
          <t>03 a 05 dias</t>
        </is>
      </c>
      <c r="G497" s="6" t="inlineStr">
        <is>
          <t>06 a 08 dias</t>
        </is>
      </c>
      <c r="H497" s="6" t="inlineStr">
        <is>
          <t>EDKFWS</t>
        </is>
      </c>
      <c r="I497" s="6" t="inlineStr">
        <is>
          <t>GOVER</t>
        </is>
      </c>
      <c r="J497" s="6" t="inlineStr">
        <is>
          <t>Gabriella de Albuquerque Mello Alves</t>
        </is>
      </c>
      <c r="K497" s="6" t="inlineStr">
        <is>
          <t>Gover</t>
        </is>
      </c>
      <c r="L497" s="6" t="inlineStr">
        <is>
          <t>Gover</t>
        </is>
      </c>
      <c r="M497" s="58" t="n">
        <v>45979.3875</v>
      </c>
      <c r="N497" s="6" t="n">
        <v>4629377</v>
      </c>
      <c r="O497" s="6" t="inlineStr">
        <is>
          <t>-</t>
        </is>
      </c>
      <c r="P497" s="6" t="inlineStr">
        <is>
          <t>OFF LINE</t>
        </is>
      </c>
      <c r="Q497" s="6" t="inlineStr">
        <is>
          <t>Invoice</t>
        </is>
      </c>
      <c r="R497" s="6" t="inlineStr">
        <is>
          <t>Faturado</t>
        </is>
      </c>
      <c r="S497" s="6" t="inlineStr">
        <is>
          <t>Hotel</t>
        </is>
      </c>
      <c r="T497" s="6" t="inlineStr">
        <is>
          <t>N</t>
        </is>
      </c>
      <c r="U497" s="6" t="inlineStr">
        <is>
          <t>Grupo British American Tobacco</t>
        </is>
      </c>
      <c r="V497" s="6" t="inlineStr">
        <is>
          <t>Souza Cruz</t>
        </is>
      </c>
      <c r="W497" s="6" t="inlineStr">
        <is>
          <t>-</t>
        </is>
      </c>
      <c r="X497" s="6" t="inlineStr">
        <is>
          <t>-</t>
        </is>
      </c>
      <c r="Y497" s="6" t="inlineStr">
        <is>
          <t>-</t>
        </is>
      </c>
      <c r="Z497" s="6" t="inlineStr">
        <is>
          <t>FCM-OPE-SAO-PVI-BAT</t>
        </is>
      </c>
      <c r="AA497" s="6" t="inlineStr">
        <is>
          <t>-</t>
        </is>
      </c>
      <c r="AB497" s="6" t="n">
        <v>2230.52</v>
      </c>
      <c r="AC497" s="6" t="n">
        <v>117.6</v>
      </c>
      <c r="AD497" s="6" t="n">
        <v>0</v>
      </c>
      <c r="AE497" s="6" t="n">
        <v>0</v>
      </c>
      <c r="AF497" s="6" t="n">
        <v>0</v>
      </c>
      <c r="AG497" s="6" t="n">
        <v>0</v>
      </c>
      <c r="AH497" s="6" t="n">
        <v>0</v>
      </c>
      <c r="AI497" s="6" t="inlineStr">
        <is>
          <t>Reserva importada do sistema Gover. Id: 4629377</t>
        </is>
      </c>
      <c r="AJ497" s="6" t="inlineStr">
        <is>
          <t>Fornecedor não preenchido! (ACC01)</t>
        </is>
      </c>
      <c r="AK497" s="6" t="inlineStr">
        <is>
          <t>GOVER</t>
        </is>
      </c>
      <c r="AL497" s="6" t="inlineStr">
        <is>
          <t>Falta de Fornecedor</t>
        </is>
      </c>
      <c r="AM497" s="6" t="inlineStr">
        <is>
          <t>Campo Fornecedor</t>
        </is>
      </c>
      <c r="AN497" s="6" t="inlineStr">
        <is>
          <t>Dados do Fornecedor</t>
        </is>
      </c>
      <c r="AO497" s="6" t="inlineStr">
        <is>
          <t>Sistêmico</t>
        </is>
      </c>
      <c r="AP497" s="6" t="inlineStr">
        <is>
          <t>GRUPO KONTIK</t>
        </is>
      </c>
      <c r="AQ497" s="6" t="inlineStr">
        <is>
          <t>Suporte Benner</t>
        </is>
      </c>
    </row>
    <row r="498">
      <c r="A498" s="6" t="n">
        <v>23368233</v>
      </c>
      <c r="B498" s="6" t="n">
        <v>24094212</v>
      </c>
      <c r="C498" s="6" t="inlineStr">
        <is>
          <t>ACC01</t>
        </is>
      </c>
      <c r="D498" s="58" t="n">
        <v>45982.85015046296</v>
      </c>
      <c r="E498" s="58" t="n">
        <v>45983.14226851852</v>
      </c>
      <c r="F498" s="6" t="inlineStr">
        <is>
          <t>03 a 05 dias</t>
        </is>
      </c>
      <c r="G498" s="6" t="inlineStr">
        <is>
          <t>03 a 05 dias</t>
        </is>
      </c>
      <c r="H498" s="6" t="inlineStr">
        <is>
          <t>WZBGTM</t>
        </is>
      </c>
      <c r="I498" s="6" t="inlineStr">
        <is>
          <t>GOVER</t>
        </is>
      </c>
      <c r="J498" s="6" t="inlineStr">
        <is>
          <t>Rafael Candido Pinto</t>
        </is>
      </c>
      <c r="K498" s="6" t="inlineStr">
        <is>
          <t>Gover</t>
        </is>
      </c>
      <c r="L498" s="6" t="inlineStr">
        <is>
          <t>Gover</t>
        </is>
      </c>
      <c r="M498" s="58" t="n">
        <v>45982.84652777778</v>
      </c>
      <c r="N498" s="6" t="n">
        <v>4630796</v>
      </c>
      <c r="O498" s="6" t="inlineStr">
        <is>
          <t>-</t>
        </is>
      </c>
      <c r="P498" s="6" t="inlineStr">
        <is>
          <t>ON LINE</t>
        </is>
      </c>
      <c r="Q498" s="6" t="inlineStr">
        <is>
          <t>Pagamento direto</t>
        </is>
      </c>
      <c r="R498" s="6" t="inlineStr">
        <is>
          <t>Pagamento direto</t>
        </is>
      </c>
      <c r="S498" s="6" t="inlineStr">
        <is>
          <t>Hotel</t>
        </is>
      </c>
      <c r="T498" s="6" t="inlineStr">
        <is>
          <t>N</t>
        </is>
      </c>
      <c r="U498" s="6" t="inlineStr">
        <is>
          <t>Grupo British American Tobacco</t>
        </is>
      </c>
      <c r="V498" s="6" t="inlineStr">
        <is>
          <t>Souza Cruz</t>
        </is>
      </c>
      <c r="W498" s="6" t="inlineStr">
        <is>
          <t>-</t>
        </is>
      </c>
      <c r="X498" s="6" t="inlineStr">
        <is>
          <t>-</t>
        </is>
      </c>
      <c r="Y498" s="6" t="inlineStr">
        <is>
          <t>-</t>
        </is>
      </c>
      <c r="Z498" s="6" t="inlineStr">
        <is>
          <t>FCM-OPE-SAO-PVI-BAT</t>
        </is>
      </c>
      <c r="AA498" s="6" t="inlineStr">
        <is>
          <t>-</t>
        </is>
      </c>
      <c r="AB498" s="6" t="n">
        <v>1224.29</v>
      </c>
      <c r="AC498" s="6" t="n">
        <v>87.69</v>
      </c>
      <c r="AD498" s="6" t="n">
        <v>0</v>
      </c>
      <c r="AE498" s="6" t="n">
        <v>0</v>
      </c>
      <c r="AF498" s="6" t="n">
        <v>0</v>
      </c>
      <c r="AG498" s="6" t="n">
        <v>0</v>
      </c>
      <c r="AH498" s="6" t="n">
        <v>0</v>
      </c>
      <c r="AI498" s="6" t="inlineStr">
        <is>
          <t>Reserva importada do sistema Gover. Id: 4630796</t>
        </is>
      </c>
      <c r="AJ498" s="6" t="inlineStr">
        <is>
          <t>Fornecedor não preenchido! (ACC01)</t>
        </is>
      </c>
      <c r="AK498" s="6" t="inlineStr">
        <is>
          <t>GOVER</t>
        </is>
      </c>
      <c r="AL498" s="6" t="inlineStr">
        <is>
          <t>Falta de Fornecedor</t>
        </is>
      </c>
      <c r="AM498" s="6" t="inlineStr">
        <is>
          <t>Campo Fornecedor</t>
        </is>
      </c>
      <c r="AN498" s="6" t="inlineStr">
        <is>
          <t>Dados do Fornecedor</t>
        </is>
      </c>
      <c r="AO498" s="6" t="inlineStr">
        <is>
          <t>Sistêmico</t>
        </is>
      </c>
      <c r="AP498" s="6" t="inlineStr">
        <is>
          <t>GRUPO KONTIK</t>
        </is>
      </c>
      <c r="AQ498" s="6" t="inlineStr">
        <is>
          <t>Suporte Benner</t>
        </is>
      </c>
    </row>
    <row r="499">
      <c r="A499" s="6" t="n">
        <v>23339835</v>
      </c>
      <c r="B499" s="6" t="n">
        <v>24067629</v>
      </c>
      <c r="C499" s="6" t="inlineStr">
        <is>
          <t>ACC01</t>
        </is>
      </c>
      <c r="D499" s="58" t="n">
        <v>45978.58438657408</v>
      </c>
      <c r="E499" s="58" t="n">
        <v>45978.58885416666</v>
      </c>
      <c r="F499" s="6" t="inlineStr">
        <is>
          <t>06 a 08 dias</t>
        </is>
      </c>
      <c r="G499" s="6" t="inlineStr">
        <is>
          <t>06 a 08 dias</t>
        </is>
      </c>
      <c r="H499" s="6" t="inlineStr">
        <is>
          <t>5T12HT</t>
        </is>
      </c>
      <c r="I499" s="6" t="inlineStr">
        <is>
          <t>LEMONTECH</t>
        </is>
      </c>
      <c r="J499" s="6" t="inlineStr">
        <is>
          <t>GEWEHR/FRANCIELE</t>
        </is>
      </c>
      <c r="K499" s="6" t="inlineStr">
        <is>
          <t>Hiran Ricardo da Silva Ramos</t>
        </is>
      </c>
      <c r="L499" s="6" t="inlineStr">
        <is>
          <t>Hiran Ricardo da Silva Ramos</t>
        </is>
      </c>
      <c r="M499" s="58" t="n">
        <v>45978.55208333334</v>
      </c>
      <c r="N499" s="6" t="n">
        <v>18046676</v>
      </c>
      <c r="O499" s="6" t="inlineStr">
        <is>
          <t>-</t>
        </is>
      </c>
      <c r="P499" s="6" t="inlineStr">
        <is>
          <t>OFF LINE</t>
        </is>
      </c>
      <c r="Q499" s="6" t="inlineStr">
        <is>
          <t>Invoice</t>
        </is>
      </c>
      <c r="R499" s="6" t="inlineStr">
        <is>
          <t>Faturado</t>
        </is>
      </c>
      <c r="S499" s="6" t="inlineStr">
        <is>
          <t>Serviço</t>
        </is>
      </c>
      <c r="T499" s="6" t="inlineStr">
        <is>
          <t>N</t>
        </is>
      </c>
      <c r="U499" s="6" t="inlineStr">
        <is>
          <t>Grupo Renner</t>
        </is>
      </c>
      <c r="V499" s="6" t="inlineStr">
        <is>
          <t>Lojas Renner</t>
        </is>
      </c>
      <c r="W499" s="6" t="inlineStr">
        <is>
          <t>-</t>
        </is>
      </c>
      <c r="X499" s="6" t="inlineStr">
        <is>
          <t>-</t>
        </is>
      </c>
      <c r="Y499" s="6" t="inlineStr">
        <is>
          <t>-</t>
        </is>
      </c>
      <c r="Z499" s="6" t="inlineStr">
        <is>
          <t>KON-OPE-RIO-PVI-RENNER</t>
        </is>
      </c>
      <c r="AA499" s="6" t="inlineStr">
        <is>
          <t>-</t>
        </is>
      </c>
      <c r="AB499" s="6" t="n">
        <v>1325</v>
      </c>
      <c r="AC499" s="6" t="n">
        <v>0</v>
      </c>
      <c r="AD499" s="6" t="n">
        <v>0</v>
      </c>
      <c r="AE499" s="6" t="n">
        <v>0</v>
      </c>
      <c r="AF499" s="6" t="n">
        <v>0</v>
      </c>
      <c r="AG499" s="6" t="n">
        <v>0</v>
      </c>
      <c r="AH499" s="6" t="n">
        <v>0</v>
      </c>
      <c r="AI499" s="6" t="inlineStr">
        <is>
          <t>Reserva importada do Sistema Lemontech. Solicitação: 18046676</t>
        </is>
      </c>
      <c r="AJ499" s="6" t="inlineStr">
        <is>
          <t>Fornecedor não preenchido! (ACC01)</t>
        </is>
      </c>
      <c r="AK499" s="6" t="inlineStr">
        <is>
          <t>LEMONTECH</t>
        </is>
      </c>
      <c r="AL499" s="6" t="inlineStr">
        <is>
          <t>Falta de Fornecedor</t>
        </is>
      </c>
      <c r="AM499" s="6" t="inlineStr">
        <is>
          <t>Campo Fornecedor</t>
        </is>
      </c>
      <c r="AN499" s="6" t="inlineStr">
        <is>
          <t>Dados do Fornecedor</t>
        </is>
      </c>
      <c r="AO499" s="6" t="inlineStr">
        <is>
          <t>Qualidade dos dados</t>
        </is>
      </c>
      <c r="AP499" s="6" t="inlineStr">
        <is>
          <t>KONTIK BUSINESS TRAVEL</t>
        </is>
      </c>
      <c r="AQ499" s="6" t="inlineStr">
        <is>
          <t>Suporte KCS</t>
        </is>
      </c>
    </row>
    <row r="500">
      <c r="A500" s="6" t="n">
        <v>23339836</v>
      </c>
      <c r="B500" s="6" t="n">
        <v>24067630</v>
      </c>
      <c r="C500" s="6" t="inlineStr">
        <is>
          <t>ACC01</t>
        </is>
      </c>
      <c r="D500" s="58" t="n">
        <v>45978.58439814814</v>
      </c>
      <c r="E500" s="58" t="n">
        <v>45978.58886574074</v>
      </c>
      <c r="F500" s="6" t="inlineStr">
        <is>
          <t>06 a 08 dias</t>
        </is>
      </c>
      <c r="G500" s="6" t="inlineStr">
        <is>
          <t>06 a 08 dias</t>
        </is>
      </c>
      <c r="H500" s="6" t="inlineStr">
        <is>
          <t>5TXSYT</t>
        </is>
      </c>
      <c r="I500" s="6" t="inlineStr">
        <is>
          <t>LEMONTECH</t>
        </is>
      </c>
      <c r="J500" s="6" t="inlineStr">
        <is>
          <t>ROITHMANN/GABRIELA</t>
        </is>
      </c>
      <c r="K500" s="6" t="inlineStr">
        <is>
          <t>Hiran Ricardo da Silva Ramos</t>
        </is>
      </c>
      <c r="L500" s="6" t="inlineStr">
        <is>
          <t>Hiran Ricardo da Silva Ramos</t>
        </is>
      </c>
      <c r="M500" s="58" t="n">
        <v>45978.55486111111</v>
      </c>
      <c r="N500" s="6" t="n">
        <v>18046717</v>
      </c>
      <c r="O500" s="6" t="inlineStr">
        <is>
          <t>-</t>
        </is>
      </c>
      <c r="P500" s="6" t="inlineStr">
        <is>
          <t>OFF LINE</t>
        </is>
      </c>
      <c r="Q500" s="6" t="inlineStr">
        <is>
          <t>Invoice</t>
        </is>
      </c>
      <c r="R500" s="6" t="inlineStr">
        <is>
          <t>Faturado</t>
        </is>
      </c>
      <c r="S500" s="6" t="inlineStr">
        <is>
          <t>Serviço</t>
        </is>
      </c>
      <c r="T500" s="6" t="inlineStr">
        <is>
          <t>N</t>
        </is>
      </c>
      <c r="U500" s="6" t="inlineStr">
        <is>
          <t>Grupo Renner</t>
        </is>
      </c>
      <c r="V500" s="6" t="inlineStr">
        <is>
          <t>Lojas Renner</t>
        </is>
      </c>
      <c r="W500" s="6" t="inlineStr">
        <is>
          <t>-</t>
        </is>
      </c>
      <c r="X500" s="6" t="inlineStr">
        <is>
          <t>-</t>
        </is>
      </c>
      <c r="Y500" s="6" t="inlineStr">
        <is>
          <t>-</t>
        </is>
      </c>
      <c r="Z500" s="6" t="inlineStr">
        <is>
          <t>KON-OPE-RIO-PVI-RENNER</t>
        </is>
      </c>
      <c r="AA500" s="6" t="inlineStr">
        <is>
          <t>-</t>
        </is>
      </c>
      <c r="AB500" s="6" t="n">
        <v>1150</v>
      </c>
      <c r="AC500" s="6" t="n">
        <v>0</v>
      </c>
      <c r="AD500" s="6" t="n">
        <v>0</v>
      </c>
      <c r="AE500" s="6" t="n">
        <v>0</v>
      </c>
      <c r="AF500" s="6" t="n">
        <v>0</v>
      </c>
      <c r="AG500" s="6" t="n">
        <v>0</v>
      </c>
      <c r="AH500" s="6" t="n">
        <v>0</v>
      </c>
      <c r="AI500" s="6" t="inlineStr">
        <is>
          <t>Reserva importada do Sistema Lemontech. Solicitação: 18046717</t>
        </is>
      </c>
      <c r="AJ500" s="6" t="inlineStr">
        <is>
          <t>Fornecedor não preenchido! (ACC01)</t>
        </is>
      </c>
      <c r="AK500" s="6" t="inlineStr">
        <is>
          <t>LEMONTECH</t>
        </is>
      </c>
      <c r="AL500" s="6" t="inlineStr">
        <is>
          <t>Falta de Fornecedor</t>
        </is>
      </c>
      <c r="AM500" s="6" t="inlineStr">
        <is>
          <t>Campo Fornecedor</t>
        </is>
      </c>
      <c r="AN500" s="6" t="inlineStr">
        <is>
          <t>Dados do Fornecedor</t>
        </is>
      </c>
      <c r="AO500" s="6" t="inlineStr">
        <is>
          <t>Qualidade dos dados</t>
        </is>
      </c>
      <c r="AP500" s="6" t="inlineStr">
        <is>
          <t>KONTIK BUSINESS TRAVEL</t>
        </is>
      </c>
      <c r="AQ500" s="6" t="inlineStr">
        <is>
          <t>Suporte KCS</t>
        </is>
      </c>
    </row>
    <row r="501">
      <c r="A501" s="6" t="n">
        <v>23339839</v>
      </c>
      <c r="B501" s="6" t="n">
        <v>24067633</v>
      </c>
      <c r="C501" s="6" t="inlineStr">
        <is>
          <t>ACC01</t>
        </is>
      </c>
      <c r="D501" s="58" t="n">
        <v>45978.5844212963</v>
      </c>
      <c r="E501" s="58" t="n">
        <v>45978.58886574074</v>
      </c>
      <c r="F501" s="6" t="inlineStr">
        <is>
          <t>06 a 08 dias</t>
        </is>
      </c>
      <c r="G501" s="6" t="inlineStr">
        <is>
          <t>06 a 08 dias</t>
        </is>
      </c>
      <c r="H501" s="6" t="inlineStr">
        <is>
          <t>5TEWH5</t>
        </is>
      </c>
      <c r="I501" s="6" t="inlineStr">
        <is>
          <t>LEMONTECH</t>
        </is>
      </c>
      <c r="J501" s="6" t="inlineStr">
        <is>
          <t>DOS SANTOS/JACQUELINE</t>
        </is>
      </c>
      <c r="K501" s="6" t="inlineStr">
        <is>
          <t>Hiran Ricardo da Silva Ramos</t>
        </is>
      </c>
      <c r="L501" s="6" t="inlineStr">
        <is>
          <t>Hiran Ricardo da Silva Ramos</t>
        </is>
      </c>
      <c r="M501" s="58" t="n">
        <v>45978.575</v>
      </c>
      <c r="N501" s="6" t="n">
        <v>18047086</v>
      </c>
      <c r="O501" s="6" t="inlineStr">
        <is>
          <t>-</t>
        </is>
      </c>
      <c r="P501" s="6" t="inlineStr">
        <is>
          <t>OFF LINE</t>
        </is>
      </c>
      <c r="Q501" s="6" t="inlineStr">
        <is>
          <t>Invoice</t>
        </is>
      </c>
      <c r="R501" s="6" t="inlineStr">
        <is>
          <t>Faturado</t>
        </is>
      </c>
      <c r="S501" s="6" t="inlineStr">
        <is>
          <t>Serviço</t>
        </is>
      </c>
      <c r="T501" s="6" t="inlineStr">
        <is>
          <t>N</t>
        </is>
      </c>
      <c r="U501" s="6" t="inlineStr">
        <is>
          <t>Grupo Renner</t>
        </is>
      </c>
      <c r="V501" s="6" t="inlineStr">
        <is>
          <t>Lojas Renner</t>
        </is>
      </c>
      <c r="W501" s="6" t="inlineStr">
        <is>
          <t>-</t>
        </is>
      </c>
      <c r="X501" s="6" t="inlineStr">
        <is>
          <t>-</t>
        </is>
      </c>
      <c r="Y501" s="6" t="inlineStr">
        <is>
          <t>-</t>
        </is>
      </c>
      <c r="Z501" s="6" t="inlineStr">
        <is>
          <t>KON-OPE-RIO-PVI-RENNER</t>
        </is>
      </c>
      <c r="AA501" s="6" t="inlineStr">
        <is>
          <t>-</t>
        </is>
      </c>
      <c r="AB501" s="6" t="n">
        <v>1325</v>
      </c>
      <c r="AC501" s="6" t="n">
        <v>0</v>
      </c>
      <c r="AD501" s="6" t="n">
        <v>0</v>
      </c>
      <c r="AE501" s="6" t="n">
        <v>0</v>
      </c>
      <c r="AF501" s="6" t="n">
        <v>0</v>
      </c>
      <c r="AG501" s="6" t="n">
        <v>0</v>
      </c>
      <c r="AH501" s="6" t="n">
        <v>0</v>
      </c>
      <c r="AI501" s="6" t="inlineStr">
        <is>
          <t>Reserva importada do Sistema Lemontech. Solicitação: 18047086</t>
        </is>
      </c>
      <c r="AJ501" s="6" t="inlineStr">
        <is>
          <t>Fornecedor não preenchido! (ACC01)</t>
        </is>
      </c>
      <c r="AK501" s="6" t="inlineStr">
        <is>
          <t>LEMONTECH</t>
        </is>
      </c>
      <c r="AL501" s="6" t="inlineStr">
        <is>
          <t>Falta de Fornecedor</t>
        </is>
      </c>
      <c r="AM501" s="6" t="inlineStr">
        <is>
          <t>Campo Fornecedor</t>
        </is>
      </c>
      <c r="AN501" s="6" t="inlineStr">
        <is>
          <t>Dados do Fornecedor</t>
        </is>
      </c>
      <c r="AO501" s="6" t="inlineStr">
        <is>
          <t>Qualidade dos dados</t>
        </is>
      </c>
      <c r="AP501" s="6" t="inlineStr">
        <is>
          <t>KONTIK BUSINESS TRAVEL</t>
        </is>
      </c>
      <c r="AQ501" s="6" t="inlineStr">
        <is>
          <t>Suporte KCS</t>
        </is>
      </c>
    </row>
    <row r="502">
      <c r="A502" s="6" t="n">
        <v>23323902</v>
      </c>
      <c r="B502" s="6" t="n">
        <v>24053366</v>
      </c>
      <c r="C502" s="6" t="inlineStr">
        <is>
          <t>ACC01</t>
        </is>
      </c>
      <c r="D502" s="58" t="n">
        <v>45975.50081018519</v>
      </c>
      <c r="E502" s="58" t="n">
        <v>45975.50449074074</v>
      </c>
      <c r="F502" s="6" t="inlineStr">
        <is>
          <t>09 a 15 dias</t>
        </is>
      </c>
      <c r="G502" s="6" t="inlineStr">
        <is>
          <t>09 a 15 dias</t>
        </is>
      </c>
      <c r="H502" s="6" t="inlineStr">
        <is>
          <t>5TRTKD</t>
        </is>
      </c>
      <c r="I502" s="6" t="inlineStr">
        <is>
          <t>LEMONTECH</t>
        </is>
      </c>
      <c r="J502" s="6" t="inlineStr">
        <is>
          <t>OHKI KAWAKAMI/GIOVANA</t>
        </is>
      </c>
      <c r="K502" s="6" t="inlineStr">
        <is>
          <t>Hiran Ricardo da Silva Ramos</t>
        </is>
      </c>
      <c r="L502" s="6" t="inlineStr">
        <is>
          <t>Hiran Ricardo da Silva Ramos</t>
        </is>
      </c>
      <c r="M502" s="58" t="n">
        <v>45972.45347222222</v>
      </c>
      <c r="N502" s="6" t="n">
        <v>18002121</v>
      </c>
      <c r="O502" s="6" t="inlineStr">
        <is>
          <t>-</t>
        </is>
      </c>
      <c r="P502" s="6" t="inlineStr">
        <is>
          <t>OFF LINE</t>
        </is>
      </c>
      <c r="Q502" s="6" t="inlineStr">
        <is>
          <t>Cartão de crédito</t>
        </is>
      </c>
      <c r="R502" s="6" t="inlineStr">
        <is>
          <t>Cartão de crédito</t>
        </is>
      </c>
      <c r="S502" s="6" t="inlineStr">
        <is>
          <t>Serviço</t>
        </is>
      </c>
      <c r="T502" s="6" t="inlineStr">
        <is>
          <t>N</t>
        </is>
      </c>
      <c r="U502" s="6" t="inlineStr">
        <is>
          <t>Grupo Renner</t>
        </is>
      </c>
      <c r="V502" s="6" t="inlineStr">
        <is>
          <t>Lojas Renner</t>
        </is>
      </c>
      <c r="W502" s="6" t="inlineStr">
        <is>
          <t>-</t>
        </is>
      </c>
      <c r="X502" s="6" t="inlineStr">
        <is>
          <t>-</t>
        </is>
      </c>
      <c r="Y502" s="6" t="inlineStr">
        <is>
          <t>-</t>
        </is>
      </c>
      <c r="Z502" s="6" t="inlineStr">
        <is>
          <t>KON-OPE-RIO-PVI-RENNER</t>
        </is>
      </c>
      <c r="AA502" s="6" t="inlineStr">
        <is>
          <t>-</t>
        </is>
      </c>
      <c r="AB502" s="6" t="n">
        <v>140</v>
      </c>
      <c r="AC502" s="6" t="n">
        <v>0</v>
      </c>
      <c r="AD502" s="6" t="n">
        <v>0</v>
      </c>
      <c r="AE502" s="6" t="n">
        <v>0</v>
      </c>
      <c r="AF502" s="6" t="n">
        <v>0</v>
      </c>
      <c r="AG502" s="6" t="n">
        <v>0</v>
      </c>
      <c r="AH502" s="6" t="n">
        <v>0</v>
      </c>
      <c r="AI502" s="6" t="inlineStr">
        <is>
          <t>Reserva importada do Sistema Lemontech. Solicitação: 18002121</t>
        </is>
      </c>
      <c r="AJ502" s="6" t="inlineStr">
        <is>
          <t>Fornecedor não preenchido! (ACC01)</t>
        </is>
      </c>
      <c r="AK502" s="6" t="inlineStr">
        <is>
          <t>LEMONTECH</t>
        </is>
      </c>
      <c r="AL502" s="6" t="inlineStr">
        <is>
          <t>Falta de Fornecedor</t>
        </is>
      </c>
      <c r="AM502" s="6" t="inlineStr">
        <is>
          <t>Campo Fornecedor</t>
        </is>
      </c>
      <c r="AN502" s="6" t="inlineStr">
        <is>
          <t>Dados do Fornecedor</t>
        </is>
      </c>
      <c r="AO502" s="6" t="inlineStr">
        <is>
          <t>Qualidade dos dados</t>
        </is>
      </c>
      <c r="AP502" s="6" t="inlineStr">
        <is>
          <t>KONTIK BUSINESS TRAVEL</t>
        </is>
      </c>
      <c r="AQ502" s="6" t="inlineStr">
        <is>
          <t>Suporte KCS</t>
        </is>
      </c>
    </row>
    <row r="503">
      <c r="A503" s="6" t="n">
        <v>23367380</v>
      </c>
      <c r="B503" s="6" t="n">
        <v>24093395</v>
      </c>
      <c r="C503" s="6" t="inlineStr">
        <is>
          <t>ACC01</t>
        </is>
      </c>
      <c r="D503" s="58" t="n">
        <v>45982.70969907408</v>
      </c>
      <c r="E503" s="58" t="n">
        <v>45985.31302083333</v>
      </c>
      <c r="F503" s="6" t="inlineStr">
        <is>
          <t>0 a 02 dias</t>
        </is>
      </c>
      <c r="G503" s="6" t="inlineStr">
        <is>
          <t>03 a 05 dias</t>
        </is>
      </c>
      <c r="H503" s="6" t="inlineStr">
        <is>
          <t>5UEGMA</t>
        </is>
      </c>
      <c r="I503" s="6" t="inlineStr">
        <is>
          <t>LEMONTECH</t>
        </is>
      </c>
      <c r="J503" s="6" t="inlineStr">
        <is>
          <t>DAYANA FABIULA FETTER</t>
        </is>
      </c>
      <c r="K503" s="6" t="inlineStr">
        <is>
          <t>Tami Maron</t>
        </is>
      </c>
      <c r="L503" s="6" t="inlineStr">
        <is>
          <t>Tami Maron</t>
        </is>
      </c>
      <c r="M503" s="58" t="n">
        <v>45980.72986111111</v>
      </c>
      <c r="N503" s="6" t="n">
        <v>18071141</v>
      </c>
      <c r="O503" s="6" t="inlineStr">
        <is>
          <t>-</t>
        </is>
      </c>
      <c r="P503" s="6" t="inlineStr">
        <is>
          <t>OFF LINE</t>
        </is>
      </c>
      <c r="Q503" s="6" t="inlineStr">
        <is>
          <t>Invoice</t>
        </is>
      </c>
      <c r="R503" s="6" t="inlineStr">
        <is>
          <t>Faturado</t>
        </is>
      </c>
      <c r="S503" s="6" t="inlineStr">
        <is>
          <t>Serviço</t>
        </is>
      </c>
      <c r="T503" s="6" t="inlineStr">
        <is>
          <t>N</t>
        </is>
      </c>
      <c r="U503" s="6" t="inlineStr">
        <is>
          <t>Grupo Renner</t>
        </is>
      </c>
      <c r="V503" s="6" t="inlineStr">
        <is>
          <t>Lojas Renner</t>
        </is>
      </c>
      <c r="W503" s="6" t="inlineStr">
        <is>
          <t>-</t>
        </is>
      </c>
      <c r="X503" s="6" t="inlineStr">
        <is>
          <t>-</t>
        </is>
      </c>
      <c r="Y503" s="6" t="inlineStr">
        <is>
          <t>-</t>
        </is>
      </c>
      <c r="Z503" s="6" t="inlineStr">
        <is>
          <t>KON-OPE-RIO-PVI-RENNER</t>
        </is>
      </c>
      <c r="AA503" s="6" t="inlineStr">
        <is>
          <t>-</t>
        </is>
      </c>
      <c r="AB503" s="6" t="n">
        <v>35.7</v>
      </c>
      <c r="AC503" s="6" t="n">
        <v>6.42</v>
      </c>
      <c r="AD503" s="6" t="n">
        <v>9.949999999999999</v>
      </c>
      <c r="AE503" s="6" t="n">
        <v>0</v>
      </c>
      <c r="AF503" s="6" t="n">
        <v>0</v>
      </c>
      <c r="AG503" s="6" t="n">
        <v>0</v>
      </c>
      <c r="AH503" s="6" t="n">
        <v>0</v>
      </c>
      <c r="AI503" s="6" t="inlineStr">
        <is>
          <t>Reserva importada do Sistema Lemontech. Solicitação: 18071141</t>
        </is>
      </c>
      <c r="AJ503" s="6" t="inlineStr">
        <is>
          <t>Fornecedor não preenchido! (ACC01)</t>
        </is>
      </c>
      <c r="AK503" s="6" t="inlineStr">
        <is>
          <t>LEMONTECH</t>
        </is>
      </c>
      <c r="AL503" s="6" t="inlineStr">
        <is>
          <t>Falta de Fornecedor</t>
        </is>
      </c>
      <c r="AM503" s="6" t="inlineStr">
        <is>
          <t>Campo Fornecedor</t>
        </is>
      </c>
      <c r="AN503" s="6" t="inlineStr">
        <is>
          <t>Dados do Fornecedor</t>
        </is>
      </c>
      <c r="AO503" s="6" t="inlineStr">
        <is>
          <t>Qualidade dos dados</t>
        </is>
      </c>
      <c r="AP503" s="6" t="inlineStr">
        <is>
          <t>KONTIK BUSINESS TRAVEL</t>
        </is>
      </c>
      <c r="AQ503" s="6" t="inlineStr">
        <is>
          <t>Suporte KCS</t>
        </is>
      </c>
    </row>
    <row r="504">
      <c r="A504" s="6" t="n">
        <v>23367381</v>
      </c>
      <c r="B504" s="6" t="n">
        <v>24093396</v>
      </c>
      <c r="C504" s="6" t="inlineStr">
        <is>
          <t>ACC01</t>
        </is>
      </c>
      <c r="D504" s="58" t="n">
        <v>45982.70969907408</v>
      </c>
      <c r="E504" s="58" t="n">
        <v>45985.31302083333</v>
      </c>
      <c r="F504" s="6" t="inlineStr">
        <is>
          <t>0 a 02 dias</t>
        </is>
      </c>
      <c r="G504" s="6" t="inlineStr">
        <is>
          <t>03 a 05 dias</t>
        </is>
      </c>
      <c r="H504" s="6" t="inlineStr">
        <is>
          <t>5UF5BZ</t>
        </is>
      </c>
      <c r="I504" s="6" t="inlineStr">
        <is>
          <t>LEMONTECH</t>
        </is>
      </c>
      <c r="J504" s="6" t="inlineStr">
        <is>
          <t>DAYANA FABIULA FETTER</t>
        </is>
      </c>
      <c r="K504" s="6" t="inlineStr">
        <is>
          <t>Tami Maron</t>
        </is>
      </c>
      <c r="L504" s="6" t="inlineStr">
        <is>
          <t>Tami Maron</t>
        </is>
      </c>
      <c r="M504" s="58" t="n">
        <v>45980.72916666666</v>
      </c>
      <c r="N504" s="6" t="n">
        <v>18071141</v>
      </c>
      <c r="O504" s="6" t="inlineStr">
        <is>
          <t>-</t>
        </is>
      </c>
      <c r="P504" s="6" t="inlineStr">
        <is>
          <t>OFF LINE</t>
        </is>
      </c>
      <c r="Q504" s="6" t="inlineStr">
        <is>
          <t>Invoice</t>
        </is>
      </c>
      <c r="R504" s="6" t="inlineStr">
        <is>
          <t>Faturado</t>
        </is>
      </c>
      <c r="S504" s="6" t="inlineStr">
        <is>
          <t>Serviço</t>
        </is>
      </c>
      <c r="T504" s="6" t="inlineStr">
        <is>
          <t>N</t>
        </is>
      </c>
      <c r="U504" s="6" t="inlineStr">
        <is>
          <t>Grupo Renner</t>
        </is>
      </c>
      <c r="V504" s="6" t="inlineStr">
        <is>
          <t>Lojas Renner</t>
        </is>
      </c>
      <c r="W504" s="6" t="inlineStr">
        <is>
          <t>-</t>
        </is>
      </c>
      <c r="X504" s="6" t="inlineStr">
        <is>
          <t>-</t>
        </is>
      </c>
      <c r="Y504" s="6" t="inlineStr">
        <is>
          <t>-</t>
        </is>
      </c>
      <c r="Z504" s="6" t="inlineStr">
        <is>
          <t>KON-OPE-RIO-PVI-RENNER</t>
        </is>
      </c>
      <c r="AA504" s="6" t="inlineStr">
        <is>
          <t>-</t>
        </is>
      </c>
      <c r="AB504" s="6" t="n">
        <v>33.35</v>
      </c>
      <c r="AC504" s="6" t="n">
        <v>6</v>
      </c>
      <c r="AD504" s="6" t="n">
        <v>9.949999999999999</v>
      </c>
      <c r="AE504" s="6" t="n">
        <v>0</v>
      </c>
      <c r="AF504" s="6" t="n">
        <v>0</v>
      </c>
      <c r="AG504" s="6" t="n">
        <v>0</v>
      </c>
      <c r="AH504" s="6" t="n">
        <v>0</v>
      </c>
      <c r="AI504" s="6" t="inlineStr">
        <is>
          <t>Reserva importada do Sistema Lemontech. Solicitação: 18071141</t>
        </is>
      </c>
      <c r="AJ504" s="6" t="inlineStr">
        <is>
          <t>Fornecedor não preenchido! (ACC01)</t>
        </is>
      </c>
      <c r="AK504" s="6" t="inlineStr">
        <is>
          <t>LEMONTECH</t>
        </is>
      </c>
      <c r="AL504" s="6" t="inlineStr">
        <is>
          <t>Falta de Fornecedor</t>
        </is>
      </c>
      <c r="AM504" s="6" t="inlineStr">
        <is>
          <t>Campo Fornecedor</t>
        </is>
      </c>
      <c r="AN504" s="6" t="inlineStr">
        <is>
          <t>Dados do Fornecedor</t>
        </is>
      </c>
      <c r="AO504" s="6" t="inlineStr">
        <is>
          <t>Qualidade dos dados</t>
        </is>
      </c>
      <c r="AP504" s="6" t="inlineStr">
        <is>
          <t>KONTIK BUSINESS TRAVEL</t>
        </is>
      </c>
      <c r="AQ504" s="6" t="inlineStr">
        <is>
          <t>Suporte KCS</t>
        </is>
      </c>
    </row>
    <row r="505">
      <c r="A505" s="6" t="n">
        <v>23381311</v>
      </c>
      <c r="B505" s="6" t="n">
        <v>24105021</v>
      </c>
      <c r="C505" s="6" t="inlineStr">
        <is>
          <t>ACC01</t>
        </is>
      </c>
      <c r="D505" s="58" t="n">
        <v>45985.75087962963</v>
      </c>
      <c r="E505" s="58" t="n">
        <v>45985.75467592593</v>
      </c>
      <c r="F505" s="6" t="inlineStr">
        <is>
          <t>0 a 02 dias</t>
        </is>
      </c>
      <c r="G505" s="6" t="inlineStr">
        <is>
          <t>0 a 02 dias</t>
        </is>
      </c>
      <c r="H505" s="6" t="inlineStr">
        <is>
          <t>5UZENX</t>
        </is>
      </c>
      <c r="I505" s="6" t="inlineStr">
        <is>
          <t>LEMONTECH</t>
        </is>
      </c>
      <c r="J505" s="6" t="inlineStr">
        <is>
          <t>SILVA SALGADO/ALESSANDRO</t>
        </is>
      </c>
      <c r="K505" s="6" t="inlineStr">
        <is>
          <t>Tami Maron</t>
        </is>
      </c>
      <c r="L505" s="6" t="inlineStr">
        <is>
          <t>Tami Maron</t>
        </is>
      </c>
      <c r="M505" s="58" t="n">
        <v>45985</v>
      </c>
      <c r="N505" s="6" t="n">
        <v>18087633</v>
      </c>
      <c r="O505" s="6" t="inlineStr">
        <is>
          <t>-</t>
        </is>
      </c>
      <c r="P505" s="6" t="inlineStr">
        <is>
          <t>ON LINE</t>
        </is>
      </c>
      <c r="Q505" s="6" t="inlineStr">
        <is>
          <t>Cartão de crédito</t>
        </is>
      </c>
      <c r="R505" s="6" t="inlineStr">
        <is>
          <t>Cartão de crédito</t>
        </is>
      </c>
      <c r="S505" s="6" t="inlineStr">
        <is>
          <t>Hotel</t>
        </is>
      </c>
      <c r="T505" s="6" t="inlineStr">
        <is>
          <t>N</t>
        </is>
      </c>
      <c r="U505" s="6" t="inlineStr">
        <is>
          <t>Grupo Renner</t>
        </is>
      </c>
      <c r="V505" s="6" t="inlineStr">
        <is>
          <t>Lojas Renner</t>
        </is>
      </c>
      <c r="W505" s="6" t="inlineStr">
        <is>
          <t>-</t>
        </is>
      </c>
      <c r="X505" s="6" t="inlineStr">
        <is>
          <t>-</t>
        </is>
      </c>
      <c r="Y505" s="6" t="inlineStr">
        <is>
          <t>-</t>
        </is>
      </c>
      <c r="Z505" s="6" t="inlineStr">
        <is>
          <t>KON-OPE-RIO-PVI-RENNER</t>
        </is>
      </c>
      <c r="AA505" s="6" t="inlineStr">
        <is>
          <t>-</t>
        </is>
      </c>
      <c r="AB505" s="6" t="n">
        <v>3448.44</v>
      </c>
      <c r="AC505" s="6" t="n">
        <v>0</v>
      </c>
      <c r="AD505" s="6" t="n">
        <v>0</v>
      </c>
      <c r="AE505" s="6" t="n">
        <v>0</v>
      </c>
      <c r="AF505" s="6" t="n">
        <v>0</v>
      </c>
      <c r="AG505" s="6" t="n">
        <v>0</v>
      </c>
      <c r="AH505" s="6" t="n">
        <v>0</v>
      </c>
      <c r="AI505" s="6" t="inlineStr">
        <is>
          <t>Reserva importada do Sistema Lemontech. Solicitação: 18087633</t>
        </is>
      </c>
      <c r="AJ505" s="6" t="inlineStr">
        <is>
          <t>Fornecedor não preenchido! (ACC01)</t>
        </is>
      </c>
      <c r="AK505" s="6" t="inlineStr">
        <is>
          <t>LEMONTECH</t>
        </is>
      </c>
      <c r="AL505" s="6" t="inlineStr">
        <is>
          <t>Falta de Fornecedor</t>
        </is>
      </c>
      <c r="AM505" s="6" t="inlineStr">
        <is>
          <t>Campo Fornecedor</t>
        </is>
      </c>
      <c r="AN505" s="6" t="inlineStr">
        <is>
          <t>Dados do Fornecedor</t>
        </is>
      </c>
      <c r="AO505" s="6" t="inlineStr">
        <is>
          <t>Qualidade dos dados</t>
        </is>
      </c>
      <c r="AP505" s="6" t="inlineStr">
        <is>
          <t>KONTIK BUSINESS TRAVEL</t>
        </is>
      </c>
      <c r="AQ505" s="6" t="inlineStr">
        <is>
          <t>Suporte KCS</t>
        </is>
      </c>
    </row>
    <row r="506">
      <c r="A506" s="6" t="n">
        <v>23381760</v>
      </c>
      <c r="B506" s="6" t="n">
        <v>24105436</v>
      </c>
      <c r="C506" s="6" t="inlineStr">
        <is>
          <t>ACC01</t>
        </is>
      </c>
      <c r="D506" s="58" t="n">
        <v>45985.83388888889</v>
      </c>
      <c r="E506" s="58" t="n">
        <v>45986.05447916667</v>
      </c>
      <c r="F506" s="6" t="inlineStr">
        <is>
          <t>0 a 02 dias</t>
        </is>
      </c>
      <c r="G506" s="6" t="inlineStr">
        <is>
          <t>0 a 02 dias</t>
        </is>
      </c>
      <c r="H506" s="6" t="inlineStr">
        <is>
          <t>5UZYN2</t>
        </is>
      </c>
      <c r="I506" s="6" t="inlineStr">
        <is>
          <t>LEMONTECH</t>
        </is>
      </c>
      <c r="J506" s="6" t="inlineStr">
        <is>
          <t>COELHO/KARINE</t>
        </is>
      </c>
      <c r="K506" s="6" t="inlineStr">
        <is>
          <t>Jocelaine Silveira Debom</t>
        </is>
      </c>
      <c r="L506" s="6" t="inlineStr">
        <is>
          <t>Jocelaine Silveira Debom</t>
        </is>
      </c>
      <c r="M506" s="58" t="n">
        <v>45985</v>
      </c>
      <c r="N506" s="6" t="n">
        <v>18065629</v>
      </c>
      <c r="O506" s="6" t="inlineStr">
        <is>
          <t>-</t>
        </is>
      </c>
      <c r="P506" s="6" t="inlineStr">
        <is>
          <t>OFF LINE</t>
        </is>
      </c>
      <c r="Q506" s="6" t="inlineStr">
        <is>
          <t>Cartão de crédito</t>
        </is>
      </c>
      <c r="R506" s="6" t="inlineStr">
        <is>
          <t>Cartão de crédito</t>
        </is>
      </c>
      <c r="S506" s="6" t="inlineStr">
        <is>
          <t>Hotel</t>
        </is>
      </c>
      <c r="T506" s="6" t="inlineStr">
        <is>
          <t>N</t>
        </is>
      </c>
      <c r="U506" s="6" t="inlineStr">
        <is>
          <t>Grupo Renner</t>
        </is>
      </c>
      <c r="V506" s="6" t="inlineStr">
        <is>
          <t>Lojas Renner</t>
        </is>
      </c>
      <c r="W506" s="6" t="inlineStr">
        <is>
          <t>-</t>
        </is>
      </c>
      <c r="X506" s="6" t="inlineStr">
        <is>
          <t>-</t>
        </is>
      </c>
      <c r="Y506" s="6" t="inlineStr">
        <is>
          <t>-</t>
        </is>
      </c>
      <c r="Z506" s="6" t="inlineStr">
        <is>
          <t>KON-OPE-RIO-PVI-RENNER</t>
        </is>
      </c>
      <c r="AA506" s="6" t="inlineStr">
        <is>
          <t>-</t>
        </is>
      </c>
      <c r="AB506" s="6" t="n">
        <v>275.4</v>
      </c>
      <c r="AC506" s="6" t="n">
        <v>0</v>
      </c>
      <c r="AD506" s="6" t="n">
        <v>0</v>
      </c>
      <c r="AE506" s="6" t="n">
        <v>0</v>
      </c>
      <c r="AF506" s="6" t="n">
        <v>0</v>
      </c>
      <c r="AG506" s="6" t="n">
        <v>8.26</v>
      </c>
      <c r="AH506" s="6" t="n">
        <v>0</v>
      </c>
      <c r="AI506" s="6" t="inlineStr">
        <is>
          <t>Reserva importada do Sistema Lemontech. Solicitação: 18065629</t>
        </is>
      </c>
      <c r="AJ506" s="6" t="inlineStr">
        <is>
          <t>Fornecedor não preenchido! (ACC01)</t>
        </is>
      </c>
      <c r="AK506" s="6" t="inlineStr">
        <is>
          <t>LEMONTECH</t>
        </is>
      </c>
      <c r="AL506" s="6" t="inlineStr">
        <is>
          <t>Falta de Fornecedor</t>
        </is>
      </c>
      <c r="AM506" s="6" t="inlineStr">
        <is>
          <t>Campo Fornecedor</t>
        </is>
      </c>
      <c r="AN506" s="6" t="inlineStr">
        <is>
          <t>Dados do Fornecedor</t>
        </is>
      </c>
      <c r="AO506" s="6" t="inlineStr">
        <is>
          <t>Qualidade dos dados</t>
        </is>
      </c>
      <c r="AP506" s="6" t="inlineStr">
        <is>
          <t>KONTIK BUSINESS TRAVEL</t>
        </is>
      </c>
      <c r="AQ506" s="6" t="inlineStr">
        <is>
          <t>Suporte KCS</t>
        </is>
      </c>
    </row>
    <row r="507">
      <c r="A507" s="6" t="n">
        <v>23355859</v>
      </c>
      <c r="B507" s="6" t="n">
        <v>24082832</v>
      </c>
      <c r="C507" s="6" t="inlineStr">
        <is>
          <t>ACC01</t>
        </is>
      </c>
      <c r="D507" s="58" t="n">
        <v>45980.70950231481</v>
      </c>
      <c r="E507" s="58" t="n">
        <v>45985.31300925926</v>
      </c>
      <c r="F507" s="6" t="inlineStr">
        <is>
          <t>0 a 02 dias</t>
        </is>
      </c>
      <c r="G507" s="6" t="inlineStr">
        <is>
          <t>06 a 08 dias</t>
        </is>
      </c>
      <c r="H507" s="6" t="inlineStr">
        <is>
          <t>5TE729</t>
        </is>
      </c>
      <c r="I507" s="6" t="inlineStr">
        <is>
          <t>LEMONTECH</t>
        </is>
      </c>
      <c r="J507" s="6" t="inlineStr">
        <is>
          <t>SUZI ELAINE STUCCHI</t>
        </is>
      </c>
      <c r="K507" s="6" t="inlineStr">
        <is>
          <t>Jocelaine Silveira Debom</t>
        </is>
      </c>
      <c r="L507" s="6" t="inlineStr">
        <is>
          <t>Jocelaine Silveira Debom</t>
        </is>
      </c>
      <c r="M507" s="58" t="n">
        <v>45980.49930555555</v>
      </c>
      <c r="N507" s="6" t="n">
        <v>18049899</v>
      </c>
      <c r="O507" s="6" t="inlineStr">
        <is>
          <t>-</t>
        </is>
      </c>
      <c r="P507" s="6" t="inlineStr">
        <is>
          <t>OFF LINE</t>
        </is>
      </c>
      <c r="Q507" s="6" t="inlineStr">
        <is>
          <t>Invoice</t>
        </is>
      </c>
      <c r="R507" s="6" t="inlineStr">
        <is>
          <t>Faturado</t>
        </is>
      </c>
      <c r="S507" s="6" t="inlineStr">
        <is>
          <t>Serviço</t>
        </is>
      </c>
      <c r="T507" s="6" t="inlineStr">
        <is>
          <t>N</t>
        </is>
      </c>
      <c r="U507" s="6" t="inlineStr">
        <is>
          <t>Grupo Renner</t>
        </is>
      </c>
      <c r="V507" s="6" t="inlineStr">
        <is>
          <t>Lojas Renner</t>
        </is>
      </c>
      <c r="W507" s="6" t="inlineStr">
        <is>
          <t>-</t>
        </is>
      </c>
      <c r="X507" s="6" t="inlineStr">
        <is>
          <t>-</t>
        </is>
      </c>
      <c r="Y507" s="6" t="inlineStr">
        <is>
          <t>-</t>
        </is>
      </c>
      <c r="Z507" s="6" t="inlineStr">
        <is>
          <t>KON-OPE-RIO-PVI-RENNER</t>
        </is>
      </c>
      <c r="AA507" s="6" t="inlineStr">
        <is>
          <t>-</t>
        </is>
      </c>
      <c r="AB507" s="6" t="n">
        <v>122</v>
      </c>
      <c r="AC507" s="6" t="n">
        <v>21.96</v>
      </c>
      <c r="AD507" s="6" t="n">
        <v>9.949999999999999</v>
      </c>
      <c r="AE507" s="6" t="n">
        <v>0</v>
      </c>
      <c r="AF507" s="6" t="n">
        <v>0</v>
      </c>
      <c r="AG507" s="6" t="n">
        <v>0</v>
      </c>
      <c r="AH507" s="6" t="n">
        <v>0</v>
      </c>
      <c r="AI507" s="6" t="inlineStr">
        <is>
          <t>Reserva importada do Sistema Lemontech. Solicitação: 18049899</t>
        </is>
      </c>
      <c r="AJ507" s="6" t="inlineStr">
        <is>
          <t>Fornecedor não preenchido! (ACC01)</t>
        </is>
      </c>
      <c r="AK507" s="6" t="inlineStr">
        <is>
          <t>LEMONTECH</t>
        </is>
      </c>
      <c r="AL507" s="6" t="inlineStr">
        <is>
          <t>Falta de Fornecedor</t>
        </is>
      </c>
      <c r="AM507" s="6" t="inlineStr">
        <is>
          <t>Campo Fornecedor</t>
        </is>
      </c>
      <c r="AN507" s="6" t="inlineStr">
        <is>
          <t>Dados do Fornecedor</t>
        </is>
      </c>
      <c r="AO507" s="6" t="inlineStr">
        <is>
          <t>Qualidade dos dados</t>
        </is>
      </c>
      <c r="AP507" s="6" t="inlineStr">
        <is>
          <t>KONTIK BUSINESS TRAVEL</t>
        </is>
      </c>
      <c r="AQ507" s="6" t="inlineStr">
        <is>
          <t>Suporte KCS</t>
        </is>
      </c>
    </row>
    <row r="508">
      <c r="A508" s="6" t="n">
        <v>23355491</v>
      </c>
      <c r="B508" s="6" t="n">
        <v>24082464</v>
      </c>
      <c r="C508" s="6" t="inlineStr">
        <is>
          <t>ACC01</t>
        </is>
      </c>
      <c r="D508" s="58" t="n">
        <v>45980.66846064815</v>
      </c>
      <c r="E508" s="58" t="n">
        <v>45985.31300925926</v>
      </c>
      <c r="F508" s="6" t="inlineStr">
        <is>
          <t>0 a 02 dias</t>
        </is>
      </c>
      <c r="G508" s="6" t="inlineStr">
        <is>
          <t>06 a 08 dias</t>
        </is>
      </c>
      <c r="H508" s="6" t="inlineStr">
        <is>
          <t>5TGFWL</t>
        </is>
      </c>
      <c r="I508" s="6" t="inlineStr">
        <is>
          <t>LEMONTECH</t>
        </is>
      </c>
      <c r="J508" s="6" t="inlineStr">
        <is>
          <t>TATIANE PAULA ROSA FERREIRA</t>
        </is>
      </c>
      <c r="K508" s="6" t="inlineStr">
        <is>
          <t>Jocelaine Silveira Debom</t>
        </is>
      </c>
      <c r="L508" s="6" t="inlineStr">
        <is>
          <t>Jocelaine Silveira Debom</t>
        </is>
      </c>
      <c r="M508" s="58" t="n">
        <v>45980.49930555555</v>
      </c>
      <c r="N508" s="6" t="n">
        <v>18060834</v>
      </c>
      <c r="O508" s="6" t="inlineStr">
        <is>
          <t>-</t>
        </is>
      </c>
      <c r="P508" s="6" t="inlineStr">
        <is>
          <t>OFF LINE</t>
        </is>
      </c>
      <c r="Q508" s="6" t="inlineStr">
        <is>
          <t>Invoice</t>
        </is>
      </c>
      <c r="R508" s="6" t="inlineStr">
        <is>
          <t>Faturado</t>
        </is>
      </c>
      <c r="S508" s="6" t="inlineStr">
        <is>
          <t>Serviço</t>
        </is>
      </c>
      <c r="T508" s="6" t="inlineStr">
        <is>
          <t>N</t>
        </is>
      </c>
      <c r="U508" s="6" t="inlineStr">
        <is>
          <t>Grupo Renner</t>
        </is>
      </c>
      <c r="V508" s="6" t="inlineStr">
        <is>
          <t>Lojas Renner</t>
        </is>
      </c>
      <c r="W508" s="6" t="inlineStr">
        <is>
          <t>-</t>
        </is>
      </c>
      <c r="X508" s="6" t="inlineStr">
        <is>
          <t>-</t>
        </is>
      </c>
      <c r="Y508" s="6" t="inlineStr">
        <is>
          <t>-</t>
        </is>
      </c>
      <c r="Z508" s="6" t="inlineStr">
        <is>
          <t>KON-OPE-RIO-PVI-RENNER</t>
        </is>
      </c>
      <c r="AA508" s="6" t="inlineStr">
        <is>
          <t>-</t>
        </is>
      </c>
      <c r="AB508" s="6" t="n">
        <v>122</v>
      </c>
      <c r="AC508" s="6" t="n">
        <v>21.96</v>
      </c>
      <c r="AD508" s="6" t="n">
        <v>9.949999999999999</v>
      </c>
      <c r="AE508" s="6" t="n">
        <v>0</v>
      </c>
      <c r="AF508" s="6" t="n">
        <v>0</v>
      </c>
      <c r="AG508" s="6" t="n">
        <v>0</v>
      </c>
      <c r="AH508" s="6" t="n">
        <v>0</v>
      </c>
      <c r="AI508" s="6" t="inlineStr">
        <is>
          <t>Reserva importada do Sistema Lemontech. Solicitação: 18060834</t>
        </is>
      </c>
      <c r="AJ508" s="6" t="inlineStr">
        <is>
          <t>Fornecedor não preenchido! (ACC01)</t>
        </is>
      </c>
      <c r="AK508" s="6" t="inlineStr">
        <is>
          <t>LEMONTECH</t>
        </is>
      </c>
      <c r="AL508" s="6" t="inlineStr">
        <is>
          <t>Falta de Fornecedor</t>
        </is>
      </c>
      <c r="AM508" s="6" t="inlineStr">
        <is>
          <t>Campo Fornecedor</t>
        </is>
      </c>
      <c r="AN508" s="6" t="inlineStr">
        <is>
          <t>Dados do Fornecedor</t>
        </is>
      </c>
      <c r="AO508" s="6" t="inlineStr">
        <is>
          <t>Qualidade dos dados</t>
        </is>
      </c>
      <c r="AP508" s="6" t="inlineStr">
        <is>
          <t>KONTIK BUSINESS TRAVEL</t>
        </is>
      </c>
      <c r="AQ508" s="6" t="inlineStr">
        <is>
          <t>Suporte KCS</t>
        </is>
      </c>
    </row>
    <row r="509">
      <c r="A509" s="6" t="n">
        <v>23367700</v>
      </c>
      <c r="B509" s="6" t="n">
        <v>24093694</v>
      </c>
      <c r="C509" s="6" t="inlineStr">
        <is>
          <t>ACC01</t>
        </is>
      </c>
      <c r="D509" s="58" t="n">
        <v>45982.75075231482</v>
      </c>
      <c r="E509" s="58" t="n">
        <v>45985.31303240741</v>
      </c>
      <c r="F509" s="6" t="inlineStr">
        <is>
          <t>0 a 02 dias</t>
        </is>
      </c>
      <c r="G509" s="6" t="inlineStr">
        <is>
          <t>03 a 05 dias</t>
        </is>
      </c>
      <c r="H509" s="6" t="inlineStr">
        <is>
          <t>5ULPZA</t>
        </is>
      </c>
      <c r="I509" s="6" t="inlineStr">
        <is>
          <t>LEMONTECH</t>
        </is>
      </c>
      <c r="J509" s="6" t="inlineStr">
        <is>
          <t>FABIO KAZUO NAKAMURA</t>
        </is>
      </c>
      <c r="K509" s="6" t="inlineStr">
        <is>
          <t>Vitoria Silva Lopes</t>
        </is>
      </c>
      <c r="L509" s="6" t="inlineStr">
        <is>
          <t>Vitoria Silva Lopes</t>
        </is>
      </c>
      <c r="M509" s="58" t="n">
        <v>45980.72986111111</v>
      </c>
      <c r="N509" s="6" t="n">
        <v>18062477</v>
      </c>
      <c r="O509" s="6" t="inlineStr">
        <is>
          <t>-</t>
        </is>
      </c>
      <c r="P509" s="6" t="inlineStr">
        <is>
          <t>OFF LINE</t>
        </is>
      </c>
      <c r="Q509" s="6" t="inlineStr">
        <is>
          <t>Invoice</t>
        </is>
      </c>
      <c r="R509" s="6" t="inlineStr">
        <is>
          <t>Faturado</t>
        </is>
      </c>
      <c r="S509" s="6" t="inlineStr">
        <is>
          <t>Serviço</t>
        </is>
      </c>
      <c r="T509" s="6" t="inlineStr">
        <is>
          <t>N</t>
        </is>
      </c>
      <c r="U509" s="6" t="inlineStr">
        <is>
          <t>Grupo Renner</t>
        </is>
      </c>
      <c r="V509" s="6" t="inlineStr">
        <is>
          <t>Lojas Renner</t>
        </is>
      </c>
      <c r="W509" s="6" t="inlineStr">
        <is>
          <t>-</t>
        </is>
      </c>
      <c r="X509" s="6" t="inlineStr">
        <is>
          <t>-</t>
        </is>
      </c>
      <c r="Y509" s="6" t="inlineStr">
        <is>
          <t>-</t>
        </is>
      </c>
      <c r="Z509" s="6" t="inlineStr">
        <is>
          <t>KON-OPE-RIO-PVI-RENNER</t>
        </is>
      </c>
      <c r="AA509" s="6" t="inlineStr">
        <is>
          <t>-</t>
        </is>
      </c>
      <c r="AB509" s="6" t="n">
        <v>383.86</v>
      </c>
      <c r="AC509" s="6" t="n">
        <v>69.09</v>
      </c>
      <c r="AD509" s="6" t="n">
        <v>9.949999999999999</v>
      </c>
      <c r="AE509" s="6" t="n">
        <v>0</v>
      </c>
      <c r="AF509" s="6" t="n">
        <v>0</v>
      </c>
      <c r="AG509" s="6" t="n">
        <v>0</v>
      </c>
      <c r="AH509" s="6" t="n">
        <v>0</v>
      </c>
      <c r="AI509" s="6" t="inlineStr">
        <is>
          <t>Reserva importada do Sistema Lemontech. Solicitação: 18062477</t>
        </is>
      </c>
      <c r="AJ509" s="6" t="inlineStr">
        <is>
          <t>Fornecedor não preenchido! (ACC01)</t>
        </is>
      </c>
      <c r="AK509" s="6" t="inlineStr">
        <is>
          <t>LEMONTECH</t>
        </is>
      </c>
      <c r="AL509" s="6" t="inlineStr">
        <is>
          <t>Falta de Fornecedor</t>
        </is>
      </c>
      <c r="AM509" s="6" t="inlineStr">
        <is>
          <t>Campo Fornecedor</t>
        </is>
      </c>
      <c r="AN509" s="6" t="inlineStr">
        <is>
          <t>Dados do Fornecedor</t>
        </is>
      </c>
      <c r="AO509" s="6" t="inlineStr">
        <is>
          <t>Qualidade dos dados</t>
        </is>
      </c>
      <c r="AP509" s="6" t="inlineStr">
        <is>
          <t>KONTIK BUSINESS TRAVEL</t>
        </is>
      </c>
      <c r="AQ509" s="6" t="inlineStr">
        <is>
          <t>Suporte KCS</t>
        </is>
      </c>
    </row>
    <row r="510">
      <c r="A510" s="6" t="n">
        <v>23368362</v>
      </c>
      <c r="B510" s="6" t="n">
        <v>24094341</v>
      </c>
      <c r="C510" s="6" t="inlineStr">
        <is>
          <t>ACC01</t>
        </is>
      </c>
      <c r="D510" s="58" t="n">
        <v>45982.87640046296</v>
      </c>
      <c r="E510" s="58" t="n">
        <v>45982.87929398148</v>
      </c>
      <c r="F510" s="6" t="inlineStr">
        <is>
          <t>03 a 05 dias</t>
        </is>
      </c>
      <c r="G510" s="6" t="inlineStr">
        <is>
          <t>03 a 05 dias</t>
        </is>
      </c>
      <c r="H510" s="6" t="inlineStr">
        <is>
          <t>5UN6AA</t>
        </is>
      </c>
      <c r="I510" s="6" t="inlineStr">
        <is>
          <t>LEMONTECH</t>
        </is>
      </c>
      <c r="J510" s="6" t="inlineStr">
        <is>
          <t>SILVA BALBI/BRUNA</t>
        </is>
      </c>
      <c r="K510" s="6" t="inlineStr">
        <is>
          <t>Vitoria Silva Lopes</t>
        </is>
      </c>
      <c r="L510" s="6" t="inlineStr">
        <is>
          <t>Vitoria Silva Lopes</t>
        </is>
      </c>
      <c r="M510" s="58" t="n">
        <v>45982</v>
      </c>
      <c r="N510" s="6" t="n">
        <v>18078973</v>
      </c>
      <c r="O510" s="6" t="inlineStr">
        <is>
          <t>-</t>
        </is>
      </c>
      <c r="P510" s="6" t="inlineStr">
        <is>
          <t>ON LINE</t>
        </is>
      </c>
      <c r="Q510" s="6" t="inlineStr">
        <is>
          <t>Invoice</t>
        </is>
      </c>
      <c r="R510" s="6" t="inlineStr">
        <is>
          <t>Faturado</t>
        </is>
      </c>
      <c r="S510" s="6" t="inlineStr">
        <is>
          <t>Hotel</t>
        </is>
      </c>
      <c r="T510" s="6" t="inlineStr">
        <is>
          <t>N</t>
        </is>
      </c>
      <c r="U510" s="6" t="inlineStr">
        <is>
          <t>Grupo Renner</t>
        </is>
      </c>
      <c r="V510" s="6" t="inlineStr">
        <is>
          <t>Lojas Renner</t>
        </is>
      </c>
      <c r="W510" s="6" t="inlineStr">
        <is>
          <t>-</t>
        </is>
      </c>
      <c r="X510" s="6" t="inlineStr">
        <is>
          <t>-</t>
        </is>
      </c>
      <c r="Y510" s="6" t="inlineStr">
        <is>
          <t>-</t>
        </is>
      </c>
      <c r="Z510" s="6" t="inlineStr">
        <is>
          <t>KON-OPE-RIO-PVI-RENNER</t>
        </is>
      </c>
      <c r="AA510" s="6" t="inlineStr">
        <is>
          <t>-</t>
        </is>
      </c>
      <c r="AB510" s="6" t="n">
        <v>3408</v>
      </c>
      <c r="AC510" s="6" t="n">
        <v>0</v>
      </c>
      <c r="AD510" s="6" t="n">
        <v>0</v>
      </c>
      <c r="AE510" s="6" t="n">
        <v>0</v>
      </c>
      <c r="AF510" s="6" t="n">
        <v>0</v>
      </c>
      <c r="AG510" s="6" t="n">
        <v>0</v>
      </c>
      <c r="AH510" s="6" t="n">
        <v>0</v>
      </c>
      <c r="AI510" s="6" t="inlineStr">
        <is>
          <t>Reserva importada do Sistema Lemontech. Solicitação: 18078973</t>
        </is>
      </c>
      <c r="AJ510" s="6" t="inlineStr">
        <is>
          <t>Fornecedor não preenchido! (ACC01)</t>
        </is>
      </c>
      <c r="AK510" s="6" t="inlineStr">
        <is>
          <t>LEMONTECH</t>
        </is>
      </c>
      <c r="AL510" s="6" t="inlineStr">
        <is>
          <t>Falta de Fornecedor</t>
        </is>
      </c>
      <c r="AM510" s="6" t="inlineStr">
        <is>
          <t>Campo Fornecedor</t>
        </is>
      </c>
      <c r="AN510" s="6" t="inlineStr">
        <is>
          <t>Dados do Fornecedor</t>
        </is>
      </c>
      <c r="AO510" s="6" t="inlineStr">
        <is>
          <t>Qualidade dos dados</t>
        </is>
      </c>
      <c r="AP510" s="6" t="inlineStr">
        <is>
          <t>KONTIK BUSINESS TRAVEL</t>
        </is>
      </c>
      <c r="AQ510" s="6" t="inlineStr">
        <is>
          <t>Suporte KCS</t>
        </is>
      </c>
    </row>
    <row r="511">
      <c r="A511" s="6" t="n">
        <v>23365159</v>
      </c>
      <c r="B511" s="6" t="n">
        <v>24091185</v>
      </c>
      <c r="C511" s="6" t="inlineStr">
        <is>
          <t>ACC01</t>
        </is>
      </c>
      <c r="D511" s="58" t="n">
        <v>45982.45966435185</v>
      </c>
      <c r="E511" s="58" t="n">
        <v>45982.46320601852</v>
      </c>
      <c r="F511" s="6" t="inlineStr">
        <is>
          <t>03 a 05 dias</t>
        </is>
      </c>
      <c r="G511" s="6" t="inlineStr">
        <is>
          <t>03 a 05 dias</t>
        </is>
      </c>
      <c r="H511" s="6" t="inlineStr">
        <is>
          <t>5U43CM</t>
        </is>
      </c>
      <c r="I511" s="6" t="inlineStr">
        <is>
          <t>LEMONTECH</t>
        </is>
      </c>
      <c r="J511" s="6" t="inlineStr">
        <is>
          <t>DE ABREU/ELIZABETH</t>
        </is>
      </c>
      <c r="K511" s="6" t="inlineStr">
        <is>
          <t>Vitoria Silva Lopes</t>
        </is>
      </c>
      <c r="L511" s="6" t="inlineStr">
        <is>
          <t>Vitoria Silva Lopes</t>
        </is>
      </c>
      <c r="M511" s="58" t="n">
        <v>45980.43680555555</v>
      </c>
      <c r="N511" s="6" t="n">
        <v>18064189</v>
      </c>
      <c r="O511" s="6" t="inlineStr">
        <is>
          <t>-</t>
        </is>
      </c>
      <c r="P511" s="6" t="inlineStr">
        <is>
          <t>OFF LINE</t>
        </is>
      </c>
      <c r="Q511" s="6" t="inlineStr">
        <is>
          <t>Cartão de crédito</t>
        </is>
      </c>
      <c r="R511" s="6" t="inlineStr">
        <is>
          <t>Cartão de crédito</t>
        </is>
      </c>
      <c r="S511" s="6" t="inlineStr">
        <is>
          <t>Serviço</t>
        </is>
      </c>
      <c r="T511" s="6" t="inlineStr">
        <is>
          <t>N</t>
        </is>
      </c>
      <c r="U511" s="6" t="inlineStr">
        <is>
          <t>Grupo Renner</t>
        </is>
      </c>
      <c r="V511" s="6" t="inlineStr">
        <is>
          <t>Lojas Renner</t>
        </is>
      </c>
      <c r="W511" s="6" t="inlineStr">
        <is>
          <t>-</t>
        </is>
      </c>
      <c r="X511" s="6" t="inlineStr">
        <is>
          <t>-</t>
        </is>
      </c>
      <c r="Y511" s="6" t="inlineStr">
        <is>
          <t>-</t>
        </is>
      </c>
      <c r="Z511" s="6" t="inlineStr">
        <is>
          <t>KON-OPE-RIO-PVI-RENNER</t>
        </is>
      </c>
      <c r="AA511" s="6" t="inlineStr">
        <is>
          <t>-</t>
        </is>
      </c>
      <c r="AB511" s="6" t="n">
        <v>2155.51</v>
      </c>
      <c r="AC511" s="6" t="n">
        <v>0</v>
      </c>
      <c r="AD511" s="6" t="n">
        <v>0</v>
      </c>
      <c r="AE511" s="6" t="n">
        <v>0</v>
      </c>
      <c r="AF511" s="6" t="n">
        <v>0</v>
      </c>
      <c r="AG511" s="6" t="n">
        <v>0</v>
      </c>
      <c r="AH511" s="6" t="n">
        <v>0</v>
      </c>
      <c r="AI511" s="6" t="inlineStr">
        <is>
          <t>Reserva importada do Sistema Lemontech. Solicitação: 18064189</t>
        </is>
      </c>
      <c r="AJ511" s="6" t="inlineStr">
        <is>
          <t>Fornecedor não preenchido! (ACC01)</t>
        </is>
      </c>
      <c r="AK511" s="6" t="inlineStr">
        <is>
          <t>LEMONTECH</t>
        </is>
      </c>
      <c r="AL511" s="6" t="inlineStr">
        <is>
          <t>Falta de Fornecedor</t>
        </is>
      </c>
      <c r="AM511" s="6" t="inlineStr">
        <is>
          <t>Campo Fornecedor</t>
        </is>
      </c>
      <c r="AN511" s="6" t="inlineStr">
        <is>
          <t>Dados do Fornecedor</t>
        </is>
      </c>
      <c r="AO511" s="6" t="inlineStr">
        <is>
          <t>Qualidade dos dados</t>
        </is>
      </c>
      <c r="AP511" s="6" t="inlineStr">
        <is>
          <t>KONTIK BUSINESS TRAVEL</t>
        </is>
      </c>
      <c r="AQ511" s="6" t="inlineStr">
        <is>
          <t>Suporte KCS</t>
        </is>
      </c>
    </row>
    <row r="512">
      <c r="A512" s="6" t="n">
        <v>23379440</v>
      </c>
      <c r="B512" s="6" t="n">
        <v>24103132</v>
      </c>
      <c r="C512" s="6" t="inlineStr">
        <is>
          <t>ACC01</t>
        </is>
      </c>
      <c r="D512" s="58" t="n">
        <v>45985.58364583334</v>
      </c>
      <c r="E512" s="58" t="n">
        <v>45985.58412037037</v>
      </c>
      <c r="F512" s="6" t="inlineStr">
        <is>
          <t>0 a 02 dias</t>
        </is>
      </c>
      <c r="G512" s="6" t="inlineStr">
        <is>
          <t>0 a 02 dias</t>
        </is>
      </c>
      <c r="H512" s="6" t="inlineStr">
        <is>
          <t>5UGOQX</t>
        </is>
      </c>
      <c r="I512" s="6" t="inlineStr">
        <is>
          <t>LEMONTECH</t>
        </is>
      </c>
      <c r="J512" s="6" t="inlineStr">
        <is>
          <t>KASPER/BARBARA</t>
        </is>
      </c>
      <c r="K512" s="6" t="inlineStr">
        <is>
          <t>Vitoria Silva Lopes</t>
        </is>
      </c>
      <c r="L512" s="6" t="inlineStr">
        <is>
          <t>Vitoria Silva Lopes</t>
        </is>
      </c>
      <c r="M512" s="58" t="n">
        <v>45985</v>
      </c>
      <c r="N512" s="6" t="n">
        <v>17993339</v>
      </c>
      <c r="O512" s="6" t="inlineStr">
        <is>
          <t>-</t>
        </is>
      </c>
      <c r="P512" s="6" t="inlineStr">
        <is>
          <t>ON LINE</t>
        </is>
      </c>
      <c r="Q512" s="6" t="inlineStr">
        <is>
          <t>Invoice</t>
        </is>
      </c>
      <c r="R512" s="6" t="inlineStr">
        <is>
          <t>Faturado</t>
        </is>
      </c>
      <c r="S512" s="6" t="inlineStr">
        <is>
          <t>Hotel</t>
        </is>
      </c>
      <c r="T512" s="6" t="inlineStr">
        <is>
          <t>N</t>
        </is>
      </c>
      <c r="U512" s="6" t="inlineStr">
        <is>
          <t>Grupo Renner</t>
        </is>
      </c>
      <c r="V512" s="6" t="inlineStr">
        <is>
          <t>Lojas Renner</t>
        </is>
      </c>
      <c r="W512" s="6" t="inlineStr">
        <is>
          <t>-</t>
        </is>
      </c>
      <c r="X512" s="6" t="inlineStr">
        <is>
          <t>-</t>
        </is>
      </c>
      <c r="Y512" s="6" t="inlineStr">
        <is>
          <t>-</t>
        </is>
      </c>
      <c r="Z512" s="6" t="inlineStr">
        <is>
          <t>KON-OPE-RIO-PVI-RENNER</t>
        </is>
      </c>
      <c r="AA512" s="6" t="inlineStr">
        <is>
          <t>-</t>
        </is>
      </c>
      <c r="AB512" s="6" t="n">
        <v>10850</v>
      </c>
      <c r="AC512" s="6" t="n">
        <v>0</v>
      </c>
      <c r="AD512" s="6" t="n">
        <v>0</v>
      </c>
      <c r="AE512" s="6" t="n">
        <v>0</v>
      </c>
      <c r="AF512" s="6" t="n">
        <v>0</v>
      </c>
      <c r="AG512" s="6" t="n">
        <v>0</v>
      </c>
      <c r="AH512" s="6" t="n">
        <v>0</v>
      </c>
      <c r="AI512" s="6" t="inlineStr">
        <is>
          <t>Reserva importada do Sistema Lemontech. Solicitação: 17993339</t>
        </is>
      </c>
      <c r="AJ512" s="6" t="inlineStr">
        <is>
          <t>Fornecedor não preenchido! (ACC01)</t>
        </is>
      </c>
      <c r="AK512" s="6" t="inlineStr">
        <is>
          <t>LEMONTECH</t>
        </is>
      </c>
      <c r="AL512" s="6" t="inlineStr">
        <is>
          <t>Falta de Fornecedor</t>
        </is>
      </c>
      <c r="AM512" s="6" t="inlineStr">
        <is>
          <t>Campo Fornecedor</t>
        </is>
      </c>
      <c r="AN512" s="6" t="inlineStr">
        <is>
          <t>Dados do Fornecedor</t>
        </is>
      </c>
      <c r="AO512" s="6" t="inlineStr">
        <is>
          <t>Qualidade dos dados</t>
        </is>
      </c>
      <c r="AP512" s="6" t="inlineStr">
        <is>
          <t>KONTIK BUSINESS TRAVEL</t>
        </is>
      </c>
      <c r="AQ512" s="6" t="inlineStr">
        <is>
          <t>Suporte KCS</t>
        </is>
      </c>
    </row>
    <row r="513">
      <c r="A513" s="6" t="n">
        <v>23381306</v>
      </c>
      <c r="B513" s="6" t="n">
        <v>24105015</v>
      </c>
      <c r="C513" s="6" t="inlineStr">
        <is>
          <t>ACC01</t>
        </is>
      </c>
      <c r="D513" s="58" t="n">
        <v>45985.75060185185</v>
      </c>
      <c r="E513" s="58" t="n">
        <v>45985.75104166667</v>
      </c>
      <c r="F513" s="6" t="inlineStr">
        <is>
          <t>0 a 02 dias</t>
        </is>
      </c>
      <c r="G513" s="6" t="inlineStr">
        <is>
          <t>0 a 02 dias</t>
        </is>
      </c>
      <c r="H513" s="6" t="inlineStr">
        <is>
          <t>5U8SLX</t>
        </is>
      </c>
      <c r="I513" s="6" t="inlineStr">
        <is>
          <t>LEMONTECH</t>
        </is>
      </c>
      <c r="J513" s="6" t="inlineStr">
        <is>
          <t>OLIVEIRA OPPERMANN/FERNANDO</t>
        </is>
      </c>
      <c r="K513" s="6" t="inlineStr">
        <is>
          <t>Vitoria Silva Lopes</t>
        </is>
      </c>
      <c r="L513" s="6" t="inlineStr">
        <is>
          <t>Vitoria Silva Lopes</t>
        </is>
      </c>
      <c r="M513" s="58" t="n">
        <v>45985</v>
      </c>
      <c r="N513" s="6" t="n">
        <v>18080151</v>
      </c>
      <c r="O513" s="6" t="inlineStr">
        <is>
          <t>-</t>
        </is>
      </c>
      <c r="P513" s="6" t="inlineStr">
        <is>
          <t>OFF LINE</t>
        </is>
      </c>
      <c r="Q513" s="6" t="inlineStr">
        <is>
          <t>Cartão de crédito</t>
        </is>
      </c>
      <c r="R513" s="6" t="inlineStr">
        <is>
          <t>Cartão de crédito</t>
        </is>
      </c>
      <c r="S513" s="6" t="inlineStr">
        <is>
          <t>Hotel</t>
        </is>
      </c>
      <c r="T513" s="6" t="inlineStr">
        <is>
          <t>N</t>
        </is>
      </c>
      <c r="U513" s="6" t="inlineStr">
        <is>
          <t>Grupo Renner</t>
        </is>
      </c>
      <c r="V513" s="6" t="inlineStr">
        <is>
          <t>Lojas Renner</t>
        </is>
      </c>
      <c r="W513" s="6" t="inlineStr">
        <is>
          <t>-</t>
        </is>
      </c>
      <c r="X513" s="6" t="inlineStr">
        <is>
          <t>-</t>
        </is>
      </c>
      <c r="Y513" s="6" t="inlineStr">
        <is>
          <t>-</t>
        </is>
      </c>
      <c r="Z513" s="6" t="inlineStr">
        <is>
          <t>KON-OPE-RIO-PVI-RENNER</t>
        </is>
      </c>
      <c r="AA513" s="6" t="inlineStr">
        <is>
          <t>-</t>
        </is>
      </c>
      <c r="AB513" s="6" t="n">
        <v>1551.96</v>
      </c>
      <c r="AC513" s="6" t="n">
        <v>0</v>
      </c>
      <c r="AD513" s="6" t="n">
        <v>0</v>
      </c>
      <c r="AE513" s="6" t="n">
        <v>0</v>
      </c>
      <c r="AF513" s="6" t="n">
        <v>0</v>
      </c>
      <c r="AG513" s="6" t="n">
        <v>0</v>
      </c>
      <c r="AH513" s="6" t="n">
        <v>0</v>
      </c>
      <c r="AI513" s="6" t="inlineStr">
        <is>
          <t>Reserva importada do Sistema Lemontech. Solicitação: 18080151</t>
        </is>
      </c>
      <c r="AJ513" s="6" t="inlineStr">
        <is>
          <t>Fornecedor não preenchido! (ACC01)</t>
        </is>
      </c>
      <c r="AK513" s="6" t="inlineStr">
        <is>
          <t>LEMONTECH</t>
        </is>
      </c>
      <c r="AL513" s="6" t="inlineStr">
        <is>
          <t>Falta de Fornecedor</t>
        </is>
      </c>
      <c r="AM513" s="6" t="inlineStr">
        <is>
          <t>Campo Fornecedor</t>
        </is>
      </c>
      <c r="AN513" s="6" t="inlineStr">
        <is>
          <t>Dados do Fornecedor</t>
        </is>
      </c>
      <c r="AO513" s="6" t="inlineStr">
        <is>
          <t>Qualidade dos dados</t>
        </is>
      </c>
      <c r="AP513" s="6" t="inlineStr">
        <is>
          <t>KONTIK BUSINESS TRAVEL</t>
        </is>
      </c>
      <c r="AQ513" s="6" t="inlineStr">
        <is>
          <t>Suporte KCS</t>
        </is>
      </c>
    </row>
    <row r="514">
      <c r="A514" s="6" t="n">
        <v>23355857</v>
      </c>
      <c r="B514" s="6" t="n">
        <v>24082830</v>
      </c>
      <c r="C514" s="6" t="inlineStr">
        <is>
          <t>ACC01</t>
        </is>
      </c>
      <c r="D514" s="58" t="n">
        <v>45980.70932870371</v>
      </c>
      <c r="E514" s="58" t="n">
        <v>45980.71344907407</v>
      </c>
      <c r="F514" s="6" t="inlineStr">
        <is>
          <t>06 a 08 dias</t>
        </is>
      </c>
      <c r="G514" s="6" t="inlineStr">
        <is>
          <t>06 a 08 dias</t>
        </is>
      </c>
      <c r="H514" s="6" t="inlineStr">
        <is>
          <t>5TZJ2L</t>
        </is>
      </c>
      <c r="I514" s="6" t="inlineStr">
        <is>
          <t>LEMONTECH</t>
        </is>
      </c>
      <c r="J514" s="6" t="inlineStr">
        <is>
          <t>BARRETO VIANA/PAULA</t>
        </is>
      </c>
      <c r="K514" s="6" t="inlineStr">
        <is>
          <t>Vitoria Silva Lopes</t>
        </is>
      </c>
      <c r="L514" s="6" t="inlineStr">
        <is>
          <t>Vitoria Silva Lopes</t>
        </is>
      </c>
      <c r="M514" s="58" t="n">
        <v>45980</v>
      </c>
      <c r="N514" s="6" t="n">
        <v>18045340</v>
      </c>
      <c r="O514" s="6" t="inlineStr">
        <is>
          <t>-</t>
        </is>
      </c>
      <c r="P514" s="6" t="inlineStr">
        <is>
          <t>ON LINE</t>
        </is>
      </c>
      <c r="Q514" s="6" t="inlineStr">
        <is>
          <t>Invoice</t>
        </is>
      </c>
      <c r="R514" s="6" t="inlineStr">
        <is>
          <t>Faturado</t>
        </is>
      </c>
      <c r="S514" s="6" t="inlineStr">
        <is>
          <t>Hotel</t>
        </is>
      </c>
      <c r="T514" s="6" t="inlineStr">
        <is>
          <t>N</t>
        </is>
      </c>
      <c r="U514" s="6" t="inlineStr">
        <is>
          <t>Grupo Renner</t>
        </is>
      </c>
      <c r="V514" s="6" t="inlineStr">
        <is>
          <t>Lojas Renner</t>
        </is>
      </c>
      <c r="W514" s="6" t="inlineStr">
        <is>
          <t>-</t>
        </is>
      </c>
      <c r="X514" s="6" t="inlineStr">
        <is>
          <t>-</t>
        </is>
      </c>
      <c r="Y514" s="6" t="inlineStr">
        <is>
          <t>-</t>
        </is>
      </c>
      <c r="Z514" s="6" t="inlineStr">
        <is>
          <t>KON-OPE-RIO-PVI-RENNER</t>
        </is>
      </c>
      <c r="AA514" s="6" t="inlineStr">
        <is>
          <t>-</t>
        </is>
      </c>
      <c r="AB514" s="6" t="n">
        <v>8954.639999999999</v>
      </c>
      <c r="AC514" s="6" t="n">
        <v>0</v>
      </c>
      <c r="AD514" s="6" t="n">
        <v>0</v>
      </c>
      <c r="AE514" s="6" t="n">
        <v>0</v>
      </c>
      <c r="AF514" s="6" t="n">
        <v>0</v>
      </c>
      <c r="AG514" s="6" t="n">
        <v>0</v>
      </c>
      <c r="AH514" s="6" t="n">
        <v>0</v>
      </c>
      <c r="AI514" s="6" t="inlineStr">
        <is>
          <t>Reserva importada do Sistema Lemontech. Solicitação: 18045340</t>
        </is>
      </c>
      <c r="AJ514" s="6" t="inlineStr">
        <is>
          <t>Fornecedor não preenchido! (ACC01)</t>
        </is>
      </c>
      <c r="AK514" s="6" t="inlineStr">
        <is>
          <t>LEMONTECH</t>
        </is>
      </c>
      <c r="AL514" s="6" t="inlineStr">
        <is>
          <t>Falta de Fornecedor</t>
        </is>
      </c>
      <c r="AM514" s="6" t="inlineStr">
        <is>
          <t>Campo Fornecedor</t>
        </is>
      </c>
      <c r="AN514" s="6" t="inlineStr">
        <is>
          <t>Dados do Fornecedor</t>
        </is>
      </c>
      <c r="AO514" s="6" t="inlineStr">
        <is>
          <t>Qualidade dos dados</t>
        </is>
      </c>
      <c r="AP514" s="6" t="inlineStr">
        <is>
          <t>KONTIK BUSINESS TRAVEL</t>
        </is>
      </c>
      <c r="AQ514" s="6" t="inlineStr">
        <is>
          <t>Suporte KCS</t>
        </is>
      </c>
    </row>
    <row r="515">
      <c r="A515" s="6" t="n">
        <v>23378297</v>
      </c>
      <c r="B515" s="6" t="n">
        <v>24102086</v>
      </c>
      <c r="C515" s="6" t="inlineStr">
        <is>
          <t>ACC01</t>
        </is>
      </c>
      <c r="D515" s="58" t="n">
        <v>45985.41744212963</v>
      </c>
      <c r="E515" s="58" t="n">
        <v>45985.42109953704</v>
      </c>
      <c r="F515" s="6" t="inlineStr">
        <is>
          <t>0 a 02 dias</t>
        </is>
      </c>
      <c r="G515" s="6" t="inlineStr">
        <is>
          <t>0 a 02 dias</t>
        </is>
      </c>
      <c r="H515" s="6" t="inlineStr">
        <is>
          <t>JUJZWLT</t>
        </is>
      </c>
      <c r="I515" s="6" t="inlineStr">
        <is>
          <t>SABRE</t>
        </is>
      </c>
      <c r="J515" s="6" t="inlineStr">
        <is>
          <t>DE SOUZA QUEIROZ/ANA CLAUDIA MRS</t>
        </is>
      </c>
      <c r="K515" s="6" t="inlineStr">
        <is>
          <t>CT</t>
        </is>
      </c>
      <c r="L515" s="6" t="inlineStr">
        <is>
          <t>CT</t>
        </is>
      </c>
      <c r="M515" s="58" t="n">
        <v>45985.26666666667</v>
      </c>
      <c r="N515" s="6" t="inlineStr">
        <is>
          <t>JUJZWL</t>
        </is>
      </c>
      <c r="O515" s="6" t="inlineStr">
        <is>
          <t>-</t>
        </is>
      </c>
      <c r="P515" s="6" t="inlineStr">
        <is>
          <t>ON LINE</t>
        </is>
      </c>
      <c r="Q515" s="6" t="inlineStr">
        <is>
          <t>Cartão de crédito</t>
        </is>
      </c>
      <c r="R515" s="6" t="inlineStr">
        <is>
          <t>Cartão de crédito</t>
        </is>
      </c>
      <c r="S515" s="6" t="inlineStr">
        <is>
          <t>Hotel</t>
        </is>
      </c>
      <c r="T515" s="6" t="inlineStr">
        <is>
          <t>N</t>
        </is>
      </c>
      <c r="U515" s="6" t="inlineStr">
        <is>
          <t>Grupo Innomotics</t>
        </is>
      </c>
      <c r="V515" s="6" t="inlineStr">
        <is>
          <t>Innomotics Motores e Grandes Conversores Ltda</t>
        </is>
      </c>
      <c r="W515" s="6" t="inlineStr">
        <is>
          <t>-</t>
        </is>
      </c>
      <c r="X515" s="6" t="inlineStr">
        <is>
          <t>-</t>
        </is>
      </c>
      <c r="Y515" s="6" t="inlineStr">
        <is>
          <t>-</t>
        </is>
      </c>
      <c r="Z515" s="6" t="inlineStr">
        <is>
          <t>FCM-OPE-SAO-PVI-BTC</t>
        </is>
      </c>
      <c r="AA515" s="6" t="inlineStr">
        <is>
          <t>-</t>
        </is>
      </c>
      <c r="AB515" s="6" t="n">
        <v>529.2198</v>
      </c>
      <c r="AC515" s="6" t="n">
        <v>0</v>
      </c>
      <c r="AD515" s="6" t="n">
        <v>0</v>
      </c>
      <c r="AE515" s="6" t="n">
        <v>0</v>
      </c>
      <c r="AF515" s="6" t="n">
        <v>0</v>
      </c>
      <c r="AG515" s="6" t="n">
        <v>0</v>
      </c>
      <c r="AH515" s="6" t="n">
        <v>0</v>
      </c>
      <c r="AI515" s="6" t="inlineStr">
        <is>
          <t>Reserva importada por HubTravel</t>
        </is>
      </c>
      <c r="AJ515" s="6" t="inlineStr">
        <is>
          <t>Fornecedor não preenchido! (ACC01)</t>
        </is>
      </c>
      <c r="AK515" s="6" t="inlineStr">
        <is>
          <t>SABRE</t>
        </is>
      </c>
      <c r="AL515" s="6" t="inlineStr">
        <is>
          <t>Falta de Fornecedor</t>
        </is>
      </c>
      <c r="AM515" s="6" t="inlineStr">
        <is>
          <t>Campo Fornecedor</t>
        </is>
      </c>
      <c r="AN515" s="6" t="inlineStr">
        <is>
          <t>Dados do Fornecedor</t>
        </is>
      </c>
      <c r="AO515" s="6" t="inlineStr">
        <is>
          <t>Sistêmico</t>
        </is>
      </c>
      <c r="AP515" s="6" t="inlineStr">
        <is>
          <t>GRUPO KONTIK</t>
        </is>
      </c>
      <c r="AQ515" s="6" t="inlineStr">
        <is>
          <t>Suporte Benner</t>
        </is>
      </c>
    </row>
    <row r="516">
      <c r="A516" s="6" t="n">
        <v>23378297</v>
      </c>
      <c r="B516" s="6" t="n">
        <v>24102087</v>
      </c>
      <c r="C516" s="6" t="inlineStr">
        <is>
          <t>ACC02</t>
        </is>
      </c>
      <c r="D516" s="58" t="n">
        <v>45985.41744212963</v>
      </c>
      <c r="E516" s="58" t="n">
        <v>45985.42109953704</v>
      </c>
      <c r="F516" s="6" t="inlineStr">
        <is>
          <t>0 a 02 dias</t>
        </is>
      </c>
      <c r="G516" s="6" t="inlineStr">
        <is>
          <t>0 a 02 dias</t>
        </is>
      </c>
      <c r="H516" s="6" t="inlineStr">
        <is>
          <t>JUJZWLT</t>
        </is>
      </c>
      <c r="I516" s="6" t="inlineStr">
        <is>
          <t>SABRE</t>
        </is>
      </c>
      <c r="J516" s="6" t="inlineStr">
        <is>
          <t>DE SOUZA QUEIROZ/ANA CLAUDIA MRS</t>
        </is>
      </c>
      <c r="K516" s="6" t="inlineStr">
        <is>
          <t>CT</t>
        </is>
      </c>
      <c r="L516" s="6" t="inlineStr">
        <is>
          <t>CT</t>
        </is>
      </c>
      <c r="M516" s="58" t="n">
        <v>45985.26666666667</v>
      </c>
      <c r="N516" s="6" t="inlineStr">
        <is>
          <t>JUJZWL</t>
        </is>
      </c>
      <c r="O516" s="6" t="inlineStr">
        <is>
          <t>-</t>
        </is>
      </c>
      <c r="P516" s="6" t="inlineStr">
        <is>
          <t>ON LINE</t>
        </is>
      </c>
      <c r="Q516" s="6" t="inlineStr">
        <is>
          <t>Cartão de crédito</t>
        </is>
      </c>
      <c r="R516" s="6" t="inlineStr">
        <is>
          <t>Cartão de crédito</t>
        </is>
      </c>
      <c r="S516" s="6" t="inlineStr">
        <is>
          <t>Hotel</t>
        </is>
      </c>
      <c r="T516" s="6" t="inlineStr">
        <is>
          <t>N</t>
        </is>
      </c>
      <c r="U516" s="6" t="inlineStr">
        <is>
          <t>Grupo Innomotics</t>
        </is>
      </c>
      <c r="V516" s="6" t="inlineStr">
        <is>
          <t>Innomotics Motores e Grandes Conversores Ltda</t>
        </is>
      </c>
      <c r="W516" s="6" t="inlineStr">
        <is>
          <t>-</t>
        </is>
      </c>
      <c r="X516" s="6" t="inlineStr">
        <is>
          <t>Nh Erlangen</t>
        </is>
      </c>
      <c r="Y516" s="6" t="inlineStr">
        <is>
          <t>-</t>
        </is>
      </c>
      <c r="Z516" s="6" t="inlineStr">
        <is>
          <t>FCM-OPE-SAO-PVI-BTC</t>
        </is>
      </c>
      <c r="AA516" s="6" t="inlineStr">
        <is>
          <t>-</t>
        </is>
      </c>
      <c r="AB516" s="6" t="n">
        <v>1200.0896</v>
      </c>
      <c r="AC516" s="6" t="n">
        <v>0</v>
      </c>
      <c r="AD516" s="6" t="n">
        <v>0</v>
      </c>
      <c r="AE516" s="6" t="n">
        <v>0</v>
      </c>
      <c r="AF516" s="6" t="n">
        <v>0</v>
      </c>
      <c r="AG516" s="6" t="n">
        <v>0</v>
      </c>
      <c r="AH516" s="6" t="n">
        <v>0</v>
      </c>
      <c r="AI516" s="6" t="inlineStr">
        <is>
          <t>Reserva importada por HubTravel</t>
        </is>
      </c>
      <c r="AJ516" s="6" t="inlineStr">
        <is>
          <t>Fornecedor não preenchido! (ACC01)</t>
        </is>
      </c>
      <c r="AK516" s="6" t="inlineStr">
        <is>
          <t>SABRE</t>
        </is>
      </c>
      <c r="AL516" s="6" t="inlineStr">
        <is>
          <t>Falta de Fornecedor</t>
        </is>
      </c>
      <c r="AM516" s="6" t="inlineStr">
        <is>
          <t>Campo Fornecedor</t>
        </is>
      </c>
      <c r="AN516" s="6" t="inlineStr">
        <is>
          <t>Dados do Fornecedor</t>
        </is>
      </c>
      <c r="AO516" s="6" t="inlineStr">
        <is>
          <t>Sistêmico</t>
        </is>
      </c>
      <c r="AP516" s="6" t="inlineStr">
        <is>
          <t>GRUPO KONTIK</t>
        </is>
      </c>
      <c r="AQ516" s="6" t="inlineStr">
        <is>
          <t>Suporte Benner</t>
        </is>
      </c>
    </row>
    <row r="517">
      <c r="A517" s="6" t="n">
        <v>23252793</v>
      </c>
      <c r="B517" s="6" t="n">
        <v>23985454</v>
      </c>
      <c r="C517" s="6" t="inlineStr">
        <is>
          <t>ACC01</t>
        </is>
      </c>
      <c r="D517" s="58" t="n">
        <v>45965.38273148148</v>
      </c>
      <c r="E517" s="58" t="n">
        <v>45965.38363425926</v>
      </c>
      <c r="F517" s="59" t="inlineStr">
        <is>
          <t>16 a 23 dias</t>
        </is>
      </c>
      <c r="G517" s="59" t="inlineStr">
        <is>
          <t>16 a 23 dias</t>
        </is>
      </c>
      <c r="H517" s="6" t="inlineStr">
        <is>
          <t>AQSMBXT</t>
        </is>
      </c>
      <c r="I517" s="6" t="inlineStr">
        <is>
          <t>SABRE</t>
        </is>
      </c>
      <c r="J517" s="6" t="inlineStr">
        <is>
          <t>ANDERY/RAPHAEL STERZA MR</t>
        </is>
      </c>
      <c r="K517" s="6" t="inlineStr">
        <is>
          <t>CT</t>
        </is>
      </c>
      <c r="L517" s="6" t="inlineStr">
        <is>
          <t>CT</t>
        </is>
      </c>
      <c r="M517" s="58" t="n">
        <v>45965.10555555556</v>
      </c>
      <c r="N517" s="6" t="inlineStr">
        <is>
          <t>AQSMBX</t>
        </is>
      </c>
      <c r="O517" s="6" t="inlineStr">
        <is>
          <t>-</t>
        </is>
      </c>
      <c r="P517" s="6" t="inlineStr">
        <is>
          <t>ON LINE</t>
        </is>
      </c>
      <c r="Q517" s="6" t="inlineStr">
        <is>
          <t>Cartão de crédito</t>
        </is>
      </c>
      <c r="R517" s="6" t="inlineStr">
        <is>
          <t>Cartão de crédito</t>
        </is>
      </c>
      <c r="S517" s="6" t="inlineStr">
        <is>
          <t>Hotel</t>
        </is>
      </c>
      <c r="T517" s="6" t="inlineStr">
        <is>
          <t>N</t>
        </is>
      </c>
      <c r="U517" s="6" t="inlineStr">
        <is>
          <t>Grupo Innomotics</t>
        </is>
      </c>
      <c r="V517" s="6" t="inlineStr">
        <is>
          <t>Innomotics Motores e Grandes Conversores Ltda</t>
        </is>
      </c>
      <c r="W517" s="6" t="inlineStr">
        <is>
          <t>-</t>
        </is>
      </c>
      <c r="X517" s="6" t="inlineStr">
        <is>
          <t>-</t>
        </is>
      </c>
      <c r="Y517" s="6" t="inlineStr">
        <is>
          <t>-</t>
        </is>
      </c>
      <c r="Z517" s="6" t="inlineStr">
        <is>
          <t>FCM-OPE-SAO-PVI-BTC</t>
        </is>
      </c>
      <c r="AA517" s="6" t="inlineStr">
        <is>
          <t>-</t>
        </is>
      </c>
      <c r="AB517" s="6" t="n">
        <v>8858.816999999999</v>
      </c>
      <c r="AC517" s="6" t="n">
        <v>30</v>
      </c>
      <c r="AD517" s="6" t="n">
        <v>0</v>
      </c>
      <c r="AE517" s="6" t="n">
        <v>0</v>
      </c>
      <c r="AF517" s="6" t="n">
        <v>0</v>
      </c>
      <c r="AG517" s="6" t="n">
        <v>0</v>
      </c>
      <c r="AH517" s="6" t="n">
        <v>0</v>
      </c>
      <c r="AI517" s="6" t="inlineStr">
        <is>
          <t>Reserva importada por HubTravel</t>
        </is>
      </c>
      <c r="AJ517" s="6" t="inlineStr">
        <is>
          <t>Fornecedor não preenchido! (ACC01)</t>
        </is>
      </c>
      <c r="AK517" s="6" t="inlineStr">
        <is>
          <t>SABRE</t>
        </is>
      </c>
      <c r="AL517" s="6" t="inlineStr">
        <is>
          <t>Falta de Fornecedor</t>
        </is>
      </c>
      <c r="AM517" s="6" t="inlineStr">
        <is>
          <t>Campo Fornecedor</t>
        </is>
      </c>
      <c r="AN517" s="6" t="inlineStr">
        <is>
          <t>Dados do Fornecedor</t>
        </is>
      </c>
      <c r="AO517" s="6" t="inlineStr">
        <is>
          <t>Sistêmico</t>
        </is>
      </c>
      <c r="AP517" s="6" t="inlineStr">
        <is>
          <t>GRUPO KONTIK</t>
        </is>
      </c>
      <c r="AQ517" s="6" t="inlineStr">
        <is>
          <t>Suporte Benner</t>
        </is>
      </c>
    </row>
    <row r="518">
      <c r="A518" s="6" t="n">
        <v>23322531</v>
      </c>
      <c r="B518" s="6" t="n">
        <v>24051923</v>
      </c>
      <c r="C518" s="6" t="inlineStr">
        <is>
          <t>ACC01</t>
        </is>
      </c>
      <c r="D518" s="58" t="n">
        <v>45975.29938657407</v>
      </c>
      <c r="E518" s="58" t="n">
        <v>45975.30038194444</v>
      </c>
      <c r="F518" s="6" t="inlineStr">
        <is>
          <t>09 a 15 dias</t>
        </is>
      </c>
      <c r="G518" s="6" t="inlineStr">
        <is>
          <t>09 a 15 dias</t>
        </is>
      </c>
      <c r="H518" s="6" t="n">
        <v>20841508</v>
      </c>
      <c r="I518" s="6" t="inlineStr">
        <is>
          <t>WOOBA</t>
        </is>
      </c>
      <c r="J518" s="6" t="inlineStr">
        <is>
          <t>FIALHO RIBEIRO/MARIO LUIS</t>
        </is>
      </c>
      <c r="K518" s="6" t="inlineStr">
        <is>
          <t>Raul Alves Vieira</t>
        </is>
      </c>
      <c r="L518" s="6" t="inlineStr">
        <is>
          <t>Raul Alves Vieira</t>
        </is>
      </c>
      <c r="M518" s="58" t="n">
        <v>45975.29444444444</v>
      </c>
      <c r="N518" s="6" t="inlineStr">
        <is>
          <t>-</t>
        </is>
      </c>
      <c r="O518" s="6" t="inlineStr">
        <is>
          <t>-</t>
        </is>
      </c>
      <c r="P518" s="6" t="inlineStr">
        <is>
          <t>OFF LINE</t>
        </is>
      </c>
      <c r="Q518" s="6" t="inlineStr">
        <is>
          <t>Invoice</t>
        </is>
      </c>
      <c r="R518" s="6" t="inlineStr">
        <is>
          <t>Faturado</t>
        </is>
      </c>
      <c r="S518" s="6" t="inlineStr">
        <is>
          <t>Hotel</t>
        </is>
      </c>
      <c r="T518" s="6" t="inlineStr">
        <is>
          <t>N</t>
        </is>
      </c>
      <c r="U518" s="6" t="inlineStr">
        <is>
          <t>Grupo Constellation</t>
        </is>
      </c>
      <c r="V518" s="6" t="inlineStr">
        <is>
          <t>Constellation</t>
        </is>
      </c>
      <c r="W518" s="6" t="inlineStr">
        <is>
          <t>-</t>
        </is>
      </c>
      <c r="X518" s="6" t="inlineStr">
        <is>
          <t>-</t>
        </is>
      </c>
      <c r="Y518" s="6" t="inlineStr">
        <is>
          <t>-</t>
        </is>
      </c>
      <c r="Z518" s="6" t="inlineStr">
        <is>
          <t>KON-OPE-RIO-PVI-CONSTELLATION</t>
        </is>
      </c>
      <c r="AA518" s="6" t="inlineStr">
        <is>
          <t>-</t>
        </is>
      </c>
      <c r="AB518" s="6" t="n">
        <v>259</v>
      </c>
      <c r="AC518" s="6" t="n">
        <v>0</v>
      </c>
      <c r="AD518" s="6" t="n">
        <v>0</v>
      </c>
      <c r="AE518" s="6" t="n">
        <v>0</v>
      </c>
      <c r="AF518" s="6" t="n">
        <v>0</v>
      </c>
      <c r="AG518" s="6" t="n">
        <v>9.710000000000001</v>
      </c>
      <c r="AH518" s="6" t="n">
        <v>0</v>
      </c>
      <c r="AI518" s="6" t="inlineStr">
        <is>
          <t>Reserva importada do Sistema WOOBA. Id: 4270</t>
        </is>
      </c>
      <c r="AJ518" s="6" t="inlineStr">
        <is>
          <t>Centro de custo não preenchido! (ACC01) Requisição não preenchida! (ACC01)</t>
        </is>
      </c>
      <c r="AK518" s="6" t="inlineStr">
        <is>
          <t>WOOBA</t>
        </is>
      </c>
      <c r="AL518" s="6" t="inlineStr">
        <is>
          <t>Mais de um campo não preenchido</t>
        </is>
      </c>
      <c r="AM518" s="6" t="inlineStr">
        <is>
          <t>Falta de informação Gerencial</t>
        </is>
      </c>
      <c r="AN518" s="6" t="inlineStr">
        <is>
          <t>Dados do Fornecedor</t>
        </is>
      </c>
      <c r="AO518" s="6" t="inlineStr">
        <is>
          <t>Qualidade dos dados</t>
        </is>
      </c>
      <c r="AP518" s="6" t="inlineStr">
        <is>
          <t>KONTIK BUSINESS TRAVEL</t>
        </is>
      </c>
      <c r="AQ518" s="6" t="inlineStr">
        <is>
          <t>Operações - CORP</t>
        </is>
      </c>
    </row>
    <row r="519">
      <c r="A519" s="6" t="n">
        <v>23322532</v>
      </c>
      <c r="B519" s="6" t="n">
        <v>24051924</v>
      </c>
      <c r="C519" s="6" t="inlineStr">
        <is>
          <t>ACC01</t>
        </is>
      </c>
      <c r="D519" s="58" t="n">
        <v>45975.29939814815</v>
      </c>
      <c r="E519" s="58" t="n">
        <v>45975.30038194444</v>
      </c>
      <c r="F519" s="6" t="inlineStr">
        <is>
          <t>09 a 15 dias</t>
        </is>
      </c>
      <c r="G519" s="6" t="inlineStr">
        <is>
          <t>09 a 15 dias</t>
        </is>
      </c>
      <c r="H519" s="6" t="n">
        <v>20841506</v>
      </c>
      <c r="I519" s="6" t="inlineStr">
        <is>
          <t>WOOBA</t>
        </is>
      </c>
      <c r="J519" s="6" t="inlineStr">
        <is>
          <t>DE CARVALHO ARAUJO/CARLILE</t>
        </is>
      </c>
      <c r="K519" s="6" t="inlineStr">
        <is>
          <t>Raul Alves Vieira</t>
        </is>
      </c>
      <c r="L519" s="6" t="inlineStr">
        <is>
          <t>Raul Alves Vieira</t>
        </is>
      </c>
      <c r="M519" s="58" t="n">
        <v>45975.29444444444</v>
      </c>
      <c r="N519" s="6" t="inlineStr">
        <is>
          <t>-</t>
        </is>
      </c>
      <c r="O519" s="6" t="inlineStr">
        <is>
          <t>-</t>
        </is>
      </c>
      <c r="P519" s="6" t="inlineStr">
        <is>
          <t>OFF LINE</t>
        </is>
      </c>
      <c r="Q519" s="6" t="inlineStr">
        <is>
          <t>?</t>
        </is>
      </c>
      <c r="R519" s="6" t="inlineStr">
        <is>
          <t>?</t>
        </is>
      </c>
      <c r="S519" s="6" t="inlineStr">
        <is>
          <t>Hotel</t>
        </is>
      </c>
      <c r="T519" s="6" t="inlineStr">
        <is>
          <t>N</t>
        </is>
      </c>
      <c r="U519" s="6" t="inlineStr">
        <is>
          <t>Grupo Constellation</t>
        </is>
      </c>
      <c r="V519" s="6" t="inlineStr">
        <is>
          <t>Constellation</t>
        </is>
      </c>
      <c r="W519" s="6" t="inlineStr">
        <is>
          <t>-</t>
        </is>
      </c>
      <c r="X519" s="6" t="inlineStr">
        <is>
          <t>-</t>
        </is>
      </c>
      <c r="Y519" s="6" t="inlineStr">
        <is>
          <t>-</t>
        </is>
      </c>
      <c r="Z519" s="6" t="inlineStr">
        <is>
          <t>KON-OPE-RIO-PVI-CONSTELLATION</t>
        </is>
      </c>
      <c r="AA519" s="6" t="inlineStr">
        <is>
          <t>-</t>
        </is>
      </c>
      <c r="AB519" s="6" t="n">
        <v>259</v>
      </c>
      <c r="AC519" s="6" t="n">
        <v>0</v>
      </c>
      <c r="AD519" s="6" t="n">
        <v>0</v>
      </c>
      <c r="AE519" s="6" t="n">
        <v>0</v>
      </c>
      <c r="AF519" s="6" t="n">
        <v>0</v>
      </c>
      <c r="AG519" s="6" t="n">
        <v>9.710000000000001</v>
      </c>
      <c r="AH519" s="6" t="n">
        <v>0</v>
      </c>
      <c r="AI519" s="6" t="inlineStr">
        <is>
          <t>Reserva importada do Sistema WOOBA. Id: 4271</t>
        </is>
      </c>
      <c r="AJ519" s="6" t="inlineStr">
        <is>
          <t>Centro de custo não preenchido! (ACC01) Requisição não preenchida! (ACC01)</t>
        </is>
      </c>
      <c r="AK519" s="6" t="inlineStr">
        <is>
          <t>WOOBA</t>
        </is>
      </c>
      <c r="AL519" s="6" t="inlineStr">
        <is>
          <t>Mais de um campo não preenchido</t>
        </is>
      </c>
      <c r="AM519" s="6" t="inlineStr">
        <is>
          <t>Falta de informação Gerencial</t>
        </is>
      </c>
      <c r="AN519" s="6" t="inlineStr">
        <is>
          <t>Dados do Fornecedor</t>
        </is>
      </c>
      <c r="AO519" s="6" t="inlineStr">
        <is>
          <t>Qualidade dos dados</t>
        </is>
      </c>
      <c r="AP519" s="6" t="inlineStr">
        <is>
          <t>KONTIK BUSINESS TRAVEL</t>
        </is>
      </c>
      <c r="AQ519" s="6" t="inlineStr">
        <is>
          <t>Operações - CORP</t>
        </is>
      </c>
    </row>
    <row r="520">
      <c r="A520" s="6" t="n">
        <v>23322533</v>
      </c>
      <c r="B520" s="6" t="n">
        <v>24051925</v>
      </c>
      <c r="C520" s="6" t="inlineStr">
        <is>
          <t>ACC01</t>
        </is>
      </c>
      <c r="D520" s="58" t="n">
        <v>45975.29939814815</v>
      </c>
      <c r="E520" s="58" t="n">
        <v>45975.30039351852</v>
      </c>
      <c r="F520" s="6" t="inlineStr">
        <is>
          <t>09 a 15 dias</t>
        </is>
      </c>
      <c r="G520" s="6" t="inlineStr">
        <is>
          <t>09 a 15 dias</t>
        </is>
      </c>
      <c r="H520" s="6" t="n">
        <v>20841505</v>
      </c>
      <c r="I520" s="6" t="inlineStr">
        <is>
          <t>WOOBA</t>
        </is>
      </c>
      <c r="J520" s="6" t="inlineStr">
        <is>
          <t>SANTOS DOS ANJOS/CAIO RODRIGO</t>
        </is>
      </c>
      <c r="K520" s="6" t="inlineStr">
        <is>
          <t>Raul Alves Vieira</t>
        </is>
      </c>
      <c r="L520" s="6" t="inlineStr">
        <is>
          <t>Raul Alves Vieira</t>
        </is>
      </c>
      <c r="M520" s="58" t="n">
        <v>45975.29513888889</v>
      </c>
      <c r="N520" s="6" t="inlineStr">
        <is>
          <t>-</t>
        </is>
      </c>
      <c r="O520" s="6" t="inlineStr">
        <is>
          <t>-</t>
        </is>
      </c>
      <c r="P520" s="6" t="inlineStr">
        <is>
          <t>OFF LINE</t>
        </is>
      </c>
      <c r="Q520" s="6" t="inlineStr">
        <is>
          <t>?</t>
        </is>
      </c>
      <c r="R520" s="6" t="inlineStr">
        <is>
          <t>?</t>
        </is>
      </c>
      <c r="S520" s="6" t="inlineStr">
        <is>
          <t>Hotel</t>
        </is>
      </c>
      <c r="T520" s="6" t="inlineStr">
        <is>
          <t>N</t>
        </is>
      </c>
      <c r="U520" s="6" t="inlineStr">
        <is>
          <t>Grupo Constellation</t>
        </is>
      </c>
      <c r="V520" s="6" t="inlineStr">
        <is>
          <t>Constellation</t>
        </is>
      </c>
      <c r="W520" s="6" t="inlineStr">
        <is>
          <t>-</t>
        </is>
      </c>
      <c r="X520" s="6" t="inlineStr">
        <is>
          <t>-</t>
        </is>
      </c>
      <c r="Y520" s="6" t="inlineStr">
        <is>
          <t>-</t>
        </is>
      </c>
      <c r="Z520" s="6" t="inlineStr">
        <is>
          <t>KON-OPE-RIO-PVI-CONSTELLATION</t>
        </is>
      </c>
      <c r="AA520" s="6" t="inlineStr">
        <is>
          <t>-</t>
        </is>
      </c>
      <c r="AB520" s="6" t="n">
        <v>259</v>
      </c>
      <c r="AC520" s="6" t="n">
        <v>0</v>
      </c>
      <c r="AD520" s="6" t="n">
        <v>0</v>
      </c>
      <c r="AE520" s="6" t="n">
        <v>0</v>
      </c>
      <c r="AF520" s="6" t="n">
        <v>0</v>
      </c>
      <c r="AG520" s="6" t="n">
        <v>9.710000000000001</v>
      </c>
      <c r="AH520" s="6" t="n">
        <v>0</v>
      </c>
      <c r="AI520" s="6" t="inlineStr">
        <is>
          <t>Reserva importada do Sistema WOOBA. Id: 4272</t>
        </is>
      </c>
      <c r="AJ520" s="6" t="inlineStr">
        <is>
          <t>Centro de custo não preenchido! (ACC01) Requisição não preenchida! (ACC01)</t>
        </is>
      </c>
      <c r="AK520" s="6" t="inlineStr">
        <is>
          <t>WOOBA</t>
        </is>
      </c>
      <c r="AL520" s="6" t="inlineStr">
        <is>
          <t>Mais de um campo não preenchido</t>
        </is>
      </c>
      <c r="AM520" s="6" t="inlineStr">
        <is>
          <t>Falta de informação Gerencial</t>
        </is>
      </c>
      <c r="AN520" s="6" t="inlineStr">
        <is>
          <t>Dados do Fornecedor</t>
        </is>
      </c>
      <c r="AO520" s="6" t="inlineStr">
        <is>
          <t>Qualidade dos dados</t>
        </is>
      </c>
      <c r="AP520" s="6" t="inlineStr">
        <is>
          <t>KONTIK BUSINESS TRAVEL</t>
        </is>
      </c>
      <c r="AQ520" s="6" t="inlineStr">
        <is>
          <t>Operações - CORP</t>
        </is>
      </c>
    </row>
    <row r="521">
      <c r="A521" s="6" t="n">
        <v>23322534</v>
      </c>
      <c r="B521" s="6" t="n">
        <v>24051926</v>
      </c>
      <c r="C521" s="6" t="inlineStr">
        <is>
          <t>ACC01</t>
        </is>
      </c>
      <c r="D521" s="58" t="n">
        <v>45975.29940972223</v>
      </c>
      <c r="E521" s="58" t="n">
        <v>45975.30039351852</v>
      </c>
      <c r="F521" s="6" t="inlineStr">
        <is>
          <t>09 a 15 dias</t>
        </is>
      </c>
      <c r="G521" s="6" t="inlineStr">
        <is>
          <t>09 a 15 dias</t>
        </is>
      </c>
      <c r="H521" s="6" t="n">
        <v>20841510</v>
      </c>
      <c r="I521" s="6" t="inlineStr">
        <is>
          <t>WOOBA</t>
        </is>
      </c>
      <c r="J521" s="6" t="inlineStr">
        <is>
          <t>PINHEIRO ANACLETO/MARCIO</t>
        </is>
      </c>
      <c r="K521" s="6" t="inlineStr">
        <is>
          <t>Raul Alves Vieira</t>
        </is>
      </c>
      <c r="L521" s="6" t="inlineStr">
        <is>
          <t>Raul Alves Vieira</t>
        </is>
      </c>
      <c r="M521" s="58" t="n">
        <v>45975.29583333333</v>
      </c>
      <c r="N521" s="6" t="inlineStr">
        <is>
          <t>-</t>
        </is>
      </c>
      <c r="O521" s="6" t="inlineStr">
        <is>
          <t>-</t>
        </is>
      </c>
      <c r="P521" s="6" t="inlineStr">
        <is>
          <t>OFF LINE</t>
        </is>
      </c>
      <c r="Q521" s="6" t="inlineStr">
        <is>
          <t>?</t>
        </is>
      </c>
      <c r="R521" s="6" t="inlineStr">
        <is>
          <t>?</t>
        </is>
      </c>
      <c r="S521" s="6" t="inlineStr">
        <is>
          <t>Hotel</t>
        </is>
      </c>
      <c r="T521" s="6" t="inlineStr">
        <is>
          <t>N</t>
        </is>
      </c>
      <c r="U521" s="6" t="inlineStr">
        <is>
          <t>Grupo Constellation</t>
        </is>
      </c>
      <c r="V521" s="6" t="inlineStr">
        <is>
          <t>Constellation</t>
        </is>
      </c>
      <c r="W521" s="6" t="inlineStr">
        <is>
          <t>-</t>
        </is>
      </c>
      <c r="X521" s="6" t="inlineStr">
        <is>
          <t>-</t>
        </is>
      </c>
      <c r="Y521" s="6" t="inlineStr">
        <is>
          <t>-</t>
        </is>
      </c>
      <c r="Z521" s="6" t="inlineStr">
        <is>
          <t>KON-OPE-RIO-PVI-CONSTELLATION</t>
        </is>
      </c>
      <c r="AA521" s="6" t="inlineStr">
        <is>
          <t>-</t>
        </is>
      </c>
      <c r="AB521" s="6" t="n">
        <v>259</v>
      </c>
      <c r="AC521" s="6" t="n">
        <v>0</v>
      </c>
      <c r="AD521" s="6" t="n">
        <v>0</v>
      </c>
      <c r="AE521" s="6" t="n">
        <v>0</v>
      </c>
      <c r="AF521" s="6" t="n">
        <v>0</v>
      </c>
      <c r="AG521" s="6" t="n">
        <v>9.710000000000001</v>
      </c>
      <c r="AH521" s="6" t="n">
        <v>0</v>
      </c>
      <c r="AI521" s="6" t="inlineStr">
        <is>
          <t>Reserva importada do Sistema WOOBA. Id: 4273</t>
        </is>
      </c>
      <c r="AJ521" s="6" t="inlineStr">
        <is>
          <t>Centro de custo não preenchido! (ACC01) Requisição não preenchida! (ACC01)</t>
        </is>
      </c>
      <c r="AK521" s="6" t="inlineStr">
        <is>
          <t>WOOBA</t>
        </is>
      </c>
      <c r="AL521" s="6" t="inlineStr">
        <is>
          <t>Mais de um campo não preenchido</t>
        </is>
      </c>
      <c r="AM521" s="6" t="inlineStr">
        <is>
          <t>Falta de informação Gerencial</t>
        </is>
      </c>
      <c r="AN521" s="6" t="inlineStr">
        <is>
          <t>Dados do Fornecedor</t>
        </is>
      </c>
      <c r="AO521" s="6" t="inlineStr">
        <is>
          <t>Qualidade dos dados</t>
        </is>
      </c>
      <c r="AP521" s="6" t="inlineStr">
        <is>
          <t>KONTIK BUSINESS TRAVEL</t>
        </is>
      </c>
      <c r="AQ521" s="6" t="inlineStr">
        <is>
          <t>Operações - CORP</t>
        </is>
      </c>
    </row>
    <row r="522">
      <c r="A522" s="6" t="n">
        <v>23322535</v>
      </c>
      <c r="B522" s="6" t="n">
        <v>24051927</v>
      </c>
      <c r="C522" s="6" t="inlineStr">
        <is>
          <t>ACC01</t>
        </is>
      </c>
      <c r="D522" s="58" t="n">
        <v>45975.29940972223</v>
      </c>
      <c r="E522" s="58" t="n">
        <v>45975.30039351852</v>
      </c>
      <c r="F522" s="6" t="inlineStr">
        <is>
          <t>09 a 15 dias</t>
        </is>
      </c>
      <c r="G522" s="6" t="inlineStr">
        <is>
          <t>09 a 15 dias</t>
        </is>
      </c>
      <c r="H522" s="6" t="n">
        <v>20841511</v>
      </c>
      <c r="I522" s="6" t="inlineStr">
        <is>
          <t>WOOBA</t>
        </is>
      </c>
      <c r="J522" s="6" t="inlineStr">
        <is>
          <t>GONCALVES DA COSTA/JOAO PAULO</t>
        </is>
      </c>
      <c r="K522" s="6" t="inlineStr">
        <is>
          <t>Raul Alves Vieira</t>
        </is>
      </c>
      <c r="L522" s="6" t="inlineStr">
        <is>
          <t>Raul Alves Vieira</t>
        </is>
      </c>
      <c r="M522" s="58" t="n">
        <v>45975.29722222222</v>
      </c>
      <c r="N522" s="6" t="inlineStr">
        <is>
          <t>-</t>
        </is>
      </c>
      <c r="O522" s="6" t="inlineStr">
        <is>
          <t>-</t>
        </is>
      </c>
      <c r="P522" s="6" t="inlineStr">
        <is>
          <t>OFF LINE</t>
        </is>
      </c>
      <c r="Q522" s="6" t="inlineStr">
        <is>
          <t>?</t>
        </is>
      </c>
      <c r="R522" s="6" t="inlineStr">
        <is>
          <t>?</t>
        </is>
      </c>
      <c r="S522" s="6" t="inlineStr">
        <is>
          <t>Hotel</t>
        </is>
      </c>
      <c r="T522" s="6" t="inlineStr">
        <is>
          <t>N</t>
        </is>
      </c>
      <c r="U522" s="6" t="inlineStr">
        <is>
          <t>Grupo Constellation</t>
        </is>
      </c>
      <c r="V522" s="6" t="inlineStr">
        <is>
          <t>Constellation</t>
        </is>
      </c>
      <c r="W522" s="6" t="inlineStr">
        <is>
          <t>-</t>
        </is>
      </c>
      <c r="X522" s="6" t="inlineStr">
        <is>
          <t>-</t>
        </is>
      </c>
      <c r="Y522" s="6" t="inlineStr">
        <is>
          <t>-</t>
        </is>
      </c>
      <c r="Z522" s="6" t="inlineStr">
        <is>
          <t>KON-OPE-RIO-PVI-CONSTELLATION</t>
        </is>
      </c>
      <c r="AA522" s="6" t="inlineStr">
        <is>
          <t>-</t>
        </is>
      </c>
      <c r="AB522" s="6" t="n">
        <v>329</v>
      </c>
      <c r="AC522" s="6" t="n">
        <v>0</v>
      </c>
      <c r="AD522" s="6" t="n">
        <v>0</v>
      </c>
      <c r="AE522" s="6" t="n">
        <v>0</v>
      </c>
      <c r="AF522" s="6" t="n">
        <v>0</v>
      </c>
      <c r="AG522" s="6" t="n">
        <v>12.34</v>
      </c>
      <c r="AH522" s="6" t="n">
        <v>0</v>
      </c>
      <c r="AI522" s="6" t="inlineStr">
        <is>
          <t>Reserva importada do Sistema WOOBA. Id: 4274</t>
        </is>
      </c>
      <c r="AJ522" s="6" t="inlineStr">
        <is>
          <t>Centro de custo não preenchido! (ACC01) Requisição não preenchida! (ACC01)</t>
        </is>
      </c>
      <c r="AK522" s="6" t="inlineStr">
        <is>
          <t>WOOBA</t>
        </is>
      </c>
      <c r="AL522" s="6" t="inlineStr">
        <is>
          <t>Mais de um campo não preenchido</t>
        </is>
      </c>
      <c r="AM522" s="6" t="inlineStr">
        <is>
          <t>Falta de informação Gerencial</t>
        </is>
      </c>
      <c r="AN522" s="6" t="inlineStr">
        <is>
          <t>Dados do Fornecedor</t>
        </is>
      </c>
      <c r="AO522" s="6" t="inlineStr">
        <is>
          <t>Qualidade dos dados</t>
        </is>
      </c>
      <c r="AP522" s="6" t="inlineStr">
        <is>
          <t>KONTIK BUSINESS TRAVEL</t>
        </is>
      </c>
      <c r="AQ522" s="6" t="inlineStr">
        <is>
          <t>Operações - CORP</t>
        </is>
      </c>
    </row>
    <row r="523">
      <c r="A523" s="6" t="n">
        <v>23322563</v>
      </c>
      <c r="B523" s="6" t="n">
        <v>24051946</v>
      </c>
      <c r="C523" s="6" t="inlineStr">
        <is>
          <t>ACC01</t>
        </is>
      </c>
      <c r="D523" s="58" t="n">
        <v>45975.30623842592</v>
      </c>
      <c r="E523" s="58" t="n">
        <v>45975.31317129629</v>
      </c>
      <c r="F523" s="6" t="inlineStr">
        <is>
          <t>09 a 15 dias</t>
        </is>
      </c>
      <c r="G523" s="6" t="inlineStr">
        <is>
          <t>09 a 15 dias</t>
        </is>
      </c>
      <c r="H523" s="6" t="n">
        <v>20841514</v>
      </c>
      <c r="I523" s="6" t="inlineStr">
        <is>
          <t>WOOBA</t>
        </is>
      </c>
      <c r="J523" s="6" t="inlineStr">
        <is>
          <t>SOUSA PASSALINI/PEDRO GUILHERME</t>
        </is>
      </c>
      <c r="K523" s="6" t="inlineStr">
        <is>
          <t>Raul Alves Vieira</t>
        </is>
      </c>
      <c r="L523" s="6" t="inlineStr">
        <is>
          <t>Raul Alves Vieira</t>
        </is>
      </c>
      <c r="M523" s="58" t="n">
        <v>45975.29930555556</v>
      </c>
      <c r="N523" s="6" t="inlineStr">
        <is>
          <t>-</t>
        </is>
      </c>
      <c r="O523" s="6" t="inlineStr">
        <is>
          <t>-</t>
        </is>
      </c>
      <c r="P523" s="6" t="inlineStr">
        <is>
          <t>OFF LINE</t>
        </is>
      </c>
      <c r="Q523" s="6" t="inlineStr">
        <is>
          <t>?</t>
        </is>
      </c>
      <c r="R523" s="6" t="inlineStr">
        <is>
          <t>?</t>
        </is>
      </c>
      <c r="S523" s="6" t="inlineStr">
        <is>
          <t>Hotel</t>
        </is>
      </c>
      <c r="T523" s="6" t="inlineStr">
        <is>
          <t>N</t>
        </is>
      </c>
      <c r="U523" s="6" t="inlineStr">
        <is>
          <t>Grupo Constellation</t>
        </is>
      </c>
      <c r="V523" s="6" t="inlineStr">
        <is>
          <t>Constellation</t>
        </is>
      </c>
      <c r="W523" s="6" t="inlineStr">
        <is>
          <t>-</t>
        </is>
      </c>
      <c r="X523" s="6" t="inlineStr">
        <is>
          <t>-</t>
        </is>
      </c>
      <c r="Y523" s="6" t="inlineStr">
        <is>
          <t>-</t>
        </is>
      </c>
      <c r="Z523" s="6" t="inlineStr">
        <is>
          <t>KON-OPE-RIO-PVI-CONSTELLATION</t>
        </is>
      </c>
      <c r="AA523" s="6" t="inlineStr">
        <is>
          <t>-</t>
        </is>
      </c>
      <c r="AB523" s="6" t="n">
        <v>329</v>
      </c>
      <c r="AC523" s="6" t="n">
        <v>0</v>
      </c>
      <c r="AD523" s="6" t="n">
        <v>0</v>
      </c>
      <c r="AE523" s="6" t="n">
        <v>0</v>
      </c>
      <c r="AF523" s="6" t="n">
        <v>0</v>
      </c>
      <c r="AG523" s="6" t="n">
        <v>12.34</v>
      </c>
      <c r="AH523" s="6" t="n">
        <v>0</v>
      </c>
      <c r="AI523" s="6" t="inlineStr">
        <is>
          <t>Reserva importada do Sistema WOOBA. Id: 4275</t>
        </is>
      </c>
      <c r="AJ523" s="6" t="inlineStr">
        <is>
          <t>Centro de custo não preenchido! (ACC01) Requisição não preenchida! (ACC01)</t>
        </is>
      </c>
      <c r="AK523" s="6" t="inlineStr">
        <is>
          <t>WOOBA</t>
        </is>
      </c>
      <c r="AL523" s="6" t="inlineStr">
        <is>
          <t>Mais de um campo não preenchido</t>
        </is>
      </c>
      <c r="AM523" s="6" t="inlineStr">
        <is>
          <t>Falta de informação Gerencial</t>
        </is>
      </c>
      <c r="AN523" s="6" t="inlineStr">
        <is>
          <t>Dados do Fornecedor</t>
        </is>
      </c>
      <c r="AO523" s="6" t="inlineStr">
        <is>
          <t>Qualidade dos dados</t>
        </is>
      </c>
      <c r="AP523" s="6" t="inlineStr">
        <is>
          <t>KONTIK BUSINESS TRAVEL</t>
        </is>
      </c>
      <c r="AQ523" s="6" t="inlineStr">
        <is>
          <t>Operações - CORP</t>
        </is>
      </c>
    </row>
    <row r="524">
      <c r="A524" s="6" t="n">
        <v>23322564</v>
      </c>
      <c r="B524" s="6" t="n">
        <v>24051947</v>
      </c>
      <c r="C524" s="6" t="inlineStr">
        <is>
          <t>ACC01</t>
        </is>
      </c>
      <c r="D524" s="58" t="n">
        <v>45975.30623842592</v>
      </c>
      <c r="E524" s="58" t="n">
        <v>45975.31317129629</v>
      </c>
      <c r="F524" s="6" t="inlineStr">
        <is>
          <t>09 a 15 dias</t>
        </is>
      </c>
      <c r="G524" s="6" t="inlineStr">
        <is>
          <t>09 a 15 dias</t>
        </is>
      </c>
      <c r="H524" s="6" t="n">
        <v>20841491</v>
      </c>
      <c r="I524" s="6" t="inlineStr">
        <is>
          <t>WOOBA</t>
        </is>
      </c>
      <c r="J524" s="6" t="inlineStr">
        <is>
          <t>SANTIAGO DE SOUZA/MARCOS LIVIO</t>
        </is>
      </c>
      <c r="K524" s="6" t="inlineStr">
        <is>
          <t>Raul Alves Vieira</t>
        </is>
      </c>
      <c r="L524" s="6" t="inlineStr">
        <is>
          <t>Raul Alves Vieira</t>
        </is>
      </c>
      <c r="M524" s="58" t="n">
        <v>45975.28680555556</v>
      </c>
      <c r="N524" s="6" t="inlineStr">
        <is>
          <t>-</t>
        </is>
      </c>
      <c r="O524" s="6" t="inlineStr">
        <is>
          <t>-</t>
        </is>
      </c>
      <c r="P524" s="6" t="inlineStr">
        <is>
          <t>OFF LINE</t>
        </is>
      </c>
      <c r="Q524" s="6" t="inlineStr">
        <is>
          <t>?</t>
        </is>
      </c>
      <c r="R524" s="6" t="inlineStr">
        <is>
          <t>?</t>
        </is>
      </c>
      <c r="S524" s="6" t="inlineStr">
        <is>
          <t>Hotel</t>
        </is>
      </c>
      <c r="T524" s="6" t="inlineStr">
        <is>
          <t>N</t>
        </is>
      </c>
      <c r="U524" s="6" t="inlineStr">
        <is>
          <t>Grupo Constellation</t>
        </is>
      </c>
      <c r="V524" s="6" t="inlineStr">
        <is>
          <t>Constellation</t>
        </is>
      </c>
      <c r="W524" s="6" t="inlineStr">
        <is>
          <t>-</t>
        </is>
      </c>
      <c r="X524" s="6" t="inlineStr">
        <is>
          <t>-</t>
        </is>
      </c>
      <c r="Y524" s="6" t="inlineStr">
        <is>
          <t>-</t>
        </is>
      </c>
      <c r="Z524" s="6" t="inlineStr">
        <is>
          <t>KON-OPE-RIO-PVI-CONSTELLATION</t>
        </is>
      </c>
      <c r="AA524" s="6" t="inlineStr">
        <is>
          <t>-</t>
        </is>
      </c>
      <c r="AB524" s="6" t="n">
        <v>306</v>
      </c>
      <c r="AC524" s="6" t="n">
        <v>0</v>
      </c>
      <c r="AD524" s="6" t="n">
        <v>0</v>
      </c>
      <c r="AE524" s="6" t="n">
        <v>0</v>
      </c>
      <c r="AF524" s="6" t="n">
        <v>0</v>
      </c>
      <c r="AG524" s="6" t="n">
        <v>15.3</v>
      </c>
      <c r="AH524" s="6" t="n">
        <v>0</v>
      </c>
      <c r="AI524" s="6" t="inlineStr">
        <is>
          <t>Reserva importada do Sistema WOOBA. Id: 4265</t>
        </is>
      </c>
      <c r="AJ524" s="6" t="inlineStr">
        <is>
          <t>Centro de custo não preenchido! (ACC01) Requisição não preenchida! (ACC01)</t>
        </is>
      </c>
      <c r="AK524" s="6" t="inlineStr">
        <is>
          <t>WOOBA</t>
        </is>
      </c>
      <c r="AL524" s="6" t="inlineStr">
        <is>
          <t>Mais de um campo não preenchido</t>
        </is>
      </c>
      <c r="AM524" s="6" t="inlineStr">
        <is>
          <t>Falta de informação Gerencial</t>
        </is>
      </c>
      <c r="AN524" s="6" t="inlineStr">
        <is>
          <t>Dados do Fornecedor</t>
        </is>
      </c>
      <c r="AO524" s="6" t="inlineStr">
        <is>
          <t>Qualidade dos dados</t>
        </is>
      </c>
      <c r="AP524" s="6" t="inlineStr">
        <is>
          <t>KONTIK BUSINESS TRAVEL</t>
        </is>
      </c>
      <c r="AQ524" s="6" t="inlineStr">
        <is>
          <t>Operações - CORP</t>
        </is>
      </c>
    </row>
    <row r="525">
      <c r="A525" s="6" t="n">
        <v>23322565</v>
      </c>
      <c r="B525" s="6" t="n">
        <v>24051948</v>
      </c>
      <c r="C525" s="6" t="inlineStr">
        <is>
          <t>ACC01</t>
        </is>
      </c>
      <c r="D525" s="58" t="n">
        <v>45975.30625</v>
      </c>
      <c r="E525" s="58" t="n">
        <v>45975.31317129629</v>
      </c>
      <c r="F525" s="6" t="inlineStr">
        <is>
          <t>09 a 15 dias</t>
        </is>
      </c>
      <c r="G525" s="6" t="inlineStr">
        <is>
          <t>09 a 15 dias</t>
        </is>
      </c>
      <c r="H525" s="6" t="n">
        <v>20841485</v>
      </c>
      <c r="I525" s="6" t="inlineStr">
        <is>
          <t>WOOBA</t>
        </is>
      </c>
      <c r="J525" s="6" t="inlineStr">
        <is>
          <t>LEMOS DE LACERDA BATISTA/WELLERSON</t>
        </is>
      </c>
      <c r="K525" s="6" t="inlineStr">
        <is>
          <t>Raul Alves Vieira</t>
        </is>
      </c>
      <c r="L525" s="6" t="inlineStr">
        <is>
          <t>Raul Alves Vieira</t>
        </is>
      </c>
      <c r="M525" s="58" t="n">
        <v>45975.28541666667</v>
      </c>
      <c r="N525" s="6" t="inlineStr">
        <is>
          <t>-</t>
        </is>
      </c>
      <c r="O525" s="6" t="inlineStr">
        <is>
          <t>-</t>
        </is>
      </c>
      <c r="P525" s="6" t="inlineStr">
        <is>
          <t>OFF LINE</t>
        </is>
      </c>
      <c r="Q525" s="6" t="inlineStr">
        <is>
          <t>?</t>
        </is>
      </c>
      <c r="R525" s="6" t="inlineStr">
        <is>
          <t>?</t>
        </is>
      </c>
      <c r="S525" s="6" t="inlineStr">
        <is>
          <t>Hotel</t>
        </is>
      </c>
      <c r="T525" s="6" t="inlineStr">
        <is>
          <t>N</t>
        </is>
      </c>
      <c r="U525" s="6" t="inlineStr">
        <is>
          <t>Grupo Constellation</t>
        </is>
      </c>
      <c r="V525" s="6" t="inlineStr">
        <is>
          <t>Constellation</t>
        </is>
      </c>
      <c r="W525" s="6" t="inlineStr">
        <is>
          <t>-</t>
        </is>
      </c>
      <c r="X525" s="6" t="inlineStr">
        <is>
          <t>-</t>
        </is>
      </c>
      <c r="Y525" s="6" t="inlineStr">
        <is>
          <t>-</t>
        </is>
      </c>
      <c r="Z525" s="6" t="inlineStr">
        <is>
          <t>KON-OPE-RIO-PVI-CONSTELLATION</t>
        </is>
      </c>
      <c r="AA525" s="6" t="inlineStr">
        <is>
          <t>-</t>
        </is>
      </c>
      <c r="AB525" s="6" t="n">
        <v>348</v>
      </c>
      <c r="AC525" s="6" t="n">
        <v>0</v>
      </c>
      <c r="AD525" s="6" t="n">
        <v>0</v>
      </c>
      <c r="AE525" s="6" t="n">
        <v>0</v>
      </c>
      <c r="AF525" s="6" t="n">
        <v>0</v>
      </c>
      <c r="AG525" s="6" t="n">
        <v>17.4</v>
      </c>
      <c r="AH525" s="6" t="n">
        <v>0</v>
      </c>
      <c r="AI525" s="6" t="inlineStr">
        <is>
          <t>Reserva importada do Sistema WOOBA. Id: 4264</t>
        </is>
      </c>
      <c r="AJ525" s="6" t="inlineStr">
        <is>
          <t>Centro de custo não preenchido! (ACC01) Requisição não preenchida! (ACC01)</t>
        </is>
      </c>
      <c r="AK525" s="6" t="inlineStr">
        <is>
          <t>WOOBA</t>
        </is>
      </c>
      <c r="AL525" s="6" t="inlineStr">
        <is>
          <t>Mais de um campo não preenchido</t>
        </is>
      </c>
      <c r="AM525" s="6" t="inlineStr">
        <is>
          <t>Falta de informação Gerencial</t>
        </is>
      </c>
      <c r="AN525" s="6" t="inlineStr">
        <is>
          <t>Dados do Fornecedor</t>
        </is>
      </c>
      <c r="AO525" s="6" t="inlineStr">
        <is>
          <t>Qualidade dos dados</t>
        </is>
      </c>
      <c r="AP525" s="6" t="inlineStr">
        <is>
          <t>KONTIK BUSINESS TRAVEL</t>
        </is>
      </c>
      <c r="AQ525" s="6" t="inlineStr">
        <is>
          <t>Operações - CORP</t>
        </is>
      </c>
    </row>
    <row r="526">
      <c r="A526" s="6" t="n">
        <v>23229721</v>
      </c>
      <c r="B526" s="6" t="n">
        <v>23964390</v>
      </c>
      <c r="C526" s="6" t="inlineStr">
        <is>
          <t>ACC01</t>
        </is>
      </c>
      <c r="D526" s="58" t="n">
        <v>45961.40185185185</v>
      </c>
      <c r="E526" s="58" t="n">
        <v>45961.40539351852</v>
      </c>
      <c r="F526" s="59" t="inlineStr">
        <is>
          <t>24 a 31 dias</t>
        </is>
      </c>
      <c r="G526" s="59" t="inlineStr">
        <is>
          <t>24 a 31 dias</t>
        </is>
      </c>
      <c r="H526" s="6" t="n">
        <v>20650804</v>
      </c>
      <c r="I526" s="6" t="inlineStr">
        <is>
          <t>GOVER</t>
        </is>
      </c>
      <c r="J526" s="6" t="inlineStr">
        <is>
          <t>Adrian  da Silva Offmann</t>
        </is>
      </c>
      <c r="K526" s="6" t="inlineStr">
        <is>
          <t>Marcos de Oliveira Miklos</t>
        </is>
      </c>
      <c r="L526" s="6" t="inlineStr">
        <is>
          <t>Marcos de Oliveira Miklos</t>
        </is>
      </c>
      <c r="M526" s="58" t="n">
        <v>45961.39513888889</v>
      </c>
      <c r="N526" s="6" t="n">
        <v>4621385</v>
      </c>
      <c r="O526" s="6" t="inlineStr">
        <is>
          <t>-</t>
        </is>
      </c>
      <c r="P526" s="6" t="inlineStr">
        <is>
          <t>OFF LINE</t>
        </is>
      </c>
      <c r="Q526" s="6" t="inlineStr">
        <is>
          <t>Invoice</t>
        </is>
      </c>
      <c r="R526" s="6" t="inlineStr">
        <is>
          <t>Faturado</t>
        </is>
      </c>
      <c r="S526" s="6" t="inlineStr">
        <is>
          <t>Hotel</t>
        </is>
      </c>
      <c r="T526" s="6" t="inlineStr">
        <is>
          <t>N</t>
        </is>
      </c>
      <c r="U526" s="6" t="inlineStr">
        <is>
          <t>Grupo Isdin</t>
        </is>
      </c>
      <c r="V526" s="6" t="inlineStr">
        <is>
          <t>Isdin Sp</t>
        </is>
      </c>
      <c r="W526" s="6" t="inlineStr">
        <is>
          <t>-</t>
        </is>
      </c>
      <c r="X526" s="6" t="inlineStr">
        <is>
          <t>-</t>
        </is>
      </c>
      <c r="Y526" s="6" t="inlineStr">
        <is>
          <t>-</t>
        </is>
      </c>
      <c r="Z526" s="6" t="inlineStr">
        <is>
          <t>KON-OPE-RIO-PVI-BTC RJ</t>
        </is>
      </c>
      <c r="AA526" s="6" t="inlineStr">
        <is>
          <t>-</t>
        </is>
      </c>
      <c r="AB526" s="6" t="n">
        <v>2193.99</v>
      </c>
      <c r="AC526" s="6" t="n">
        <v>109.71</v>
      </c>
      <c r="AD526" s="6" t="n">
        <v>0</v>
      </c>
      <c r="AE526" s="6" t="n">
        <v>0</v>
      </c>
      <c r="AF526" s="6" t="n">
        <v>0</v>
      </c>
      <c r="AG526" s="6" t="n">
        <v>0</v>
      </c>
      <c r="AH526" s="6" t="n">
        <v>0</v>
      </c>
      <c r="AI526" s="6" t="inlineStr">
        <is>
          <t>Reserva importada do sistema Gover. Id: 4621385</t>
        </is>
      </c>
      <c r="AJ526" s="6" t="inlineStr">
        <is>
          <t>Fornecedor não preenchido! (ACC01)</t>
        </is>
      </c>
      <c r="AK526" s="6" t="inlineStr">
        <is>
          <t>GOVER</t>
        </is>
      </c>
      <c r="AL526" s="6" t="inlineStr">
        <is>
          <t>Falta de Fornecedor</t>
        </is>
      </c>
      <c r="AM526" s="6" t="inlineStr">
        <is>
          <t>Campo Fornecedor</t>
        </is>
      </c>
      <c r="AN526" s="6" t="inlineStr">
        <is>
          <t>Dados do Fornecedor</t>
        </is>
      </c>
      <c r="AO526" s="6" t="inlineStr">
        <is>
          <t>Sistêmico</t>
        </is>
      </c>
      <c r="AP526" s="6" t="inlineStr">
        <is>
          <t>GRUPO KONTIK</t>
        </is>
      </c>
      <c r="AQ526" s="6" t="inlineStr">
        <is>
          <t>Suporte Benner</t>
        </is>
      </c>
    </row>
    <row r="527">
      <c r="A527" s="6" t="n">
        <v>23130892</v>
      </c>
      <c r="B527" s="6" t="n">
        <v>23877428</v>
      </c>
      <c r="C527" s="6" t="inlineStr">
        <is>
          <t>ACC01</t>
        </is>
      </c>
      <c r="D527" s="58" t="n">
        <v>45947.36422453704</v>
      </c>
      <c r="E527" s="58" t="n">
        <v>45947.36475694444</v>
      </c>
      <c r="F527" s="59" t="inlineStr">
        <is>
          <t>31 dias ou +</t>
        </is>
      </c>
      <c r="G527" s="59" t="inlineStr">
        <is>
          <t>31 dias ou +</t>
        </is>
      </c>
      <c r="H527" s="6" t="n">
        <v>4605860</v>
      </c>
      <c r="I527" s="6" t="inlineStr">
        <is>
          <t>GOVER</t>
        </is>
      </c>
      <c r="J527" s="6" t="inlineStr">
        <is>
          <t>MARIO LUCIO VERAS VAZ FILHO</t>
        </is>
      </c>
      <c r="K527" s="6" t="inlineStr">
        <is>
          <t>Wilson Jose Araujo de Gusmao Junior</t>
        </is>
      </c>
      <c r="L527" s="6" t="inlineStr">
        <is>
          <t>Wilson Jose Araujo de Gusmao Junior</t>
        </is>
      </c>
      <c r="M527" s="58" t="n">
        <v>45947.35763888889</v>
      </c>
      <c r="N527" s="6" t="n">
        <v>4605860</v>
      </c>
      <c r="O527" s="6" t="inlineStr">
        <is>
          <t>-</t>
        </is>
      </c>
      <c r="P527" s="6" t="inlineStr">
        <is>
          <t>OFF LINE</t>
        </is>
      </c>
      <c r="Q527" s="6" t="inlineStr">
        <is>
          <t>Cartão de crédito</t>
        </is>
      </c>
      <c r="R527" s="6" t="inlineStr">
        <is>
          <t>Cartão de crédito</t>
        </is>
      </c>
      <c r="S527" s="6" t="inlineStr">
        <is>
          <t>Hotel</t>
        </is>
      </c>
      <c r="T527" s="6" t="inlineStr">
        <is>
          <t>N</t>
        </is>
      </c>
      <c r="U527" s="6" t="inlineStr">
        <is>
          <t>Grupo Isdin</t>
        </is>
      </c>
      <c r="V527" s="6" t="inlineStr">
        <is>
          <t>Isdin Sp</t>
        </is>
      </c>
      <c r="W527" s="6" t="inlineStr">
        <is>
          <t>-</t>
        </is>
      </c>
      <c r="X527" s="6" t="inlineStr">
        <is>
          <t>-</t>
        </is>
      </c>
      <c r="Y527" s="6" t="inlineStr">
        <is>
          <t>-</t>
        </is>
      </c>
      <c r="Z527" s="6" t="inlineStr">
        <is>
          <t>KON-OPE-RIO-PVI-BTC RJ</t>
        </is>
      </c>
      <c r="AA527" s="6" t="inlineStr">
        <is>
          <t>-</t>
        </is>
      </c>
      <c r="AB527" s="6" t="n">
        <v>492</v>
      </c>
      <c r="AC527" s="6" t="n">
        <v>0</v>
      </c>
      <c r="AD527" s="6" t="n">
        <v>0</v>
      </c>
      <c r="AE527" s="6" t="n">
        <v>0</v>
      </c>
      <c r="AF527" s="6" t="n">
        <v>0</v>
      </c>
      <c r="AG527" s="6" t="n">
        <v>0</v>
      </c>
      <c r="AH527" s="6" t="n">
        <v>0</v>
      </c>
      <c r="AI527" s="6" t="inlineStr">
        <is>
          <t>Reserva importada do sistema Gover. Id: 4605860</t>
        </is>
      </c>
      <c r="AJ527" s="6" t="inlineStr">
        <is>
          <t>Fornecedor não preenchido! (ACC01)</t>
        </is>
      </c>
      <c r="AK527" s="6" t="inlineStr">
        <is>
          <t>GOVER</t>
        </is>
      </c>
      <c r="AL527" s="6" t="inlineStr">
        <is>
          <t>Falta de Fornecedor</t>
        </is>
      </c>
      <c r="AM527" s="6" t="inlineStr">
        <is>
          <t>Campo Fornecedor</t>
        </is>
      </c>
      <c r="AN527" s="6" t="inlineStr">
        <is>
          <t>Dados do Fornecedor</t>
        </is>
      </c>
      <c r="AO527" s="6" t="inlineStr">
        <is>
          <t>Sistêmico</t>
        </is>
      </c>
      <c r="AP527" s="6" t="inlineStr">
        <is>
          <t>GRUPO KONTIK</t>
        </is>
      </c>
      <c r="AQ527" s="6" t="inlineStr">
        <is>
          <t>Suporte Benner</t>
        </is>
      </c>
    </row>
    <row r="528">
      <c r="A528" s="6" t="n">
        <v>23123331</v>
      </c>
      <c r="B528" s="6" t="n">
        <v>23870552</v>
      </c>
      <c r="C528" s="6" t="inlineStr">
        <is>
          <t>ACC01</t>
        </is>
      </c>
      <c r="D528" s="58" t="n">
        <v>45946.35055555555</v>
      </c>
      <c r="E528" s="58" t="n">
        <v>45946.35081018518</v>
      </c>
      <c r="F528" s="59" t="inlineStr">
        <is>
          <t>31 dias ou +</t>
        </is>
      </c>
      <c r="G528" s="59" t="inlineStr">
        <is>
          <t>31 dias ou +</t>
        </is>
      </c>
      <c r="H528" s="6" t="n">
        <v>4605836</v>
      </c>
      <c r="I528" s="6" t="inlineStr">
        <is>
          <t>GOVER</t>
        </is>
      </c>
      <c r="J528" s="6" t="inlineStr">
        <is>
          <t>KARINA YASMIM DA COSTA SILVA</t>
        </is>
      </c>
      <c r="K528" s="6" t="inlineStr">
        <is>
          <t>Wilson Jose Araujo de Gusmao Junior</t>
        </is>
      </c>
      <c r="L528" s="6" t="inlineStr">
        <is>
          <t>Wilson Jose Araujo de Gusmao Junior</t>
        </is>
      </c>
      <c r="M528" s="58" t="n">
        <v>45945.72013888889</v>
      </c>
      <c r="N528" s="6" t="n">
        <v>4605836</v>
      </c>
      <c r="O528" s="6" t="inlineStr">
        <is>
          <t>-</t>
        </is>
      </c>
      <c r="P528" s="6" t="inlineStr">
        <is>
          <t>OFF LINE</t>
        </is>
      </c>
      <c r="Q528" s="6" t="inlineStr">
        <is>
          <t>Cartão de crédito</t>
        </is>
      </c>
      <c r="R528" s="6" t="inlineStr">
        <is>
          <t>Cartão de crédito</t>
        </is>
      </c>
      <c r="S528" s="6" t="inlineStr">
        <is>
          <t>Hotel</t>
        </is>
      </c>
      <c r="T528" s="6" t="inlineStr">
        <is>
          <t>N</t>
        </is>
      </c>
      <c r="U528" s="6" t="inlineStr">
        <is>
          <t>Grupo Isdin</t>
        </is>
      </c>
      <c r="V528" s="6" t="inlineStr">
        <is>
          <t>Isdin Sp</t>
        </is>
      </c>
      <c r="W528" s="6" t="inlineStr">
        <is>
          <t>-</t>
        </is>
      </c>
      <c r="X528" s="6" t="inlineStr">
        <is>
          <t>-</t>
        </is>
      </c>
      <c r="Y528" s="6" t="inlineStr">
        <is>
          <t>-</t>
        </is>
      </c>
      <c r="Z528" s="6" t="inlineStr">
        <is>
          <t>KON-OPE-RIO-PVI-BTC RJ</t>
        </is>
      </c>
      <c r="AA528" s="6" t="inlineStr">
        <is>
          <t>-</t>
        </is>
      </c>
      <c r="AB528" s="6" t="n">
        <v>310</v>
      </c>
      <c r="AC528" s="6" t="n">
        <v>0</v>
      </c>
      <c r="AD528" s="6" t="n">
        <v>0</v>
      </c>
      <c r="AE528" s="6" t="n">
        <v>0</v>
      </c>
      <c r="AF528" s="6" t="n">
        <v>0</v>
      </c>
      <c r="AG528" s="6" t="n">
        <v>0</v>
      </c>
      <c r="AH528" s="6" t="n">
        <v>0</v>
      </c>
      <c r="AI528" s="6" t="inlineStr">
        <is>
          <t>Reserva importada do sistema Gover. Id: 4605836</t>
        </is>
      </c>
      <c r="AJ528" s="6" t="inlineStr">
        <is>
          <t>Fornecedor não preenchido! (ACC01)</t>
        </is>
      </c>
      <c r="AK528" s="6" t="inlineStr">
        <is>
          <t>GOVER</t>
        </is>
      </c>
      <c r="AL528" s="6" t="inlineStr">
        <is>
          <t>Falta de Fornecedor</t>
        </is>
      </c>
      <c r="AM528" s="6" t="inlineStr">
        <is>
          <t>Campo Fornecedor</t>
        </is>
      </c>
      <c r="AN528" s="6" t="inlineStr">
        <is>
          <t>Dados do Fornecedor</t>
        </is>
      </c>
      <c r="AO528" s="6" t="inlineStr">
        <is>
          <t>Sistêmico</t>
        </is>
      </c>
      <c r="AP528" s="6" t="inlineStr">
        <is>
          <t>GRUPO KONTIK</t>
        </is>
      </c>
      <c r="AQ528" s="6" t="inlineStr">
        <is>
          <t>Suporte Benner</t>
        </is>
      </c>
    </row>
    <row r="529">
      <c r="A529" s="6" t="n">
        <v>23222925</v>
      </c>
      <c r="B529" s="6" t="n">
        <v>23957892</v>
      </c>
      <c r="C529" s="6" t="inlineStr">
        <is>
          <t>ACC01</t>
        </is>
      </c>
      <c r="D529" s="58" t="n">
        <v>45960.496875</v>
      </c>
      <c r="E529" s="58" t="n">
        <v>45960.50068287037</v>
      </c>
      <c r="F529" s="59" t="inlineStr">
        <is>
          <t>24 a 31 dias</t>
        </is>
      </c>
      <c r="G529" s="59" t="inlineStr">
        <is>
          <t>24 a 31 dias</t>
        </is>
      </c>
      <c r="H529" s="6" t="n">
        <v>4619813</v>
      </c>
      <c r="I529" s="6" t="inlineStr">
        <is>
          <t>GOVER</t>
        </is>
      </c>
      <c r="J529" s="6" t="inlineStr">
        <is>
          <t>CAMILA INGRID DA SILVA ELIAS</t>
        </is>
      </c>
      <c r="K529" s="6" t="inlineStr">
        <is>
          <t>Loizy Lima de Oliveira</t>
        </is>
      </c>
      <c r="L529" s="6" t="inlineStr">
        <is>
          <t>Loizy Lima de Oliveira</t>
        </is>
      </c>
      <c r="M529" s="58" t="n">
        <v>45960</v>
      </c>
      <c r="N529" s="6" t="n">
        <v>4619813</v>
      </c>
      <c r="O529" s="6" t="inlineStr">
        <is>
          <t>-</t>
        </is>
      </c>
      <c r="P529" s="6" t="inlineStr">
        <is>
          <t>OFF LINE</t>
        </is>
      </c>
      <c r="Q529" s="6" t="inlineStr">
        <is>
          <t>Cartão de crédito</t>
        </is>
      </c>
      <c r="R529" s="6" t="inlineStr">
        <is>
          <t>Cartão de crédito</t>
        </is>
      </c>
      <c r="S529" s="6" t="inlineStr">
        <is>
          <t>Hotel</t>
        </is>
      </c>
      <c r="T529" s="6" t="inlineStr">
        <is>
          <t>N</t>
        </is>
      </c>
      <c r="U529" s="6" t="inlineStr">
        <is>
          <t>Grupo Isdin</t>
        </is>
      </c>
      <c r="V529" s="6" t="inlineStr">
        <is>
          <t>Isdin Sp</t>
        </is>
      </c>
      <c r="W529" s="6" t="inlineStr">
        <is>
          <t>-</t>
        </is>
      </c>
      <c r="X529" s="6" t="inlineStr">
        <is>
          <t>-</t>
        </is>
      </c>
      <c r="Y529" s="6" t="inlineStr">
        <is>
          <t>-</t>
        </is>
      </c>
      <c r="Z529" s="6" t="inlineStr">
        <is>
          <t>KON-OPE-RIO-PVI-BTC RJ</t>
        </is>
      </c>
      <c r="AA529" s="6" t="inlineStr">
        <is>
          <t>-</t>
        </is>
      </c>
      <c r="AB529" s="6" t="n">
        <v>330</v>
      </c>
      <c r="AC529" s="6" t="n">
        <v>0</v>
      </c>
      <c r="AD529" s="6" t="n">
        <v>0</v>
      </c>
      <c r="AE529" s="6" t="n">
        <v>0</v>
      </c>
      <c r="AF529" s="6" t="n">
        <v>0</v>
      </c>
      <c r="AG529" s="6" t="n">
        <v>0</v>
      </c>
      <c r="AH529" s="6" t="n">
        <v>0</v>
      </c>
      <c r="AI529" s="6" t="inlineStr">
        <is>
          <t>Reserva importada do sistema Gover. Id: 4619813</t>
        </is>
      </c>
      <c r="AJ529" s="6" t="inlineStr">
        <is>
          <t>Fornecedor não preenchido! (ACC01)</t>
        </is>
      </c>
      <c r="AK529" s="6" t="inlineStr">
        <is>
          <t>GOVER</t>
        </is>
      </c>
      <c r="AL529" s="6" t="inlineStr">
        <is>
          <t>Falta de Fornecedor</t>
        </is>
      </c>
      <c r="AM529" s="6" t="inlineStr">
        <is>
          <t>Campo Fornecedor</t>
        </is>
      </c>
      <c r="AN529" s="6" t="inlineStr">
        <is>
          <t>Dados do Fornecedor</t>
        </is>
      </c>
      <c r="AO529" s="6" t="inlineStr">
        <is>
          <t>Sistêmico</t>
        </is>
      </c>
      <c r="AP529" s="6" t="inlineStr">
        <is>
          <t>GRUPO KONTIK</t>
        </is>
      </c>
      <c r="AQ529" s="6" t="inlineStr">
        <is>
          <t>Suporte Benner</t>
        </is>
      </c>
    </row>
    <row r="530">
      <c r="A530" s="6" t="n">
        <v>23380465</v>
      </c>
      <c r="B530" s="6" t="n">
        <v>24104156</v>
      </c>
      <c r="C530" s="6" t="inlineStr">
        <is>
          <t>ACC01</t>
        </is>
      </c>
      <c r="D530" s="58" t="n">
        <v>45985.70395833333</v>
      </c>
      <c r="E530" s="58" t="n">
        <v>45985.70628472222</v>
      </c>
      <c r="F530" s="6" t="inlineStr">
        <is>
          <t>0 a 02 dias</t>
        </is>
      </c>
      <c r="G530" s="6" t="inlineStr">
        <is>
          <t>0 a 02 dias</t>
        </is>
      </c>
      <c r="H530" s="6" t="inlineStr">
        <is>
          <t>ULKBML</t>
        </is>
      </c>
      <c r="I530" s="6" t="inlineStr">
        <is>
          <t>TMS</t>
        </is>
      </c>
      <c r="J530" s="6" t="inlineStr">
        <is>
          <t>CHRISTIAN BRITO</t>
        </is>
      </c>
      <c r="K530" s="6" t="inlineStr">
        <is>
          <t>Mariane Goncalves dos Santos</t>
        </is>
      </c>
      <c r="L530" s="6" t="inlineStr">
        <is>
          <t>Mariane Goncalves dos Santos</t>
        </is>
      </c>
      <c r="M530" s="58" t="n">
        <v>45985.68194444444</v>
      </c>
      <c r="N530" s="6" t="n">
        <v>4953</v>
      </c>
      <c r="O530" s="6" t="inlineStr">
        <is>
          <t>-</t>
        </is>
      </c>
      <c r="P530" s="6" t="inlineStr">
        <is>
          <t>ON LINE</t>
        </is>
      </c>
      <c r="Q530" s="6" t="inlineStr">
        <is>
          <t>Cartão de crédito</t>
        </is>
      </c>
      <c r="R530" s="6" t="inlineStr">
        <is>
          <t>Cartão de crédito</t>
        </is>
      </c>
      <c r="S530" s="6" t="inlineStr">
        <is>
          <t>Aéreo</t>
        </is>
      </c>
      <c r="T530" s="6" t="inlineStr">
        <is>
          <t>N</t>
        </is>
      </c>
      <c r="U530" s="6" t="inlineStr">
        <is>
          <t>Grupo Airbus/helibras</t>
        </is>
      </c>
      <c r="V530" s="6" t="inlineStr">
        <is>
          <t>Airbus</t>
        </is>
      </c>
      <c r="W530" s="6" t="inlineStr">
        <is>
          <t>-</t>
        </is>
      </c>
      <c r="X530" s="6" t="inlineStr">
        <is>
          <t>Air France</t>
        </is>
      </c>
      <c r="Y530" s="6" t="n">
        <v>5580661750</v>
      </c>
      <c r="Z530" s="6" t="inlineStr">
        <is>
          <t>KON-OPE-SAO-PVI-BTC-ARGO</t>
        </is>
      </c>
      <c r="AA530" s="6" t="inlineStr">
        <is>
          <t>-</t>
        </is>
      </c>
      <c r="AB530" s="6" t="n">
        <v>14445.73</v>
      </c>
      <c r="AC530" s="6" t="n">
        <v>310.25</v>
      </c>
      <c r="AD530" s="6" t="n">
        <v>0</v>
      </c>
      <c r="AE530" s="6" t="n">
        <v>280.36</v>
      </c>
      <c r="AF530" s="6" t="n">
        <v>0</v>
      </c>
      <c r="AG530" s="6" t="n">
        <v>0</v>
      </c>
      <c r="AH530" s="6" t="n">
        <v>0</v>
      </c>
      <c r="AI530" s="6" t="inlineStr">
        <is>
          <t>Reserva importada do Sistema TMS. OS: 4953</t>
        </is>
      </c>
      <c r="AJ530" s="6" t="inlineStr">
        <is>
          <t>Autorização do cartão da forma de pagamento não preenchida! (ACC01) Autorização do cartão da forma de recebimento não preenchida! (ACC01)</t>
        </is>
      </c>
      <c r="AK530" s="6" t="inlineStr">
        <is>
          <t>ARGO(TMS)</t>
        </is>
      </c>
      <c r="AL530" s="6" t="inlineStr">
        <is>
          <t>Mais de um campo não preenchido</t>
        </is>
      </c>
      <c r="AM530" s="6" t="inlineStr">
        <is>
          <t>Falta de informação Gerencial</t>
        </is>
      </c>
      <c r="AN530" s="6" t="inlineStr">
        <is>
          <t>Dados do Fornecedor</t>
        </is>
      </c>
      <c r="AO530" s="6" t="inlineStr">
        <is>
          <t>Qualidade dos dados</t>
        </is>
      </c>
      <c r="AP530" s="6" t="inlineStr">
        <is>
          <t>KONTIK BUSINESS TRAVEL</t>
        </is>
      </c>
      <c r="AQ530" s="6" t="inlineStr">
        <is>
          <t>Operações - CORP</t>
        </is>
      </c>
    </row>
    <row r="531">
      <c r="A531" s="6" t="n">
        <v>23266970</v>
      </c>
      <c r="B531" s="6" t="n">
        <v>23999496</v>
      </c>
      <c r="C531" s="6" t="inlineStr">
        <is>
          <t>ACC01</t>
        </is>
      </c>
      <c r="D531" s="58" t="n">
        <v>45966.94895833333</v>
      </c>
      <c r="E531" s="58" t="n">
        <v>45966.97112268519</v>
      </c>
      <c r="F531" s="59" t="inlineStr">
        <is>
          <t>16 a 23 dias</t>
        </is>
      </c>
      <c r="G531" s="59" t="inlineStr">
        <is>
          <t>16 a 23 dias</t>
        </is>
      </c>
      <c r="H531" s="6" t="inlineStr">
        <is>
          <t>5RINKE</t>
        </is>
      </c>
      <c r="I531" s="6" t="inlineStr">
        <is>
          <t>TMS</t>
        </is>
      </c>
      <c r="J531" s="6" t="inlineStr">
        <is>
          <t>WELLINGTON CÂMARA JUNIOR</t>
        </is>
      </c>
      <c r="K531" s="6" t="inlineStr">
        <is>
          <t>Mariane Goncalves dos Santos</t>
        </is>
      </c>
      <c r="L531" s="6" t="inlineStr">
        <is>
          <t>Mariane Goncalves dos Santos</t>
        </is>
      </c>
      <c r="M531" s="58" t="n">
        <v>45966.73611111111</v>
      </c>
      <c r="N531" s="6" t="n">
        <v>4685</v>
      </c>
      <c r="O531" s="6" t="inlineStr">
        <is>
          <t>-</t>
        </is>
      </c>
      <c r="P531" s="6" t="inlineStr">
        <is>
          <t>OFF LINE</t>
        </is>
      </c>
      <c r="Q531" s="6" t="inlineStr">
        <is>
          <t>Invoice</t>
        </is>
      </c>
      <c r="R531" s="6" t="inlineStr">
        <is>
          <t>Faturado</t>
        </is>
      </c>
      <c r="S531" s="6" t="inlineStr">
        <is>
          <t>Serviço</t>
        </is>
      </c>
      <c r="T531" s="6" t="inlineStr">
        <is>
          <t>N</t>
        </is>
      </c>
      <c r="U531" s="6" t="inlineStr">
        <is>
          <t>Grupo Airbus/helibras</t>
        </is>
      </c>
      <c r="V531" s="6" t="inlineStr">
        <is>
          <t>Helibras</t>
        </is>
      </c>
      <c r="W531" s="6" t="inlineStr">
        <is>
          <t>-</t>
        </is>
      </c>
      <c r="X531" s="6" t="inlineStr">
        <is>
          <t>-</t>
        </is>
      </c>
      <c r="Y531" s="6" t="inlineStr">
        <is>
          <t>-</t>
        </is>
      </c>
      <c r="Z531" s="6" t="inlineStr">
        <is>
          <t>KON-OPE-SAO-PVI-BTC-ARGO</t>
        </is>
      </c>
      <c r="AA531" s="6" t="inlineStr">
        <is>
          <t>-</t>
        </is>
      </c>
      <c r="AB531" s="6" t="n">
        <v>85</v>
      </c>
      <c r="AC531" s="6" t="n">
        <v>0</v>
      </c>
      <c r="AD531" s="6" t="n">
        <v>0</v>
      </c>
      <c r="AE531" s="6" t="n">
        <v>0</v>
      </c>
      <c r="AF531" s="6" t="n">
        <v>0</v>
      </c>
      <c r="AG531" s="6" t="n">
        <v>0</v>
      </c>
      <c r="AH531" s="6" t="n">
        <v>0</v>
      </c>
      <c r="AI531" s="6" t="inlineStr">
        <is>
          <t>Reserva importada do Sistema TMS. OS: 4685</t>
        </is>
      </c>
      <c r="AJ531" s="6" t="inlineStr">
        <is>
          <t>Fornecedor não preenchido! (ACC01)</t>
        </is>
      </c>
      <c r="AK531" s="6" t="inlineStr">
        <is>
          <t>ARGO(TMS)</t>
        </is>
      </c>
      <c r="AL531" s="6" t="inlineStr">
        <is>
          <t>Falta de Fornecedor</t>
        </is>
      </c>
      <c r="AM531" s="6" t="inlineStr">
        <is>
          <t>Campo Fornecedor</t>
        </is>
      </c>
      <c r="AN531" s="6" t="inlineStr">
        <is>
          <t>Dados do Fornecedor</t>
        </is>
      </c>
      <c r="AO531" s="6" t="inlineStr">
        <is>
          <t>Qualidade dos dados</t>
        </is>
      </c>
      <c r="AP531" s="6" t="inlineStr">
        <is>
          <t>KONTIK BUSINESS TRAVEL</t>
        </is>
      </c>
      <c r="AQ531" s="6" t="inlineStr">
        <is>
          <t>Suporte KCS</t>
        </is>
      </c>
    </row>
    <row r="532">
      <c r="A532" s="6" t="n">
        <v>23367671</v>
      </c>
      <c r="B532" s="6" t="n">
        <v>24093664</v>
      </c>
      <c r="C532" s="6" t="inlineStr">
        <is>
          <t>ACC01</t>
        </is>
      </c>
      <c r="D532" s="58" t="n">
        <v>45982.7456712963</v>
      </c>
      <c r="E532" s="58" t="n">
        <v>45982.75087962963</v>
      </c>
      <c r="F532" s="6" t="inlineStr">
        <is>
          <t>03 a 05 dias</t>
        </is>
      </c>
      <c r="G532" s="6" t="inlineStr">
        <is>
          <t>03 a 05 dias</t>
        </is>
      </c>
      <c r="H532" s="6" t="inlineStr">
        <is>
          <t>DBXRCGT</t>
        </is>
      </c>
      <c r="I532" s="6" t="inlineStr">
        <is>
          <t>SABRE</t>
        </is>
      </c>
      <c r="J532" s="6" t="inlineStr">
        <is>
          <t>FREITAS NETO/JOSE</t>
        </is>
      </c>
      <c r="K532" s="6" t="inlineStr">
        <is>
          <t>Ana Clara Brime</t>
        </is>
      </c>
      <c r="L532" s="6" t="inlineStr">
        <is>
          <t>Ana Clara Brime</t>
        </is>
      </c>
      <c r="M532" s="58" t="n">
        <v>45982.61944444444</v>
      </c>
      <c r="N532" s="6" t="inlineStr">
        <is>
          <t>LL9Q</t>
        </is>
      </c>
      <c r="O532" s="6" t="inlineStr">
        <is>
          <t>-</t>
        </is>
      </c>
      <c r="P532" s="6" t="inlineStr">
        <is>
          <t>OFF LINE</t>
        </is>
      </c>
      <c r="Q532" s="6" t="inlineStr">
        <is>
          <t>Cartão de crédito</t>
        </is>
      </c>
      <c r="R532" s="6" t="inlineStr">
        <is>
          <t>Cartão de crédito</t>
        </is>
      </c>
      <c r="S532" s="6" t="inlineStr">
        <is>
          <t>Hotel</t>
        </is>
      </c>
      <c r="T532" s="6" t="inlineStr">
        <is>
          <t>N</t>
        </is>
      </c>
      <c r="U532" s="6" t="inlineStr">
        <is>
          <t>Grupo Casas Bahia</t>
        </is>
      </c>
      <c r="V532" s="6" t="inlineStr">
        <is>
          <t>Grupo Casas Bahia S.a.</t>
        </is>
      </c>
      <c r="W532" s="6" t="inlineStr">
        <is>
          <t>-</t>
        </is>
      </c>
      <c r="X532" s="6" t="inlineStr">
        <is>
          <t>-</t>
        </is>
      </c>
      <c r="Y532" s="6" t="inlineStr">
        <is>
          <t>-</t>
        </is>
      </c>
      <c r="Z532" s="6" t="inlineStr">
        <is>
          <t>KON-OPE-RIO-PVI-CASAS BAHIA</t>
        </is>
      </c>
      <c r="AA532" s="6" t="inlineStr">
        <is>
          <t>-</t>
        </is>
      </c>
      <c r="AB532" s="6" t="n">
        <v>876</v>
      </c>
      <c r="AC532" s="6" t="n">
        <v>0</v>
      </c>
      <c r="AD532" s="6" t="n">
        <v>0</v>
      </c>
      <c r="AE532" s="6" t="n">
        <v>0</v>
      </c>
      <c r="AF532" s="6" t="n">
        <v>0</v>
      </c>
      <c r="AG532" s="6" t="n">
        <v>0</v>
      </c>
      <c r="AH532" s="6" t="n">
        <v>0</v>
      </c>
      <c r="AI532" s="6" t="inlineStr">
        <is>
          <t>Reserva importada por HubTravel</t>
        </is>
      </c>
      <c r="AJ532" s="6" t="inlineStr">
        <is>
          <t>Fornecedor não preenchido! (ACC01)</t>
        </is>
      </c>
      <c r="AK532" s="6" t="inlineStr">
        <is>
          <t>SABRE</t>
        </is>
      </c>
      <c r="AL532" s="6" t="inlineStr">
        <is>
          <t>Falta de Fornecedor</t>
        </is>
      </c>
      <c r="AM532" s="6" t="inlineStr">
        <is>
          <t>Campo Fornecedor</t>
        </is>
      </c>
      <c r="AN532" s="6" t="inlineStr">
        <is>
          <t>Dados do Fornecedor</t>
        </is>
      </c>
      <c r="AO532" s="6" t="inlineStr">
        <is>
          <t>Qualidade dos dados</t>
        </is>
      </c>
      <c r="AP532" s="6" t="inlineStr">
        <is>
          <t>KONTIK BUSINESS TRAVEL</t>
        </is>
      </c>
      <c r="AQ532" s="6" t="inlineStr">
        <is>
          <t>Suporte KCS</t>
        </is>
      </c>
    </row>
    <row r="533">
      <c r="A533" s="6" t="n">
        <v>23379989</v>
      </c>
      <c r="B533" s="6" t="n">
        <v>24103675</v>
      </c>
      <c r="C533" s="6" t="inlineStr">
        <is>
          <t>ACC01</t>
        </is>
      </c>
      <c r="D533" s="58" t="n">
        <v>45985.67771990741</v>
      </c>
      <c r="E533" s="58" t="n">
        <v>45985.68193287037</v>
      </c>
      <c r="F533" s="6" t="inlineStr">
        <is>
          <t>0 a 02 dias</t>
        </is>
      </c>
      <c r="G533" s="6" t="inlineStr">
        <is>
          <t>0 a 02 dias</t>
        </is>
      </c>
      <c r="H533" s="6" t="inlineStr">
        <is>
          <t>ISUVXWT</t>
        </is>
      </c>
      <c r="I533" s="6" t="inlineStr">
        <is>
          <t>SABRE</t>
        </is>
      </c>
      <c r="J533" s="6" t="inlineStr">
        <is>
          <t>ROCHA/MAIKON</t>
        </is>
      </c>
      <c r="K533" s="6" t="inlineStr">
        <is>
          <t>Ana Clara Brime</t>
        </is>
      </c>
      <c r="L533" s="6" t="inlineStr">
        <is>
          <t>Ana Clara Brime</t>
        </is>
      </c>
      <c r="M533" s="58" t="n">
        <v>45985.54930555556</v>
      </c>
      <c r="N533" s="6" t="inlineStr">
        <is>
          <t>LL9G</t>
        </is>
      </c>
      <c r="O533" s="6" t="inlineStr">
        <is>
          <t>-</t>
        </is>
      </c>
      <c r="P533" s="6" t="inlineStr">
        <is>
          <t>OFF LINE</t>
        </is>
      </c>
      <c r="Q533" s="6" t="inlineStr">
        <is>
          <t>Cartão de crédito</t>
        </is>
      </c>
      <c r="R533" s="6" t="inlineStr">
        <is>
          <t>Cartão de crédito</t>
        </is>
      </c>
      <c r="S533" s="6" t="inlineStr">
        <is>
          <t>Hotel</t>
        </is>
      </c>
      <c r="T533" s="6" t="inlineStr">
        <is>
          <t>N</t>
        </is>
      </c>
      <c r="U533" s="6" t="inlineStr">
        <is>
          <t>Grupo Casas Bahia</t>
        </is>
      </c>
      <c r="V533" s="6" t="inlineStr">
        <is>
          <t>Grupo Casas Bahia S.a.</t>
        </is>
      </c>
      <c r="W533" s="6" t="inlineStr">
        <is>
          <t>-</t>
        </is>
      </c>
      <c r="X533" s="6" t="inlineStr">
        <is>
          <t>-</t>
        </is>
      </c>
      <c r="Y533" s="6" t="inlineStr">
        <is>
          <t>-</t>
        </is>
      </c>
      <c r="Z533" s="6" t="inlineStr">
        <is>
          <t>KON-OPE-RIO-PVI-CASAS BAHIA</t>
        </is>
      </c>
      <c r="AA533" s="6" t="inlineStr">
        <is>
          <t>-</t>
        </is>
      </c>
      <c r="AB533" s="6" t="n">
        <v>339</v>
      </c>
      <c r="AC533" s="6" t="n">
        <v>0</v>
      </c>
      <c r="AD533" s="6" t="n">
        <v>0</v>
      </c>
      <c r="AE533" s="6" t="n">
        <v>0</v>
      </c>
      <c r="AF533" s="6" t="n">
        <v>0</v>
      </c>
      <c r="AG533" s="6" t="n">
        <v>0</v>
      </c>
      <c r="AH533" s="6" t="n">
        <v>0</v>
      </c>
      <c r="AI533" s="6" t="inlineStr">
        <is>
          <t>Reserva importada por HubTravel</t>
        </is>
      </c>
      <c r="AJ533" s="6" t="inlineStr">
        <is>
          <t>Fornecedor não preenchido! (ACC01)</t>
        </is>
      </c>
      <c r="AK533" s="6" t="inlineStr">
        <is>
          <t>SABRE</t>
        </is>
      </c>
      <c r="AL533" s="6" t="inlineStr">
        <is>
          <t>Falta de Fornecedor</t>
        </is>
      </c>
      <c r="AM533" s="6" t="inlineStr">
        <is>
          <t>Campo Fornecedor</t>
        </is>
      </c>
      <c r="AN533" s="6" t="inlineStr">
        <is>
          <t>Dados do Fornecedor</t>
        </is>
      </c>
      <c r="AO533" s="6" t="inlineStr">
        <is>
          <t>Qualidade dos dados</t>
        </is>
      </c>
      <c r="AP533" s="6" t="inlineStr">
        <is>
          <t>KONTIK BUSINESS TRAVEL</t>
        </is>
      </c>
      <c r="AQ533" s="6" t="inlineStr">
        <is>
          <t>Suporte KCS</t>
        </is>
      </c>
    </row>
    <row r="534">
      <c r="A534" s="6" t="n">
        <v>23380052</v>
      </c>
      <c r="B534" s="6" t="n">
        <v>24103740</v>
      </c>
      <c r="C534" s="6" t="inlineStr">
        <is>
          <t>ACC01</t>
        </is>
      </c>
      <c r="D534" s="58" t="n">
        <v>45985.69041666666</v>
      </c>
      <c r="E534" s="58" t="n">
        <v>45985.69417824074</v>
      </c>
      <c r="F534" s="6" t="inlineStr">
        <is>
          <t>0 a 02 dias</t>
        </is>
      </c>
      <c r="G534" s="6" t="inlineStr">
        <is>
          <t>0 a 02 dias</t>
        </is>
      </c>
      <c r="H534" s="6" t="inlineStr">
        <is>
          <t>OCYPHCT</t>
        </is>
      </c>
      <c r="I534" s="6" t="inlineStr">
        <is>
          <t>SABRE</t>
        </is>
      </c>
      <c r="J534" s="6" t="inlineStr">
        <is>
          <t>VERONESE/FABIANO</t>
        </is>
      </c>
      <c r="K534" s="6" t="inlineStr">
        <is>
          <t>Ana Clara Brime</t>
        </is>
      </c>
      <c r="L534" s="6" t="inlineStr">
        <is>
          <t>Ana Clara Brime</t>
        </is>
      </c>
      <c r="M534" s="58" t="n">
        <v>45985.55833333333</v>
      </c>
      <c r="N534" s="6" t="inlineStr">
        <is>
          <t>LLFK</t>
        </is>
      </c>
      <c r="O534" s="6" t="inlineStr">
        <is>
          <t>-</t>
        </is>
      </c>
      <c r="P534" s="6" t="inlineStr">
        <is>
          <t>OFF LINE</t>
        </is>
      </c>
      <c r="Q534" s="6" t="inlineStr">
        <is>
          <t>Cartão de crédito</t>
        </is>
      </c>
      <c r="R534" s="6" t="inlineStr">
        <is>
          <t>Cartão de crédito</t>
        </is>
      </c>
      <c r="S534" s="6" t="inlineStr">
        <is>
          <t>Hotel</t>
        </is>
      </c>
      <c r="T534" s="6" t="inlineStr">
        <is>
          <t>N</t>
        </is>
      </c>
      <c r="U534" s="6" t="inlineStr">
        <is>
          <t>Grupo Casas Bahia</t>
        </is>
      </c>
      <c r="V534" s="6" t="inlineStr">
        <is>
          <t>Grupo Casas Bahia S.a.</t>
        </is>
      </c>
      <c r="W534" s="6" t="inlineStr">
        <is>
          <t>-</t>
        </is>
      </c>
      <c r="X534" s="6" t="inlineStr">
        <is>
          <t>-</t>
        </is>
      </c>
      <c r="Y534" s="6" t="inlineStr">
        <is>
          <t>-</t>
        </is>
      </c>
      <c r="Z534" s="6" t="inlineStr">
        <is>
          <t>KON-OPE-RIO-PVI-CASAS BAHIA</t>
        </is>
      </c>
      <c r="AA534" s="6" t="inlineStr">
        <is>
          <t>-</t>
        </is>
      </c>
      <c r="AB534" s="6" t="n">
        <v>567</v>
      </c>
      <c r="AC534" s="6" t="n">
        <v>0</v>
      </c>
      <c r="AD534" s="6" t="n">
        <v>0</v>
      </c>
      <c r="AE534" s="6" t="n">
        <v>0</v>
      </c>
      <c r="AF534" s="6" t="n">
        <v>0</v>
      </c>
      <c r="AG534" s="6" t="n">
        <v>0</v>
      </c>
      <c r="AH534" s="6" t="n">
        <v>0</v>
      </c>
      <c r="AI534" s="6" t="inlineStr">
        <is>
          <t>Reserva importada por HubTravel</t>
        </is>
      </c>
      <c r="AJ534" s="6" t="inlineStr">
        <is>
          <t>Fornecedor não preenchido! (ACC01)</t>
        </is>
      </c>
      <c r="AK534" s="6" t="inlineStr">
        <is>
          <t>SABRE</t>
        </is>
      </c>
      <c r="AL534" s="6" t="inlineStr">
        <is>
          <t>Falta de Fornecedor</t>
        </is>
      </c>
      <c r="AM534" s="6" t="inlineStr">
        <is>
          <t>Campo Fornecedor</t>
        </is>
      </c>
      <c r="AN534" s="6" t="inlineStr">
        <is>
          <t>Dados do Fornecedor</t>
        </is>
      </c>
      <c r="AO534" s="6" t="inlineStr">
        <is>
          <t>Qualidade dos dados</t>
        </is>
      </c>
      <c r="AP534" s="6" t="inlineStr">
        <is>
          <t>KONTIK BUSINESS TRAVEL</t>
        </is>
      </c>
      <c r="AQ534" s="6" t="inlineStr">
        <is>
          <t>Suporte KCS</t>
        </is>
      </c>
    </row>
    <row r="535">
      <c r="A535" s="6" t="n">
        <v>23381278</v>
      </c>
      <c r="B535" s="6" t="n">
        <v>24104992</v>
      </c>
      <c r="C535" s="6" t="inlineStr">
        <is>
          <t>ACC01</t>
        </is>
      </c>
      <c r="D535" s="58" t="n">
        <v>45985.7458912037</v>
      </c>
      <c r="E535" s="58" t="n">
        <v>45985.75094907408</v>
      </c>
      <c r="F535" s="6" t="inlineStr">
        <is>
          <t>0 a 02 dias</t>
        </is>
      </c>
      <c r="G535" s="6" t="inlineStr">
        <is>
          <t>0 a 02 dias</t>
        </is>
      </c>
      <c r="H535" s="6" t="inlineStr">
        <is>
          <t>LNOSYFT</t>
        </is>
      </c>
      <c r="I535" s="6" t="inlineStr">
        <is>
          <t>SABRE</t>
        </is>
      </c>
      <c r="J535" s="6" t="inlineStr">
        <is>
          <t>SILVA/FELIPE</t>
        </is>
      </c>
      <c r="K535" s="6" t="inlineStr">
        <is>
          <t>Ana Clara Brime</t>
        </is>
      </c>
      <c r="L535" s="6" t="inlineStr">
        <is>
          <t>Ana Clara Brime</t>
        </is>
      </c>
      <c r="M535" s="58" t="n">
        <v>45985.61666666667</v>
      </c>
      <c r="N535" s="6" t="inlineStr">
        <is>
          <t>LL9F</t>
        </is>
      </c>
      <c r="O535" s="6" t="inlineStr">
        <is>
          <t>-</t>
        </is>
      </c>
      <c r="P535" s="6" t="inlineStr">
        <is>
          <t>OFF LINE</t>
        </is>
      </c>
      <c r="Q535" s="6" t="inlineStr">
        <is>
          <t>Cartão de crédito</t>
        </is>
      </c>
      <c r="R535" s="6" t="inlineStr">
        <is>
          <t>Cartão de crédito</t>
        </is>
      </c>
      <c r="S535" s="6" t="inlineStr">
        <is>
          <t>Hotel</t>
        </is>
      </c>
      <c r="T535" s="6" t="inlineStr">
        <is>
          <t>N</t>
        </is>
      </c>
      <c r="U535" s="6" t="inlineStr">
        <is>
          <t>Grupo Casas Bahia</t>
        </is>
      </c>
      <c r="V535" s="6" t="inlineStr">
        <is>
          <t>Grupo Casas Bahia S.a.</t>
        </is>
      </c>
      <c r="W535" s="6" t="inlineStr">
        <is>
          <t>-</t>
        </is>
      </c>
      <c r="X535" s="6" t="inlineStr">
        <is>
          <t>-</t>
        </is>
      </c>
      <c r="Y535" s="6" t="inlineStr">
        <is>
          <t>-</t>
        </is>
      </c>
      <c r="Z535" s="6" t="inlineStr">
        <is>
          <t>KON-OPE-RIO-PVI-CASAS BAHIA</t>
        </is>
      </c>
      <c r="AA535" s="6" t="inlineStr">
        <is>
          <t>-</t>
        </is>
      </c>
      <c r="AB535" s="6" t="n">
        <v>339</v>
      </c>
      <c r="AC535" s="6" t="n">
        <v>0</v>
      </c>
      <c r="AD535" s="6" t="n">
        <v>0</v>
      </c>
      <c r="AE535" s="6" t="n">
        <v>0</v>
      </c>
      <c r="AF535" s="6" t="n">
        <v>0</v>
      </c>
      <c r="AG535" s="6" t="n">
        <v>0</v>
      </c>
      <c r="AH535" s="6" t="n">
        <v>0</v>
      </c>
      <c r="AI535" s="6" t="inlineStr">
        <is>
          <t>Reserva importada por HubTravel</t>
        </is>
      </c>
      <c r="AJ535" s="6" t="inlineStr">
        <is>
          <t>Fornecedor não preenchido! (ACC01)</t>
        </is>
      </c>
      <c r="AK535" s="6" t="inlineStr">
        <is>
          <t>SABRE</t>
        </is>
      </c>
      <c r="AL535" s="6" t="inlineStr">
        <is>
          <t>Falta de Fornecedor</t>
        </is>
      </c>
      <c r="AM535" s="6" t="inlineStr">
        <is>
          <t>Campo Fornecedor</t>
        </is>
      </c>
      <c r="AN535" s="6" t="inlineStr">
        <is>
          <t>Dados do Fornecedor</t>
        </is>
      </c>
      <c r="AO535" s="6" t="inlineStr">
        <is>
          <t>Qualidade dos dados</t>
        </is>
      </c>
      <c r="AP535" s="6" t="inlineStr">
        <is>
          <t>KONTIK BUSINESS TRAVEL</t>
        </is>
      </c>
      <c r="AQ535" s="6" t="inlineStr">
        <is>
          <t>Suporte KCS</t>
        </is>
      </c>
    </row>
    <row r="536">
      <c r="A536" s="6" t="n">
        <v>23228093</v>
      </c>
      <c r="B536" s="6" t="n">
        <v>23963104</v>
      </c>
      <c r="C536" s="6" t="inlineStr">
        <is>
          <t>ACC01</t>
        </is>
      </c>
      <c r="D536" s="58" t="n">
        <v>45961.04239583333</v>
      </c>
      <c r="E536" s="58" t="n">
        <v>45985.72115740741</v>
      </c>
      <c r="F536" s="6" t="inlineStr">
        <is>
          <t>0 a 02 dias</t>
        </is>
      </c>
      <c r="G536" s="6" t="inlineStr">
        <is>
          <t>24 a 31 dias</t>
        </is>
      </c>
      <c r="H536" s="6" t="inlineStr">
        <is>
          <t>QQZQPOT</t>
        </is>
      </c>
      <c r="I536" s="6" t="inlineStr">
        <is>
          <t>SABRE</t>
        </is>
      </c>
      <c r="J536" s="6" t="inlineStr">
        <is>
          <t>GALVAO/SUELI</t>
        </is>
      </c>
      <c r="K536" s="6" t="inlineStr">
        <is>
          <t>Ana Clara Brime</t>
        </is>
      </c>
      <c r="L536" s="6" t="inlineStr">
        <is>
          <t>Ana Clara Brime</t>
        </is>
      </c>
      <c r="M536" s="58" t="n">
        <v>45960.72569444445</v>
      </c>
      <c r="N536" s="6" t="inlineStr">
        <is>
          <t>LJQV</t>
        </is>
      </c>
      <c r="O536" s="6" t="inlineStr">
        <is>
          <t>-</t>
        </is>
      </c>
      <c r="P536" s="6" t="inlineStr">
        <is>
          <t>OFF LINE</t>
        </is>
      </c>
      <c r="Q536" s="6" t="inlineStr">
        <is>
          <t>Cartão de crédito</t>
        </is>
      </c>
      <c r="R536" s="6" t="inlineStr">
        <is>
          <t>Cartão de crédito</t>
        </is>
      </c>
      <c r="S536" s="6" t="inlineStr">
        <is>
          <t>Hotel</t>
        </is>
      </c>
      <c r="T536" s="6" t="inlineStr">
        <is>
          <t>N</t>
        </is>
      </c>
      <c r="U536" s="6" t="inlineStr">
        <is>
          <t>Grupo Casas Bahia</t>
        </is>
      </c>
      <c r="V536" s="6" t="inlineStr">
        <is>
          <t>Grupo Casas Bahia S.a.</t>
        </is>
      </c>
      <c r="W536" s="6" t="inlineStr">
        <is>
          <t>-</t>
        </is>
      </c>
      <c r="X536" s="6" t="inlineStr">
        <is>
          <t>Bogari Hotel Foz do Iguacu</t>
        </is>
      </c>
      <c r="Y536" s="6" t="inlineStr">
        <is>
          <t>-</t>
        </is>
      </c>
      <c r="Z536" s="6" t="inlineStr">
        <is>
          <t>KON-OPE-RIO-PVI-CASAS BAHIA</t>
        </is>
      </c>
      <c r="AA536" s="6" t="inlineStr">
        <is>
          <t>-</t>
        </is>
      </c>
      <c r="AB536" s="6" t="n">
        <v>378</v>
      </c>
      <c r="AC536" s="6" t="n">
        <v>0</v>
      </c>
      <c r="AD536" s="6" t="n">
        <v>0</v>
      </c>
      <c r="AE536" s="6" t="n">
        <v>0</v>
      </c>
      <c r="AF536" s="6" t="n">
        <v>0</v>
      </c>
      <c r="AG536" s="6" t="n">
        <v>0</v>
      </c>
      <c r="AH536" s="6" t="n">
        <v>0</v>
      </c>
      <c r="AI536" s="6" t="inlineStr">
        <is>
          <t>Reserva importada por HubTravel</t>
        </is>
      </c>
      <c r="AJ536" s="6" t="inlineStr">
        <is>
          <t>Fornecedor não preenchido! (ACC02)</t>
        </is>
      </c>
      <c r="AK536" s="6" t="inlineStr">
        <is>
          <t>SABRE</t>
        </is>
      </c>
      <c r="AL536" s="6" t="inlineStr">
        <is>
          <t>Falta de Fornecedor</t>
        </is>
      </c>
      <c r="AM536" s="6" t="inlineStr">
        <is>
          <t>Campo Fornecedor</t>
        </is>
      </c>
      <c r="AN536" s="6" t="inlineStr">
        <is>
          <t>Dados do Fornecedor</t>
        </is>
      </c>
      <c r="AO536" s="6" t="inlineStr">
        <is>
          <t>Qualidade dos dados</t>
        </is>
      </c>
      <c r="AP536" s="6" t="inlineStr">
        <is>
          <t>KONTIK BUSINESS TRAVEL</t>
        </is>
      </c>
      <c r="AQ536" s="6" t="inlineStr">
        <is>
          <t>Suporte KCS</t>
        </is>
      </c>
    </row>
    <row r="537">
      <c r="A537" s="6" t="n">
        <v>23228093</v>
      </c>
      <c r="B537" s="6" t="n">
        <v>23963105</v>
      </c>
      <c r="C537" s="6" t="inlineStr">
        <is>
          <t>ACC02</t>
        </is>
      </c>
      <c r="D537" s="58" t="n">
        <v>45961.04239583333</v>
      </c>
      <c r="E537" s="58" t="n">
        <v>45985.72115740741</v>
      </c>
      <c r="F537" s="6" t="inlineStr">
        <is>
          <t>0 a 02 dias</t>
        </is>
      </c>
      <c r="G537" s="6" t="inlineStr">
        <is>
          <t>24 a 31 dias</t>
        </is>
      </c>
      <c r="H537" s="6" t="inlineStr">
        <is>
          <t>QQZQPOT</t>
        </is>
      </c>
      <c r="I537" s="6" t="inlineStr">
        <is>
          <t>SABRE</t>
        </is>
      </c>
      <c r="J537" s="6" t="inlineStr">
        <is>
          <t>GALVAO/SUELI</t>
        </is>
      </c>
      <c r="K537" s="6" t="inlineStr">
        <is>
          <t>Ana Clara Brime</t>
        </is>
      </c>
      <c r="L537" s="6" t="inlineStr">
        <is>
          <t>Ana Clara Brime</t>
        </is>
      </c>
      <c r="M537" s="58" t="n">
        <v>45960.72569444445</v>
      </c>
      <c r="N537" s="6" t="inlineStr">
        <is>
          <t>QQZQPO</t>
        </is>
      </c>
      <c r="O537" s="6" t="inlineStr">
        <is>
          <t>-</t>
        </is>
      </c>
      <c r="P537" s="6" t="inlineStr">
        <is>
          <t>OFF LINE</t>
        </is>
      </c>
      <c r="Q537" s="6" t="inlineStr">
        <is>
          <t>Cartão de crédito</t>
        </is>
      </c>
      <c r="R537" s="6" t="inlineStr">
        <is>
          <t>Cartão de crédito</t>
        </is>
      </c>
      <c r="S537" s="6" t="inlineStr">
        <is>
          <t>Hotel</t>
        </is>
      </c>
      <c r="T537" s="6" t="inlineStr">
        <is>
          <t>N</t>
        </is>
      </c>
      <c r="U537" s="6" t="inlineStr">
        <is>
          <t>Grupo Casas Bahia</t>
        </is>
      </c>
      <c r="V537" s="6" t="inlineStr">
        <is>
          <t>Grupo Casas Bahia S.a.</t>
        </is>
      </c>
      <c r="W537" s="6" t="inlineStr">
        <is>
          <t>-</t>
        </is>
      </c>
      <c r="X537" s="6" t="inlineStr">
        <is>
          <t>-</t>
        </is>
      </c>
      <c r="Y537" s="6" t="inlineStr">
        <is>
          <t>-</t>
        </is>
      </c>
      <c r="Z537" s="6" t="inlineStr">
        <is>
          <t>KON-OPE-RIO-PVI-CASAS BAHIA</t>
        </is>
      </c>
      <c r="AA537" s="6" t="inlineStr">
        <is>
          <t>-</t>
        </is>
      </c>
      <c r="AB537" s="6" t="n">
        <v>280</v>
      </c>
      <c r="AC537" s="6" t="n">
        <v>0</v>
      </c>
      <c r="AD537" s="6" t="n">
        <v>0</v>
      </c>
      <c r="AE537" s="6" t="n">
        <v>0</v>
      </c>
      <c r="AF537" s="6" t="n">
        <v>0</v>
      </c>
      <c r="AG537" s="6" t="n">
        <v>0</v>
      </c>
      <c r="AH537" s="6" t="n">
        <v>0</v>
      </c>
      <c r="AI537" s="6" t="inlineStr">
        <is>
          <t>Reserva importada por HubTravel</t>
        </is>
      </c>
      <c r="AJ537" s="6" t="inlineStr">
        <is>
          <t>Fornecedor não preenchido! (ACC02)</t>
        </is>
      </c>
      <c r="AK537" s="6" t="inlineStr">
        <is>
          <t>SABRE</t>
        </is>
      </c>
      <c r="AL537" s="6" t="inlineStr">
        <is>
          <t>Falta de Fornecedor</t>
        </is>
      </c>
      <c r="AM537" s="6" t="inlineStr">
        <is>
          <t>Campo Fornecedor</t>
        </is>
      </c>
      <c r="AN537" s="6" t="inlineStr">
        <is>
          <t>Dados do Fornecedor</t>
        </is>
      </c>
      <c r="AO537" s="6" t="inlineStr">
        <is>
          <t>Qualidade dos dados</t>
        </is>
      </c>
      <c r="AP537" s="6" t="inlineStr">
        <is>
          <t>KONTIK BUSINESS TRAVEL</t>
        </is>
      </c>
      <c r="AQ537" s="6" t="inlineStr">
        <is>
          <t>Suporte KCS</t>
        </is>
      </c>
    </row>
    <row r="538">
      <c r="A538" s="6" t="n">
        <v>23356139</v>
      </c>
      <c r="B538" s="6" t="n">
        <v>24083129</v>
      </c>
      <c r="C538" s="6" t="inlineStr">
        <is>
          <t>ACC01</t>
        </is>
      </c>
      <c r="D538" s="58" t="n">
        <v>45980.73939814815</v>
      </c>
      <c r="E538" s="58" t="n">
        <v>45980.74388888889</v>
      </c>
      <c r="F538" s="6" t="inlineStr">
        <is>
          <t>06 a 08 dias</t>
        </is>
      </c>
      <c r="G538" s="6" t="inlineStr">
        <is>
          <t>06 a 08 dias</t>
        </is>
      </c>
      <c r="H538" s="6" t="inlineStr">
        <is>
          <t>GGUNDCT</t>
        </is>
      </c>
      <c r="I538" s="6" t="inlineStr">
        <is>
          <t>SABRE</t>
        </is>
      </c>
      <c r="J538" s="6" t="inlineStr">
        <is>
          <t>SANTOS/JORDANIA</t>
        </is>
      </c>
      <c r="K538" s="6" t="inlineStr">
        <is>
          <t>Ana Clara Brime</t>
        </is>
      </c>
      <c r="L538" s="6" t="inlineStr">
        <is>
          <t>Ana Clara Brime</t>
        </is>
      </c>
      <c r="M538" s="58" t="n">
        <v>45980.60833333333</v>
      </c>
      <c r="N538" s="6" t="inlineStr">
        <is>
          <t>LL3T</t>
        </is>
      </c>
      <c r="O538" s="6" t="inlineStr">
        <is>
          <t>-</t>
        </is>
      </c>
      <c r="P538" s="6" t="inlineStr">
        <is>
          <t>OFF LINE</t>
        </is>
      </c>
      <c r="Q538" s="6" t="inlineStr">
        <is>
          <t>Cartão de crédito</t>
        </is>
      </c>
      <c r="R538" s="6" t="inlineStr">
        <is>
          <t>Cartão de crédito</t>
        </is>
      </c>
      <c r="S538" s="6" t="inlineStr">
        <is>
          <t>Hotel</t>
        </is>
      </c>
      <c r="T538" s="6" t="inlineStr">
        <is>
          <t>N</t>
        </is>
      </c>
      <c r="U538" s="6" t="inlineStr">
        <is>
          <t>Grupo Casas Bahia</t>
        </is>
      </c>
      <c r="V538" s="6" t="inlineStr">
        <is>
          <t>Grupo Casas Bahia S.a.</t>
        </is>
      </c>
      <c r="W538" s="6" t="inlineStr">
        <is>
          <t>-</t>
        </is>
      </c>
      <c r="X538" s="6" t="inlineStr">
        <is>
          <t>-</t>
        </is>
      </c>
      <c r="Y538" s="6" t="inlineStr">
        <is>
          <t>-</t>
        </is>
      </c>
      <c r="Z538" s="6" t="inlineStr">
        <is>
          <t>KON-OPE-RIO-PVI-CASAS BAHIA</t>
        </is>
      </c>
      <c r="AA538" s="6" t="inlineStr">
        <is>
          <t>-</t>
        </is>
      </c>
      <c r="AB538" s="6" t="n">
        <v>80</v>
      </c>
      <c r="AC538" s="6" t="n">
        <v>0</v>
      </c>
      <c r="AD538" s="6" t="n">
        <v>0</v>
      </c>
      <c r="AE538" s="6" t="n">
        <v>0</v>
      </c>
      <c r="AF538" s="6" t="n">
        <v>0</v>
      </c>
      <c r="AG538" s="6" t="n">
        <v>0</v>
      </c>
      <c r="AH538" s="6" t="n">
        <v>0</v>
      </c>
      <c r="AI538" s="6" t="inlineStr">
        <is>
          <t>Reserva importada por HubTravel</t>
        </is>
      </c>
      <c r="AJ538" s="6" t="inlineStr">
        <is>
          <t>Fornecedor não preenchido! (ACC01)</t>
        </is>
      </c>
      <c r="AK538" s="6" t="inlineStr">
        <is>
          <t>SABRE</t>
        </is>
      </c>
      <c r="AL538" s="6" t="inlineStr">
        <is>
          <t>Falta de Fornecedor</t>
        </is>
      </c>
      <c r="AM538" s="6" t="inlineStr">
        <is>
          <t>Campo Fornecedor</t>
        </is>
      </c>
      <c r="AN538" s="6" t="inlineStr">
        <is>
          <t>Dados do Fornecedor</t>
        </is>
      </c>
      <c r="AO538" s="6" t="inlineStr">
        <is>
          <t>Qualidade dos dados</t>
        </is>
      </c>
      <c r="AP538" s="6" t="inlineStr">
        <is>
          <t>KONTIK BUSINESS TRAVEL</t>
        </is>
      </c>
      <c r="AQ538" s="6" t="inlineStr">
        <is>
          <t>Suporte KCS</t>
        </is>
      </c>
    </row>
    <row r="539">
      <c r="A539" s="6" t="n">
        <v>23356140</v>
      </c>
      <c r="B539" s="6" t="n">
        <v>24083130</v>
      </c>
      <c r="C539" s="6" t="inlineStr">
        <is>
          <t>ACC01</t>
        </is>
      </c>
      <c r="D539" s="58" t="n">
        <v>45980.73943287037</v>
      </c>
      <c r="E539" s="58" t="n">
        <v>45982.71327546296</v>
      </c>
      <c r="F539" s="6" t="inlineStr">
        <is>
          <t>03 a 05 dias</t>
        </is>
      </c>
      <c r="G539" s="6" t="inlineStr">
        <is>
          <t>06 a 08 dias</t>
        </is>
      </c>
      <c r="H539" s="6" t="inlineStr">
        <is>
          <t>EDFKDCT</t>
        </is>
      </c>
      <c r="I539" s="6" t="inlineStr">
        <is>
          <t>SABRE</t>
        </is>
      </c>
      <c r="J539" s="6" t="inlineStr">
        <is>
          <t>FREITAS NETO/JOSE</t>
        </is>
      </c>
      <c r="K539" s="6" t="inlineStr">
        <is>
          <t>Ana Clara Brime</t>
        </is>
      </c>
      <c r="L539" s="6" t="inlineStr">
        <is>
          <t>Ana Clara Brime</t>
        </is>
      </c>
      <c r="M539" s="58" t="n">
        <v>45980.60972222222</v>
      </c>
      <c r="N539" s="6" t="inlineStr">
        <is>
          <t>LL4D</t>
        </is>
      </c>
      <c r="O539" s="6" t="inlineStr">
        <is>
          <t>-</t>
        </is>
      </c>
      <c r="P539" s="6" t="inlineStr">
        <is>
          <t>OFF LINE</t>
        </is>
      </c>
      <c r="Q539" s="6" t="inlineStr">
        <is>
          <t>Cartão de crédito</t>
        </is>
      </c>
      <c r="R539" s="6" t="inlineStr">
        <is>
          <t>Cartão de crédito</t>
        </is>
      </c>
      <c r="S539" s="6" t="inlineStr">
        <is>
          <t>Hotel</t>
        </is>
      </c>
      <c r="T539" s="6" t="inlineStr">
        <is>
          <t>S</t>
        </is>
      </c>
      <c r="U539" s="6" t="inlineStr">
        <is>
          <t>Grupo Casas Bahia</t>
        </is>
      </c>
      <c r="V539" s="6" t="inlineStr">
        <is>
          <t>Grupo Casas Bahia S.a.</t>
        </is>
      </c>
      <c r="W539" s="6" t="inlineStr">
        <is>
          <t>-</t>
        </is>
      </c>
      <c r="X539" s="6" t="inlineStr">
        <is>
          <t>-</t>
        </is>
      </c>
      <c r="Y539" s="6" t="inlineStr">
        <is>
          <t>-</t>
        </is>
      </c>
      <c r="Z539" s="6" t="inlineStr">
        <is>
          <t>KON-OPE-RIO-PVI-CASAS BAHIA</t>
        </is>
      </c>
      <c r="AA539" s="6" t="inlineStr">
        <is>
          <t>-</t>
        </is>
      </c>
      <c r="AB539" s="6" t="n">
        <v>160</v>
      </c>
      <c r="AC539" s="6" t="n">
        <v>0</v>
      </c>
      <c r="AD539" s="6" t="n">
        <v>0</v>
      </c>
      <c r="AE539" s="6" t="n">
        <v>0</v>
      </c>
      <c r="AF539" s="6" t="n">
        <v>0</v>
      </c>
      <c r="AG539" s="6" t="n">
        <v>0</v>
      </c>
      <c r="AH539" s="6" t="n">
        <v>0</v>
      </c>
      <c r="AI539" s="6" t="inlineStr">
        <is>
          <t>Reserva importada por HubTravel</t>
        </is>
      </c>
      <c r="AJ539" s="6" t="inlineStr">
        <is>
          <t>Fornecedor não preenchido! (ACC01)</t>
        </is>
      </c>
      <c r="AK539" s="6" t="inlineStr">
        <is>
          <t>SABRE</t>
        </is>
      </c>
      <c r="AL539" s="6" t="inlineStr">
        <is>
          <t>Falta de Fornecedor</t>
        </is>
      </c>
      <c r="AM539" s="6" t="inlineStr">
        <is>
          <t>Campo Fornecedor</t>
        </is>
      </c>
      <c r="AN539" s="6" t="inlineStr">
        <is>
          <t>Dados do Fornecedor</t>
        </is>
      </c>
      <c r="AO539" s="6" t="inlineStr">
        <is>
          <t>Qualidade dos dados</t>
        </is>
      </c>
      <c r="AP539" s="6" t="inlineStr">
        <is>
          <t>KONTIK BUSINESS TRAVEL</t>
        </is>
      </c>
      <c r="AQ539" s="6" t="inlineStr">
        <is>
          <t>Suporte KCS</t>
        </is>
      </c>
    </row>
    <row r="540">
      <c r="A540" s="6" t="n">
        <v>23367997</v>
      </c>
      <c r="B540" s="6" t="n">
        <v>24093988</v>
      </c>
      <c r="C540" s="6" t="inlineStr">
        <is>
          <t>ACC01</t>
        </is>
      </c>
      <c r="D540" s="58" t="n">
        <v>45982.8014699074</v>
      </c>
      <c r="E540" s="58" t="n">
        <v>45982.8065625</v>
      </c>
      <c r="F540" s="6" t="inlineStr">
        <is>
          <t>03 a 05 dias</t>
        </is>
      </c>
      <c r="G540" s="6" t="inlineStr">
        <is>
          <t>03 a 05 dias</t>
        </is>
      </c>
      <c r="H540" s="6" t="inlineStr">
        <is>
          <t>WVXAFOT</t>
        </is>
      </c>
      <c r="I540" s="6" t="inlineStr">
        <is>
          <t>SABRE</t>
        </is>
      </c>
      <c r="J540" s="6" t="inlineStr">
        <is>
          <t>CARVALHO/DANIEL</t>
        </is>
      </c>
      <c r="K540" s="6" t="inlineStr">
        <is>
          <t>NATALIA BARRAL DE OLIVEIRA</t>
        </is>
      </c>
      <c r="L540" s="6" t="inlineStr">
        <is>
          <t>NATALIA BARRAL DE OLIVEIRA</t>
        </is>
      </c>
      <c r="M540" s="58" t="n">
        <v>45982.66319444445</v>
      </c>
      <c r="N540" s="6" t="inlineStr">
        <is>
          <t>LL9X</t>
        </is>
      </c>
      <c r="O540" s="6" t="inlineStr">
        <is>
          <t>-</t>
        </is>
      </c>
      <c r="P540" s="6" t="inlineStr">
        <is>
          <t>OFF LINE</t>
        </is>
      </c>
      <c r="Q540" s="6" t="inlineStr">
        <is>
          <t>Cartão de crédito</t>
        </is>
      </c>
      <c r="R540" s="6" t="inlineStr">
        <is>
          <t>Cartão de crédito</t>
        </is>
      </c>
      <c r="S540" s="6" t="inlineStr">
        <is>
          <t>Hotel</t>
        </is>
      </c>
      <c r="T540" s="6" t="inlineStr">
        <is>
          <t>N</t>
        </is>
      </c>
      <c r="U540" s="6" t="inlineStr">
        <is>
          <t>Grupo Casas Bahia</t>
        </is>
      </c>
      <c r="V540" s="6" t="inlineStr">
        <is>
          <t>Grupo Casas Bahia S.a.</t>
        </is>
      </c>
      <c r="W540" s="6" t="inlineStr">
        <is>
          <t>-</t>
        </is>
      </c>
      <c r="X540" s="6" t="inlineStr">
        <is>
          <t>-</t>
        </is>
      </c>
      <c r="Y540" s="6" t="inlineStr">
        <is>
          <t>-</t>
        </is>
      </c>
      <c r="Z540" s="6" t="inlineStr">
        <is>
          <t>KON-OPE-RIO-PVI-CASAS BAHIA</t>
        </is>
      </c>
      <c r="AA540" s="6" t="inlineStr">
        <is>
          <t>-</t>
        </is>
      </c>
      <c r="AB540" s="6" t="n">
        <v>7341.6</v>
      </c>
      <c r="AC540" s="6" t="n">
        <v>0</v>
      </c>
      <c r="AD540" s="6" t="n">
        <v>0</v>
      </c>
      <c r="AE540" s="6" t="n">
        <v>0</v>
      </c>
      <c r="AF540" s="6" t="n">
        <v>0</v>
      </c>
      <c r="AG540" s="6" t="n">
        <v>0</v>
      </c>
      <c r="AH540" s="6" t="n">
        <v>0</v>
      </c>
      <c r="AI540" s="6" t="inlineStr">
        <is>
          <t>Reserva importada por HubTravel</t>
        </is>
      </c>
      <c r="AJ540" s="6" t="inlineStr">
        <is>
          <t>Fornecedor não preenchido! (ACC01)</t>
        </is>
      </c>
      <c r="AK540" s="6" t="inlineStr">
        <is>
          <t>SABRE</t>
        </is>
      </c>
      <c r="AL540" s="6" t="inlineStr">
        <is>
          <t>Falta de Fornecedor</t>
        </is>
      </c>
      <c r="AM540" s="6" t="inlineStr">
        <is>
          <t>Campo Fornecedor</t>
        </is>
      </c>
      <c r="AN540" s="6" t="inlineStr">
        <is>
          <t>Dados do Fornecedor</t>
        </is>
      </c>
      <c r="AO540" s="6" t="inlineStr">
        <is>
          <t>Qualidade dos dados</t>
        </is>
      </c>
      <c r="AP540" s="6" t="inlineStr">
        <is>
          <t>KONTIK BUSINESS TRAVEL</t>
        </is>
      </c>
      <c r="AQ540" s="6" t="inlineStr">
        <is>
          <t>Suporte KCS</t>
        </is>
      </c>
    </row>
    <row r="541">
      <c r="A541" s="6" t="n">
        <v>23379880</v>
      </c>
      <c r="B541" s="6" t="n">
        <v>24103569</v>
      </c>
      <c r="C541" s="6" t="inlineStr">
        <is>
          <t>ACC01</t>
        </is>
      </c>
      <c r="D541" s="58" t="n">
        <v>45985.66326388889</v>
      </c>
      <c r="E541" s="58" t="n">
        <v>45985.66828703704</v>
      </c>
      <c r="F541" s="6" t="inlineStr">
        <is>
          <t>0 a 02 dias</t>
        </is>
      </c>
      <c r="G541" s="6" t="inlineStr">
        <is>
          <t>0 a 02 dias</t>
        </is>
      </c>
      <c r="H541" s="6" t="inlineStr">
        <is>
          <t>WQETEGT</t>
        </is>
      </c>
      <c r="I541" s="6" t="inlineStr">
        <is>
          <t>SABRE</t>
        </is>
      </c>
      <c r="J541" s="6" t="inlineStr">
        <is>
          <t>ROCHA/MAIKON</t>
        </is>
      </c>
      <c r="K541" s="6" t="inlineStr">
        <is>
          <t>WU</t>
        </is>
      </c>
      <c r="L541" s="6" t="inlineStr">
        <is>
          <t>WU</t>
        </is>
      </c>
      <c r="M541" s="58" t="n">
        <v>45985.35902777778</v>
      </c>
      <c r="N541" s="6" t="inlineStr">
        <is>
          <t>WQETEG</t>
        </is>
      </c>
      <c r="O541" s="6" t="inlineStr">
        <is>
          <t>-</t>
        </is>
      </c>
      <c r="P541" s="6" t="inlineStr">
        <is>
          <t>ON LINE</t>
        </is>
      </c>
      <c r="Q541" s="6" t="inlineStr">
        <is>
          <t>Pagamento direto</t>
        </is>
      </c>
      <c r="R541" s="6" t="inlineStr">
        <is>
          <t>Pagamento direto</t>
        </is>
      </c>
      <c r="S541" s="6" t="inlineStr">
        <is>
          <t>Hotel</t>
        </is>
      </c>
      <c r="T541" s="6" t="inlineStr">
        <is>
          <t>N</t>
        </is>
      </c>
      <c r="U541" s="6" t="inlineStr">
        <is>
          <t>Grupo Casas Bahia</t>
        </is>
      </c>
      <c r="V541" s="6" t="inlineStr">
        <is>
          <t>Grupo Casas Bahia S.a.</t>
        </is>
      </c>
      <c r="W541" s="6" t="inlineStr">
        <is>
          <t>-</t>
        </is>
      </c>
      <c r="X541" s="6" t="inlineStr">
        <is>
          <t>-</t>
        </is>
      </c>
      <c r="Y541" s="6" t="inlineStr">
        <is>
          <t>-</t>
        </is>
      </c>
      <c r="Z541" s="6" t="inlineStr">
        <is>
          <t>KON-OPE-RIO-PVI-CASAS BAHIA</t>
        </is>
      </c>
      <c r="AA541" s="6" t="inlineStr">
        <is>
          <t>-</t>
        </is>
      </c>
      <c r="AB541" s="6" t="n">
        <v>489.86</v>
      </c>
      <c r="AC541" s="6" t="n">
        <v>0</v>
      </c>
      <c r="AD541" s="6" t="n">
        <v>0</v>
      </c>
      <c r="AE541" s="6" t="n">
        <v>0</v>
      </c>
      <c r="AF541" s="6" t="n">
        <v>0</v>
      </c>
      <c r="AG541" s="6" t="n">
        <v>0</v>
      </c>
      <c r="AH541" s="6" t="n">
        <v>0</v>
      </c>
      <c r="AI541" s="6" t="inlineStr">
        <is>
          <t>Reserva importada por HubTravel</t>
        </is>
      </c>
      <c r="AJ541" s="6" t="inlineStr">
        <is>
          <t>Fornecedor não preenchido! (ACC01)</t>
        </is>
      </c>
      <c r="AK541" s="6" t="inlineStr">
        <is>
          <t>SABRE</t>
        </is>
      </c>
      <c r="AL541" s="6" t="inlineStr">
        <is>
          <t>Falta de Fornecedor</t>
        </is>
      </c>
      <c r="AM541" s="6" t="inlineStr">
        <is>
          <t>Campo Fornecedor</t>
        </is>
      </c>
      <c r="AN541" s="6" t="inlineStr">
        <is>
          <t>Dados do Fornecedor</t>
        </is>
      </c>
      <c r="AO541" s="6" t="inlineStr">
        <is>
          <t>Qualidade dos dados</t>
        </is>
      </c>
      <c r="AP541" s="6" t="inlineStr">
        <is>
          <t>KONTIK BUSINESS TRAVEL</t>
        </is>
      </c>
      <c r="AQ541" s="6" t="inlineStr">
        <is>
          <t>Operações - CORP</t>
        </is>
      </c>
    </row>
    <row r="542">
      <c r="A542" s="6" t="n">
        <v>23379416</v>
      </c>
      <c r="B542" s="6" t="n">
        <v>24103115</v>
      </c>
      <c r="C542" s="6" t="inlineStr">
        <is>
          <t>ACC01</t>
        </is>
      </c>
      <c r="D542" s="58" t="n">
        <v>45985.57890046296</v>
      </c>
      <c r="E542" s="58" t="n">
        <v>45985.57943287037</v>
      </c>
      <c r="F542" s="6" t="inlineStr">
        <is>
          <t>0 a 02 dias</t>
        </is>
      </c>
      <c r="G542" s="6" t="inlineStr">
        <is>
          <t>0 a 02 dias</t>
        </is>
      </c>
      <c r="H542" s="6" t="inlineStr">
        <is>
          <t>MDQBSOT</t>
        </is>
      </c>
      <c r="I542" s="6" t="inlineStr">
        <is>
          <t>SABRE</t>
        </is>
      </c>
      <c r="J542" s="6" t="inlineStr">
        <is>
          <t>OLIVEIRA/HANNON</t>
        </is>
      </c>
      <c r="K542" s="6" t="inlineStr">
        <is>
          <t>WU</t>
        </is>
      </c>
      <c r="L542" s="6" t="inlineStr">
        <is>
          <t>WU</t>
        </is>
      </c>
      <c r="M542" s="58" t="n">
        <v>45982.37291666667</v>
      </c>
      <c r="N542" s="6" t="inlineStr">
        <is>
          <t>MDQBSO</t>
        </is>
      </c>
      <c r="O542" s="6" t="inlineStr">
        <is>
          <t>-</t>
        </is>
      </c>
      <c r="P542" s="6" t="inlineStr">
        <is>
          <t>ON LINE</t>
        </is>
      </c>
      <c r="Q542" s="6" t="inlineStr">
        <is>
          <t>Cartão de crédito</t>
        </is>
      </c>
      <c r="R542" s="6" t="inlineStr">
        <is>
          <t>Cartão de crédito</t>
        </is>
      </c>
      <c r="S542" s="6" t="inlineStr">
        <is>
          <t>Hotel</t>
        </is>
      </c>
      <c r="T542" s="6" t="inlineStr">
        <is>
          <t>N</t>
        </is>
      </c>
      <c r="U542" s="6" t="inlineStr">
        <is>
          <t>Grupo Casas Bahia</t>
        </is>
      </c>
      <c r="V542" s="6" t="inlineStr">
        <is>
          <t>Grupo Casas Bahia S.a.</t>
        </is>
      </c>
      <c r="W542" s="6" t="inlineStr">
        <is>
          <t>-</t>
        </is>
      </c>
      <c r="X542" s="6" t="inlineStr">
        <is>
          <t>-</t>
        </is>
      </c>
      <c r="Y542" s="6" t="inlineStr">
        <is>
          <t>-</t>
        </is>
      </c>
      <c r="Z542" s="6" t="inlineStr">
        <is>
          <t>KON-OPE-RIO-PVI-CASAS BAHIA</t>
        </is>
      </c>
      <c r="AA542" s="6" t="inlineStr">
        <is>
          <t>-</t>
        </is>
      </c>
      <c r="AB542" s="6" t="n">
        <v>291.02</v>
      </c>
      <c r="AC542" s="6" t="n">
        <v>0</v>
      </c>
      <c r="AD542" s="6" t="n">
        <v>0</v>
      </c>
      <c r="AE542" s="6" t="n">
        <v>0</v>
      </c>
      <c r="AF542" s="6" t="n">
        <v>0</v>
      </c>
      <c r="AG542" s="6" t="n">
        <v>0</v>
      </c>
      <c r="AH542" s="6" t="n">
        <v>0</v>
      </c>
      <c r="AI542" s="6" t="inlineStr">
        <is>
          <t>Reserva importada por HubTravel</t>
        </is>
      </c>
      <c r="AJ542" s="6" t="inlineStr">
        <is>
          <t>Fornecedor não preenchido! (ACC01)</t>
        </is>
      </c>
      <c r="AK542" s="6" t="inlineStr">
        <is>
          <t>SABRE</t>
        </is>
      </c>
      <c r="AL542" s="6" t="inlineStr">
        <is>
          <t>Falta de Fornecedor</t>
        </is>
      </c>
      <c r="AM542" s="6" t="inlineStr">
        <is>
          <t>Campo Fornecedor</t>
        </is>
      </c>
      <c r="AN542" s="6" t="inlineStr">
        <is>
          <t>Dados do Fornecedor</t>
        </is>
      </c>
      <c r="AO542" s="6" t="inlineStr">
        <is>
          <t>Qualidade dos dados</t>
        </is>
      </c>
      <c r="AP542" s="6" t="inlineStr">
        <is>
          <t>KONTIK BUSINESS TRAVEL</t>
        </is>
      </c>
      <c r="AQ542" s="6" t="inlineStr">
        <is>
          <t>Operações - CORP</t>
        </is>
      </c>
    </row>
    <row r="543">
      <c r="A543" s="6" t="n">
        <v>23379417</v>
      </c>
      <c r="B543" s="6" t="n">
        <v>24103116</v>
      </c>
      <c r="C543" s="6" t="inlineStr">
        <is>
          <t>ACC01</t>
        </is>
      </c>
      <c r="D543" s="58" t="n">
        <v>45985.57894675926</v>
      </c>
      <c r="E543" s="58" t="n">
        <v>45985.57944444445</v>
      </c>
      <c r="F543" s="6" t="inlineStr">
        <is>
          <t>0 a 02 dias</t>
        </is>
      </c>
      <c r="G543" s="6" t="inlineStr">
        <is>
          <t>0 a 02 dias</t>
        </is>
      </c>
      <c r="H543" s="6" t="inlineStr">
        <is>
          <t>JPFJEET</t>
        </is>
      </c>
      <c r="I543" s="6" t="inlineStr">
        <is>
          <t>SABRE</t>
        </is>
      </c>
      <c r="J543" s="6" t="inlineStr">
        <is>
          <t>CARVALHO/FABIANA</t>
        </is>
      </c>
      <c r="K543" s="6" t="inlineStr">
        <is>
          <t>WU</t>
        </is>
      </c>
      <c r="L543" s="6" t="inlineStr">
        <is>
          <t>WU</t>
        </is>
      </c>
      <c r="M543" s="58" t="n">
        <v>45985.20555555556</v>
      </c>
      <c r="N543" s="6" t="inlineStr">
        <is>
          <t>JPFJEE</t>
        </is>
      </c>
      <c r="O543" s="6" t="inlineStr">
        <is>
          <t>-</t>
        </is>
      </c>
      <c r="P543" s="6" t="inlineStr">
        <is>
          <t>ON LINE</t>
        </is>
      </c>
      <c r="Q543" s="6" t="inlineStr">
        <is>
          <t>Cartão de crédito</t>
        </is>
      </c>
      <c r="R543" s="6" t="inlineStr">
        <is>
          <t>Cartão de crédito</t>
        </is>
      </c>
      <c r="S543" s="6" t="inlineStr">
        <is>
          <t>Hotel</t>
        </is>
      </c>
      <c r="T543" s="6" t="inlineStr">
        <is>
          <t>N</t>
        </is>
      </c>
      <c r="U543" s="6" t="inlineStr">
        <is>
          <t>Grupo Casas Bahia</t>
        </is>
      </c>
      <c r="V543" s="6" t="inlineStr">
        <is>
          <t>Grupo Casas Bahia S.a.</t>
        </is>
      </c>
      <c r="W543" s="6" t="inlineStr">
        <is>
          <t>-</t>
        </is>
      </c>
      <c r="X543" s="6" t="inlineStr">
        <is>
          <t>-</t>
        </is>
      </c>
      <c r="Y543" s="6" t="inlineStr">
        <is>
          <t>-</t>
        </is>
      </c>
      <c r="Z543" s="6" t="inlineStr">
        <is>
          <t>KON-OPE-RIO-PVI-CASAS BAHIA</t>
        </is>
      </c>
      <c r="AA543" s="6" t="inlineStr">
        <is>
          <t>-</t>
        </is>
      </c>
      <c r="AB543" s="6" t="n">
        <v>326.29</v>
      </c>
      <c r="AC543" s="6" t="n">
        <v>0</v>
      </c>
      <c r="AD543" s="6" t="n">
        <v>0</v>
      </c>
      <c r="AE543" s="6" t="n">
        <v>0</v>
      </c>
      <c r="AF543" s="6" t="n">
        <v>0</v>
      </c>
      <c r="AG543" s="6" t="n">
        <v>0</v>
      </c>
      <c r="AH543" s="6" t="n">
        <v>0</v>
      </c>
      <c r="AI543" s="6" t="inlineStr">
        <is>
          <t>Reserva importada por HubTravel</t>
        </is>
      </c>
      <c r="AJ543" s="6" t="inlineStr">
        <is>
          <t>Fornecedor não preenchido! (ACC01)</t>
        </is>
      </c>
      <c r="AK543" s="6" t="inlineStr">
        <is>
          <t>SABRE</t>
        </is>
      </c>
      <c r="AL543" s="6" t="inlineStr">
        <is>
          <t>Falta de Fornecedor</t>
        </is>
      </c>
      <c r="AM543" s="6" t="inlineStr">
        <is>
          <t>Campo Fornecedor</t>
        </is>
      </c>
      <c r="AN543" s="6" t="inlineStr">
        <is>
          <t>Dados do Fornecedor</t>
        </is>
      </c>
      <c r="AO543" s="6" t="inlineStr">
        <is>
          <t>Qualidade dos dados</t>
        </is>
      </c>
      <c r="AP543" s="6" t="inlineStr">
        <is>
          <t>KONTIK BUSINESS TRAVEL</t>
        </is>
      </c>
      <c r="AQ543" s="6" t="inlineStr">
        <is>
          <t>Operações - CORP</t>
        </is>
      </c>
    </row>
    <row r="544">
      <c r="A544" s="6" t="n">
        <v>23367500</v>
      </c>
      <c r="B544" s="6" t="n">
        <v>24093503</v>
      </c>
      <c r="C544" s="6" t="inlineStr">
        <is>
          <t>ACC01</t>
        </is>
      </c>
      <c r="D544" s="58" t="n">
        <v>45982.72030092592</v>
      </c>
      <c r="E544" s="58" t="n">
        <v>45982.72238425926</v>
      </c>
      <c r="F544" s="6" t="inlineStr">
        <is>
          <t>03 a 05 dias</t>
        </is>
      </c>
      <c r="G544" s="6" t="inlineStr">
        <is>
          <t>03 a 05 dias</t>
        </is>
      </c>
      <c r="H544" s="6" t="inlineStr">
        <is>
          <t>NUBSJCT</t>
        </is>
      </c>
      <c r="I544" s="6" t="inlineStr">
        <is>
          <t>SABRE</t>
        </is>
      </c>
      <c r="J544" s="6" t="inlineStr">
        <is>
          <t>SANTOS/GISELE</t>
        </is>
      </c>
      <c r="K544" s="6" t="inlineStr">
        <is>
          <t>WU</t>
        </is>
      </c>
      <c r="L544" s="6" t="inlineStr">
        <is>
          <t>WU</t>
        </is>
      </c>
      <c r="M544" s="58" t="n">
        <v>45979.70069444444</v>
      </c>
      <c r="N544" s="6" t="inlineStr">
        <is>
          <t>NUBSJC</t>
        </is>
      </c>
      <c r="O544" s="6" t="inlineStr">
        <is>
          <t>-</t>
        </is>
      </c>
      <c r="P544" s="6" t="inlineStr">
        <is>
          <t>ON LINE</t>
        </is>
      </c>
      <c r="Q544" s="6" t="inlineStr">
        <is>
          <t>Cartão de crédito</t>
        </is>
      </c>
      <c r="R544" s="6" t="inlineStr">
        <is>
          <t>Cartão de crédito</t>
        </is>
      </c>
      <c r="S544" s="6" t="inlineStr">
        <is>
          <t>Hotel</t>
        </is>
      </c>
      <c r="T544" s="6" t="inlineStr">
        <is>
          <t>N</t>
        </is>
      </c>
      <c r="U544" s="6" t="inlineStr">
        <is>
          <t>Grupo Casas Bahia</t>
        </is>
      </c>
      <c r="V544" s="6" t="inlineStr">
        <is>
          <t>Grupo Casas Bahia S.a.</t>
        </is>
      </c>
      <c r="W544" s="6" t="inlineStr">
        <is>
          <t>-</t>
        </is>
      </c>
      <c r="X544" s="6" t="inlineStr">
        <is>
          <t>-</t>
        </is>
      </c>
      <c r="Y544" s="6" t="inlineStr">
        <is>
          <t>-</t>
        </is>
      </c>
      <c r="Z544" s="6" t="inlineStr">
        <is>
          <t>KON-OPE-RIO-PVI-CASAS BAHIA</t>
        </is>
      </c>
      <c r="AA544" s="6" t="inlineStr">
        <is>
          <t>-</t>
        </is>
      </c>
      <c r="AB544" s="6" t="n">
        <v>912.78</v>
      </c>
      <c r="AC544" s="6" t="n">
        <v>0</v>
      </c>
      <c r="AD544" s="6" t="n">
        <v>0</v>
      </c>
      <c r="AE544" s="6" t="n">
        <v>0</v>
      </c>
      <c r="AF544" s="6" t="n">
        <v>0</v>
      </c>
      <c r="AG544" s="6" t="n">
        <v>0</v>
      </c>
      <c r="AH544" s="6" t="n">
        <v>0</v>
      </c>
      <c r="AI544" s="6" t="inlineStr">
        <is>
          <t>Reserva importada por HubTravel</t>
        </is>
      </c>
      <c r="AJ544" s="6" t="inlineStr">
        <is>
          <t>Fornecedor não preenchido! (ACC01)</t>
        </is>
      </c>
      <c r="AK544" s="6" t="inlineStr">
        <is>
          <t>SABRE</t>
        </is>
      </c>
      <c r="AL544" s="6" t="inlineStr">
        <is>
          <t>Falta de Fornecedor</t>
        </is>
      </c>
      <c r="AM544" s="6" t="inlineStr">
        <is>
          <t>Campo Fornecedor</t>
        </is>
      </c>
      <c r="AN544" s="6" t="inlineStr">
        <is>
          <t>Dados do Fornecedor</t>
        </is>
      </c>
      <c r="AO544" s="6" t="inlineStr">
        <is>
          <t>Qualidade dos dados</t>
        </is>
      </c>
      <c r="AP544" s="6" t="inlineStr">
        <is>
          <t>KONTIK BUSINESS TRAVEL</t>
        </is>
      </c>
      <c r="AQ544" s="6" t="inlineStr">
        <is>
          <t>Operações - CORP</t>
        </is>
      </c>
    </row>
    <row r="545">
      <c r="A545" s="6" t="n">
        <v>23367502</v>
      </c>
      <c r="B545" s="6" t="n">
        <v>24093505</v>
      </c>
      <c r="C545" s="6" t="inlineStr">
        <is>
          <t>ACC01</t>
        </is>
      </c>
      <c r="D545" s="58" t="n">
        <v>45982.72037037037</v>
      </c>
      <c r="E545" s="58" t="n">
        <v>45982.72239583333</v>
      </c>
      <c r="F545" s="6" t="inlineStr">
        <is>
          <t>03 a 05 dias</t>
        </is>
      </c>
      <c r="G545" s="6" t="inlineStr">
        <is>
          <t>03 a 05 dias</t>
        </is>
      </c>
      <c r="H545" s="6" t="inlineStr">
        <is>
          <t>IGDTCLT</t>
        </is>
      </c>
      <c r="I545" s="6" t="inlineStr">
        <is>
          <t>SABRE</t>
        </is>
      </c>
      <c r="J545" s="6" t="inlineStr">
        <is>
          <t>CUNHA/RAFAEL</t>
        </is>
      </c>
      <c r="K545" s="6" t="inlineStr">
        <is>
          <t>WU</t>
        </is>
      </c>
      <c r="L545" s="6" t="inlineStr">
        <is>
          <t>WU</t>
        </is>
      </c>
      <c r="M545" s="58" t="n">
        <v>45979.69236111111</v>
      </c>
      <c r="N545" s="6" t="inlineStr">
        <is>
          <t>IGDTCL</t>
        </is>
      </c>
      <c r="O545" s="6" t="inlineStr">
        <is>
          <t>-</t>
        </is>
      </c>
      <c r="P545" s="6" t="inlineStr">
        <is>
          <t>ON LINE</t>
        </is>
      </c>
      <c r="Q545" s="6" t="inlineStr">
        <is>
          <t>Cartão de crédito</t>
        </is>
      </c>
      <c r="R545" s="6" t="inlineStr">
        <is>
          <t>Cartão de crédito</t>
        </is>
      </c>
      <c r="S545" s="6" t="inlineStr">
        <is>
          <t>Hotel</t>
        </is>
      </c>
      <c r="T545" s="6" t="inlineStr">
        <is>
          <t>N</t>
        </is>
      </c>
      <c r="U545" s="6" t="inlineStr">
        <is>
          <t>Grupo Casas Bahia</t>
        </is>
      </c>
      <c r="V545" s="6" t="inlineStr">
        <is>
          <t>Grupo Casas Bahia S.a.</t>
        </is>
      </c>
      <c r="W545" s="6" t="inlineStr">
        <is>
          <t>-</t>
        </is>
      </c>
      <c r="X545" s="6" t="inlineStr">
        <is>
          <t>-</t>
        </is>
      </c>
      <c r="Y545" s="6" t="inlineStr">
        <is>
          <t>-</t>
        </is>
      </c>
      <c r="Z545" s="6" t="inlineStr">
        <is>
          <t>KON-OPE-RIO-PVI-CASAS BAHIA</t>
        </is>
      </c>
      <c r="AA545" s="6" t="inlineStr">
        <is>
          <t>-</t>
        </is>
      </c>
      <c r="AB545" s="6" t="n">
        <v>737.22</v>
      </c>
      <c r="AC545" s="6" t="n">
        <v>0</v>
      </c>
      <c r="AD545" s="6" t="n">
        <v>0</v>
      </c>
      <c r="AE545" s="6" t="n">
        <v>0</v>
      </c>
      <c r="AF545" s="6" t="n">
        <v>0</v>
      </c>
      <c r="AG545" s="6" t="n">
        <v>0</v>
      </c>
      <c r="AH545" s="6" t="n">
        <v>0</v>
      </c>
      <c r="AI545" s="6" t="inlineStr">
        <is>
          <t>Reserva importada por HubTravel</t>
        </is>
      </c>
      <c r="AJ545" s="6" t="inlineStr">
        <is>
          <t>Fornecedor não preenchido! (ACC01)</t>
        </is>
      </c>
      <c r="AK545" s="6" t="inlineStr">
        <is>
          <t>SABRE</t>
        </is>
      </c>
      <c r="AL545" s="6" t="inlineStr">
        <is>
          <t>Falta de Fornecedor</t>
        </is>
      </c>
      <c r="AM545" s="6" t="inlineStr">
        <is>
          <t>Campo Fornecedor</t>
        </is>
      </c>
      <c r="AN545" s="6" t="inlineStr">
        <is>
          <t>Dados do Fornecedor</t>
        </is>
      </c>
      <c r="AO545" s="6" t="inlineStr">
        <is>
          <t>Qualidade dos dados</t>
        </is>
      </c>
      <c r="AP545" s="6" t="inlineStr">
        <is>
          <t>KONTIK BUSINESS TRAVEL</t>
        </is>
      </c>
      <c r="AQ545" s="6" t="inlineStr">
        <is>
          <t>Operações - CORP</t>
        </is>
      </c>
    </row>
    <row r="546">
      <c r="A546" s="6" t="n">
        <v>23366007</v>
      </c>
      <c r="B546" s="6" t="n">
        <v>24092010</v>
      </c>
      <c r="C546" s="6" t="inlineStr">
        <is>
          <t>ACC01</t>
        </is>
      </c>
      <c r="D546" s="58" t="n">
        <v>45982.59341435185</v>
      </c>
      <c r="E546" s="58" t="n">
        <v>45982.59678240741</v>
      </c>
      <c r="F546" s="6" t="inlineStr">
        <is>
          <t>03 a 05 dias</t>
        </is>
      </c>
      <c r="G546" s="6" t="inlineStr">
        <is>
          <t>03 a 05 dias</t>
        </is>
      </c>
      <c r="H546" s="6" t="inlineStr">
        <is>
          <t>MBLIBCT</t>
        </is>
      </c>
      <c r="I546" s="6" t="inlineStr">
        <is>
          <t>SABRE</t>
        </is>
      </c>
      <c r="J546" s="6" t="inlineStr">
        <is>
          <t>COSTA/RAFAEL</t>
        </is>
      </c>
      <c r="K546" s="6" t="inlineStr">
        <is>
          <t>WU</t>
        </is>
      </c>
      <c r="L546" s="6" t="inlineStr">
        <is>
          <t>WU</t>
        </is>
      </c>
      <c r="M546" s="58" t="n">
        <v>45982.36805555555</v>
      </c>
      <c r="N546" s="6" t="inlineStr">
        <is>
          <t>MBLIBC</t>
        </is>
      </c>
      <c r="O546" s="6" t="inlineStr">
        <is>
          <t>-</t>
        </is>
      </c>
      <c r="P546" s="6" t="inlineStr">
        <is>
          <t>ON LINE</t>
        </is>
      </c>
      <c r="Q546" s="6" t="inlineStr">
        <is>
          <t>Cartão de crédito</t>
        </is>
      </c>
      <c r="R546" s="6" t="inlineStr">
        <is>
          <t>Cartão de crédito</t>
        </is>
      </c>
      <c r="S546" s="6" t="inlineStr">
        <is>
          <t>Hotel</t>
        </is>
      </c>
      <c r="T546" s="6" t="inlineStr">
        <is>
          <t>N</t>
        </is>
      </c>
      <c r="U546" s="6" t="inlineStr">
        <is>
          <t>Grupo Casas Bahia</t>
        </is>
      </c>
      <c r="V546" s="6" t="inlineStr">
        <is>
          <t>Grupo Casas Bahia S.a.</t>
        </is>
      </c>
      <c r="W546" s="6" t="inlineStr">
        <is>
          <t>-</t>
        </is>
      </c>
      <c r="X546" s="6" t="inlineStr">
        <is>
          <t>-</t>
        </is>
      </c>
      <c r="Y546" s="6" t="inlineStr">
        <is>
          <t>-</t>
        </is>
      </c>
      <c r="Z546" s="6" t="inlineStr">
        <is>
          <t>KON-OPE-RIO-PVI-CASAS BAHIA</t>
        </is>
      </c>
      <c r="AA546" s="6" t="inlineStr">
        <is>
          <t>-</t>
        </is>
      </c>
      <c r="AB546" s="6" t="n">
        <v>258.3</v>
      </c>
      <c r="AC546" s="6" t="n">
        <v>0</v>
      </c>
      <c r="AD546" s="6" t="n">
        <v>0</v>
      </c>
      <c r="AE546" s="6" t="n">
        <v>0</v>
      </c>
      <c r="AF546" s="6" t="n">
        <v>0</v>
      </c>
      <c r="AG546" s="6" t="n">
        <v>0</v>
      </c>
      <c r="AH546" s="6" t="n">
        <v>0</v>
      </c>
      <c r="AI546" s="6" t="inlineStr">
        <is>
          <t>Reserva importada por HubTravel</t>
        </is>
      </c>
      <c r="AJ546" s="6" t="inlineStr">
        <is>
          <t>Fornecedor não preenchido! (ACC01)</t>
        </is>
      </c>
      <c r="AK546" s="6" t="inlineStr">
        <is>
          <t>SABRE</t>
        </is>
      </c>
      <c r="AL546" s="6" t="inlineStr">
        <is>
          <t>Falta de Fornecedor</t>
        </is>
      </c>
      <c r="AM546" s="6" t="inlineStr">
        <is>
          <t>Campo Fornecedor</t>
        </is>
      </c>
      <c r="AN546" s="6" t="inlineStr">
        <is>
          <t>Dados do Fornecedor</t>
        </is>
      </c>
      <c r="AO546" s="6" t="inlineStr">
        <is>
          <t>Qualidade dos dados</t>
        </is>
      </c>
      <c r="AP546" s="6" t="inlineStr">
        <is>
          <t>KONTIK BUSINESS TRAVEL</t>
        </is>
      </c>
      <c r="AQ546" s="6" t="inlineStr">
        <is>
          <t>Operações - CORP</t>
        </is>
      </c>
    </row>
    <row r="547">
      <c r="A547" s="6" t="n">
        <v>23365439</v>
      </c>
      <c r="B547" s="6" t="n">
        <v>24091483</v>
      </c>
      <c r="C547" s="6" t="inlineStr">
        <is>
          <t>ACC01</t>
        </is>
      </c>
      <c r="D547" s="58" t="n">
        <v>45982.49555555556</v>
      </c>
      <c r="E547" s="58" t="n">
        <v>45982.4962962963</v>
      </c>
      <c r="F547" s="6" t="inlineStr">
        <is>
          <t>03 a 05 dias</t>
        </is>
      </c>
      <c r="G547" s="6" t="inlineStr">
        <is>
          <t>03 a 05 dias</t>
        </is>
      </c>
      <c r="H547" s="6" t="inlineStr">
        <is>
          <t>YCPIUPT</t>
        </is>
      </c>
      <c r="I547" s="6" t="inlineStr">
        <is>
          <t>SABRE</t>
        </is>
      </c>
      <c r="J547" s="6" t="inlineStr">
        <is>
          <t>NEVES/HENRIQUE</t>
        </is>
      </c>
      <c r="K547" s="6" t="inlineStr">
        <is>
          <t>WU</t>
        </is>
      </c>
      <c r="L547" s="6" t="inlineStr">
        <is>
          <t>WU</t>
        </is>
      </c>
      <c r="M547" s="58" t="n">
        <v>45982.27291666667</v>
      </c>
      <c r="N547" s="6" t="inlineStr">
        <is>
          <t>YCPIUP</t>
        </is>
      </c>
      <c r="O547" s="6" t="inlineStr">
        <is>
          <t>-</t>
        </is>
      </c>
      <c r="P547" s="6" t="inlineStr">
        <is>
          <t>ON LINE</t>
        </is>
      </c>
      <c r="Q547" s="6" t="inlineStr">
        <is>
          <t>Cartão de crédito</t>
        </is>
      </c>
      <c r="R547" s="6" t="inlineStr">
        <is>
          <t>Cartão de crédito</t>
        </is>
      </c>
      <c r="S547" s="6" t="inlineStr">
        <is>
          <t>Hotel</t>
        </is>
      </c>
      <c r="T547" s="6" t="inlineStr">
        <is>
          <t>N</t>
        </is>
      </c>
      <c r="U547" s="6" t="inlineStr">
        <is>
          <t>Grupo Casas Bahia</t>
        </is>
      </c>
      <c r="V547" s="6" t="inlineStr">
        <is>
          <t>Grupo Casas Bahia S.a.</t>
        </is>
      </c>
      <c r="W547" s="6" t="inlineStr">
        <is>
          <t>-</t>
        </is>
      </c>
      <c r="X547" s="6" t="inlineStr">
        <is>
          <t>-</t>
        </is>
      </c>
      <c r="Y547" s="6" t="inlineStr">
        <is>
          <t>-</t>
        </is>
      </c>
      <c r="Z547" s="6" t="inlineStr">
        <is>
          <t>KON-OPE-RIO-PVI-CASAS BAHIA</t>
        </is>
      </c>
      <c r="AA547" s="6" t="inlineStr">
        <is>
          <t>-</t>
        </is>
      </c>
      <c r="AB547" s="6" t="n">
        <v>210</v>
      </c>
      <c r="AC547" s="6" t="n">
        <v>0</v>
      </c>
      <c r="AD547" s="6" t="n">
        <v>0</v>
      </c>
      <c r="AE547" s="6" t="n">
        <v>0</v>
      </c>
      <c r="AF547" s="6" t="n">
        <v>0</v>
      </c>
      <c r="AG547" s="6" t="n">
        <v>0</v>
      </c>
      <c r="AH547" s="6" t="n">
        <v>0</v>
      </c>
      <c r="AI547" s="6" t="inlineStr">
        <is>
          <t>Reserva importada por HubTravel</t>
        </is>
      </c>
      <c r="AJ547" s="6" t="inlineStr">
        <is>
          <t>Fornecedor não preenchido! (ACC01)</t>
        </is>
      </c>
      <c r="AK547" s="6" t="inlineStr">
        <is>
          <t>SABRE</t>
        </is>
      </c>
      <c r="AL547" s="6" t="inlineStr">
        <is>
          <t>Falta de Fornecedor</t>
        </is>
      </c>
      <c r="AM547" s="6" t="inlineStr">
        <is>
          <t>Campo Fornecedor</t>
        </is>
      </c>
      <c r="AN547" s="6" t="inlineStr">
        <is>
          <t>Dados do Fornecedor</t>
        </is>
      </c>
      <c r="AO547" s="6" t="inlineStr">
        <is>
          <t>Qualidade dos dados</t>
        </is>
      </c>
      <c r="AP547" s="6" t="inlineStr">
        <is>
          <t>KONTIK BUSINESS TRAVEL</t>
        </is>
      </c>
      <c r="AQ547" s="6" t="inlineStr">
        <is>
          <t>Operações - CORP</t>
        </is>
      </c>
    </row>
    <row r="548">
      <c r="A548" s="6" t="n">
        <v>23365440</v>
      </c>
      <c r="B548" s="6" t="n">
        <v>24091484</v>
      </c>
      <c r="C548" s="6" t="inlineStr">
        <is>
          <t>ACC01</t>
        </is>
      </c>
      <c r="D548" s="58" t="n">
        <v>45982.49560185185</v>
      </c>
      <c r="E548" s="58" t="n">
        <v>45982.4962962963</v>
      </c>
      <c r="F548" s="6" t="inlineStr">
        <is>
          <t>03 a 05 dias</t>
        </is>
      </c>
      <c r="G548" s="6" t="inlineStr">
        <is>
          <t>03 a 05 dias</t>
        </is>
      </c>
      <c r="H548" s="6" t="inlineStr">
        <is>
          <t>YBWRXWT</t>
        </is>
      </c>
      <c r="I548" s="6" t="inlineStr">
        <is>
          <t>SABRE</t>
        </is>
      </c>
      <c r="J548" s="6" t="inlineStr">
        <is>
          <t>SANTOS/GILBERTO</t>
        </is>
      </c>
      <c r="K548" s="6" t="inlineStr">
        <is>
          <t>WU</t>
        </is>
      </c>
      <c r="L548" s="6" t="inlineStr">
        <is>
          <t>WU</t>
        </is>
      </c>
      <c r="M548" s="58" t="n">
        <v>45982.28819444445</v>
      </c>
      <c r="N548" s="6" t="inlineStr">
        <is>
          <t>YBWRXW</t>
        </is>
      </c>
      <c r="O548" s="6" t="inlineStr">
        <is>
          <t>-</t>
        </is>
      </c>
      <c r="P548" s="6" t="inlineStr">
        <is>
          <t>ON LINE</t>
        </is>
      </c>
      <c r="Q548" s="6" t="inlineStr">
        <is>
          <t>Cartão de crédito</t>
        </is>
      </c>
      <c r="R548" s="6" t="inlineStr">
        <is>
          <t>Cartão de crédito</t>
        </is>
      </c>
      <c r="S548" s="6" t="inlineStr">
        <is>
          <t>Hotel</t>
        </is>
      </c>
      <c r="T548" s="6" t="inlineStr">
        <is>
          <t>N</t>
        </is>
      </c>
      <c r="U548" s="6" t="inlineStr">
        <is>
          <t>Grupo Casas Bahia</t>
        </is>
      </c>
      <c r="V548" s="6" t="inlineStr">
        <is>
          <t>Grupo Casas Bahia S.a.</t>
        </is>
      </c>
      <c r="W548" s="6" t="inlineStr">
        <is>
          <t>-</t>
        </is>
      </c>
      <c r="X548" s="6" t="inlineStr">
        <is>
          <t>-</t>
        </is>
      </c>
      <c r="Y548" s="6" t="inlineStr">
        <is>
          <t>-</t>
        </is>
      </c>
      <c r="Z548" s="6" t="inlineStr">
        <is>
          <t>KON-OPE-RIO-PVI-CASAS BAHIA</t>
        </is>
      </c>
      <c r="AA548" s="6" t="inlineStr">
        <is>
          <t>-</t>
        </is>
      </c>
      <c r="AB548" s="6" t="n">
        <v>291.02</v>
      </c>
      <c r="AC548" s="6" t="n">
        <v>0</v>
      </c>
      <c r="AD548" s="6" t="n">
        <v>0</v>
      </c>
      <c r="AE548" s="6" t="n">
        <v>0</v>
      </c>
      <c r="AF548" s="6" t="n">
        <v>0</v>
      </c>
      <c r="AG548" s="6" t="n">
        <v>0</v>
      </c>
      <c r="AH548" s="6" t="n">
        <v>0</v>
      </c>
      <c r="AI548" s="6" t="inlineStr">
        <is>
          <t>Reserva importada por HubTravel</t>
        </is>
      </c>
      <c r="AJ548" s="6" t="inlineStr">
        <is>
          <t>Fornecedor não preenchido! (ACC01)</t>
        </is>
      </c>
      <c r="AK548" s="6" t="inlineStr">
        <is>
          <t>SABRE</t>
        </is>
      </c>
      <c r="AL548" s="6" t="inlineStr">
        <is>
          <t>Falta de Fornecedor</t>
        </is>
      </c>
      <c r="AM548" s="6" t="inlineStr">
        <is>
          <t>Campo Fornecedor</t>
        </is>
      </c>
      <c r="AN548" s="6" t="inlineStr">
        <is>
          <t>Dados do Fornecedor</t>
        </is>
      </c>
      <c r="AO548" s="6" t="inlineStr">
        <is>
          <t>Qualidade dos dados</t>
        </is>
      </c>
      <c r="AP548" s="6" t="inlineStr">
        <is>
          <t>KONTIK BUSINESS TRAVEL</t>
        </is>
      </c>
      <c r="AQ548" s="6" t="inlineStr">
        <is>
          <t>Operações - CORP</t>
        </is>
      </c>
    </row>
    <row r="549">
      <c r="A549" s="6" t="n">
        <v>23365441</v>
      </c>
      <c r="B549" s="6" t="n">
        <v>24091485</v>
      </c>
      <c r="C549" s="6" t="inlineStr">
        <is>
          <t>ACC01</t>
        </is>
      </c>
      <c r="D549" s="58" t="n">
        <v>45982.49563657407</v>
      </c>
      <c r="E549" s="58" t="n">
        <v>45982.49630787037</v>
      </c>
      <c r="F549" s="6" t="inlineStr">
        <is>
          <t>03 a 05 dias</t>
        </is>
      </c>
      <c r="G549" s="6" t="inlineStr">
        <is>
          <t>03 a 05 dias</t>
        </is>
      </c>
      <c r="H549" s="6" t="inlineStr">
        <is>
          <t>MARUSDT</t>
        </is>
      </c>
      <c r="I549" s="6" t="inlineStr">
        <is>
          <t>SABRE</t>
        </is>
      </c>
      <c r="J549" s="6" t="inlineStr">
        <is>
          <t>NEVES/HENRIQUE</t>
        </is>
      </c>
      <c r="K549" s="6" t="inlineStr">
        <is>
          <t>WU</t>
        </is>
      </c>
      <c r="L549" s="6" t="inlineStr">
        <is>
          <t>WU</t>
        </is>
      </c>
      <c r="M549" s="58" t="n">
        <v>45982.32986111111</v>
      </c>
      <c r="N549" s="6" t="inlineStr">
        <is>
          <t>MARUSD</t>
        </is>
      </c>
      <c r="O549" s="6" t="inlineStr">
        <is>
          <t>-</t>
        </is>
      </c>
      <c r="P549" s="6" t="inlineStr">
        <is>
          <t>ON LINE</t>
        </is>
      </c>
      <c r="Q549" s="6" t="inlineStr">
        <is>
          <t>Cartão de crédito</t>
        </is>
      </c>
      <c r="R549" s="6" t="inlineStr">
        <is>
          <t>Cartão de crédito</t>
        </is>
      </c>
      <c r="S549" s="6" t="inlineStr">
        <is>
          <t>Hotel</t>
        </is>
      </c>
      <c r="T549" s="6" t="inlineStr">
        <is>
          <t>N</t>
        </is>
      </c>
      <c r="U549" s="6" t="inlineStr">
        <is>
          <t>Grupo Casas Bahia</t>
        </is>
      </c>
      <c r="V549" s="6" t="inlineStr">
        <is>
          <t>Grupo Casas Bahia S.a.</t>
        </is>
      </c>
      <c r="W549" s="6" t="inlineStr">
        <is>
          <t>-</t>
        </is>
      </c>
      <c r="X549" s="6" t="inlineStr">
        <is>
          <t>-</t>
        </is>
      </c>
      <c r="Y549" s="6" t="inlineStr">
        <is>
          <t>-</t>
        </is>
      </c>
      <c r="Z549" s="6" t="inlineStr">
        <is>
          <t>KON-OPE-RIO-PVI-CASAS BAHIA</t>
        </is>
      </c>
      <c r="AA549" s="6" t="inlineStr">
        <is>
          <t>-</t>
        </is>
      </c>
      <c r="AB549" s="6" t="n">
        <v>1249.52</v>
      </c>
      <c r="AC549" s="6" t="n">
        <v>0</v>
      </c>
      <c r="AD549" s="6" t="n">
        <v>0</v>
      </c>
      <c r="AE549" s="6" t="n">
        <v>0</v>
      </c>
      <c r="AF549" s="6" t="n">
        <v>0</v>
      </c>
      <c r="AG549" s="6" t="n">
        <v>0</v>
      </c>
      <c r="AH549" s="6" t="n">
        <v>0</v>
      </c>
      <c r="AI549" s="6" t="inlineStr">
        <is>
          <t>Reserva importada por HubTravel</t>
        </is>
      </c>
      <c r="AJ549" s="6" t="inlineStr">
        <is>
          <t>Fornecedor não preenchido! (ACC01)</t>
        </is>
      </c>
      <c r="AK549" s="6" t="inlineStr">
        <is>
          <t>SABRE</t>
        </is>
      </c>
      <c r="AL549" s="6" t="inlineStr">
        <is>
          <t>Falta de Fornecedor</t>
        </is>
      </c>
      <c r="AM549" s="6" t="inlineStr">
        <is>
          <t>Campo Fornecedor</t>
        </is>
      </c>
      <c r="AN549" s="6" t="inlineStr">
        <is>
          <t>Dados do Fornecedor</t>
        </is>
      </c>
      <c r="AO549" s="6" t="inlineStr">
        <is>
          <t>Qualidade dos dados</t>
        </is>
      </c>
      <c r="AP549" s="6" t="inlineStr">
        <is>
          <t>KONTIK BUSINESS TRAVEL</t>
        </is>
      </c>
      <c r="AQ549" s="6" t="inlineStr">
        <is>
          <t>Operações - CORP</t>
        </is>
      </c>
    </row>
    <row r="550">
      <c r="A550" s="6" t="n">
        <v>23380946</v>
      </c>
      <c r="B550" s="6" t="n">
        <v>24104652</v>
      </c>
      <c r="C550" s="6" t="inlineStr">
        <is>
          <t>ACC01</t>
        </is>
      </c>
      <c r="D550" s="58" t="n">
        <v>45985.72032407407</v>
      </c>
      <c r="E550" s="58" t="n">
        <v>45985.72149305556</v>
      </c>
      <c r="F550" s="6" t="inlineStr">
        <is>
          <t>0 a 02 dias</t>
        </is>
      </c>
      <c r="G550" s="6" t="inlineStr">
        <is>
          <t>0 a 02 dias</t>
        </is>
      </c>
      <c r="H550" s="6" t="inlineStr">
        <is>
          <t>UHRUXLT</t>
        </is>
      </c>
      <c r="I550" s="6" t="inlineStr">
        <is>
          <t>SABRE</t>
        </is>
      </c>
      <c r="J550" s="6" t="inlineStr">
        <is>
          <t>CICILIANO/ALEXANDRE</t>
        </is>
      </c>
      <c r="K550" s="6" t="inlineStr">
        <is>
          <t>WU</t>
        </is>
      </c>
      <c r="L550" s="6" t="inlineStr">
        <is>
          <t>WU</t>
        </is>
      </c>
      <c r="M550" s="58" t="n">
        <v>45985.26319444444</v>
      </c>
      <c r="N550" s="6" t="inlineStr">
        <is>
          <t>UHRUXL</t>
        </is>
      </c>
      <c r="O550" s="6" t="inlineStr">
        <is>
          <t>-</t>
        </is>
      </c>
      <c r="P550" s="6" t="inlineStr">
        <is>
          <t>ON LINE</t>
        </is>
      </c>
      <c r="Q550" s="6" t="inlineStr">
        <is>
          <t>Cartão de crédito</t>
        </is>
      </c>
      <c r="R550" s="6" t="inlineStr">
        <is>
          <t>Cartão de crédito</t>
        </is>
      </c>
      <c r="S550" s="6" t="inlineStr">
        <is>
          <t>Hotel</t>
        </is>
      </c>
      <c r="T550" s="6" t="inlineStr">
        <is>
          <t>N</t>
        </is>
      </c>
      <c r="U550" s="6" t="inlineStr">
        <is>
          <t>Grupo Casas Bahia</t>
        </is>
      </c>
      <c r="V550" s="6" t="inlineStr">
        <is>
          <t>Grupo Casas Bahia S.a.</t>
        </is>
      </c>
      <c r="W550" s="6" t="inlineStr">
        <is>
          <t>-</t>
        </is>
      </c>
      <c r="X550" s="6" t="inlineStr">
        <is>
          <t>-</t>
        </is>
      </c>
      <c r="Y550" s="6" t="inlineStr">
        <is>
          <t>-</t>
        </is>
      </c>
      <c r="Z550" s="6" t="inlineStr">
        <is>
          <t>KON-OPE-RIO-PVI-CASAS BAHIA</t>
        </is>
      </c>
      <c r="AA550" s="6" t="inlineStr">
        <is>
          <t>-</t>
        </is>
      </c>
      <c r="AB550" s="6" t="n">
        <v>554.24</v>
      </c>
      <c r="AC550" s="6" t="n">
        <v>0</v>
      </c>
      <c r="AD550" s="6" t="n">
        <v>0</v>
      </c>
      <c r="AE550" s="6" t="n">
        <v>0</v>
      </c>
      <c r="AF550" s="6" t="n">
        <v>0</v>
      </c>
      <c r="AG550" s="6" t="n">
        <v>0</v>
      </c>
      <c r="AH550" s="6" t="n">
        <v>0</v>
      </c>
      <c r="AI550" s="6" t="inlineStr">
        <is>
          <t>Reserva importada por HubTravel</t>
        </is>
      </c>
      <c r="AJ550" s="6" t="inlineStr">
        <is>
          <t>Fornecedor não preenchido! (ACC01)</t>
        </is>
      </c>
      <c r="AK550" s="6" t="inlineStr">
        <is>
          <t>SABRE</t>
        </is>
      </c>
      <c r="AL550" s="6" t="inlineStr">
        <is>
          <t>Falta de Fornecedor</t>
        </is>
      </c>
      <c r="AM550" s="6" t="inlineStr">
        <is>
          <t>Campo Fornecedor</t>
        </is>
      </c>
      <c r="AN550" s="6" t="inlineStr">
        <is>
          <t>Dados do Fornecedor</t>
        </is>
      </c>
      <c r="AO550" s="6" t="inlineStr">
        <is>
          <t>Qualidade dos dados</t>
        </is>
      </c>
      <c r="AP550" s="6" t="inlineStr">
        <is>
          <t>KONTIK BUSINESS TRAVEL</t>
        </is>
      </c>
      <c r="AQ550" s="6" t="inlineStr">
        <is>
          <t>Operações - CORP</t>
        </is>
      </c>
    </row>
    <row r="551">
      <c r="A551" s="6" t="n">
        <v>23380949</v>
      </c>
      <c r="B551" s="6" t="n">
        <v>24104655</v>
      </c>
      <c r="C551" s="6" t="inlineStr">
        <is>
          <t>ACC01</t>
        </is>
      </c>
      <c r="D551" s="58" t="n">
        <v>45985.72040509259</v>
      </c>
      <c r="E551" s="58" t="n">
        <v>45985.72149305556</v>
      </c>
      <c r="F551" s="6" t="inlineStr">
        <is>
          <t>0 a 02 dias</t>
        </is>
      </c>
      <c r="G551" s="6" t="inlineStr">
        <is>
          <t>0 a 02 dias</t>
        </is>
      </c>
      <c r="H551" s="6" t="inlineStr">
        <is>
          <t>WOENUST</t>
        </is>
      </c>
      <c r="I551" s="6" t="inlineStr">
        <is>
          <t>SABRE</t>
        </is>
      </c>
      <c r="J551" s="6" t="inlineStr">
        <is>
          <t>SANTOS/LEONARDO</t>
        </is>
      </c>
      <c r="K551" s="6" t="inlineStr">
        <is>
          <t>WU</t>
        </is>
      </c>
      <c r="L551" s="6" t="inlineStr">
        <is>
          <t>WU</t>
        </is>
      </c>
      <c r="M551" s="58" t="n">
        <v>45985.31527777778</v>
      </c>
      <c r="N551" s="6" t="inlineStr">
        <is>
          <t>WOENUS</t>
        </is>
      </c>
      <c r="O551" s="6" t="inlineStr">
        <is>
          <t>-</t>
        </is>
      </c>
      <c r="P551" s="6" t="inlineStr">
        <is>
          <t>ON LINE</t>
        </is>
      </c>
      <c r="Q551" s="6" t="inlineStr">
        <is>
          <t>Cartão de crédito</t>
        </is>
      </c>
      <c r="R551" s="6" t="inlineStr">
        <is>
          <t>Cartão de crédito</t>
        </is>
      </c>
      <c r="S551" s="6" t="inlineStr">
        <is>
          <t>Hotel</t>
        </is>
      </c>
      <c r="T551" s="6" t="inlineStr">
        <is>
          <t>N</t>
        </is>
      </c>
      <c r="U551" s="6" t="inlineStr">
        <is>
          <t>Grupo Casas Bahia</t>
        </is>
      </c>
      <c r="V551" s="6" t="inlineStr">
        <is>
          <t>Grupo Casas Bahia S.a.</t>
        </is>
      </c>
      <c r="W551" s="6" t="inlineStr">
        <is>
          <t>-</t>
        </is>
      </c>
      <c r="X551" s="6" t="inlineStr">
        <is>
          <t>-</t>
        </is>
      </c>
      <c r="Y551" s="6" t="inlineStr">
        <is>
          <t>-</t>
        </is>
      </c>
      <c r="Z551" s="6" t="inlineStr">
        <is>
          <t>KON-OPE-RIO-PVI-CASAS BAHIA</t>
        </is>
      </c>
      <c r="AA551" s="6" t="inlineStr">
        <is>
          <t>-</t>
        </is>
      </c>
      <c r="AB551" s="6" t="n">
        <v>912.78</v>
      </c>
      <c r="AC551" s="6" t="n">
        <v>0</v>
      </c>
      <c r="AD551" s="6" t="n">
        <v>0</v>
      </c>
      <c r="AE551" s="6" t="n">
        <v>0</v>
      </c>
      <c r="AF551" s="6" t="n">
        <v>0</v>
      </c>
      <c r="AG551" s="6" t="n">
        <v>0</v>
      </c>
      <c r="AH551" s="6" t="n">
        <v>0</v>
      </c>
      <c r="AI551" s="6" t="inlineStr">
        <is>
          <t>Reserva importada por HubTravel</t>
        </is>
      </c>
      <c r="AJ551" s="6" t="inlineStr">
        <is>
          <t>Fornecedor não preenchido! (ACC01)</t>
        </is>
      </c>
      <c r="AK551" s="6" t="inlineStr">
        <is>
          <t>SABRE</t>
        </is>
      </c>
      <c r="AL551" s="6" t="inlineStr">
        <is>
          <t>Falta de Fornecedor</t>
        </is>
      </c>
      <c r="AM551" s="6" t="inlineStr">
        <is>
          <t>Campo Fornecedor</t>
        </is>
      </c>
      <c r="AN551" s="6" t="inlineStr">
        <is>
          <t>Dados do Fornecedor</t>
        </is>
      </c>
      <c r="AO551" s="6" t="inlineStr">
        <is>
          <t>Qualidade dos dados</t>
        </is>
      </c>
      <c r="AP551" s="6" t="inlineStr">
        <is>
          <t>KONTIK BUSINESS TRAVEL</t>
        </is>
      </c>
      <c r="AQ551" s="6" t="inlineStr">
        <is>
          <t>Operações - CORP</t>
        </is>
      </c>
    </row>
    <row r="552">
      <c r="A552" s="6" t="n">
        <v>23380953</v>
      </c>
      <c r="B552" s="6" t="n">
        <v>24104660</v>
      </c>
      <c r="C552" s="6" t="inlineStr">
        <is>
          <t>ACC01</t>
        </is>
      </c>
      <c r="D552" s="58" t="n">
        <v>45985.72052083333</v>
      </c>
      <c r="E552" s="58" t="n">
        <v>45985.72149305556</v>
      </c>
      <c r="F552" s="6" t="inlineStr">
        <is>
          <t>0 a 02 dias</t>
        </is>
      </c>
      <c r="G552" s="6" t="inlineStr">
        <is>
          <t>0 a 02 dias</t>
        </is>
      </c>
      <c r="H552" s="6" t="inlineStr">
        <is>
          <t>IBZNOGT</t>
        </is>
      </c>
      <c r="I552" s="6" t="inlineStr">
        <is>
          <t>SABRE</t>
        </is>
      </c>
      <c r="J552" s="6" t="inlineStr">
        <is>
          <t>LOPES/ANA</t>
        </is>
      </c>
      <c r="K552" s="6" t="inlineStr">
        <is>
          <t>WU</t>
        </is>
      </c>
      <c r="L552" s="6" t="inlineStr">
        <is>
          <t>WU</t>
        </is>
      </c>
      <c r="M552" s="58" t="n">
        <v>45967.41458333333</v>
      </c>
      <c r="N552" s="6" t="inlineStr">
        <is>
          <t>IBZNOG</t>
        </is>
      </c>
      <c r="O552" s="6" t="inlineStr">
        <is>
          <t>-</t>
        </is>
      </c>
      <c r="P552" s="6" t="inlineStr">
        <is>
          <t>ON LINE</t>
        </is>
      </c>
      <c r="Q552" s="6" t="inlineStr">
        <is>
          <t>Cartão de crédito</t>
        </is>
      </c>
      <c r="R552" s="6" t="inlineStr">
        <is>
          <t>Cartão de crédito</t>
        </is>
      </c>
      <c r="S552" s="6" t="inlineStr">
        <is>
          <t>Hotel</t>
        </is>
      </c>
      <c r="T552" s="6" t="inlineStr">
        <is>
          <t>N</t>
        </is>
      </c>
      <c r="U552" s="6" t="inlineStr">
        <is>
          <t>Grupo Casas Bahia</t>
        </is>
      </c>
      <c r="V552" s="6" t="inlineStr">
        <is>
          <t>Grupo Casas Bahia S.a.</t>
        </is>
      </c>
      <c r="W552" s="6" t="inlineStr">
        <is>
          <t>-</t>
        </is>
      </c>
      <c r="X552" s="6" t="inlineStr">
        <is>
          <t>-</t>
        </is>
      </c>
      <c r="Y552" s="6" t="inlineStr">
        <is>
          <t>-</t>
        </is>
      </c>
      <c r="Z552" s="6" t="inlineStr">
        <is>
          <t>KON-OPE-RIO-PVI-CASAS BAHIA</t>
        </is>
      </c>
      <c r="AA552" s="6" t="inlineStr">
        <is>
          <t>-</t>
        </is>
      </c>
      <c r="AB552" s="6" t="n">
        <v>271.95</v>
      </c>
      <c r="AC552" s="6" t="n">
        <v>0</v>
      </c>
      <c r="AD552" s="6" t="n">
        <v>0</v>
      </c>
      <c r="AE552" s="6" t="n">
        <v>0</v>
      </c>
      <c r="AF552" s="6" t="n">
        <v>0</v>
      </c>
      <c r="AG552" s="6" t="n">
        <v>0</v>
      </c>
      <c r="AH552" s="6" t="n">
        <v>0</v>
      </c>
      <c r="AI552" s="6" t="inlineStr">
        <is>
          <t>Reserva importada por HubTravel</t>
        </is>
      </c>
      <c r="AJ552" s="6" t="inlineStr">
        <is>
          <t>Fornecedor não preenchido! (ACC01)</t>
        </is>
      </c>
      <c r="AK552" s="6" t="inlineStr">
        <is>
          <t>SABRE</t>
        </is>
      </c>
      <c r="AL552" s="6" t="inlineStr">
        <is>
          <t>Falta de Fornecedor</t>
        </is>
      </c>
      <c r="AM552" s="6" t="inlineStr">
        <is>
          <t>Campo Fornecedor</t>
        </is>
      </c>
      <c r="AN552" s="6" t="inlineStr">
        <is>
          <t>Dados do Fornecedor</t>
        </is>
      </c>
      <c r="AO552" s="6" t="inlineStr">
        <is>
          <t>Qualidade dos dados</t>
        </is>
      </c>
      <c r="AP552" s="6" t="inlineStr">
        <is>
          <t>KONTIK BUSINESS TRAVEL</t>
        </is>
      </c>
      <c r="AQ552" s="6" t="inlineStr">
        <is>
          <t>Operações - CORP</t>
        </is>
      </c>
    </row>
    <row r="553">
      <c r="A553" s="6" t="n">
        <v>23265381</v>
      </c>
      <c r="B553" s="6" t="n">
        <v>23997850</v>
      </c>
      <c r="C553" s="6" t="inlineStr">
        <is>
          <t>ACC01</t>
        </is>
      </c>
      <c r="D553" s="58" t="n">
        <v>45966.78010416667</v>
      </c>
      <c r="E553" s="58" t="n">
        <v>45966.78466435185</v>
      </c>
      <c r="F553" s="59" t="inlineStr">
        <is>
          <t>16 a 23 dias</t>
        </is>
      </c>
      <c r="G553" s="59" t="inlineStr">
        <is>
          <t>16 a 23 dias</t>
        </is>
      </c>
      <c r="H553" s="6" t="inlineStr">
        <is>
          <t>NCVXSKT</t>
        </is>
      </c>
      <c r="I553" s="6" t="inlineStr">
        <is>
          <t>SABRE</t>
        </is>
      </c>
      <c r="J553" s="6" t="inlineStr">
        <is>
          <t>FERREIRA JUNIOR/EVANDRO</t>
        </is>
      </c>
      <c r="K553" s="6" t="inlineStr">
        <is>
          <t>WU</t>
        </is>
      </c>
      <c r="L553" s="6" t="inlineStr">
        <is>
          <t>WU</t>
        </is>
      </c>
      <c r="M553" s="58" t="n">
        <v>45966.34513888889</v>
      </c>
      <c r="N553" s="6" t="inlineStr">
        <is>
          <t>NCVXSK</t>
        </is>
      </c>
      <c r="O553" s="6" t="inlineStr">
        <is>
          <t>-</t>
        </is>
      </c>
      <c r="P553" s="6" t="inlineStr">
        <is>
          <t>ON LINE</t>
        </is>
      </c>
      <c r="Q553" s="6" t="inlineStr">
        <is>
          <t>Cartão de crédito</t>
        </is>
      </c>
      <c r="R553" s="6" t="inlineStr">
        <is>
          <t>Cartão de crédito</t>
        </is>
      </c>
      <c r="S553" s="6" t="inlineStr">
        <is>
          <t>Hotel</t>
        </is>
      </c>
      <c r="T553" s="6" t="inlineStr">
        <is>
          <t>N</t>
        </is>
      </c>
      <c r="U553" s="6" t="inlineStr">
        <is>
          <t>Grupo Casas Bahia</t>
        </is>
      </c>
      <c r="V553" s="6" t="inlineStr">
        <is>
          <t>Grupo Casas Bahia S.a.</t>
        </is>
      </c>
      <c r="W553" s="6" t="inlineStr">
        <is>
          <t>-</t>
        </is>
      </c>
      <c r="X553" s="6" t="inlineStr">
        <is>
          <t>-</t>
        </is>
      </c>
      <c r="Y553" s="6" t="inlineStr">
        <is>
          <t>-</t>
        </is>
      </c>
      <c r="Z553" s="6" t="inlineStr">
        <is>
          <t>KON-OPE-RIO-PVI-CASAS BAHIA</t>
        </is>
      </c>
      <c r="AA553" s="6" t="inlineStr">
        <is>
          <t>-</t>
        </is>
      </c>
      <c r="AB553" s="6" t="n">
        <v>408</v>
      </c>
      <c r="AC553" s="6" t="n">
        <v>0</v>
      </c>
      <c r="AD553" s="6" t="n">
        <v>0</v>
      </c>
      <c r="AE553" s="6" t="n">
        <v>0</v>
      </c>
      <c r="AF553" s="6" t="n">
        <v>0</v>
      </c>
      <c r="AG553" s="6" t="n">
        <v>0</v>
      </c>
      <c r="AH553" s="6" t="n">
        <v>0</v>
      </c>
      <c r="AI553" s="6" t="inlineStr">
        <is>
          <t>Reserva importada por HubTravel</t>
        </is>
      </c>
      <c r="AJ553" s="6" t="inlineStr">
        <is>
          <t>Fornecedor não preenchido! (ACC01)</t>
        </is>
      </c>
      <c r="AK553" s="6" t="inlineStr">
        <is>
          <t>SABRE</t>
        </is>
      </c>
      <c r="AL553" s="6" t="inlineStr">
        <is>
          <t>Falta de Fornecedor</t>
        </is>
      </c>
      <c r="AM553" s="6" t="inlineStr">
        <is>
          <t>Campo Fornecedor</t>
        </is>
      </c>
      <c r="AN553" s="6" t="inlineStr">
        <is>
          <t>Dados do Fornecedor</t>
        </is>
      </c>
      <c r="AO553" s="6" t="inlineStr">
        <is>
          <t>Qualidade dos dados</t>
        </is>
      </c>
      <c r="AP553" s="6" t="inlineStr">
        <is>
          <t>KONTIK BUSINESS TRAVEL</t>
        </is>
      </c>
      <c r="AQ553" s="6" t="inlineStr">
        <is>
          <t>Operações - CORP</t>
        </is>
      </c>
    </row>
    <row r="554">
      <c r="A554" s="6" t="n">
        <v>23265382</v>
      </c>
      <c r="B554" s="6" t="n">
        <v>23997852</v>
      </c>
      <c r="C554" s="6" t="inlineStr">
        <is>
          <t>ACC01</t>
        </is>
      </c>
      <c r="D554" s="58" t="n">
        <v>45966.78015046296</v>
      </c>
      <c r="E554" s="58" t="n">
        <v>45966.78466435185</v>
      </c>
      <c r="F554" s="59" t="inlineStr">
        <is>
          <t>16 a 23 dias</t>
        </is>
      </c>
      <c r="G554" s="59" t="inlineStr">
        <is>
          <t>16 a 23 dias</t>
        </is>
      </c>
      <c r="H554" s="6" t="inlineStr">
        <is>
          <t>JUVMIPT</t>
        </is>
      </c>
      <c r="I554" s="6" t="inlineStr">
        <is>
          <t>SABRE</t>
        </is>
      </c>
      <c r="J554" s="6" t="inlineStr">
        <is>
          <t>VIEIRA/IZABELE</t>
        </is>
      </c>
      <c r="K554" s="6" t="inlineStr">
        <is>
          <t>WU</t>
        </is>
      </c>
      <c r="L554" s="6" t="inlineStr">
        <is>
          <t>WU</t>
        </is>
      </c>
      <c r="M554" s="58" t="n">
        <v>45966.34166666667</v>
      </c>
      <c r="N554" s="6" t="inlineStr">
        <is>
          <t>JUVMIP</t>
        </is>
      </c>
      <c r="O554" s="6" t="inlineStr">
        <is>
          <t>-</t>
        </is>
      </c>
      <c r="P554" s="6" t="inlineStr">
        <is>
          <t>ON LINE</t>
        </is>
      </c>
      <c r="Q554" s="6" t="inlineStr">
        <is>
          <t>Cartão de crédito</t>
        </is>
      </c>
      <c r="R554" s="6" t="inlineStr">
        <is>
          <t>Cartão de crédito</t>
        </is>
      </c>
      <c r="S554" s="6" t="inlineStr">
        <is>
          <t>Hotel</t>
        </is>
      </c>
      <c r="T554" s="6" t="inlineStr">
        <is>
          <t>N</t>
        </is>
      </c>
      <c r="U554" s="6" t="inlineStr">
        <is>
          <t>Grupo Casas Bahia</t>
        </is>
      </c>
      <c r="V554" s="6" t="inlineStr">
        <is>
          <t>Grupo Casas Bahia S.a.</t>
        </is>
      </c>
      <c r="W554" s="6" t="inlineStr">
        <is>
          <t>-</t>
        </is>
      </c>
      <c r="X554" s="6" t="inlineStr">
        <is>
          <t>-</t>
        </is>
      </c>
      <c r="Y554" s="6" t="inlineStr">
        <is>
          <t>-</t>
        </is>
      </c>
      <c r="Z554" s="6" t="inlineStr">
        <is>
          <t>KON-OPE-RIO-PVI-CASAS BAHIA</t>
        </is>
      </c>
      <c r="AA554" s="6" t="inlineStr">
        <is>
          <t>-</t>
        </is>
      </c>
      <c r="AB554" s="6" t="n">
        <v>408</v>
      </c>
      <c r="AC554" s="6" t="n">
        <v>0</v>
      </c>
      <c r="AD554" s="6" t="n">
        <v>0</v>
      </c>
      <c r="AE554" s="6" t="n">
        <v>0</v>
      </c>
      <c r="AF554" s="6" t="n">
        <v>0</v>
      </c>
      <c r="AG554" s="6" t="n">
        <v>0</v>
      </c>
      <c r="AH554" s="6" t="n">
        <v>0</v>
      </c>
      <c r="AI554" s="6" t="inlineStr">
        <is>
          <t>Reserva importada por HubTravel</t>
        </is>
      </c>
      <c r="AJ554" s="6" t="inlineStr">
        <is>
          <t>Fornecedor não preenchido! (ACC01)</t>
        </is>
      </c>
      <c r="AK554" s="6" t="inlineStr">
        <is>
          <t>SABRE</t>
        </is>
      </c>
      <c r="AL554" s="6" t="inlineStr">
        <is>
          <t>Falta de Fornecedor</t>
        </is>
      </c>
      <c r="AM554" s="6" t="inlineStr">
        <is>
          <t>Campo Fornecedor</t>
        </is>
      </c>
      <c r="AN554" s="6" t="inlineStr">
        <is>
          <t>Dados do Fornecedor</t>
        </is>
      </c>
      <c r="AO554" s="6" t="inlineStr">
        <is>
          <t>Qualidade dos dados</t>
        </is>
      </c>
      <c r="AP554" s="6" t="inlineStr">
        <is>
          <t>KONTIK BUSINESS TRAVEL</t>
        </is>
      </c>
      <c r="AQ554" s="6" t="inlineStr">
        <is>
          <t>Operações - CORP</t>
        </is>
      </c>
    </row>
    <row r="555">
      <c r="A555" s="6" t="n">
        <v>23253162</v>
      </c>
      <c r="B555" s="6" t="n">
        <v>23985793</v>
      </c>
      <c r="C555" s="6" t="inlineStr">
        <is>
          <t>ACC01</t>
        </is>
      </c>
      <c r="D555" s="58" t="n">
        <v>45965.41836805556</v>
      </c>
      <c r="E555" s="58" t="n">
        <v>45965.4799537037</v>
      </c>
      <c r="F555" s="59" t="inlineStr">
        <is>
          <t>16 a 23 dias</t>
        </is>
      </c>
      <c r="G555" s="59" t="inlineStr">
        <is>
          <t>16 a 23 dias</t>
        </is>
      </c>
      <c r="H555" s="6" t="inlineStr">
        <is>
          <t>GNMQOIT</t>
        </is>
      </c>
      <c r="I555" s="6" t="inlineStr">
        <is>
          <t>SABRE</t>
        </is>
      </c>
      <c r="J555" s="6" t="inlineStr">
        <is>
          <t>COSTA/RICARDO</t>
        </is>
      </c>
      <c r="K555" s="6" t="inlineStr">
        <is>
          <t>WU</t>
        </is>
      </c>
      <c r="L555" s="6" t="inlineStr">
        <is>
          <t>WU</t>
        </is>
      </c>
      <c r="M555" s="58" t="n">
        <v>45964.68888888889</v>
      </c>
      <c r="N555" s="6" t="inlineStr">
        <is>
          <t>GNMQOI</t>
        </is>
      </c>
      <c r="O555" s="6" t="inlineStr">
        <is>
          <t>-</t>
        </is>
      </c>
      <c r="P555" s="6" t="inlineStr">
        <is>
          <t>ON LINE</t>
        </is>
      </c>
      <c r="Q555" s="6" t="inlineStr">
        <is>
          <t>Cartão de crédito</t>
        </is>
      </c>
      <c r="R555" s="6" t="inlineStr">
        <is>
          <t>Cartão de crédito</t>
        </is>
      </c>
      <c r="S555" s="6" t="inlineStr">
        <is>
          <t>Hotel</t>
        </is>
      </c>
      <c r="T555" s="6" t="inlineStr">
        <is>
          <t>S</t>
        </is>
      </c>
      <c r="U555" s="6" t="inlineStr">
        <is>
          <t>Grupo Casas Bahia</t>
        </is>
      </c>
      <c r="V555" s="6" t="inlineStr">
        <is>
          <t>Grupo Casas Bahia S.a.</t>
        </is>
      </c>
      <c r="W555" s="6" t="inlineStr">
        <is>
          <t>-</t>
        </is>
      </c>
      <c r="X555" s="6" t="inlineStr">
        <is>
          <t>-</t>
        </is>
      </c>
      <c r="Y555" s="6" t="inlineStr">
        <is>
          <t>-</t>
        </is>
      </c>
      <c r="Z555" s="6" t="inlineStr">
        <is>
          <t>KON-OPE-RIO-PVI-CASAS BAHIA</t>
        </is>
      </c>
      <c r="AA555" s="6" t="inlineStr">
        <is>
          <t>-</t>
        </is>
      </c>
      <c r="AB555" s="6" t="n">
        <v>816</v>
      </c>
      <c r="AC555" s="6" t="n">
        <v>0</v>
      </c>
      <c r="AD555" s="6" t="n">
        <v>0</v>
      </c>
      <c r="AE555" s="6" t="n">
        <v>0</v>
      </c>
      <c r="AF555" s="6" t="n">
        <v>0</v>
      </c>
      <c r="AG555" s="6" t="n">
        <v>0</v>
      </c>
      <c r="AH555" s="6" t="n">
        <v>0</v>
      </c>
      <c r="AI555" s="6" t="inlineStr">
        <is>
          <t>Reserva importada por HubTravel</t>
        </is>
      </c>
      <c r="AJ555" s="6" t="inlineStr">
        <is>
          <t>Fornecedor não preenchido! (ACC01)</t>
        </is>
      </c>
      <c r="AK555" s="6" t="inlineStr">
        <is>
          <t>SABRE</t>
        </is>
      </c>
      <c r="AL555" s="6" t="inlineStr">
        <is>
          <t>Falta de Fornecedor</t>
        </is>
      </c>
      <c r="AM555" s="6" t="inlineStr">
        <is>
          <t>Campo Fornecedor</t>
        </is>
      </c>
      <c r="AN555" s="6" t="inlineStr">
        <is>
          <t>Dados do Fornecedor</t>
        </is>
      </c>
      <c r="AO555" s="6" t="inlineStr">
        <is>
          <t>Qualidade dos dados</t>
        </is>
      </c>
      <c r="AP555" s="6" t="inlineStr">
        <is>
          <t>KONTIK BUSINESS TRAVEL</t>
        </is>
      </c>
      <c r="AQ555" s="6" t="inlineStr">
        <is>
          <t>Operações - CORP</t>
        </is>
      </c>
    </row>
    <row r="556">
      <c r="A556" s="6" t="n">
        <v>23253474</v>
      </c>
      <c r="B556" s="6" t="n">
        <v>23986119</v>
      </c>
      <c r="C556" s="6" t="inlineStr">
        <is>
          <t>ACC01</t>
        </is>
      </c>
      <c r="D556" s="58" t="n">
        <v>45965.44644675926</v>
      </c>
      <c r="E556" s="58" t="n">
        <v>45965.45027777777</v>
      </c>
      <c r="F556" s="59" t="inlineStr">
        <is>
          <t>16 a 23 dias</t>
        </is>
      </c>
      <c r="G556" s="59" t="inlineStr">
        <is>
          <t>16 a 23 dias</t>
        </is>
      </c>
      <c r="H556" s="6" t="inlineStr">
        <is>
          <t>KVKKMZT</t>
        </is>
      </c>
      <c r="I556" s="6" t="inlineStr">
        <is>
          <t>SABRE</t>
        </is>
      </c>
      <c r="J556" s="6" t="inlineStr">
        <is>
          <t>SANTOS/JOAO</t>
        </is>
      </c>
      <c r="K556" s="6" t="inlineStr">
        <is>
          <t>WU</t>
        </is>
      </c>
      <c r="L556" s="6" t="inlineStr">
        <is>
          <t>WU</t>
        </is>
      </c>
      <c r="M556" s="58" t="n">
        <v>45965.29166666666</v>
      </c>
      <c r="N556" s="6" t="inlineStr">
        <is>
          <t>KVKKMZ</t>
        </is>
      </c>
      <c r="O556" s="6" t="inlineStr">
        <is>
          <t>-</t>
        </is>
      </c>
      <c r="P556" s="6" t="inlineStr">
        <is>
          <t>ON LINE</t>
        </is>
      </c>
      <c r="Q556" s="6" t="inlineStr">
        <is>
          <t>Cartão de crédito</t>
        </is>
      </c>
      <c r="R556" s="6" t="inlineStr">
        <is>
          <t>Cartão de crédito</t>
        </is>
      </c>
      <c r="S556" s="6" t="inlineStr">
        <is>
          <t>Hotel</t>
        </is>
      </c>
      <c r="T556" s="6" t="inlineStr">
        <is>
          <t>N</t>
        </is>
      </c>
      <c r="U556" s="6" t="inlineStr">
        <is>
          <t>Grupo Casas Bahia</t>
        </is>
      </c>
      <c r="V556" s="6" t="inlineStr">
        <is>
          <t>Grupo Casas Bahia S.a.</t>
        </is>
      </c>
      <c r="W556" s="6" t="inlineStr">
        <is>
          <t>-</t>
        </is>
      </c>
      <c r="X556" s="6" t="inlineStr">
        <is>
          <t>-</t>
        </is>
      </c>
      <c r="Y556" s="6" t="inlineStr">
        <is>
          <t>-</t>
        </is>
      </c>
      <c r="Z556" s="6" t="inlineStr">
        <is>
          <t>KON-OPE-RIO-PVI-CASAS BAHIA</t>
        </is>
      </c>
      <c r="AA556" s="6" t="inlineStr">
        <is>
          <t>-</t>
        </is>
      </c>
      <c r="AB556" s="6" t="n">
        <v>6250</v>
      </c>
      <c r="AC556" s="6" t="n">
        <v>0</v>
      </c>
      <c r="AD556" s="6" t="n">
        <v>0</v>
      </c>
      <c r="AE556" s="6" t="n">
        <v>0</v>
      </c>
      <c r="AF556" s="6" t="n">
        <v>0</v>
      </c>
      <c r="AG556" s="6" t="n">
        <v>0</v>
      </c>
      <c r="AH556" s="6" t="n">
        <v>0</v>
      </c>
      <c r="AI556" s="6" t="inlineStr">
        <is>
          <t>Reserva importada por HubTravel</t>
        </is>
      </c>
      <c r="AJ556" s="6" t="inlineStr">
        <is>
          <t>Fornecedor não preenchido! (ACC01)</t>
        </is>
      </c>
      <c r="AK556" s="6" t="inlineStr">
        <is>
          <t>SABRE</t>
        </is>
      </c>
      <c r="AL556" s="6" t="inlineStr">
        <is>
          <t>Falta de Fornecedor</t>
        </is>
      </c>
      <c r="AM556" s="6" t="inlineStr">
        <is>
          <t>Campo Fornecedor</t>
        </is>
      </c>
      <c r="AN556" s="6" t="inlineStr">
        <is>
          <t>Dados do Fornecedor</t>
        </is>
      </c>
      <c r="AO556" s="6" t="inlineStr">
        <is>
          <t>Qualidade dos dados</t>
        </is>
      </c>
      <c r="AP556" s="6" t="inlineStr">
        <is>
          <t>KONTIK BUSINESS TRAVEL</t>
        </is>
      </c>
      <c r="AQ556" s="6" t="inlineStr">
        <is>
          <t>Operações - CORP</t>
        </is>
      </c>
    </row>
    <row r="557">
      <c r="A557" s="6" t="n">
        <v>23245074</v>
      </c>
      <c r="B557" s="6" t="n">
        <v>23978041</v>
      </c>
      <c r="C557" s="6" t="inlineStr">
        <is>
          <t>ACC01</t>
        </is>
      </c>
      <c r="D557" s="58" t="n">
        <v>45964.41913194444</v>
      </c>
      <c r="E557" s="58" t="n">
        <v>45964.42199074074</v>
      </c>
      <c r="F557" s="59" t="inlineStr">
        <is>
          <t>16 a 23 dias</t>
        </is>
      </c>
      <c r="G557" s="59" t="inlineStr">
        <is>
          <t>16 a 23 dias</t>
        </is>
      </c>
      <c r="H557" s="6" t="inlineStr">
        <is>
          <t>OQBUSCT</t>
        </is>
      </c>
      <c r="I557" s="6" t="inlineStr">
        <is>
          <t>SABRE</t>
        </is>
      </c>
      <c r="J557" s="6" t="inlineStr">
        <is>
          <t>CUNHA/VANESSA</t>
        </is>
      </c>
      <c r="K557" s="6" t="inlineStr">
        <is>
          <t>WU</t>
        </is>
      </c>
      <c r="L557" s="6" t="inlineStr">
        <is>
          <t>WU</t>
        </is>
      </c>
      <c r="M557" s="58" t="n">
        <v>45964.27986111111</v>
      </c>
      <c r="N557" s="6" t="inlineStr">
        <is>
          <t>OQBUSC</t>
        </is>
      </c>
      <c r="O557" s="6" t="inlineStr">
        <is>
          <t>-</t>
        </is>
      </c>
      <c r="P557" s="6" t="inlineStr">
        <is>
          <t>ON LINE</t>
        </is>
      </c>
      <c r="Q557" s="6" t="inlineStr">
        <is>
          <t>Cartão de crédito</t>
        </is>
      </c>
      <c r="R557" s="6" t="inlineStr">
        <is>
          <t>Cartão de crédito</t>
        </is>
      </c>
      <c r="S557" s="6" t="inlineStr">
        <is>
          <t>Hotel</t>
        </is>
      </c>
      <c r="T557" s="6" t="inlineStr">
        <is>
          <t>N</t>
        </is>
      </c>
      <c r="U557" s="6" t="inlineStr">
        <is>
          <t>Grupo Casas Bahia</t>
        </is>
      </c>
      <c r="V557" s="6" t="inlineStr">
        <is>
          <t>Grupo Casas Bahia S.a.</t>
        </is>
      </c>
      <c r="W557" s="6" t="inlineStr">
        <is>
          <t>-</t>
        </is>
      </c>
      <c r="X557" s="6" t="inlineStr">
        <is>
          <t>-</t>
        </is>
      </c>
      <c r="Y557" s="6" t="inlineStr">
        <is>
          <t>-</t>
        </is>
      </c>
      <c r="Z557" s="6" t="inlineStr">
        <is>
          <t>KON-OPE-RIO-PVI-CASAS BAHIA</t>
        </is>
      </c>
      <c r="AA557" s="6" t="inlineStr">
        <is>
          <t>-</t>
        </is>
      </c>
      <c r="AB557" s="6" t="n">
        <v>408</v>
      </c>
      <c r="AC557" s="6" t="n">
        <v>0</v>
      </c>
      <c r="AD557" s="6" t="n">
        <v>0</v>
      </c>
      <c r="AE557" s="6" t="n">
        <v>0</v>
      </c>
      <c r="AF557" s="6" t="n">
        <v>0</v>
      </c>
      <c r="AG557" s="6" t="n">
        <v>0</v>
      </c>
      <c r="AH557" s="6" t="n">
        <v>0</v>
      </c>
      <c r="AI557" s="6" t="inlineStr">
        <is>
          <t>Reserva importada por HubTravel</t>
        </is>
      </c>
      <c r="AJ557" s="6" t="inlineStr">
        <is>
          <t>Fornecedor não preenchido! (ACC01)</t>
        </is>
      </c>
      <c r="AK557" s="6" t="inlineStr">
        <is>
          <t>SABRE</t>
        </is>
      </c>
      <c r="AL557" s="6" t="inlineStr">
        <is>
          <t>Falta de Fornecedor</t>
        </is>
      </c>
      <c r="AM557" s="6" t="inlineStr">
        <is>
          <t>Campo Fornecedor</t>
        </is>
      </c>
      <c r="AN557" s="6" t="inlineStr">
        <is>
          <t>Dados do Fornecedor</t>
        </is>
      </c>
      <c r="AO557" s="6" t="inlineStr">
        <is>
          <t>Qualidade dos dados</t>
        </is>
      </c>
      <c r="AP557" s="6" t="inlineStr">
        <is>
          <t>KONTIK BUSINESS TRAVEL</t>
        </is>
      </c>
      <c r="AQ557" s="6" t="inlineStr">
        <is>
          <t>Operações - CORP</t>
        </is>
      </c>
    </row>
    <row r="558">
      <c r="A558" s="6" t="n">
        <v>23245450</v>
      </c>
      <c r="B558" s="6" t="n">
        <v>23978426</v>
      </c>
      <c r="C558" s="6" t="inlineStr">
        <is>
          <t>ACC01</t>
        </is>
      </c>
      <c r="D558" s="58" t="n">
        <v>45964.46192129629</v>
      </c>
      <c r="E558" s="58" t="n">
        <v>45964.46349537037</v>
      </c>
      <c r="F558" s="59" t="inlineStr">
        <is>
          <t>16 a 23 dias</t>
        </is>
      </c>
      <c r="G558" s="59" t="inlineStr">
        <is>
          <t>16 a 23 dias</t>
        </is>
      </c>
      <c r="H558" s="6" t="inlineStr">
        <is>
          <t>OPWOGMT</t>
        </is>
      </c>
      <c r="I558" s="6" t="inlineStr">
        <is>
          <t>SABRE</t>
        </is>
      </c>
      <c r="J558" s="6" t="inlineStr">
        <is>
          <t>COSTA/RICARDO</t>
        </is>
      </c>
      <c r="K558" s="6" t="inlineStr">
        <is>
          <t>WU</t>
        </is>
      </c>
      <c r="L558" s="6" t="inlineStr">
        <is>
          <t>WU</t>
        </is>
      </c>
      <c r="M558" s="58" t="n">
        <v>45964.32569444444</v>
      </c>
      <c r="N558" s="6" t="inlineStr">
        <is>
          <t>OPWOGM</t>
        </is>
      </c>
      <c r="O558" s="6" t="inlineStr">
        <is>
          <t>-</t>
        </is>
      </c>
      <c r="P558" s="6" t="inlineStr">
        <is>
          <t>ON LINE</t>
        </is>
      </c>
      <c r="Q558" s="6" t="inlineStr">
        <is>
          <t>Cartão de crédito</t>
        </is>
      </c>
      <c r="R558" s="6" t="inlineStr">
        <is>
          <t>Cartão de crédito</t>
        </is>
      </c>
      <c r="S558" s="6" t="inlineStr">
        <is>
          <t>Hotel</t>
        </is>
      </c>
      <c r="T558" s="6" t="inlineStr">
        <is>
          <t>N</t>
        </is>
      </c>
      <c r="U558" s="6" t="inlineStr">
        <is>
          <t>Grupo Casas Bahia</t>
        </is>
      </c>
      <c r="V558" s="6" t="inlineStr">
        <is>
          <t>Grupo Casas Bahia S.a.</t>
        </is>
      </c>
      <c r="W558" s="6" t="inlineStr">
        <is>
          <t>-</t>
        </is>
      </c>
      <c r="X558" s="6" t="inlineStr">
        <is>
          <t>-</t>
        </is>
      </c>
      <c r="Y558" s="6" t="inlineStr">
        <is>
          <t>-</t>
        </is>
      </c>
      <c r="Z558" s="6" t="inlineStr">
        <is>
          <t>KON-OPE-RIO-PVI-CASAS BAHIA</t>
        </is>
      </c>
      <c r="AA558" s="6" t="inlineStr">
        <is>
          <t>-</t>
        </is>
      </c>
      <c r="AB558" s="6" t="n">
        <v>408</v>
      </c>
      <c r="AC558" s="6" t="n">
        <v>0</v>
      </c>
      <c r="AD558" s="6" t="n">
        <v>0</v>
      </c>
      <c r="AE558" s="6" t="n">
        <v>0</v>
      </c>
      <c r="AF558" s="6" t="n">
        <v>0</v>
      </c>
      <c r="AG558" s="6" t="n">
        <v>0</v>
      </c>
      <c r="AH558" s="6" t="n">
        <v>0</v>
      </c>
      <c r="AI558" s="6" t="inlineStr">
        <is>
          <t>Reserva importada por HubTravel</t>
        </is>
      </c>
      <c r="AJ558" s="6" t="inlineStr">
        <is>
          <t>Fornecedor não preenchido! (ACC01)</t>
        </is>
      </c>
      <c r="AK558" s="6" t="inlineStr">
        <is>
          <t>SABRE</t>
        </is>
      </c>
      <c r="AL558" s="6" t="inlineStr">
        <is>
          <t>Falta de Fornecedor</t>
        </is>
      </c>
      <c r="AM558" s="6" t="inlineStr">
        <is>
          <t>Campo Fornecedor</t>
        </is>
      </c>
      <c r="AN558" s="6" t="inlineStr">
        <is>
          <t>Dados do Fornecedor</t>
        </is>
      </c>
      <c r="AO558" s="6" t="inlineStr">
        <is>
          <t>Qualidade dos dados</t>
        </is>
      </c>
      <c r="AP558" s="6" t="inlineStr">
        <is>
          <t>KONTIK BUSINESS TRAVEL</t>
        </is>
      </c>
      <c r="AQ558" s="6" t="inlineStr">
        <is>
          <t>Operações - CORP</t>
        </is>
      </c>
    </row>
    <row r="559">
      <c r="A559" s="6" t="n">
        <v>23245903</v>
      </c>
      <c r="B559" s="6" t="n">
        <v>23978873</v>
      </c>
      <c r="C559" s="6" t="inlineStr">
        <is>
          <t>ACC01</t>
        </is>
      </c>
      <c r="D559" s="58" t="n">
        <v>45964.51591435185</v>
      </c>
      <c r="E559" s="58" t="n">
        <v>45964.51702546296</v>
      </c>
      <c r="F559" s="59" t="inlineStr">
        <is>
          <t>16 a 23 dias</t>
        </is>
      </c>
      <c r="G559" s="59" t="inlineStr">
        <is>
          <t>16 a 23 dias</t>
        </is>
      </c>
      <c r="H559" s="6" t="inlineStr">
        <is>
          <t>JCRWCTT</t>
        </is>
      </c>
      <c r="I559" s="6" t="inlineStr">
        <is>
          <t>SABRE</t>
        </is>
      </c>
      <c r="J559" s="6" t="inlineStr">
        <is>
          <t>SILVA/ANDERSON</t>
        </is>
      </c>
      <c r="K559" s="6" t="inlineStr">
        <is>
          <t>WU</t>
        </is>
      </c>
      <c r="L559" s="6" t="inlineStr">
        <is>
          <t>WU</t>
        </is>
      </c>
      <c r="M559" s="58" t="n">
        <v>45964.28680555556</v>
      </c>
      <c r="N559" s="6" t="inlineStr">
        <is>
          <t>JCRWCT</t>
        </is>
      </c>
      <c r="O559" s="6" t="inlineStr">
        <is>
          <t>-</t>
        </is>
      </c>
      <c r="P559" s="6" t="inlineStr">
        <is>
          <t>ON LINE</t>
        </is>
      </c>
      <c r="Q559" s="6" t="inlineStr">
        <is>
          <t>Cartão de crédito</t>
        </is>
      </c>
      <c r="R559" s="6" t="inlineStr">
        <is>
          <t>Cartão de crédito</t>
        </is>
      </c>
      <c r="S559" s="6" t="inlineStr">
        <is>
          <t>Hotel</t>
        </is>
      </c>
      <c r="T559" s="6" t="inlineStr">
        <is>
          <t>N</t>
        </is>
      </c>
      <c r="U559" s="6" t="inlineStr">
        <is>
          <t>Grupo Casas Bahia</t>
        </is>
      </c>
      <c r="V559" s="6" t="inlineStr">
        <is>
          <t>Grupo Casas Bahia S.a.</t>
        </is>
      </c>
      <c r="W559" s="6" t="inlineStr">
        <is>
          <t>-</t>
        </is>
      </c>
      <c r="X559" s="6" t="inlineStr">
        <is>
          <t>-</t>
        </is>
      </c>
      <c r="Y559" s="6" t="inlineStr">
        <is>
          <t>-</t>
        </is>
      </c>
      <c r="Z559" s="6" t="inlineStr">
        <is>
          <t>KON-OPE-RIO-PVI-CASAS BAHIA</t>
        </is>
      </c>
      <c r="AA559" s="6" t="inlineStr">
        <is>
          <t>-</t>
        </is>
      </c>
      <c r="AB559" s="6" t="n">
        <v>816</v>
      </c>
      <c r="AC559" s="6" t="n">
        <v>0</v>
      </c>
      <c r="AD559" s="6" t="n">
        <v>0</v>
      </c>
      <c r="AE559" s="6" t="n">
        <v>0</v>
      </c>
      <c r="AF559" s="6" t="n">
        <v>0</v>
      </c>
      <c r="AG559" s="6" t="n">
        <v>0</v>
      </c>
      <c r="AH559" s="6" t="n">
        <v>0</v>
      </c>
      <c r="AI559" s="6" t="inlineStr">
        <is>
          <t>Reserva importada por HubTravel</t>
        </is>
      </c>
      <c r="AJ559" s="6" t="inlineStr">
        <is>
          <t>Fornecedor não preenchido! (ACC01)</t>
        </is>
      </c>
      <c r="AK559" s="6" t="inlineStr">
        <is>
          <t>SABRE</t>
        </is>
      </c>
      <c r="AL559" s="6" t="inlineStr">
        <is>
          <t>Falta de Fornecedor</t>
        </is>
      </c>
      <c r="AM559" s="6" t="inlineStr">
        <is>
          <t>Campo Fornecedor</t>
        </is>
      </c>
      <c r="AN559" s="6" t="inlineStr">
        <is>
          <t>Dados do Fornecedor</t>
        </is>
      </c>
      <c r="AO559" s="6" t="inlineStr">
        <is>
          <t>Qualidade dos dados</t>
        </is>
      </c>
      <c r="AP559" s="6" t="inlineStr">
        <is>
          <t>KONTIK BUSINESS TRAVEL</t>
        </is>
      </c>
      <c r="AQ559" s="6" t="inlineStr">
        <is>
          <t>Operações - CORP</t>
        </is>
      </c>
    </row>
    <row r="560">
      <c r="A560" s="6" t="n">
        <v>23249372</v>
      </c>
      <c r="B560" s="6" t="n">
        <v>23982407</v>
      </c>
      <c r="C560" s="6" t="inlineStr">
        <is>
          <t>ACC01</t>
        </is>
      </c>
      <c r="D560" s="58" t="n">
        <v>45964.80740740741</v>
      </c>
      <c r="E560" s="58" t="n">
        <v>45964.80854166667</v>
      </c>
      <c r="F560" s="59" t="inlineStr">
        <is>
          <t>16 a 23 dias</t>
        </is>
      </c>
      <c r="G560" s="59" t="inlineStr">
        <is>
          <t>16 a 23 dias</t>
        </is>
      </c>
      <c r="H560" s="6" t="inlineStr">
        <is>
          <t>KFCQRKT</t>
        </is>
      </c>
      <c r="I560" s="6" t="inlineStr">
        <is>
          <t>SABRE</t>
        </is>
      </c>
      <c r="J560" s="6" t="inlineStr">
        <is>
          <t>MATHIAS/LUANA</t>
        </is>
      </c>
      <c r="K560" s="6" t="inlineStr">
        <is>
          <t>WU</t>
        </is>
      </c>
      <c r="L560" s="6" t="inlineStr">
        <is>
          <t>WU</t>
        </is>
      </c>
      <c r="M560" s="58" t="n">
        <v>45964.33541666667</v>
      </c>
      <c r="N560" s="6" t="inlineStr">
        <is>
          <t>KFCQRK</t>
        </is>
      </c>
      <c r="O560" s="6" t="inlineStr">
        <is>
          <t>-</t>
        </is>
      </c>
      <c r="P560" s="6" t="inlineStr">
        <is>
          <t>ON LINE</t>
        </is>
      </c>
      <c r="Q560" s="6" t="inlineStr">
        <is>
          <t>Cartão de crédito</t>
        </is>
      </c>
      <c r="R560" s="6" t="inlineStr">
        <is>
          <t>Cartão de crédito</t>
        </is>
      </c>
      <c r="S560" s="6" t="inlineStr">
        <is>
          <t>Hotel</t>
        </is>
      </c>
      <c r="T560" s="6" t="inlineStr">
        <is>
          <t>N</t>
        </is>
      </c>
      <c r="U560" s="6" t="inlineStr">
        <is>
          <t>Grupo Casas Bahia</t>
        </is>
      </c>
      <c r="V560" s="6" t="inlineStr">
        <is>
          <t>Grupo Casas Bahia S.a.</t>
        </is>
      </c>
      <c r="W560" s="6" t="inlineStr">
        <is>
          <t>-</t>
        </is>
      </c>
      <c r="X560" s="6" t="inlineStr">
        <is>
          <t>-</t>
        </is>
      </c>
      <c r="Y560" s="6" t="inlineStr">
        <is>
          <t>-</t>
        </is>
      </c>
      <c r="Z560" s="6" t="inlineStr">
        <is>
          <t>KON-OPE-RIO-PVI-CASAS BAHIA</t>
        </is>
      </c>
      <c r="AA560" s="6" t="inlineStr">
        <is>
          <t>-</t>
        </is>
      </c>
      <c r="AB560" s="6" t="n">
        <v>408</v>
      </c>
      <c r="AC560" s="6" t="n">
        <v>0</v>
      </c>
      <c r="AD560" s="6" t="n">
        <v>0</v>
      </c>
      <c r="AE560" s="6" t="n">
        <v>0</v>
      </c>
      <c r="AF560" s="6" t="n">
        <v>0</v>
      </c>
      <c r="AG560" s="6" t="n">
        <v>0</v>
      </c>
      <c r="AH560" s="6" t="n">
        <v>0</v>
      </c>
      <c r="AI560" s="6" t="inlineStr">
        <is>
          <t>Reserva importada por HubTravel</t>
        </is>
      </c>
      <c r="AJ560" s="6" t="inlineStr">
        <is>
          <t>Fornecedor não preenchido! (ACC01)</t>
        </is>
      </c>
      <c r="AK560" s="6" t="inlineStr">
        <is>
          <t>SABRE</t>
        </is>
      </c>
      <c r="AL560" s="6" t="inlineStr">
        <is>
          <t>Falta de Fornecedor</t>
        </is>
      </c>
      <c r="AM560" s="6" t="inlineStr">
        <is>
          <t>Campo Fornecedor</t>
        </is>
      </c>
      <c r="AN560" s="6" t="inlineStr">
        <is>
          <t>Dados do Fornecedor</t>
        </is>
      </c>
      <c r="AO560" s="6" t="inlineStr">
        <is>
          <t>Qualidade dos dados</t>
        </is>
      </c>
      <c r="AP560" s="6" t="inlineStr">
        <is>
          <t>KONTIK BUSINESS TRAVEL</t>
        </is>
      </c>
      <c r="AQ560" s="6" t="inlineStr">
        <is>
          <t>Operações - CORP</t>
        </is>
      </c>
    </row>
    <row r="561">
      <c r="A561" s="6" t="n">
        <v>23295479</v>
      </c>
      <c r="B561" s="6" t="n">
        <v>24026324</v>
      </c>
      <c r="C561" s="6" t="inlineStr">
        <is>
          <t>ACC01</t>
        </is>
      </c>
      <c r="D561" s="58" t="n">
        <v>45971.62023148148</v>
      </c>
      <c r="E561" s="58" t="n">
        <v>45971.62091435185</v>
      </c>
      <c r="F561" s="6" t="inlineStr">
        <is>
          <t>09 a 15 dias</t>
        </is>
      </c>
      <c r="G561" s="6" t="inlineStr">
        <is>
          <t>09 a 15 dias</t>
        </is>
      </c>
      <c r="H561" s="6" t="inlineStr">
        <is>
          <t>QKIYYTT</t>
        </is>
      </c>
      <c r="I561" s="6" t="inlineStr">
        <is>
          <t>SABRE</t>
        </is>
      </c>
      <c r="J561" s="6" t="inlineStr">
        <is>
          <t>FERREIRA JUNIOR/EVANDRO</t>
        </is>
      </c>
      <c r="K561" s="6" t="inlineStr">
        <is>
          <t>WU</t>
        </is>
      </c>
      <c r="L561" s="6" t="inlineStr">
        <is>
          <t>WU</t>
        </is>
      </c>
      <c r="M561" s="58" t="n">
        <v>45971.32638888889</v>
      </c>
      <c r="N561" s="6" t="inlineStr">
        <is>
          <t>QKIYYT</t>
        </is>
      </c>
      <c r="O561" s="6" t="inlineStr">
        <is>
          <t>-</t>
        </is>
      </c>
      <c r="P561" s="6" t="inlineStr">
        <is>
          <t>ON LINE</t>
        </is>
      </c>
      <c r="Q561" s="6" t="inlineStr">
        <is>
          <t>Cartão de crédito</t>
        </is>
      </c>
      <c r="R561" s="6" t="inlineStr">
        <is>
          <t>Cartão de crédito</t>
        </is>
      </c>
      <c r="S561" s="6" t="inlineStr">
        <is>
          <t>Hotel</t>
        </is>
      </c>
      <c r="T561" s="6" t="inlineStr">
        <is>
          <t>N</t>
        </is>
      </c>
      <c r="U561" s="6" t="inlineStr">
        <is>
          <t>Grupo Casas Bahia</t>
        </is>
      </c>
      <c r="V561" s="6" t="inlineStr">
        <is>
          <t>Grupo Casas Bahia S.a.</t>
        </is>
      </c>
      <c r="W561" s="6" t="inlineStr">
        <is>
          <t>-</t>
        </is>
      </c>
      <c r="X561" s="6" t="inlineStr">
        <is>
          <t>-</t>
        </is>
      </c>
      <c r="Y561" s="6" t="inlineStr">
        <is>
          <t>-</t>
        </is>
      </c>
      <c r="Z561" s="6" t="inlineStr">
        <is>
          <t>KON-OPE-RIO-PVI-CASAS BAHIA</t>
        </is>
      </c>
      <c r="AA561" s="6" t="inlineStr">
        <is>
          <t>-</t>
        </is>
      </c>
      <c r="AB561" s="6" t="n">
        <v>408</v>
      </c>
      <c r="AC561" s="6" t="n">
        <v>0</v>
      </c>
      <c r="AD561" s="6" t="n">
        <v>0</v>
      </c>
      <c r="AE561" s="6" t="n">
        <v>0</v>
      </c>
      <c r="AF561" s="6" t="n">
        <v>0</v>
      </c>
      <c r="AG561" s="6" t="n">
        <v>0</v>
      </c>
      <c r="AH561" s="6" t="n">
        <v>0</v>
      </c>
      <c r="AI561" s="6" t="inlineStr">
        <is>
          <t>Reserva importada por HubTravel</t>
        </is>
      </c>
      <c r="AJ561" s="6" t="inlineStr">
        <is>
          <t>Fornecedor não preenchido! (ACC01)</t>
        </is>
      </c>
      <c r="AK561" s="6" t="inlineStr">
        <is>
          <t>SABRE</t>
        </is>
      </c>
      <c r="AL561" s="6" t="inlineStr">
        <is>
          <t>Falta de Fornecedor</t>
        </is>
      </c>
      <c r="AM561" s="6" t="inlineStr">
        <is>
          <t>Campo Fornecedor</t>
        </is>
      </c>
      <c r="AN561" s="6" t="inlineStr">
        <is>
          <t>Dados do Fornecedor</t>
        </is>
      </c>
      <c r="AO561" s="6" t="inlineStr">
        <is>
          <t>Qualidade dos dados</t>
        </is>
      </c>
      <c r="AP561" s="6" t="inlineStr">
        <is>
          <t>KONTIK BUSINESS TRAVEL</t>
        </is>
      </c>
      <c r="AQ561" s="6" t="inlineStr">
        <is>
          <t>Operações - CORP</t>
        </is>
      </c>
    </row>
    <row r="562">
      <c r="A562" s="6" t="n">
        <v>23297001</v>
      </c>
      <c r="B562" s="6" t="n">
        <v>24027836</v>
      </c>
      <c r="C562" s="6" t="inlineStr">
        <is>
          <t>ACC01</t>
        </is>
      </c>
      <c r="D562" s="58" t="n">
        <v>45971.75994212963</v>
      </c>
      <c r="E562" s="58" t="n">
        <v>45971.76328703704</v>
      </c>
      <c r="F562" s="6" t="inlineStr">
        <is>
          <t>09 a 15 dias</t>
        </is>
      </c>
      <c r="G562" s="6" t="inlineStr">
        <is>
          <t>09 a 15 dias</t>
        </is>
      </c>
      <c r="H562" s="6" t="inlineStr">
        <is>
          <t>CRCALNT</t>
        </is>
      </c>
      <c r="I562" s="6" t="inlineStr">
        <is>
          <t>SABRE</t>
        </is>
      </c>
      <c r="J562" s="6" t="inlineStr">
        <is>
          <t>SILVA/RAFAEL</t>
        </is>
      </c>
      <c r="K562" s="6" t="inlineStr">
        <is>
          <t>WU</t>
        </is>
      </c>
      <c r="L562" s="6" t="inlineStr">
        <is>
          <t>WU</t>
        </is>
      </c>
      <c r="M562" s="58" t="n">
        <v>45971.60069444445</v>
      </c>
      <c r="N562" s="6" t="inlineStr">
        <is>
          <t>CRCALN</t>
        </is>
      </c>
      <c r="O562" s="6" t="inlineStr">
        <is>
          <t>-</t>
        </is>
      </c>
      <c r="P562" s="6" t="inlineStr">
        <is>
          <t>ON LINE</t>
        </is>
      </c>
      <c r="Q562" s="6" t="inlineStr">
        <is>
          <t>Cartão de crédito</t>
        </is>
      </c>
      <c r="R562" s="6" t="inlineStr">
        <is>
          <t>Cartão de crédito</t>
        </is>
      </c>
      <c r="S562" s="6" t="inlineStr">
        <is>
          <t>Hotel</t>
        </is>
      </c>
      <c r="T562" s="6" t="inlineStr">
        <is>
          <t>N</t>
        </is>
      </c>
      <c r="U562" s="6" t="inlineStr">
        <is>
          <t>Grupo Casas Bahia</t>
        </is>
      </c>
      <c r="V562" s="6" t="inlineStr">
        <is>
          <t>Grupo Casas Bahia S.a.</t>
        </is>
      </c>
      <c r="W562" s="6" t="inlineStr">
        <is>
          <t>-</t>
        </is>
      </c>
      <c r="X562" s="6" t="inlineStr">
        <is>
          <t>-</t>
        </is>
      </c>
      <c r="Y562" s="6" t="inlineStr">
        <is>
          <t>-</t>
        </is>
      </c>
      <c r="Z562" s="6" t="inlineStr">
        <is>
          <t>KON-OPE-RIO-PVI-CASAS BAHIA</t>
        </is>
      </c>
      <c r="AA562" s="6" t="inlineStr">
        <is>
          <t>-</t>
        </is>
      </c>
      <c r="AB562" s="6" t="n">
        <v>567</v>
      </c>
      <c r="AC562" s="6" t="n">
        <v>0</v>
      </c>
      <c r="AD562" s="6" t="n">
        <v>0</v>
      </c>
      <c r="AE562" s="6" t="n">
        <v>0</v>
      </c>
      <c r="AF562" s="6" t="n">
        <v>0</v>
      </c>
      <c r="AG562" s="6" t="n">
        <v>0</v>
      </c>
      <c r="AH562" s="6" t="n">
        <v>0</v>
      </c>
      <c r="AI562" s="6" t="inlineStr">
        <is>
          <t>Reserva importada por HubTravel</t>
        </is>
      </c>
      <c r="AJ562" s="6" t="inlineStr">
        <is>
          <t>Fornecedor não preenchido! (ACC01)</t>
        </is>
      </c>
      <c r="AK562" s="6" t="inlineStr">
        <is>
          <t>SABRE</t>
        </is>
      </c>
      <c r="AL562" s="6" t="inlineStr">
        <is>
          <t>Falta de Fornecedor</t>
        </is>
      </c>
      <c r="AM562" s="6" t="inlineStr">
        <is>
          <t>Campo Fornecedor</t>
        </is>
      </c>
      <c r="AN562" s="6" t="inlineStr">
        <is>
          <t>Dados do Fornecedor</t>
        </is>
      </c>
      <c r="AO562" s="6" t="inlineStr">
        <is>
          <t>Qualidade dos dados</t>
        </is>
      </c>
      <c r="AP562" s="6" t="inlineStr">
        <is>
          <t>KONTIK BUSINESS TRAVEL</t>
        </is>
      </c>
      <c r="AQ562" s="6" t="inlineStr">
        <is>
          <t>Operações - CORP</t>
        </is>
      </c>
    </row>
    <row r="563">
      <c r="A563" s="6" t="n">
        <v>23301255</v>
      </c>
      <c r="B563" s="6" t="n">
        <v>24031838</v>
      </c>
      <c r="C563" s="6" t="inlineStr">
        <is>
          <t>ACC01</t>
        </is>
      </c>
      <c r="D563" s="58" t="n">
        <v>45972.42697916667</v>
      </c>
      <c r="E563" s="58" t="n">
        <v>45978.47961805556</v>
      </c>
      <c r="F563" s="6" t="inlineStr">
        <is>
          <t>06 a 08 dias</t>
        </is>
      </c>
      <c r="G563" s="6" t="inlineStr">
        <is>
          <t>09 a 15 dias</t>
        </is>
      </c>
      <c r="H563" s="6" t="inlineStr">
        <is>
          <t>ELRTSU</t>
        </is>
      </c>
      <c r="I563" s="6" t="inlineStr">
        <is>
          <t>SABRE</t>
        </is>
      </c>
      <c r="J563" s="6" t="inlineStr">
        <is>
          <t>ASSIS/JOANNA</t>
        </is>
      </c>
      <c r="K563" s="6" t="inlineStr">
        <is>
          <t>WU</t>
        </is>
      </c>
      <c r="L563" s="6" t="inlineStr">
        <is>
          <t>WU</t>
        </is>
      </c>
      <c r="M563" s="58" t="n">
        <v>45971.60625</v>
      </c>
      <c r="N563" s="6" t="inlineStr">
        <is>
          <t>ELRTSU</t>
        </is>
      </c>
      <c r="O563" s="6" t="inlineStr">
        <is>
          <t>-</t>
        </is>
      </c>
      <c r="P563" s="6" t="inlineStr">
        <is>
          <t>ON LINE</t>
        </is>
      </c>
      <c r="Q563" s="6" t="inlineStr">
        <is>
          <t>Cartão de crédito</t>
        </is>
      </c>
      <c r="R563" s="6" t="inlineStr">
        <is>
          <t>Cartão AMEX</t>
        </is>
      </c>
      <c r="S563" s="6" t="inlineStr">
        <is>
          <t>Aéreo</t>
        </is>
      </c>
      <c r="T563" s="6" t="inlineStr">
        <is>
          <t>N</t>
        </is>
      </c>
      <c r="U563" s="6" t="inlineStr">
        <is>
          <t>Grupo Casas Bahia</t>
        </is>
      </c>
      <c r="V563" s="6" t="inlineStr">
        <is>
          <t>Grupo Casas Bahia S.a.</t>
        </is>
      </c>
      <c r="W563" s="6" t="inlineStr">
        <is>
          <t>-</t>
        </is>
      </c>
      <c r="X563" s="6" t="inlineStr">
        <is>
          <t>Azul Linhas Aereas</t>
        </is>
      </c>
      <c r="Y563" s="6" t="n">
        <v>7700080608</v>
      </c>
      <c r="Z563" s="6" t="inlineStr">
        <is>
          <t>KON-OPE-RIO-PVI-CASAS BAHIA</t>
        </is>
      </c>
      <c r="AA563" s="6" t="inlineStr">
        <is>
          <t>-</t>
        </is>
      </c>
      <c r="AB563" s="6" t="n">
        <v>888.03</v>
      </c>
      <c r="AC563" s="6" t="n">
        <v>120.57</v>
      </c>
      <c r="AD563" s="6" t="n">
        <v>0</v>
      </c>
      <c r="AE563" s="6" t="n">
        <v>0</v>
      </c>
      <c r="AF563" s="6" t="n">
        <v>0</v>
      </c>
      <c r="AG563" s="6" t="n">
        <v>0</v>
      </c>
      <c r="AH563" s="6" t="n">
        <v>0</v>
      </c>
      <c r="AI563" s="6" t="inlineStr">
        <is>
          <t>Reserva importada por HubTravel</t>
        </is>
      </c>
      <c r="AJ563" s="6" t="inlineStr">
        <is>
          <t>Centro de custo não preenchido! (ACC01)</t>
        </is>
      </c>
      <c r="AK563" s="6" t="inlineStr">
        <is>
          <t>SABRE</t>
        </is>
      </c>
      <c r="AL563" s="6" t="inlineStr">
        <is>
          <t>Centro de custo</t>
        </is>
      </c>
      <c r="AM563" s="6" t="inlineStr">
        <is>
          <t>Falta de informação Gerencial</t>
        </is>
      </c>
      <c r="AN563" s="6" t="inlineStr">
        <is>
          <t>Dados do Fornecedor</t>
        </is>
      </c>
      <c r="AO563" s="6" t="inlineStr">
        <is>
          <t>Qualidade dos dados</t>
        </is>
      </c>
      <c r="AP563" s="6" t="inlineStr">
        <is>
          <t>KONTIK BUSINESS TRAVEL</t>
        </is>
      </c>
      <c r="AQ563" s="6" t="inlineStr">
        <is>
          <t>Operações - CORP</t>
        </is>
      </c>
    </row>
    <row r="564">
      <c r="A564" s="6" t="n">
        <v>23303239</v>
      </c>
      <c r="B564" s="6" t="n">
        <v>24033864</v>
      </c>
      <c r="C564" s="6" t="inlineStr">
        <is>
          <t>ACC01</t>
        </is>
      </c>
      <c r="D564" s="58" t="n">
        <v>45972.62018518519</v>
      </c>
      <c r="E564" s="58" t="n">
        <v>45972.62125</v>
      </c>
      <c r="F564" s="6" t="inlineStr">
        <is>
          <t>09 a 15 dias</t>
        </is>
      </c>
      <c r="G564" s="6" t="inlineStr">
        <is>
          <t>09 a 15 dias</t>
        </is>
      </c>
      <c r="H564" s="6" t="inlineStr">
        <is>
          <t>DNLINGT</t>
        </is>
      </c>
      <c r="I564" s="6" t="inlineStr">
        <is>
          <t>SABRE</t>
        </is>
      </c>
      <c r="J564" s="6" t="inlineStr">
        <is>
          <t>BRITO/AMANDA</t>
        </is>
      </c>
      <c r="K564" s="6" t="inlineStr">
        <is>
          <t>WU</t>
        </is>
      </c>
      <c r="L564" s="6" t="inlineStr">
        <is>
          <t>WU</t>
        </is>
      </c>
      <c r="M564" s="58" t="n">
        <v>45971.49930555555</v>
      </c>
      <c r="N564" s="6" t="inlineStr">
        <is>
          <t>DNLING</t>
        </is>
      </c>
      <c r="O564" s="6" t="inlineStr">
        <is>
          <t>-</t>
        </is>
      </c>
      <c r="P564" s="6" t="inlineStr">
        <is>
          <t>ON LINE</t>
        </is>
      </c>
      <c r="Q564" s="6" t="inlineStr">
        <is>
          <t>Pagamento direto</t>
        </is>
      </c>
      <c r="R564" s="6" t="inlineStr">
        <is>
          <t>Pagamento direto</t>
        </is>
      </c>
      <c r="S564" s="6" t="inlineStr">
        <is>
          <t>Hotel</t>
        </is>
      </c>
      <c r="T564" s="6" t="inlineStr">
        <is>
          <t>N</t>
        </is>
      </c>
      <c r="U564" s="6" t="inlineStr">
        <is>
          <t>Grupo Casas Bahia</t>
        </is>
      </c>
      <c r="V564" s="6" t="inlineStr">
        <is>
          <t>Grupo Casas Bahia S.a.</t>
        </is>
      </c>
      <c r="W564" s="6" t="inlineStr">
        <is>
          <t>-</t>
        </is>
      </c>
      <c r="X564" s="6" t="inlineStr">
        <is>
          <t>-</t>
        </is>
      </c>
      <c r="Y564" s="6" t="inlineStr">
        <is>
          <t>-</t>
        </is>
      </c>
      <c r="Z564" s="6" t="inlineStr">
        <is>
          <t>KON-OPE-RIO-PVI-CASAS BAHIA</t>
        </is>
      </c>
      <c r="AA564" s="6" t="inlineStr">
        <is>
          <t>-</t>
        </is>
      </c>
      <c r="AB564" s="6" t="n">
        <v>744.24</v>
      </c>
      <c r="AC564" s="6" t="n">
        <v>0</v>
      </c>
      <c r="AD564" s="6" t="n">
        <v>0</v>
      </c>
      <c r="AE564" s="6" t="n">
        <v>0</v>
      </c>
      <c r="AF564" s="6" t="n">
        <v>0</v>
      </c>
      <c r="AG564" s="6" t="n">
        <v>0</v>
      </c>
      <c r="AH564" s="6" t="n">
        <v>0</v>
      </c>
      <c r="AI564" s="6" t="inlineStr">
        <is>
          <t>Reserva importada por HubTravel</t>
        </is>
      </c>
      <c r="AJ564" s="6" t="inlineStr">
        <is>
          <t>Fornecedor não preenchido! (ACC01)</t>
        </is>
      </c>
      <c r="AK564" s="6" t="inlineStr">
        <is>
          <t>SABRE</t>
        </is>
      </c>
      <c r="AL564" s="6" t="inlineStr">
        <is>
          <t>Falta de Fornecedor</t>
        </is>
      </c>
      <c r="AM564" s="6" t="inlineStr">
        <is>
          <t>Campo Fornecedor</t>
        </is>
      </c>
      <c r="AN564" s="6" t="inlineStr">
        <is>
          <t>Dados do Fornecedor</t>
        </is>
      </c>
      <c r="AO564" s="6" t="inlineStr">
        <is>
          <t>Qualidade dos dados</t>
        </is>
      </c>
      <c r="AP564" s="6" t="inlineStr">
        <is>
          <t>KONTIK BUSINESS TRAVEL</t>
        </is>
      </c>
      <c r="AQ564" s="6" t="inlineStr">
        <is>
          <t>Operações - CORP</t>
        </is>
      </c>
    </row>
    <row r="565">
      <c r="A565" s="6" t="n">
        <v>23301001</v>
      </c>
      <c r="B565" s="6" t="n">
        <v>24031617</v>
      </c>
      <c r="C565" s="6" t="inlineStr">
        <is>
          <t>ACC01</t>
        </is>
      </c>
      <c r="D565" s="58" t="n">
        <v>45972.3983912037</v>
      </c>
      <c r="E565" s="58" t="n">
        <v>45972.40049768519</v>
      </c>
      <c r="F565" s="6" t="inlineStr">
        <is>
          <t>09 a 15 dias</t>
        </is>
      </c>
      <c r="G565" s="6" t="inlineStr">
        <is>
          <t>09 a 15 dias</t>
        </is>
      </c>
      <c r="H565" s="6" t="inlineStr">
        <is>
          <t>AVGOUHT</t>
        </is>
      </c>
      <c r="I565" s="6" t="inlineStr">
        <is>
          <t>SABRE</t>
        </is>
      </c>
      <c r="J565" s="6" t="inlineStr">
        <is>
          <t>SANTOS/VALQUIRIA</t>
        </is>
      </c>
      <c r="K565" s="6" t="inlineStr">
        <is>
          <t>WU</t>
        </is>
      </c>
      <c r="L565" s="6" t="inlineStr">
        <is>
          <t>WU</t>
        </is>
      </c>
      <c r="M565" s="58" t="n">
        <v>45972.25902777778</v>
      </c>
      <c r="N565" s="6" t="inlineStr">
        <is>
          <t>AVGOUH</t>
        </is>
      </c>
      <c r="O565" s="6" t="inlineStr">
        <is>
          <t>-</t>
        </is>
      </c>
      <c r="P565" s="6" t="inlineStr">
        <is>
          <t>ON LINE</t>
        </is>
      </c>
      <c r="Q565" s="6" t="inlineStr">
        <is>
          <t>Cartão de crédito</t>
        </is>
      </c>
      <c r="R565" s="6" t="inlineStr">
        <is>
          <t>Cartão de crédito</t>
        </is>
      </c>
      <c r="S565" s="6" t="inlineStr">
        <is>
          <t>Hotel</t>
        </is>
      </c>
      <c r="T565" s="6" t="inlineStr">
        <is>
          <t>N</t>
        </is>
      </c>
      <c r="U565" s="6" t="inlineStr">
        <is>
          <t>Grupo Casas Bahia</t>
        </is>
      </c>
      <c r="V565" s="6" t="inlineStr">
        <is>
          <t>Grupo Casas Bahia S.a.</t>
        </is>
      </c>
      <c r="W565" s="6" t="inlineStr">
        <is>
          <t>-</t>
        </is>
      </c>
      <c r="X565" s="6" t="inlineStr">
        <is>
          <t>-</t>
        </is>
      </c>
      <c r="Y565" s="6" t="inlineStr">
        <is>
          <t>-</t>
        </is>
      </c>
      <c r="Z565" s="6" t="inlineStr">
        <is>
          <t>KON-OPE-RIO-PVI-CASAS BAHIA</t>
        </is>
      </c>
      <c r="AA565" s="6" t="inlineStr">
        <is>
          <t>-</t>
        </is>
      </c>
      <c r="AB565" s="6" t="n">
        <v>3644.94</v>
      </c>
      <c r="AC565" s="6" t="n">
        <v>0</v>
      </c>
      <c r="AD565" s="6" t="n">
        <v>0</v>
      </c>
      <c r="AE565" s="6" t="n">
        <v>0</v>
      </c>
      <c r="AF565" s="6" t="n">
        <v>0</v>
      </c>
      <c r="AG565" s="6" t="n">
        <v>0</v>
      </c>
      <c r="AH565" s="6" t="n">
        <v>0</v>
      </c>
      <c r="AI565" s="6" t="inlineStr">
        <is>
          <t>Reserva importada por HubTravel</t>
        </is>
      </c>
      <c r="AJ565" s="6" t="inlineStr">
        <is>
          <t>Fornecedor não preenchido! (ACC01)</t>
        </is>
      </c>
      <c r="AK565" s="6" t="inlineStr">
        <is>
          <t>SABRE</t>
        </is>
      </c>
      <c r="AL565" s="6" t="inlineStr">
        <is>
          <t>Falta de Fornecedor</t>
        </is>
      </c>
      <c r="AM565" s="6" t="inlineStr">
        <is>
          <t>Campo Fornecedor</t>
        </is>
      </c>
      <c r="AN565" s="6" t="inlineStr">
        <is>
          <t>Dados do Fornecedor</t>
        </is>
      </c>
      <c r="AO565" s="6" t="inlineStr">
        <is>
          <t>Qualidade dos dados</t>
        </is>
      </c>
      <c r="AP565" s="6" t="inlineStr">
        <is>
          <t>KONTIK BUSINESS TRAVEL</t>
        </is>
      </c>
      <c r="AQ565" s="6" t="inlineStr">
        <is>
          <t>Operações - CORP</t>
        </is>
      </c>
    </row>
    <row r="566">
      <c r="A566" s="6" t="n">
        <v>23339400</v>
      </c>
      <c r="B566" s="6" t="n">
        <v>24067192</v>
      </c>
      <c r="C566" s="6" t="inlineStr">
        <is>
          <t>ACC01</t>
        </is>
      </c>
      <c r="D566" s="58" t="n">
        <v>45978.52386574074</v>
      </c>
      <c r="E566" s="58" t="n">
        <v>45978.52521990741</v>
      </c>
      <c r="F566" s="6" t="inlineStr">
        <is>
          <t>06 a 08 dias</t>
        </is>
      </c>
      <c r="G566" s="6" t="inlineStr">
        <is>
          <t>06 a 08 dias</t>
        </is>
      </c>
      <c r="H566" s="6" t="inlineStr">
        <is>
          <t>AKTWLOT</t>
        </is>
      </c>
      <c r="I566" s="6" t="inlineStr">
        <is>
          <t>SABRE</t>
        </is>
      </c>
      <c r="J566" s="6" t="inlineStr">
        <is>
          <t>BUENO/REGIS</t>
        </is>
      </c>
      <c r="K566" s="6" t="inlineStr">
        <is>
          <t>WU</t>
        </is>
      </c>
      <c r="L566" s="6" t="inlineStr">
        <is>
          <t>WU</t>
        </is>
      </c>
      <c r="M566" s="58" t="n">
        <v>45978.32291666666</v>
      </c>
      <c r="N566" s="6" t="inlineStr">
        <is>
          <t>AKTWLO</t>
        </is>
      </c>
      <c r="O566" s="6" t="inlineStr">
        <is>
          <t>-</t>
        </is>
      </c>
      <c r="P566" s="6" t="inlineStr">
        <is>
          <t>ON LINE</t>
        </is>
      </c>
      <c r="Q566" s="6" t="inlineStr">
        <is>
          <t>Pagamento direto</t>
        </is>
      </c>
      <c r="R566" s="6" t="inlineStr">
        <is>
          <t>Pagamento direto</t>
        </is>
      </c>
      <c r="S566" s="6" t="inlineStr">
        <is>
          <t>Hotel</t>
        </is>
      </c>
      <c r="T566" s="6" t="inlineStr">
        <is>
          <t>N</t>
        </is>
      </c>
      <c r="U566" s="6" t="inlineStr">
        <is>
          <t>Grupo Casas Bahia</t>
        </is>
      </c>
      <c r="V566" s="6" t="inlineStr">
        <is>
          <t>Grupo Casas Bahia S.a.</t>
        </is>
      </c>
      <c r="W566" s="6" t="inlineStr">
        <is>
          <t>-</t>
        </is>
      </c>
      <c r="X566" s="6" t="inlineStr">
        <is>
          <t>-</t>
        </is>
      </c>
      <c r="Y566" s="6" t="inlineStr">
        <is>
          <t>-</t>
        </is>
      </c>
      <c r="Z566" s="6" t="inlineStr">
        <is>
          <t>KON-OPE-RIO-PVI-CASAS BAHIA</t>
        </is>
      </c>
      <c r="AA566" s="6" t="inlineStr">
        <is>
          <t>-</t>
        </is>
      </c>
      <c r="AB566" s="6" t="n">
        <v>206.96</v>
      </c>
      <c r="AC566" s="6" t="n">
        <v>0</v>
      </c>
      <c r="AD566" s="6" t="n">
        <v>0</v>
      </c>
      <c r="AE566" s="6" t="n">
        <v>0</v>
      </c>
      <c r="AF566" s="6" t="n">
        <v>0</v>
      </c>
      <c r="AG566" s="6" t="n">
        <v>0</v>
      </c>
      <c r="AH566" s="6" t="n">
        <v>0</v>
      </c>
      <c r="AI566" s="6" t="inlineStr">
        <is>
          <t>Reserva importada por HubTravel</t>
        </is>
      </c>
      <c r="AJ566" s="6" t="inlineStr">
        <is>
          <t>Fornecedor não preenchido! (ACC01)</t>
        </is>
      </c>
      <c r="AK566" s="6" t="inlineStr">
        <is>
          <t>SABRE</t>
        </is>
      </c>
      <c r="AL566" s="6" t="inlineStr">
        <is>
          <t>Falta de Fornecedor</t>
        </is>
      </c>
      <c r="AM566" s="6" t="inlineStr">
        <is>
          <t>Campo Fornecedor</t>
        </is>
      </c>
      <c r="AN566" s="6" t="inlineStr">
        <is>
          <t>Dados do Fornecedor</t>
        </is>
      </c>
      <c r="AO566" s="6" t="inlineStr">
        <is>
          <t>Qualidade dos dados</t>
        </is>
      </c>
      <c r="AP566" s="6" t="inlineStr">
        <is>
          <t>KONTIK BUSINESS TRAVEL</t>
        </is>
      </c>
      <c r="AQ566" s="6" t="inlineStr">
        <is>
          <t>Operações - CORP</t>
        </is>
      </c>
    </row>
    <row r="567">
      <c r="A567" s="6" t="n">
        <v>23342118</v>
      </c>
      <c r="B567" s="6" t="n">
        <v>24069865</v>
      </c>
      <c r="C567" s="6" t="inlineStr">
        <is>
          <t>ACC01</t>
        </is>
      </c>
      <c r="D567" s="58" t="n">
        <v>45978.76032407407</v>
      </c>
      <c r="E567" s="58" t="n">
        <v>45978.76324074074</v>
      </c>
      <c r="F567" s="6" t="inlineStr">
        <is>
          <t>06 a 08 dias</t>
        </is>
      </c>
      <c r="G567" s="6" t="inlineStr">
        <is>
          <t>06 a 08 dias</t>
        </is>
      </c>
      <c r="H567" s="6" t="inlineStr">
        <is>
          <t>SETZEVT</t>
        </is>
      </c>
      <c r="I567" s="6" t="inlineStr">
        <is>
          <t>SABRE</t>
        </is>
      </c>
      <c r="J567" s="6" t="inlineStr">
        <is>
          <t>LOPES/PAULO</t>
        </is>
      </c>
      <c r="K567" s="6" t="inlineStr">
        <is>
          <t>WU</t>
        </is>
      </c>
      <c r="L567" s="6" t="inlineStr">
        <is>
          <t>WU</t>
        </is>
      </c>
      <c r="M567" s="58" t="n">
        <v>45977.87708333333</v>
      </c>
      <c r="N567" s="6" t="inlineStr">
        <is>
          <t>SETZEV</t>
        </is>
      </c>
      <c r="O567" s="6" t="inlineStr">
        <is>
          <t>-</t>
        </is>
      </c>
      <c r="P567" s="6" t="inlineStr">
        <is>
          <t>ON LINE</t>
        </is>
      </c>
      <c r="Q567" s="6" t="inlineStr">
        <is>
          <t>Pagamento direto</t>
        </is>
      </c>
      <c r="R567" s="6" t="inlineStr">
        <is>
          <t>Pagamento direto</t>
        </is>
      </c>
      <c r="S567" s="6" t="inlineStr">
        <is>
          <t>Hotel</t>
        </is>
      </c>
      <c r="T567" s="6" t="inlineStr">
        <is>
          <t>N</t>
        </is>
      </c>
      <c r="U567" s="6" t="inlineStr">
        <is>
          <t>Grupo Casas Bahia</t>
        </is>
      </c>
      <c r="V567" s="6" t="inlineStr">
        <is>
          <t>Grupo Casas Bahia S.a.</t>
        </is>
      </c>
      <c r="W567" s="6" t="inlineStr">
        <is>
          <t>-</t>
        </is>
      </c>
      <c r="X567" s="6" t="inlineStr">
        <is>
          <t>-</t>
        </is>
      </c>
      <c r="Y567" s="6" t="inlineStr">
        <is>
          <t>-</t>
        </is>
      </c>
      <c r="Z567" s="6" t="inlineStr">
        <is>
          <t>KON-OPE-RIO-PVI-CASAS BAHIA</t>
        </is>
      </c>
      <c r="AA567" s="6" t="inlineStr">
        <is>
          <t>-</t>
        </is>
      </c>
      <c r="AB567" s="6" t="n">
        <v>201.4</v>
      </c>
      <c r="AC567" s="6" t="n">
        <v>0</v>
      </c>
      <c r="AD567" s="6" t="n">
        <v>0</v>
      </c>
      <c r="AE567" s="6" t="n">
        <v>0</v>
      </c>
      <c r="AF567" s="6" t="n">
        <v>0</v>
      </c>
      <c r="AG567" s="6" t="n">
        <v>0</v>
      </c>
      <c r="AH567" s="6" t="n">
        <v>0</v>
      </c>
      <c r="AI567" s="6" t="inlineStr">
        <is>
          <t>Reserva importada por HubTravel</t>
        </is>
      </c>
      <c r="AJ567" s="6" t="inlineStr">
        <is>
          <t>Fornecedor não preenchido! (ACC01)</t>
        </is>
      </c>
      <c r="AK567" s="6" t="inlineStr">
        <is>
          <t>SABRE</t>
        </is>
      </c>
      <c r="AL567" s="6" t="inlineStr">
        <is>
          <t>Falta de Fornecedor</t>
        </is>
      </c>
      <c r="AM567" s="6" t="inlineStr">
        <is>
          <t>Campo Fornecedor</t>
        </is>
      </c>
      <c r="AN567" s="6" t="inlineStr">
        <is>
          <t>Dados do Fornecedor</t>
        </is>
      </c>
      <c r="AO567" s="6" t="inlineStr">
        <is>
          <t>Qualidade dos dados</t>
        </is>
      </c>
      <c r="AP567" s="6" t="inlineStr">
        <is>
          <t>KONTIK BUSINESS TRAVEL</t>
        </is>
      </c>
      <c r="AQ567" s="6" t="inlineStr">
        <is>
          <t>Operações - CORP</t>
        </is>
      </c>
    </row>
    <row r="568">
      <c r="A568" s="6" t="n">
        <v>23355909</v>
      </c>
      <c r="B568" s="6" t="n">
        <v>24082876</v>
      </c>
      <c r="C568" s="6" t="inlineStr">
        <is>
          <t>ACC01</t>
        </is>
      </c>
      <c r="D568" s="58" t="n">
        <v>45980.71144675926</v>
      </c>
      <c r="E568" s="58" t="n">
        <v>45980.71292824074</v>
      </c>
      <c r="F568" s="6" t="inlineStr">
        <is>
          <t>06 a 08 dias</t>
        </is>
      </c>
      <c r="G568" s="6" t="inlineStr">
        <is>
          <t>06 a 08 dias</t>
        </is>
      </c>
      <c r="H568" s="6" t="inlineStr">
        <is>
          <t>UKKGOOT</t>
        </is>
      </c>
      <c r="I568" s="6" t="inlineStr">
        <is>
          <t>SABRE</t>
        </is>
      </c>
      <c r="J568" s="6" t="inlineStr">
        <is>
          <t>AQUINO/MARIA</t>
        </is>
      </c>
      <c r="K568" s="6" t="inlineStr">
        <is>
          <t>WU</t>
        </is>
      </c>
      <c r="L568" s="6" t="inlineStr">
        <is>
          <t>WU</t>
        </is>
      </c>
      <c r="M568" s="58" t="n">
        <v>45975.30763888889</v>
      </c>
      <c r="N568" s="6" t="inlineStr">
        <is>
          <t>UKKGOO</t>
        </is>
      </c>
      <c r="O568" s="6" t="inlineStr">
        <is>
          <t>-</t>
        </is>
      </c>
      <c r="P568" s="6" t="inlineStr">
        <is>
          <t>ON LINE</t>
        </is>
      </c>
      <c r="Q568" s="6" t="inlineStr">
        <is>
          <t>Cartão de crédito</t>
        </is>
      </c>
      <c r="R568" s="6" t="inlineStr">
        <is>
          <t>Cartão de crédito</t>
        </is>
      </c>
      <c r="S568" s="6" t="inlineStr">
        <is>
          <t>Hotel</t>
        </is>
      </c>
      <c r="T568" s="6" t="inlineStr">
        <is>
          <t>N</t>
        </is>
      </c>
      <c r="U568" s="6" t="inlineStr">
        <is>
          <t>Grupo Casas Bahia</t>
        </is>
      </c>
      <c r="V568" s="6" t="inlineStr">
        <is>
          <t>Grupo Casas Bahia S.a.</t>
        </is>
      </c>
      <c r="W568" s="6" t="inlineStr">
        <is>
          <t>-</t>
        </is>
      </c>
      <c r="X568" s="6" t="inlineStr">
        <is>
          <t>-</t>
        </is>
      </c>
      <c r="Y568" s="6" t="inlineStr">
        <is>
          <t>-</t>
        </is>
      </c>
      <c r="Z568" s="6" t="inlineStr">
        <is>
          <t>KON-OPE-RIO-PVI-CASAS BAHIA</t>
        </is>
      </c>
      <c r="AA568" s="6" t="inlineStr">
        <is>
          <t>-</t>
        </is>
      </c>
      <c r="AB568" s="6" t="n">
        <v>215.25</v>
      </c>
      <c r="AC568" s="6" t="n">
        <v>0</v>
      </c>
      <c r="AD568" s="6" t="n">
        <v>0</v>
      </c>
      <c r="AE568" s="6" t="n">
        <v>0</v>
      </c>
      <c r="AF568" s="6" t="n">
        <v>0</v>
      </c>
      <c r="AG568" s="6" t="n">
        <v>0</v>
      </c>
      <c r="AH568" s="6" t="n">
        <v>0</v>
      </c>
      <c r="AI568" s="6" t="inlineStr">
        <is>
          <t>Reserva importada por HubTravel</t>
        </is>
      </c>
      <c r="AJ568" s="6" t="inlineStr">
        <is>
          <t>Fornecedor não preenchido! (ACC01)</t>
        </is>
      </c>
      <c r="AK568" s="6" t="inlineStr">
        <is>
          <t>SABRE</t>
        </is>
      </c>
      <c r="AL568" s="6" t="inlineStr">
        <is>
          <t>Falta de Fornecedor</t>
        </is>
      </c>
      <c r="AM568" s="6" t="inlineStr">
        <is>
          <t>Campo Fornecedor</t>
        </is>
      </c>
      <c r="AN568" s="6" t="inlineStr">
        <is>
          <t>Dados do Fornecedor</t>
        </is>
      </c>
      <c r="AO568" s="6" t="inlineStr">
        <is>
          <t>Qualidade dos dados</t>
        </is>
      </c>
      <c r="AP568" s="6" t="inlineStr">
        <is>
          <t>KONTIK BUSINESS TRAVEL</t>
        </is>
      </c>
      <c r="AQ568" s="6" t="inlineStr">
        <is>
          <t>Operações - CORP</t>
        </is>
      </c>
    </row>
    <row r="569">
      <c r="A569" s="6" t="n">
        <v>23348888</v>
      </c>
      <c r="B569" s="6" t="n">
        <v>24076294</v>
      </c>
      <c r="C569" s="6" t="inlineStr">
        <is>
          <t>ACC01</t>
        </is>
      </c>
      <c r="D569" s="58" t="n">
        <v>45979.6904050926</v>
      </c>
      <c r="E569" s="58" t="n">
        <v>45979.6921875</v>
      </c>
      <c r="F569" s="6" t="inlineStr">
        <is>
          <t>06 a 08 dias</t>
        </is>
      </c>
      <c r="G569" s="6" t="inlineStr">
        <is>
          <t>06 a 08 dias</t>
        </is>
      </c>
      <c r="H569" s="6" t="inlineStr">
        <is>
          <t>LQTAVBT</t>
        </is>
      </c>
      <c r="I569" s="6" t="inlineStr">
        <is>
          <t>SABRE</t>
        </is>
      </c>
      <c r="J569" s="6" t="inlineStr">
        <is>
          <t>BARROS/NILSA</t>
        </is>
      </c>
      <c r="K569" s="6" t="inlineStr">
        <is>
          <t>WU</t>
        </is>
      </c>
      <c r="L569" s="6" t="inlineStr">
        <is>
          <t>WU</t>
        </is>
      </c>
      <c r="M569" s="58" t="n">
        <v>45979.27152777778</v>
      </c>
      <c r="N569" s="6" t="inlineStr">
        <is>
          <t>LQTAVB</t>
        </is>
      </c>
      <c r="O569" s="6" t="inlineStr">
        <is>
          <t>-</t>
        </is>
      </c>
      <c r="P569" s="6" t="inlineStr">
        <is>
          <t>ON LINE</t>
        </is>
      </c>
      <c r="Q569" s="6" t="inlineStr">
        <is>
          <t>Pagamento direto</t>
        </is>
      </c>
      <c r="R569" s="6" t="inlineStr">
        <is>
          <t>Pagamento direto</t>
        </is>
      </c>
      <c r="S569" s="6" t="inlineStr">
        <is>
          <t>Hotel</t>
        </is>
      </c>
      <c r="T569" s="6" t="inlineStr">
        <is>
          <t>N</t>
        </is>
      </c>
      <c r="U569" s="6" t="inlineStr">
        <is>
          <t>Grupo Casas Bahia</t>
        </is>
      </c>
      <c r="V569" s="6" t="inlineStr">
        <is>
          <t>Grupo Casas Bahia S.a.</t>
        </is>
      </c>
      <c r="W569" s="6" t="inlineStr">
        <is>
          <t>-</t>
        </is>
      </c>
      <c r="X569" s="6" t="inlineStr">
        <is>
          <t>-</t>
        </is>
      </c>
      <c r="Y569" s="6" t="inlineStr">
        <is>
          <t>-</t>
        </is>
      </c>
      <c r="Z569" s="6" t="inlineStr">
        <is>
          <t>KON-OPE-RIO-PVI-CASAS BAHIA</t>
        </is>
      </c>
      <c r="AA569" s="6" t="inlineStr">
        <is>
          <t>-</t>
        </is>
      </c>
      <c r="AB569" s="6" t="n">
        <v>599.4</v>
      </c>
      <c r="AC569" s="6" t="n">
        <v>0</v>
      </c>
      <c r="AD569" s="6" t="n">
        <v>0</v>
      </c>
      <c r="AE569" s="6" t="n">
        <v>0</v>
      </c>
      <c r="AF569" s="6" t="n">
        <v>0</v>
      </c>
      <c r="AG569" s="6" t="n">
        <v>0</v>
      </c>
      <c r="AH569" s="6" t="n">
        <v>0</v>
      </c>
      <c r="AI569" s="6" t="inlineStr">
        <is>
          <t>Reserva importada por HubTravel</t>
        </is>
      </c>
      <c r="AJ569" s="6" t="inlineStr">
        <is>
          <t>Fornecedor não preenchido! (ACC01)</t>
        </is>
      </c>
      <c r="AK569" s="6" t="inlineStr">
        <is>
          <t>SABRE</t>
        </is>
      </c>
      <c r="AL569" s="6" t="inlineStr">
        <is>
          <t>Falta de Fornecedor</t>
        </is>
      </c>
      <c r="AM569" s="6" t="inlineStr">
        <is>
          <t>Campo Fornecedor</t>
        </is>
      </c>
      <c r="AN569" s="6" t="inlineStr">
        <is>
          <t>Dados do Fornecedor</t>
        </is>
      </c>
      <c r="AO569" s="6" t="inlineStr">
        <is>
          <t>Qualidade dos dados</t>
        </is>
      </c>
      <c r="AP569" s="6" t="inlineStr">
        <is>
          <t>KONTIK BUSINESS TRAVEL</t>
        </is>
      </c>
      <c r="AQ569" s="6" t="inlineStr">
        <is>
          <t>Operações - CORP</t>
        </is>
      </c>
    </row>
    <row r="570">
      <c r="A570" s="6" t="n">
        <v>23348889</v>
      </c>
      <c r="B570" s="6" t="n">
        <v>24076295</v>
      </c>
      <c r="C570" s="6" t="inlineStr">
        <is>
          <t>ACC01</t>
        </is>
      </c>
      <c r="D570" s="58" t="n">
        <v>45979.69045138889</v>
      </c>
      <c r="E570" s="58" t="n">
        <v>45979.6921875</v>
      </c>
      <c r="F570" s="6" t="inlineStr">
        <is>
          <t>06 a 08 dias</t>
        </is>
      </c>
      <c r="G570" s="6" t="inlineStr">
        <is>
          <t>06 a 08 dias</t>
        </is>
      </c>
      <c r="H570" s="6" t="inlineStr">
        <is>
          <t>YBLYNMT</t>
        </is>
      </c>
      <c r="I570" s="6" t="inlineStr">
        <is>
          <t>SABRE</t>
        </is>
      </c>
      <c r="J570" s="6" t="inlineStr">
        <is>
          <t>SANTOS/JOAO</t>
        </is>
      </c>
      <c r="K570" s="6" t="inlineStr">
        <is>
          <t>WU</t>
        </is>
      </c>
      <c r="L570" s="6" t="inlineStr">
        <is>
          <t>WU</t>
        </is>
      </c>
      <c r="M570" s="58" t="n">
        <v>45979.41875</v>
      </c>
      <c r="N570" s="6" t="inlineStr">
        <is>
          <t>YBLYNM</t>
        </is>
      </c>
      <c r="O570" s="6" t="inlineStr">
        <is>
          <t>-</t>
        </is>
      </c>
      <c r="P570" s="6" t="inlineStr">
        <is>
          <t>ON LINE</t>
        </is>
      </c>
      <c r="Q570" s="6" t="inlineStr">
        <is>
          <t>Pagamento direto</t>
        </is>
      </c>
      <c r="R570" s="6" t="inlineStr">
        <is>
          <t>Pagamento direto</t>
        </is>
      </c>
      <c r="S570" s="6" t="inlineStr">
        <is>
          <t>Hotel</t>
        </is>
      </c>
      <c r="T570" s="6" t="inlineStr">
        <is>
          <t>N</t>
        </is>
      </c>
      <c r="U570" s="6" t="inlineStr">
        <is>
          <t>Grupo Casas Bahia</t>
        </is>
      </c>
      <c r="V570" s="6" t="inlineStr">
        <is>
          <t>Grupo Casas Bahia S.a.</t>
        </is>
      </c>
      <c r="W570" s="6" t="inlineStr">
        <is>
          <t>-</t>
        </is>
      </c>
      <c r="X570" s="6" t="inlineStr">
        <is>
          <t>-</t>
        </is>
      </c>
      <c r="Y570" s="6" t="inlineStr">
        <is>
          <t>-</t>
        </is>
      </c>
      <c r="Z570" s="6" t="inlineStr">
        <is>
          <t>KON-OPE-RIO-PVI-CASAS BAHIA</t>
        </is>
      </c>
      <c r="AA570" s="6" t="inlineStr">
        <is>
          <t>-</t>
        </is>
      </c>
      <c r="AB570" s="6" t="n">
        <v>1500</v>
      </c>
      <c r="AC570" s="6" t="n">
        <v>0</v>
      </c>
      <c r="AD570" s="6" t="n">
        <v>0</v>
      </c>
      <c r="AE570" s="6" t="n">
        <v>0</v>
      </c>
      <c r="AF570" s="6" t="n">
        <v>0</v>
      </c>
      <c r="AG570" s="6" t="n">
        <v>0</v>
      </c>
      <c r="AH570" s="6" t="n">
        <v>0</v>
      </c>
      <c r="AI570" s="6" t="inlineStr">
        <is>
          <t>Reserva importada por HubTravel</t>
        </is>
      </c>
      <c r="AJ570" s="6" t="inlineStr">
        <is>
          <t>Fornecedor não preenchido! (ACC01)</t>
        </is>
      </c>
      <c r="AK570" s="6" t="inlineStr">
        <is>
          <t>SABRE</t>
        </is>
      </c>
      <c r="AL570" s="6" t="inlineStr">
        <is>
          <t>Falta de Fornecedor</t>
        </is>
      </c>
      <c r="AM570" s="6" t="inlineStr">
        <is>
          <t>Campo Fornecedor</t>
        </is>
      </c>
      <c r="AN570" s="6" t="inlineStr">
        <is>
          <t>Dados do Fornecedor</t>
        </is>
      </c>
      <c r="AO570" s="6" t="inlineStr">
        <is>
          <t>Qualidade dos dados</t>
        </is>
      </c>
      <c r="AP570" s="6" t="inlineStr">
        <is>
          <t>KONTIK BUSINESS TRAVEL</t>
        </is>
      </c>
      <c r="AQ570" s="6" t="inlineStr">
        <is>
          <t>Operações - CORP</t>
        </is>
      </c>
    </row>
    <row r="571">
      <c r="A571" s="6" t="n">
        <v>23381458</v>
      </c>
      <c r="B571" s="6" t="n">
        <v>24105155</v>
      </c>
      <c r="C571" s="6" t="inlineStr">
        <is>
          <t>ACC01</t>
        </is>
      </c>
      <c r="D571" s="58" t="n">
        <v>45985.77435185185</v>
      </c>
      <c r="E571" s="58" t="n">
        <v>45985.78159722222</v>
      </c>
      <c r="F571" s="6" t="inlineStr">
        <is>
          <t>0 a 02 dias</t>
        </is>
      </c>
      <c r="G571" s="6" t="inlineStr">
        <is>
          <t>0 a 02 dias</t>
        </is>
      </c>
      <c r="H571" s="6" t="inlineStr">
        <is>
          <t>OVNFXUT</t>
        </is>
      </c>
      <c r="I571" s="6" t="inlineStr">
        <is>
          <t>SABRE</t>
        </is>
      </c>
      <c r="J571" s="6" t="inlineStr">
        <is>
          <t>PALMEIRA/ODAIR</t>
        </is>
      </c>
      <c r="K571" s="6" t="inlineStr">
        <is>
          <t>Marcelo da Silva</t>
        </is>
      </c>
      <c r="L571" s="6" t="inlineStr">
        <is>
          <t>Marcelo da Silva</t>
        </is>
      </c>
      <c r="M571" s="58" t="n">
        <v>45985.63680555556</v>
      </c>
      <c r="N571" s="6" t="inlineStr">
        <is>
          <t>OVNFXU</t>
        </is>
      </c>
      <c r="O571" s="6" t="inlineStr">
        <is>
          <t>-</t>
        </is>
      </c>
      <c r="P571" s="6" t="inlineStr">
        <is>
          <t>ON LINE</t>
        </is>
      </c>
      <c r="Q571" s="6" t="inlineStr">
        <is>
          <t>Invoice</t>
        </is>
      </c>
      <c r="R571" s="6" t="inlineStr">
        <is>
          <t>Faturado</t>
        </is>
      </c>
      <c r="S571" s="6" t="inlineStr">
        <is>
          <t>Hotel</t>
        </is>
      </c>
      <c r="T571" s="6" t="inlineStr">
        <is>
          <t>N</t>
        </is>
      </c>
      <c r="U571" s="6" t="inlineStr">
        <is>
          <t>Grupo Casas Bahia</t>
        </is>
      </c>
      <c r="V571" s="6" t="inlineStr">
        <is>
          <t>Grupo Casas Bahia S.a.</t>
        </is>
      </c>
      <c r="W571" s="6" t="inlineStr">
        <is>
          <t>-</t>
        </is>
      </c>
      <c r="X571" s="6" t="inlineStr">
        <is>
          <t>Bristol Imperatriz Hotel</t>
        </is>
      </c>
      <c r="Y571" s="6" t="inlineStr">
        <is>
          <t>-</t>
        </is>
      </c>
      <c r="Z571" s="6" t="inlineStr">
        <is>
          <t>KON-OPE-RIO-PVI-CASAS BAHIA</t>
        </is>
      </c>
      <c r="AA571" s="6" t="inlineStr">
        <is>
          <t>-</t>
        </is>
      </c>
      <c r="AB571" s="6" t="n">
        <v>357</v>
      </c>
      <c r="AC571" s="6" t="n">
        <v>0</v>
      </c>
      <c r="AD571" s="6" t="n">
        <v>0</v>
      </c>
      <c r="AE571" s="6" t="n">
        <v>0</v>
      </c>
      <c r="AF571" s="6" t="n">
        <v>0</v>
      </c>
      <c r="AG571" s="6" t="n">
        <v>0</v>
      </c>
      <c r="AH571" s="6" t="n">
        <v>0</v>
      </c>
      <c r="AI571" s="6" t="inlineStr">
        <is>
          <t>Reserva importada por HubTravel</t>
        </is>
      </c>
      <c r="AJ571" s="6" t="inlineStr">
        <is>
          <t>Centro de custo não preenchido! (ACC01)</t>
        </is>
      </c>
      <c r="AK571" s="6" t="inlineStr">
        <is>
          <t>SABRE</t>
        </is>
      </c>
      <c r="AL571" s="6" t="inlineStr">
        <is>
          <t>Centro de custo</t>
        </is>
      </c>
      <c r="AM571" s="6" t="inlineStr">
        <is>
          <t>Falta de informação Gerencial</t>
        </is>
      </c>
      <c r="AN571" s="6" t="inlineStr">
        <is>
          <t>Dados do Fornecedor</t>
        </is>
      </c>
      <c r="AO571" s="6" t="inlineStr">
        <is>
          <t>Qualidade dos dados</t>
        </is>
      </c>
      <c r="AP571" s="6" t="inlineStr">
        <is>
          <t>KONTIK BUSINESS TRAVEL</t>
        </is>
      </c>
      <c r="AQ571" s="6" t="inlineStr">
        <is>
          <t>Operações - CORP</t>
        </is>
      </c>
    </row>
    <row r="572">
      <c r="A572" s="6" t="n">
        <v>23345957</v>
      </c>
      <c r="B572" s="6" t="n">
        <v>24073260</v>
      </c>
      <c r="C572" s="6" t="inlineStr">
        <is>
          <t>ACC01</t>
        </is>
      </c>
      <c r="D572" s="58" t="n">
        <v>45979.41365740741</v>
      </c>
      <c r="E572" s="58" t="n">
        <v>45979.41780092593</v>
      </c>
      <c r="F572" s="6" t="inlineStr">
        <is>
          <t>06 a 08 dias</t>
        </is>
      </c>
      <c r="G572" s="6" t="inlineStr">
        <is>
          <t>06 a 08 dias</t>
        </is>
      </c>
      <c r="H572" s="6" t="inlineStr">
        <is>
          <t>OSTZEDT</t>
        </is>
      </c>
      <c r="I572" s="6" t="inlineStr">
        <is>
          <t>SABRE</t>
        </is>
      </c>
      <c r="J572" s="6" t="inlineStr">
        <is>
          <t>SANTOS JUNIOR/JORGE LUCIO DOS</t>
        </is>
      </c>
      <c r="K572" s="6" t="inlineStr">
        <is>
          <t>WS</t>
        </is>
      </c>
      <c r="L572" s="6" t="inlineStr">
        <is>
          <t>WS</t>
        </is>
      </c>
      <c r="M572" s="58" t="n">
        <v>45979.23888888889</v>
      </c>
      <c r="N572" s="6" t="inlineStr">
        <is>
          <t>3PWX</t>
        </is>
      </c>
      <c r="O572" s="6" t="inlineStr">
        <is>
          <t>-</t>
        </is>
      </c>
      <c r="P572" s="6" t="inlineStr">
        <is>
          <t>ON LINE</t>
        </is>
      </c>
      <c r="Q572" s="6" t="inlineStr">
        <is>
          <t>Cartão de crédito</t>
        </is>
      </c>
      <c r="R572" s="6" t="inlineStr">
        <is>
          <t>Cartão de crédito</t>
        </is>
      </c>
      <c r="S572" s="6" t="inlineStr">
        <is>
          <t>Hotel</t>
        </is>
      </c>
      <c r="T572" s="6" t="inlineStr">
        <is>
          <t>N</t>
        </is>
      </c>
      <c r="U572" s="6" t="inlineStr">
        <is>
          <t>Grupo Atento</t>
        </is>
      </c>
      <c r="V572" s="6" t="inlineStr">
        <is>
          <t>Atento Brasil S/a</t>
        </is>
      </c>
      <c r="W572" s="6" t="inlineStr">
        <is>
          <t>-</t>
        </is>
      </c>
      <c r="X572" s="6" t="inlineStr">
        <is>
          <t>-</t>
        </is>
      </c>
      <c r="Y572" s="6" t="inlineStr">
        <is>
          <t>-</t>
        </is>
      </c>
      <c r="Z572" s="6" t="inlineStr">
        <is>
          <t>FCM-OPE-POA-PVI-ATENTO</t>
        </is>
      </c>
      <c r="AA572" s="6" t="inlineStr">
        <is>
          <t>-</t>
        </is>
      </c>
      <c r="AB572" s="6" t="n">
        <v>1268</v>
      </c>
      <c r="AC572" s="6" t="n">
        <v>63.4</v>
      </c>
      <c r="AD572" s="6" t="n">
        <v>0</v>
      </c>
      <c r="AE572" s="6" t="n">
        <v>0</v>
      </c>
      <c r="AF572" s="6" t="n">
        <v>0</v>
      </c>
      <c r="AG572" s="6" t="n">
        <v>0</v>
      </c>
      <c r="AH572" s="6" t="n">
        <v>0</v>
      </c>
      <c r="AI572" s="6" t="inlineStr">
        <is>
          <t>Reserva importada por HubTravel</t>
        </is>
      </c>
      <c r="AJ572" s="6" t="inlineStr">
        <is>
          <t>Fornecedor não preenchido! (ACC01)</t>
        </is>
      </c>
      <c r="AK572" s="6" t="inlineStr">
        <is>
          <t>SABRE</t>
        </is>
      </c>
      <c r="AL572" s="6" t="inlineStr">
        <is>
          <t>Falta de Fornecedor</t>
        </is>
      </c>
      <c r="AM572" s="6" t="inlineStr">
        <is>
          <t>Campo Fornecedor</t>
        </is>
      </c>
      <c r="AN572" s="6" t="inlineStr">
        <is>
          <t>Dados do Fornecedor</t>
        </is>
      </c>
      <c r="AO572" s="6" t="inlineStr">
        <is>
          <t>Sistêmico</t>
        </is>
      </c>
      <c r="AP572" s="6" t="inlineStr">
        <is>
          <t>GRUPO KONTIK</t>
        </is>
      </c>
      <c r="AQ572" s="6" t="inlineStr">
        <is>
          <t>Suporte Benner</t>
        </is>
      </c>
    </row>
    <row r="573">
      <c r="A573" s="6" t="n">
        <v>23356574</v>
      </c>
      <c r="B573" s="6" t="n">
        <v>24083568</v>
      </c>
      <c r="C573" s="6" t="inlineStr">
        <is>
          <t>ACC01</t>
        </is>
      </c>
      <c r="D573" s="58" t="n">
        <v>45980.79547453704</v>
      </c>
      <c r="E573" s="58" t="n">
        <v>45980.79690972222</v>
      </c>
      <c r="F573" s="6" t="inlineStr">
        <is>
          <t>06 a 08 dias</t>
        </is>
      </c>
      <c r="G573" s="6" t="inlineStr">
        <is>
          <t>06 a 08 dias</t>
        </is>
      </c>
      <c r="H573" s="6" t="inlineStr">
        <is>
          <t>FFAJFIT</t>
        </is>
      </c>
      <c r="I573" s="6" t="inlineStr">
        <is>
          <t>SABRE</t>
        </is>
      </c>
      <c r="J573" s="6" t="inlineStr">
        <is>
          <t>SANTOS JUNIOR/JORGE LUCIO DOS</t>
        </is>
      </c>
      <c r="K573" s="6" t="inlineStr">
        <is>
          <t>WS</t>
        </is>
      </c>
      <c r="L573" s="6" t="inlineStr">
        <is>
          <t>WS</t>
        </is>
      </c>
      <c r="M573" s="58" t="n">
        <v>45979.23333333333</v>
      </c>
      <c r="N573" s="6" t="inlineStr">
        <is>
          <t>3PWW</t>
        </is>
      </c>
      <c r="O573" s="6" t="inlineStr">
        <is>
          <t>-</t>
        </is>
      </c>
      <c r="P573" s="6" t="inlineStr">
        <is>
          <t>ON LINE</t>
        </is>
      </c>
      <c r="Q573" s="6" t="inlineStr">
        <is>
          <t>Cartão de crédito</t>
        </is>
      </c>
      <c r="R573" s="6" t="inlineStr">
        <is>
          <t>Cartão de crédito</t>
        </is>
      </c>
      <c r="S573" s="6" t="inlineStr">
        <is>
          <t>Hotel</t>
        </is>
      </c>
      <c r="T573" s="6" t="inlineStr">
        <is>
          <t>N</t>
        </is>
      </c>
      <c r="U573" s="6" t="inlineStr">
        <is>
          <t>Grupo Atento</t>
        </is>
      </c>
      <c r="V573" s="6" t="inlineStr">
        <is>
          <t>Atento Brasil S/a</t>
        </is>
      </c>
      <c r="W573" s="6" t="inlineStr">
        <is>
          <t>-</t>
        </is>
      </c>
      <c r="X573" s="6" t="inlineStr">
        <is>
          <t>-</t>
        </is>
      </c>
      <c r="Y573" s="6" t="inlineStr">
        <is>
          <t>-</t>
        </is>
      </c>
      <c r="Z573" s="6" t="inlineStr">
        <is>
          <t>FCM-OPE-POA-PVI-ATENTO</t>
        </is>
      </c>
      <c r="AA573" s="6" t="inlineStr">
        <is>
          <t>-</t>
        </is>
      </c>
      <c r="AB573" s="6" t="n">
        <v>1428</v>
      </c>
      <c r="AC573" s="6" t="n">
        <v>68.2</v>
      </c>
      <c r="AD573" s="6" t="n">
        <v>0</v>
      </c>
      <c r="AE573" s="6" t="n">
        <v>0</v>
      </c>
      <c r="AF573" s="6" t="n">
        <v>0</v>
      </c>
      <c r="AG573" s="6" t="n">
        <v>0</v>
      </c>
      <c r="AH573" s="6" t="n">
        <v>0</v>
      </c>
      <c r="AI573" s="6" t="inlineStr">
        <is>
          <t>Reserva importada por HubTravel</t>
        </is>
      </c>
      <c r="AJ573" s="6" t="inlineStr">
        <is>
          <t>Fornecedor não preenchido! (ACC01)</t>
        </is>
      </c>
      <c r="AK573" s="6" t="inlineStr">
        <is>
          <t>SABRE</t>
        </is>
      </c>
      <c r="AL573" s="6" t="inlineStr">
        <is>
          <t>Falta de Fornecedor</t>
        </is>
      </c>
      <c r="AM573" s="6" t="inlineStr">
        <is>
          <t>Campo Fornecedor</t>
        </is>
      </c>
      <c r="AN573" s="6" t="inlineStr">
        <is>
          <t>Dados do Fornecedor</t>
        </is>
      </c>
      <c r="AO573" s="6" t="inlineStr">
        <is>
          <t>Sistêmico</t>
        </is>
      </c>
      <c r="AP573" s="6" t="inlineStr">
        <is>
          <t>GRUPO KONTIK</t>
        </is>
      </c>
      <c r="AQ573" s="6" t="inlineStr">
        <is>
          <t>Suporte Benner</t>
        </is>
      </c>
    </row>
    <row r="574">
      <c r="A574" s="6" t="n">
        <v>23356131</v>
      </c>
      <c r="B574" s="6" t="n">
        <v>24083120</v>
      </c>
      <c r="C574" s="6" t="inlineStr">
        <is>
          <t>ACC01</t>
        </is>
      </c>
      <c r="D574" s="58" t="n">
        <v>45980.73837962963</v>
      </c>
      <c r="E574" s="58" t="n">
        <v>45982.77546296296</v>
      </c>
      <c r="F574" s="6" t="inlineStr">
        <is>
          <t>03 a 05 dias</t>
        </is>
      </c>
      <c r="G574" s="6" t="inlineStr">
        <is>
          <t>06 a 08 dias</t>
        </is>
      </c>
      <c r="H574" s="6" t="inlineStr">
        <is>
          <t>GBBSAST</t>
        </is>
      </c>
      <c r="I574" s="6" t="inlineStr">
        <is>
          <t>SABRE</t>
        </is>
      </c>
      <c r="J574" s="6" t="inlineStr">
        <is>
          <t>OLIVEIRA/CINTIA LEITE DE</t>
        </is>
      </c>
      <c r="K574" s="6" t="inlineStr">
        <is>
          <t>WS</t>
        </is>
      </c>
      <c r="L574" s="6" t="inlineStr">
        <is>
          <t>WS</t>
        </is>
      </c>
      <c r="M574" s="58" t="n">
        <v>45978.43333333333</v>
      </c>
      <c r="N574" s="6" t="inlineStr">
        <is>
          <t>3PWN</t>
        </is>
      </c>
      <c r="O574" s="6" t="inlineStr">
        <is>
          <t>-</t>
        </is>
      </c>
      <c r="P574" s="6" t="inlineStr">
        <is>
          <t>ON LINE</t>
        </is>
      </c>
      <c r="Q574" s="6" t="inlineStr">
        <is>
          <t>Invoice</t>
        </is>
      </c>
      <c r="R574" s="6" t="inlineStr">
        <is>
          <t>Faturado</t>
        </is>
      </c>
      <c r="S574" s="6" t="inlineStr">
        <is>
          <t>Hotel</t>
        </is>
      </c>
      <c r="T574" s="6" t="inlineStr">
        <is>
          <t>N</t>
        </is>
      </c>
      <c r="U574" s="6" t="inlineStr">
        <is>
          <t>Grupo Atento</t>
        </is>
      </c>
      <c r="V574" s="6" t="inlineStr">
        <is>
          <t>Atento Brasil S/a</t>
        </is>
      </c>
      <c r="W574" s="6" t="inlineStr">
        <is>
          <t>-</t>
        </is>
      </c>
      <c r="X574" s="6" t="inlineStr">
        <is>
          <t>-</t>
        </is>
      </c>
      <c r="Y574" s="6" t="inlineStr">
        <is>
          <t>-</t>
        </is>
      </c>
      <c r="Z574" s="6" t="inlineStr">
        <is>
          <t>FCM-OPE-POA-PVI-ATENTO</t>
        </is>
      </c>
      <c r="AA574" s="6" t="inlineStr">
        <is>
          <t>-</t>
        </is>
      </c>
      <c r="AB574" s="6" t="n">
        <v>1274</v>
      </c>
      <c r="AC574" s="6" t="n">
        <v>0</v>
      </c>
      <c r="AD574" s="6" t="n">
        <v>0</v>
      </c>
      <c r="AE574" s="6" t="n">
        <v>0</v>
      </c>
      <c r="AF574" s="6" t="n">
        <v>0</v>
      </c>
      <c r="AG574" s="6" t="n">
        <v>0</v>
      </c>
      <c r="AH574" s="6" t="n">
        <v>0</v>
      </c>
      <c r="AI574" s="6" t="inlineStr">
        <is>
          <t>Reserva importada por HubTravel</t>
        </is>
      </c>
      <c r="AJ574" s="6" t="inlineStr">
        <is>
          <t>Fornecedor não preenchido! (ACC01)</t>
        </is>
      </c>
      <c r="AK574" s="6" t="inlineStr">
        <is>
          <t>SABRE</t>
        </is>
      </c>
      <c r="AL574" s="6" t="inlineStr">
        <is>
          <t>Falta de Fornecedor</t>
        </is>
      </c>
      <c r="AM574" s="6" t="inlineStr">
        <is>
          <t>Campo Fornecedor</t>
        </is>
      </c>
      <c r="AN574" s="6" t="inlineStr">
        <is>
          <t>Dados do Fornecedor</t>
        </is>
      </c>
      <c r="AO574" s="6" t="inlineStr">
        <is>
          <t>Sistêmico</t>
        </is>
      </c>
      <c r="AP574" s="6" t="inlineStr">
        <is>
          <t>GRUPO KONTIK</t>
        </is>
      </c>
      <c r="AQ574" s="6" t="inlineStr">
        <is>
          <t>Suporte Benner</t>
        </is>
      </c>
    </row>
    <row r="575">
      <c r="A575" s="6" t="n">
        <v>23272513</v>
      </c>
      <c r="B575" s="6" t="n">
        <v>24005117</v>
      </c>
      <c r="C575" s="6" t="inlineStr">
        <is>
          <t>ACC01</t>
        </is>
      </c>
      <c r="D575" s="58" t="n">
        <v>45967.70106481481</v>
      </c>
      <c r="E575" s="58" t="n">
        <v>45967.72298611111</v>
      </c>
      <c r="F575" s="59" t="inlineStr">
        <is>
          <t>16 a 23 dias</t>
        </is>
      </c>
      <c r="G575" s="59" t="inlineStr">
        <is>
          <t>16 a 23 dias</t>
        </is>
      </c>
      <c r="H575" s="6" t="inlineStr">
        <is>
          <t>5RCRUF</t>
        </is>
      </c>
      <c r="I575" s="6" t="inlineStr">
        <is>
          <t>TMS</t>
        </is>
      </c>
      <c r="J575" s="6" t="inlineStr">
        <is>
          <t>SANDRA NEGRINI</t>
        </is>
      </c>
      <c r="K575" s="6" t="inlineStr">
        <is>
          <t>Thais Peixoto de Melo</t>
        </is>
      </c>
      <c r="L575" s="6" t="inlineStr">
        <is>
          <t>Thais Peixoto de Melo</t>
        </is>
      </c>
      <c r="M575" s="58" t="n">
        <v>45967.45833333334</v>
      </c>
      <c r="N575" s="6" t="n">
        <v>5859</v>
      </c>
      <c r="O575" s="6" t="inlineStr">
        <is>
          <t>-</t>
        </is>
      </c>
      <c r="P575" s="6" t="inlineStr">
        <is>
          <t>OFF LINE</t>
        </is>
      </c>
      <c r="Q575" s="6" t="inlineStr">
        <is>
          <t>Invoice</t>
        </is>
      </c>
      <c r="R575" s="6" t="inlineStr">
        <is>
          <t>Faturado</t>
        </is>
      </c>
      <c r="S575" s="6" t="inlineStr">
        <is>
          <t>Hotel</t>
        </is>
      </c>
      <c r="T575" s="6" t="inlineStr">
        <is>
          <t>N</t>
        </is>
      </c>
      <c r="U575" s="6" t="inlineStr">
        <is>
          <t>Grupo Bernoulli Educacao</t>
        </is>
      </c>
      <c r="V575" s="6" t="inlineStr">
        <is>
          <t>Bernoulli Sistema de Ensino - Belo Horizonte</t>
        </is>
      </c>
      <c r="W575" s="6" t="inlineStr">
        <is>
          <t>-</t>
        </is>
      </c>
      <c r="X575" s="6" t="inlineStr">
        <is>
          <t>-</t>
        </is>
      </c>
      <c r="Y575" s="6" t="inlineStr">
        <is>
          <t>-</t>
        </is>
      </c>
      <c r="Z575" s="6" t="inlineStr">
        <is>
          <t>KON-OPE-SAO-PVI-BERNOULLI</t>
        </is>
      </c>
      <c r="AA575" s="6" t="inlineStr">
        <is>
          <t>-</t>
        </is>
      </c>
      <c r="AB575" s="6" t="n">
        <v>448.4</v>
      </c>
      <c r="AC575" s="6" t="n">
        <v>0</v>
      </c>
      <c r="AD575" s="6" t="n">
        <v>0</v>
      </c>
      <c r="AE575" s="6" t="n">
        <v>0</v>
      </c>
      <c r="AF575" s="6" t="n">
        <v>0</v>
      </c>
      <c r="AG575" s="6" t="n">
        <v>0</v>
      </c>
      <c r="AH575" s="6" t="n">
        <v>0</v>
      </c>
      <c r="AI575" s="6" t="inlineStr">
        <is>
          <t>Reserva importada do Sistema TMS. OS: 5859</t>
        </is>
      </c>
      <c r="AJ575" s="6" t="inlineStr">
        <is>
          <t>Fornecedor não preenchido! (ACC01)</t>
        </is>
      </c>
      <c r="AK575" s="6" t="inlineStr">
        <is>
          <t>ARGO(TMS)</t>
        </is>
      </c>
      <c r="AL575" s="6" t="inlineStr">
        <is>
          <t>Falta de Fornecedor</t>
        </is>
      </c>
      <c r="AM575" s="6" t="inlineStr">
        <is>
          <t>Campo Fornecedor</t>
        </is>
      </c>
      <c r="AN575" s="6" t="inlineStr">
        <is>
          <t>Dados do Fornecedor</t>
        </is>
      </c>
      <c r="AO575" s="6" t="inlineStr">
        <is>
          <t>Qualidade dos dados</t>
        </is>
      </c>
      <c r="AP575" s="6" t="inlineStr">
        <is>
          <t>KONTIK BUSINESS TRAVEL</t>
        </is>
      </c>
      <c r="AQ575" s="6" t="inlineStr">
        <is>
          <t>Suporte KCS</t>
        </is>
      </c>
    </row>
    <row r="576">
      <c r="A576" s="6" t="n">
        <v>23368554</v>
      </c>
      <c r="B576" s="6" t="n">
        <v>24094514</v>
      </c>
      <c r="C576" s="6" t="inlineStr">
        <is>
          <t>ACC01</t>
        </is>
      </c>
      <c r="D576" s="58" t="n">
        <v>45982.90516203704</v>
      </c>
      <c r="E576" s="58" t="n">
        <v>45982.91799768519</v>
      </c>
      <c r="F576" s="6" t="inlineStr">
        <is>
          <t>03 a 05 dias</t>
        </is>
      </c>
      <c r="G576" s="6" t="inlineStr">
        <is>
          <t>03 a 05 dias</t>
        </is>
      </c>
      <c r="H576" s="6" t="inlineStr">
        <is>
          <t>5UIWXQ</t>
        </is>
      </c>
      <c r="I576" s="6" t="inlineStr">
        <is>
          <t>TMS</t>
        </is>
      </c>
      <c r="J576" s="6" t="inlineStr">
        <is>
          <t>MARCOS MUNIZ</t>
        </is>
      </c>
      <c r="K576" s="6" t="inlineStr">
        <is>
          <t>Thais Peixoto de Melo</t>
        </is>
      </c>
      <c r="L576" s="6" t="inlineStr">
        <is>
          <t>Thais Peixoto de Melo</t>
        </is>
      </c>
      <c r="M576" s="58" t="n">
        <v>45982.70486111111</v>
      </c>
      <c r="N576" s="6" t="n">
        <v>6214</v>
      </c>
      <c r="O576" s="6" t="inlineStr">
        <is>
          <t>-</t>
        </is>
      </c>
      <c r="P576" s="6" t="inlineStr">
        <is>
          <t>OFF LINE</t>
        </is>
      </c>
      <c r="Q576" s="6" t="inlineStr">
        <is>
          <t>Invoice</t>
        </is>
      </c>
      <c r="R576" s="6" t="inlineStr">
        <is>
          <t>Faturado</t>
        </is>
      </c>
      <c r="S576" s="6" t="inlineStr">
        <is>
          <t>Hotel</t>
        </is>
      </c>
      <c r="T576" s="6" t="inlineStr">
        <is>
          <t>N</t>
        </is>
      </c>
      <c r="U576" s="6" t="inlineStr">
        <is>
          <t>Grupo Bernoulli Educacao</t>
        </is>
      </c>
      <c r="V576" s="6" t="inlineStr">
        <is>
          <t>Bernoulli Sistema de Ensino - Belo Horizonte</t>
        </is>
      </c>
      <c r="W576" s="6" t="inlineStr">
        <is>
          <t>-</t>
        </is>
      </c>
      <c r="X576" s="6" t="inlineStr">
        <is>
          <t>-</t>
        </is>
      </c>
      <c r="Y576" s="6" t="inlineStr">
        <is>
          <t>-</t>
        </is>
      </c>
      <c r="Z576" s="6" t="inlineStr">
        <is>
          <t>KON-OPE-SAO-PVI-BERNOULLI</t>
        </is>
      </c>
      <c r="AA576" s="6" t="inlineStr">
        <is>
          <t>-</t>
        </is>
      </c>
      <c r="AB576" s="6" t="n">
        <v>193.19</v>
      </c>
      <c r="AC576" s="6" t="n">
        <v>0</v>
      </c>
      <c r="AD576" s="6" t="n">
        <v>0</v>
      </c>
      <c r="AE576" s="6" t="n">
        <v>0</v>
      </c>
      <c r="AF576" s="6" t="n">
        <v>0</v>
      </c>
      <c r="AG576" s="6" t="n">
        <v>0</v>
      </c>
      <c r="AH576" s="6" t="n">
        <v>0</v>
      </c>
      <c r="AI576" s="6" t="inlineStr">
        <is>
          <t>Reserva importada do Sistema TMS. OS: 6214</t>
        </is>
      </c>
      <c r="AJ576" s="6" t="inlineStr">
        <is>
          <t>Fornecedor não preenchido! (ACC01)</t>
        </is>
      </c>
      <c r="AK576" s="6" t="inlineStr">
        <is>
          <t>ARGO(TMS)</t>
        </is>
      </c>
      <c r="AL576" s="6" t="inlineStr">
        <is>
          <t>Falta de Fornecedor</t>
        </is>
      </c>
      <c r="AM576" s="6" t="inlineStr">
        <is>
          <t>Campo Fornecedor</t>
        </is>
      </c>
      <c r="AN576" s="6" t="inlineStr">
        <is>
          <t>Dados do Fornecedor</t>
        </is>
      </c>
      <c r="AO576" s="6" t="inlineStr">
        <is>
          <t>Qualidade dos dados</t>
        </is>
      </c>
      <c r="AP576" s="6" t="inlineStr">
        <is>
          <t>KONTIK BUSINESS TRAVEL</t>
        </is>
      </c>
      <c r="AQ576" s="6" t="inlineStr">
        <is>
          <t>Suporte KCS</t>
        </is>
      </c>
    </row>
    <row r="577">
      <c r="A577" s="6" t="n">
        <v>23368555</v>
      </c>
      <c r="B577" s="6" t="n">
        <v>24094515</v>
      </c>
      <c r="C577" s="6" t="inlineStr">
        <is>
          <t>ACC01</t>
        </is>
      </c>
      <c r="D577" s="58" t="n">
        <v>45982.90519675926</v>
      </c>
      <c r="E577" s="58" t="n">
        <v>45982.91800925926</v>
      </c>
      <c r="F577" s="6" t="inlineStr">
        <is>
          <t>03 a 05 dias</t>
        </is>
      </c>
      <c r="G577" s="6" t="inlineStr">
        <is>
          <t>03 a 05 dias</t>
        </is>
      </c>
      <c r="H577" s="6" t="inlineStr">
        <is>
          <t>5UBCWZ</t>
        </is>
      </c>
      <c r="I577" s="6" t="inlineStr">
        <is>
          <t>TMS</t>
        </is>
      </c>
      <c r="J577" s="6" t="inlineStr">
        <is>
          <t>MARCOS MUNIZ</t>
        </is>
      </c>
      <c r="K577" s="6" t="inlineStr">
        <is>
          <t>Thais Peixoto de Melo</t>
        </is>
      </c>
      <c r="L577" s="6" t="inlineStr">
        <is>
          <t>Thais Peixoto de Melo</t>
        </is>
      </c>
      <c r="M577" s="58" t="n">
        <v>45982.70069444444</v>
      </c>
      <c r="N577" s="6" t="n">
        <v>6212</v>
      </c>
      <c r="O577" s="6" t="inlineStr">
        <is>
          <t>-</t>
        </is>
      </c>
      <c r="P577" s="6" t="inlineStr">
        <is>
          <t>OFF LINE</t>
        </is>
      </c>
      <c r="Q577" s="6" t="inlineStr">
        <is>
          <t>Invoice</t>
        </is>
      </c>
      <c r="R577" s="6" t="inlineStr">
        <is>
          <t>Faturado</t>
        </is>
      </c>
      <c r="S577" s="6" t="inlineStr">
        <is>
          <t>Hotel</t>
        </is>
      </c>
      <c r="T577" s="6" t="inlineStr">
        <is>
          <t>N</t>
        </is>
      </c>
      <c r="U577" s="6" t="inlineStr">
        <is>
          <t>Grupo Bernoulli Educacao</t>
        </is>
      </c>
      <c r="V577" s="6" t="inlineStr">
        <is>
          <t>Bernoulli Sistema de Ensino - Belo Horizonte</t>
        </is>
      </c>
      <c r="W577" s="6" t="inlineStr">
        <is>
          <t>-</t>
        </is>
      </c>
      <c r="X577" s="6" t="inlineStr">
        <is>
          <t>-</t>
        </is>
      </c>
      <c r="Y577" s="6" t="inlineStr">
        <is>
          <t>-</t>
        </is>
      </c>
      <c r="Z577" s="6" t="inlineStr">
        <is>
          <t>KON-OPE-SAO-PVI-BERNOULLI</t>
        </is>
      </c>
      <c r="AA577" s="6" t="inlineStr">
        <is>
          <t>-</t>
        </is>
      </c>
      <c r="AB577" s="6" t="n">
        <v>166</v>
      </c>
      <c r="AC577" s="6" t="n">
        <v>0</v>
      </c>
      <c r="AD577" s="6" t="n">
        <v>0</v>
      </c>
      <c r="AE577" s="6" t="n">
        <v>0</v>
      </c>
      <c r="AF577" s="6" t="n">
        <v>0</v>
      </c>
      <c r="AG577" s="6" t="n">
        <v>0</v>
      </c>
      <c r="AH577" s="6" t="n">
        <v>0</v>
      </c>
      <c r="AI577" s="6" t="inlineStr">
        <is>
          <t>Reserva importada do Sistema TMS. OS: 6212</t>
        </is>
      </c>
      <c r="AJ577" s="6" t="inlineStr">
        <is>
          <t>Fornecedor não preenchido! (ACC01)</t>
        </is>
      </c>
      <c r="AK577" s="6" t="inlineStr">
        <is>
          <t>ARGO(TMS)</t>
        </is>
      </c>
      <c r="AL577" s="6" t="inlineStr">
        <is>
          <t>Falta de Fornecedor</t>
        </is>
      </c>
      <c r="AM577" s="6" t="inlineStr">
        <is>
          <t>Campo Fornecedor</t>
        </is>
      </c>
      <c r="AN577" s="6" t="inlineStr">
        <is>
          <t>Dados do Fornecedor</t>
        </is>
      </c>
      <c r="AO577" s="6" t="inlineStr">
        <is>
          <t>Qualidade dos dados</t>
        </is>
      </c>
      <c r="AP577" s="6" t="inlineStr">
        <is>
          <t>KONTIK BUSINESS TRAVEL</t>
        </is>
      </c>
      <c r="AQ577" s="6" t="inlineStr">
        <is>
          <t>Suporte KCS</t>
        </is>
      </c>
    </row>
    <row r="578">
      <c r="A578" s="6" t="n">
        <v>23380165</v>
      </c>
      <c r="B578" s="6" t="n">
        <v>24103856</v>
      </c>
      <c r="C578" s="6" t="inlineStr">
        <is>
          <t>ACC01</t>
        </is>
      </c>
      <c r="D578" s="58" t="n">
        <v>45985.69372685185</v>
      </c>
      <c r="E578" s="58" t="n">
        <v>45985.7065625</v>
      </c>
      <c r="F578" s="6" t="inlineStr">
        <is>
          <t>0 a 02 dias</t>
        </is>
      </c>
      <c r="G578" s="6" t="inlineStr">
        <is>
          <t>0 a 02 dias</t>
        </is>
      </c>
      <c r="H578" s="6" t="inlineStr">
        <is>
          <t>5U5H3W</t>
        </is>
      </c>
      <c r="I578" s="6" t="inlineStr">
        <is>
          <t>TMS</t>
        </is>
      </c>
      <c r="J578" s="6" t="inlineStr">
        <is>
          <t>MARCOS MUNIZ</t>
        </is>
      </c>
      <c r="K578" s="6" t="inlineStr">
        <is>
          <t>Tms</t>
        </is>
      </c>
      <c r="L578" s="6" t="inlineStr">
        <is>
          <t>Tms</t>
        </is>
      </c>
      <c r="M578" s="58" t="n">
        <v>45985.59861111111</v>
      </c>
      <c r="N578" s="6" t="n">
        <v>6343</v>
      </c>
      <c r="O578" s="6" t="inlineStr">
        <is>
          <t>Curitiba / CWB</t>
        </is>
      </c>
      <c r="P578" s="6" t="inlineStr">
        <is>
          <t>ON LINE</t>
        </is>
      </c>
      <c r="Q578" s="6" t="inlineStr">
        <is>
          <t>Invoice</t>
        </is>
      </c>
      <c r="R578" s="6" t="inlineStr">
        <is>
          <t>Faturado</t>
        </is>
      </c>
      <c r="S578" s="6" t="inlineStr">
        <is>
          <t>Carro</t>
        </is>
      </c>
      <c r="T578" s="6" t="inlineStr">
        <is>
          <t>N</t>
        </is>
      </c>
      <c r="U578" s="6" t="inlineStr">
        <is>
          <t>Grupo Bernoulli Educacao</t>
        </is>
      </c>
      <c r="V578" s="6" t="inlineStr">
        <is>
          <t>Bernoulli Sistema de Ensino - Belo Horizonte</t>
        </is>
      </c>
      <c r="W578" s="6" t="inlineStr">
        <is>
          <t>-</t>
        </is>
      </c>
      <c r="X578" s="6" t="inlineStr">
        <is>
          <t>-</t>
        </is>
      </c>
      <c r="Y578" s="6" t="inlineStr">
        <is>
          <t>-</t>
        </is>
      </c>
      <c r="Z578" s="6" t="inlineStr">
        <is>
          <t>KON-OPE-SAO-PVI-BERNOULLI</t>
        </is>
      </c>
      <c r="AA578" s="6" t="inlineStr">
        <is>
          <t>-</t>
        </is>
      </c>
      <c r="AB578" s="6" t="n">
        <v>735.2688000000001</v>
      </c>
      <c r="AC578" s="6" t="n">
        <v>0</v>
      </c>
      <c r="AD578" s="6" t="n">
        <v>0</v>
      </c>
      <c r="AE578" s="6" t="n">
        <v>0</v>
      </c>
      <c r="AF578" s="6" t="n">
        <v>0</v>
      </c>
      <c r="AG578" s="6" t="n">
        <v>0</v>
      </c>
      <c r="AH578" s="6" t="n">
        <v>0</v>
      </c>
      <c r="AI578" s="6" t="inlineStr">
        <is>
          <t>Reserva importada do Sistema TMS. OS: 6343</t>
        </is>
      </c>
      <c r="AJ578" s="6" t="inlineStr">
        <is>
          <t>Fornecedor não preenchido! (ACC01)</t>
        </is>
      </c>
      <c r="AK578" s="6" t="inlineStr">
        <is>
          <t>ARGO(TMS)</t>
        </is>
      </c>
      <c r="AL578" s="6" t="inlineStr">
        <is>
          <t>Falta de Fornecedor</t>
        </is>
      </c>
      <c r="AM578" s="6" t="inlineStr">
        <is>
          <t>Campo Fornecedor</t>
        </is>
      </c>
      <c r="AN578" s="6" t="inlineStr">
        <is>
          <t>Dados do Fornecedor</t>
        </is>
      </c>
      <c r="AO578" s="6" t="inlineStr">
        <is>
          <t>Qualidade dos dados</t>
        </is>
      </c>
      <c r="AP578" s="6" t="inlineStr">
        <is>
          <t>KONTIK BUSINESS TRAVEL</t>
        </is>
      </c>
      <c r="AQ578" s="6" t="inlineStr">
        <is>
          <t>Suporte KCS</t>
        </is>
      </c>
    </row>
    <row r="579">
      <c r="A579" s="6" t="n">
        <v>23380179</v>
      </c>
      <c r="B579" s="6" t="n">
        <v>24103870</v>
      </c>
      <c r="C579" s="6" t="inlineStr">
        <is>
          <t>ACC01</t>
        </is>
      </c>
      <c r="D579" s="58" t="n">
        <v>45985.69400462963</v>
      </c>
      <c r="E579" s="58" t="n">
        <v>45985.70989583333</v>
      </c>
      <c r="F579" s="6" t="inlineStr">
        <is>
          <t>0 a 02 dias</t>
        </is>
      </c>
      <c r="G579" s="6" t="inlineStr">
        <is>
          <t>0 a 02 dias</t>
        </is>
      </c>
      <c r="H579" s="6" t="inlineStr">
        <is>
          <t>5UC7DX</t>
        </is>
      </c>
      <c r="I579" s="6" t="inlineStr">
        <is>
          <t>TMS</t>
        </is>
      </c>
      <c r="J579" s="6" t="inlineStr">
        <is>
          <t>GIULIA AMARAL</t>
        </is>
      </c>
      <c r="K579" s="6" t="inlineStr">
        <is>
          <t>Tms</t>
        </is>
      </c>
      <c r="L579" s="6" t="inlineStr">
        <is>
          <t>Tms</t>
        </is>
      </c>
      <c r="M579" s="58" t="n">
        <v>45985.46805555555</v>
      </c>
      <c r="N579" s="6" t="n">
        <v>6330</v>
      </c>
      <c r="O579" s="6" t="inlineStr">
        <is>
          <t>Recife / REC</t>
        </is>
      </c>
      <c r="P579" s="6" t="inlineStr">
        <is>
          <t>ON LINE</t>
        </is>
      </c>
      <c r="Q579" s="6" t="inlineStr">
        <is>
          <t>Invoice</t>
        </is>
      </c>
      <c r="R579" s="6" t="inlineStr">
        <is>
          <t>Faturado</t>
        </is>
      </c>
      <c r="S579" s="6" t="inlineStr">
        <is>
          <t>Carro</t>
        </is>
      </c>
      <c r="T579" s="6" t="inlineStr">
        <is>
          <t>N</t>
        </is>
      </c>
      <c r="U579" s="6" t="inlineStr">
        <is>
          <t>Grupo Bernoulli Educacao</t>
        </is>
      </c>
      <c r="V579" s="6" t="inlineStr">
        <is>
          <t>Bernoulli Sistema de Ensino - Belo Horizonte</t>
        </is>
      </c>
      <c r="W579" s="6" t="inlineStr">
        <is>
          <t>-</t>
        </is>
      </c>
      <c r="X579" s="6" t="inlineStr">
        <is>
          <t>-</t>
        </is>
      </c>
      <c r="Y579" s="6" t="inlineStr">
        <is>
          <t>-</t>
        </is>
      </c>
      <c r="Z579" s="6" t="inlineStr">
        <is>
          <t>KON-OPE-SAO-PVI-BERNOULLI</t>
        </is>
      </c>
      <c r="AA579" s="6" t="inlineStr">
        <is>
          <t>-</t>
        </is>
      </c>
      <c r="AB579" s="6" t="n">
        <v>258.3504</v>
      </c>
      <c r="AC579" s="6" t="n">
        <v>0</v>
      </c>
      <c r="AD579" s="6" t="n">
        <v>0</v>
      </c>
      <c r="AE579" s="6" t="n">
        <v>0</v>
      </c>
      <c r="AF579" s="6" t="n">
        <v>0</v>
      </c>
      <c r="AG579" s="6" t="n">
        <v>0</v>
      </c>
      <c r="AH579" s="6" t="n">
        <v>0</v>
      </c>
      <c r="AI579" s="6" t="inlineStr">
        <is>
          <t>Reserva importada do Sistema TMS. OS: 6330</t>
        </is>
      </c>
      <c r="AJ579" s="6" t="inlineStr">
        <is>
          <t>Fornecedor não preenchido! (ACC01)</t>
        </is>
      </c>
      <c r="AK579" s="6" t="inlineStr">
        <is>
          <t>ARGO(TMS)</t>
        </is>
      </c>
      <c r="AL579" s="6" t="inlineStr">
        <is>
          <t>Falta de Fornecedor</t>
        </is>
      </c>
      <c r="AM579" s="6" t="inlineStr">
        <is>
          <t>Campo Fornecedor</t>
        </is>
      </c>
      <c r="AN579" s="6" t="inlineStr">
        <is>
          <t>Dados do Fornecedor</t>
        </is>
      </c>
      <c r="AO579" s="6" t="inlineStr">
        <is>
          <t>Qualidade dos dados</t>
        </is>
      </c>
      <c r="AP579" s="6" t="inlineStr">
        <is>
          <t>KONTIK BUSINESS TRAVEL</t>
        </is>
      </c>
      <c r="AQ579" s="6" t="inlineStr">
        <is>
          <t>Suporte KCS</t>
        </is>
      </c>
    </row>
    <row r="580">
      <c r="A580" s="6" t="n">
        <v>23382432</v>
      </c>
      <c r="B580" s="6" t="n">
        <v>24106133</v>
      </c>
      <c r="C580" s="6" t="inlineStr">
        <is>
          <t>ACC01</t>
        </is>
      </c>
      <c r="D580" s="58" t="n">
        <v>45985.94689814815</v>
      </c>
      <c r="E580" s="58" t="n">
        <v>45985.95554398148</v>
      </c>
      <c r="F580" s="6" t="inlineStr">
        <is>
          <t>0 a 02 dias</t>
        </is>
      </c>
      <c r="G580" s="6" t="inlineStr">
        <is>
          <t>0 a 02 dias</t>
        </is>
      </c>
      <c r="H580" s="6" t="inlineStr">
        <is>
          <t>5U9A0C</t>
        </is>
      </c>
      <c r="I580" s="6" t="inlineStr">
        <is>
          <t>TMS</t>
        </is>
      </c>
      <c r="J580" s="6" t="inlineStr">
        <is>
          <t>LUIS SILVA</t>
        </is>
      </c>
      <c r="K580" s="6" t="inlineStr">
        <is>
          <t>Tms</t>
        </is>
      </c>
      <c r="L580" s="6" t="inlineStr">
        <is>
          <t>Tms</t>
        </is>
      </c>
      <c r="M580" s="58" t="n">
        <v>45985.73402777778</v>
      </c>
      <c r="N580" s="6" t="n">
        <v>6362</v>
      </c>
      <c r="O580" s="6" t="inlineStr">
        <is>
          <t>São Paulo / SAO</t>
        </is>
      </c>
      <c r="P580" s="6" t="inlineStr">
        <is>
          <t>ON LINE</t>
        </is>
      </c>
      <c r="Q580" s="6" t="inlineStr">
        <is>
          <t>Invoice</t>
        </is>
      </c>
      <c r="R580" s="6" t="inlineStr">
        <is>
          <t>Faturado</t>
        </is>
      </c>
      <c r="S580" s="6" t="inlineStr">
        <is>
          <t>Carro</t>
        </is>
      </c>
      <c r="T580" s="6" t="inlineStr">
        <is>
          <t>N</t>
        </is>
      </c>
      <c r="U580" s="6" t="inlineStr">
        <is>
          <t>Grupo Bernoulli Educacao</t>
        </is>
      </c>
      <c r="V580" s="6" t="inlineStr">
        <is>
          <t>Bernoulli Sistema de Ensino - Belo Horizonte</t>
        </is>
      </c>
      <c r="W580" s="6" t="inlineStr">
        <is>
          <t>-</t>
        </is>
      </c>
      <c r="X580" s="6" t="inlineStr">
        <is>
          <t>-</t>
        </is>
      </c>
      <c r="Y580" s="6" t="inlineStr">
        <is>
          <t>-</t>
        </is>
      </c>
      <c r="Z580" s="6" t="inlineStr">
        <is>
          <t>KON-OPE-SAO-PVI-BERNOULLI</t>
        </is>
      </c>
      <c r="AA580" s="6" t="inlineStr">
        <is>
          <t>-</t>
        </is>
      </c>
      <c r="AB580" s="6" t="n">
        <v>197.2432</v>
      </c>
      <c r="AC580" s="6" t="n">
        <v>0</v>
      </c>
      <c r="AD580" s="6" t="n">
        <v>0</v>
      </c>
      <c r="AE580" s="6" t="n">
        <v>0</v>
      </c>
      <c r="AF580" s="6" t="n">
        <v>0</v>
      </c>
      <c r="AG580" s="6" t="n">
        <v>0</v>
      </c>
      <c r="AH580" s="6" t="n">
        <v>0</v>
      </c>
      <c r="AI580" s="6" t="inlineStr">
        <is>
          <t>Reserva importada do Sistema TMS. OS: 6362</t>
        </is>
      </c>
      <c r="AJ580" s="6" t="inlineStr">
        <is>
          <t>Fornecedor não preenchido! (ACC01)</t>
        </is>
      </c>
      <c r="AK580" s="6" t="inlineStr">
        <is>
          <t>ARGO(TMS)</t>
        </is>
      </c>
      <c r="AL580" s="6" t="inlineStr">
        <is>
          <t>Falta de Fornecedor</t>
        </is>
      </c>
      <c r="AM580" s="6" t="inlineStr">
        <is>
          <t>Campo Fornecedor</t>
        </is>
      </c>
      <c r="AN580" s="6" t="inlineStr">
        <is>
          <t>Dados do Fornecedor</t>
        </is>
      </c>
      <c r="AO580" s="6" t="inlineStr">
        <is>
          <t>Qualidade dos dados</t>
        </is>
      </c>
      <c r="AP580" s="6" t="inlineStr">
        <is>
          <t>KONTIK BUSINESS TRAVEL</t>
        </is>
      </c>
      <c r="AQ580" s="6" t="inlineStr">
        <is>
          <t>Suporte KCS</t>
        </is>
      </c>
    </row>
    <row r="581">
      <c r="A581" s="6" t="n">
        <v>23382433</v>
      </c>
      <c r="B581" s="6" t="n">
        <v>24106134</v>
      </c>
      <c r="C581" s="6" t="inlineStr">
        <is>
          <t>ACC01</t>
        </is>
      </c>
      <c r="D581" s="58" t="n">
        <v>45985.94693287037</v>
      </c>
      <c r="E581" s="58" t="n">
        <v>45985.95554398148</v>
      </c>
      <c r="F581" s="6" t="inlineStr">
        <is>
          <t>0 a 02 dias</t>
        </is>
      </c>
      <c r="G581" s="6" t="inlineStr">
        <is>
          <t>0 a 02 dias</t>
        </is>
      </c>
      <c r="H581" s="6" t="inlineStr">
        <is>
          <t>5UPXB3</t>
        </is>
      </c>
      <c r="I581" s="6" t="inlineStr">
        <is>
          <t>TMS</t>
        </is>
      </c>
      <c r="J581" s="6" t="inlineStr">
        <is>
          <t>LUIS SILVA</t>
        </is>
      </c>
      <c r="K581" s="6" t="inlineStr">
        <is>
          <t>Tms</t>
        </is>
      </c>
      <c r="L581" s="6" t="inlineStr">
        <is>
          <t>Tms</t>
        </is>
      </c>
      <c r="M581" s="58" t="n">
        <v>45985.73402777778</v>
      </c>
      <c r="N581" s="6" t="n">
        <v>6357</v>
      </c>
      <c r="O581" s="6" t="inlineStr">
        <is>
          <t>São Paulo / SAO</t>
        </is>
      </c>
      <c r="P581" s="6" t="inlineStr">
        <is>
          <t>ON LINE</t>
        </is>
      </c>
      <c r="Q581" s="6" t="inlineStr">
        <is>
          <t>Invoice</t>
        </is>
      </c>
      <c r="R581" s="6" t="inlineStr">
        <is>
          <t>Faturado</t>
        </is>
      </c>
      <c r="S581" s="6" t="inlineStr">
        <is>
          <t>Carro</t>
        </is>
      </c>
      <c r="T581" s="6" t="inlineStr">
        <is>
          <t>N</t>
        </is>
      </c>
      <c r="U581" s="6" t="inlineStr">
        <is>
          <t>Grupo Bernoulli Educacao</t>
        </is>
      </c>
      <c r="V581" s="6" t="inlineStr">
        <is>
          <t>Bernoulli Sistema de Ensino - Belo Horizonte</t>
        </is>
      </c>
      <c r="W581" s="6" t="inlineStr">
        <is>
          <t>-</t>
        </is>
      </c>
      <c r="X581" s="6" t="inlineStr">
        <is>
          <t>-</t>
        </is>
      </c>
      <c r="Y581" s="6" t="inlineStr">
        <is>
          <t>-</t>
        </is>
      </c>
      <c r="Z581" s="6" t="inlineStr">
        <is>
          <t>KON-OPE-SAO-PVI-BERNOULLI</t>
        </is>
      </c>
      <c r="AA581" s="6" t="inlineStr">
        <is>
          <t>-</t>
        </is>
      </c>
      <c r="AB581" s="6" t="n">
        <v>186.7152</v>
      </c>
      <c r="AC581" s="6" t="n">
        <v>0</v>
      </c>
      <c r="AD581" s="6" t="n">
        <v>0</v>
      </c>
      <c r="AE581" s="6" t="n">
        <v>0</v>
      </c>
      <c r="AF581" s="6" t="n">
        <v>0</v>
      </c>
      <c r="AG581" s="6" t="n">
        <v>0</v>
      </c>
      <c r="AH581" s="6" t="n">
        <v>0</v>
      </c>
      <c r="AI581" s="6" t="inlineStr">
        <is>
          <t>Reserva importada do Sistema TMS. OS: 6357</t>
        </is>
      </c>
      <c r="AJ581" s="6" t="inlineStr">
        <is>
          <t>Fornecedor não preenchido! (ACC01)</t>
        </is>
      </c>
      <c r="AK581" s="6" t="inlineStr">
        <is>
          <t>ARGO(TMS)</t>
        </is>
      </c>
      <c r="AL581" s="6" t="inlineStr">
        <is>
          <t>Falta de Fornecedor</t>
        </is>
      </c>
      <c r="AM581" s="6" t="inlineStr">
        <is>
          <t>Campo Fornecedor</t>
        </is>
      </c>
      <c r="AN581" s="6" t="inlineStr">
        <is>
          <t>Dados do Fornecedor</t>
        </is>
      </c>
      <c r="AO581" s="6" t="inlineStr">
        <is>
          <t>Qualidade dos dados</t>
        </is>
      </c>
      <c r="AP581" s="6" t="inlineStr">
        <is>
          <t>KONTIK BUSINESS TRAVEL</t>
        </is>
      </c>
      <c r="AQ581" s="6" t="inlineStr">
        <is>
          <t>Suporte KCS</t>
        </is>
      </c>
    </row>
    <row r="582">
      <c r="A582" s="6" t="n">
        <v>23382436</v>
      </c>
      <c r="B582" s="6" t="n">
        <v>24106137</v>
      </c>
      <c r="C582" s="6" t="inlineStr">
        <is>
          <t>ACC01</t>
        </is>
      </c>
      <c r="D582" s="58" t="n">
        <v>45985.94703703704</v>
      </c>
      <c r="E582" s="58" t="n">
        <v>45985.95579861111</v>
      </c>
      <c r="F582" s="6" t="inlineStr">
        <is>
          <t>0 a 02 dias</t>
        </is>
      </c>
      <c r="G582" s="6" t="inlineStr">
        <is>
          <t>0 a 02 dias</t>
        </is>
      </c>
      <c r="H582" s="6" t="inlineStr">
        <is>
          <t>5U3X0C</t>
        </is>
      </c>
      <c r="I582" s="6" t="inlineStr">
        <is>
          <t>TMS</t>
        </is>
      </c>
      <c r="J582" s="6" t="inlineStr">
        <is>
          <t>MICHELI TAVARES</t>
        </is>
      </c>
      <c r="K582" s="6" t="inlineStr">
        <is>
          <t>Tms</t>
        </is>
      </c>
      <c r="L582" s="6" t="inlineStr">
        <is>
          <t>Tms</t>
        </is>
      </c>
      <c r="M582" s="58" t="n">
        <v>45985.88402777778</v>
      </c>
      <c r="N582" s="6" t="n">
        <v>6346</v>
      </c>
      <c r="O582" s="6" t="inlineStr">
        <is>
          <t>Campo Grande / CGR</t>
        </is>
      </c>
      <c r="P582" s="6" t="inlineStr">
        <is>
          <t>ON LINE</t>
        </is>
      </c>
      <c r="Q582" s="6" t="inlineStr">
        <is>
          <t>Invoice</t>
        </is>
      </c>
      <c r="R582" s="6" t="inlineStr">
        <is>
          <t>Faturado</t>
        </is>
      </c>
      <c r="S582" s="6" t="inlineStr">
        <is>
          <t>Carro</t>
        </is>
      </c>
      <c r="T582" s="6" t="inlineStr">
        <is>
          <t>N</t>
        </is>
      </c>
      <c r="U582" s="6" t="inlineStr">
        <is>
          <t>Grupo Bernoulli Educacao</t>
        </is>
      </c>
      <c r="V582" s="6" t="inlineStr">
        <is>
          <t>Bernoulli Sistema de Ensino - Belo Horizonte</t>
        </is>
      </c>
      <c r="W582" s="6" t="inlineStr">
        <is>
          <t>-</t>
        </is>
      </c>
      <c r="X582" s="6" t="inlineStr">
        <is>
          <t>-</t>
        </is>
      </c>
      <c r="Y582" s="6" t="inlineStr">
        <is>
          <t>-</t>
        </is>
      </c>
      <c r="Z582" s="6" t="inlineStr">
        <is>
          <t>KON-OPE-SAO-PVI-BERNOULLI</t>
        </is>
      </c>
      <c r="AA582" s="6" t="inlineStr">
        <is>
          <t>-</t>
        </is>
      </c>
      <c r="AB582" s="6" t="n">
        <v>781.3680000000001</v>
      </c>
      <c r="AC582" s="6" t="n">
        <v>0</v>
      </c>
      <c r="AD582" s="6" t="n">
        <v>0</v>
      </c>
      <c r="AE582" s="6" t="n">
        <v>0</v>
      </c>
      <c r="AF582" s="6" t="n">
        <v>0</v>
      </c>
      <c r="AG582" s="6" t="n">
        <v>0</v>
      </c>
      <c r="AH582" s="6" t="n">
        <v>0</v>
      </c>
      <c r="AI582" s="6" t="inlineStr">
        <is>
          <t>Reserva importada do Sistema TMS. OS: 6346</t>
        </is>
      </c>
      <c r="AJ582" s="6" t="inlineStr">
        <is>
          <t>Fornecedor não preenchido! (ACC01)</t>
        </is>
      </c>
      <c r="AK582" s="6" t="inlineStr">
        <is>
          <t>ARGO(TMS)</t>
        </is>
      </c>
      <c r="AL582" s="6" t="inlineStr">
        <is>
          <t>Falta de Fornecedor</t>
        </is>
      </c>
      <c r="AM582" s="6" t="inlineStr">
        <is>
          <t>Campo Fornecedor</t>
        </is>
      </c>
      <c r="AN582" s="6" t="inlineStr">
        <is>
          <t>Dados do Fornecedor</t>
        </is>
      </c>
      <c r="AO582" s="6" t="inlineStr">
        <is>
          <t>Qualidade dos dados</t>
        </is>
      </c>
      <c r="AP582" s="6" t="inlineStr">
        <is>
          <t>KONTIK BUSINESS TRAVEL</t>
        </is>
      </c>
      <c r="AQ582" s="6" t="inlineStr">
        <is>
          <t>Suporte KCS</t>
        </is>
      </c>
    </row>
    <row r="583">
      <c r="A583" s="6" t="n">
        <v>23382438</v>
      </c>
      <c r="B583" s="6" t="n">
        <v>24106138</v>
      </c>
      <c r="C583" s="6" t="inlineStr">
        <is>
          <t>ACC01</t>
        </is>
      </c>
      <c r="D583" s="58" t="n">
        <v>45985.94706018519</v>
      </c>
      <c r="E583" s="58" t="n">
        <v>45985.95579861111</v>
      </c>
      <c r="F583" s="6" t="inlineStr">
        <is>
          <t>0 a 02 dias</t>
        </is>
      </c>
      <c r="G583" s="6" t="inlineStr">
        <is>
          <t>0 a 02 dias</t>
        </is>
      </c>
      <c r="H583" s="6" t="inlineStr">
        <is>
          <t>5U4W0C</t>
        </is>
      </c>
      <c r="I583" s="6" t="inlineStr">
        <is>
          <t>TMS</t>
        </is>
      </c>
      <c r="J583" s="6" t="inlineStr">
        <is>
          <t>MARCIO TUZA</t>
        </is>
      </c>
      <c r="K583" s="6" t="inlineStr">
        <is>
          <t>Tms</t>
        </is>
      </c>
      <c r="L583" s="6" t="inlineStr">
        <is>
          <t>Tms</t>
        </is>
      </c>
      <c r="M583" s="58" t="n">
        <v>45985.73402777778</v>
      </c>
      <c r="N583" s="6" t="n">
        <v>6318</v>
      </c>
      <c r="O583" s="6" t="inlineStr">
        <is>
          <t>Curitiba / CWB</t>
        </is>
      </c>
      <c r="P583" s="6" t="inlineStr">
        <is>
          <t>ON LINE</t>
        </is>
      </c>
      <c r="Q583" s="6" t="inlineStr">
        <is>
          <t>Invoice</t>
        </is>
      </c>
      <c r="R583" s="6" t="inlineStr">
        <is>
          <t>Faturado</t>
        </is>
      </c>
      <c r="S583" s="6" t="inlineStr">
        <is>
          <t>Carro</t>
        </is>
      </c>
      <c r="T583" s="6" t="inlineStr">
        <is>
          <t>N</t>
        </is>
      </c>
      <c r="U583" s="6" t="inlineStr">
        <is>
          <t>Grupo Bernoulli Educacao</t>
        </is>
      </c>
      <c r="V583" s="6" t="inlineStr">
        <is>
          <t>Bernoulli Sistema de Ensino - Belo Horizonte</t>
        </is>
      </c>
      <c r="W583" s="6" t="inlineStr">
        <is>
          <t>-</t>
        </is>
      </c>
      <c r="X583" s="6" t="inlineStr">
        <is>
          <t>-</t>
        </is>
      </c>
      <c r="Y583" s="6" t="inlineStr">
        <is>
          <t>-</t>
        </is>
      </c>
      <c r="Z583" s="6" t="inlineStr">
        <is>
          <t>KON-OPE-SAO-PVI-BERNOULLI</t>
        </is>
      </c>
      <c r="AA583" s="6" t="inlineStr">
        <is>
          <t>-</t>
        </is>
      </c>
      <c r="AB583" s="6" t="n">
        <v>324.9344</v>
      </c>
      <c r="AC583" s="6" t="n">
        <v>0</v>
      </c>
      <c r="AD583" s="6" t="n">
        <v>0</v>
      </c>
      <c r="AE583" s="6" t="n">
        <v>0</v>
      </c>
      <c r="AF583" s="6" t="n">
        <v>0</v>
      </c>
      <c r="AG583" s="6" t="n">
        <v>0</v>
      </c>
      <c r="AH583" s="6" t="n">
        <v>0</v>
      </c>
      <c r="AI583" s="6" t="inlineStr">
        <is>
          <t>Reserva importada do Sistema TMS. OS: 6318</t>
        </is>
      </c>
      <c r="AJ583" s="6" t="inlineStr">
        <is>
          <t>Fornecedor não preenchido! (ACC01)</t>
        </is>
      </c>
      <c r="AK583" s="6" t="inlineStr">
        <is>
          <t>ARGO(TMS)</t>
        </is>
      </c>
      <c r="AL583" s="6" t="inlineStr">
        <is>
          <t>Falta de Fornecedor</t>
        </is>
      </c>
      <c r="AM583" s="6" t="inlineStr">
        <is>
          <t>Campo Fornecedor</t>
        </is>
      </c>
      <c r="AN583" s="6" t="inlineStr">
        <is>
          <t>Dados do Fornecedor</t>
        </is>
      </c>
      <c r="AO583" s="6" t="inlineStr">
        <is>
          <t>Qualidade dos dados</t>
        </is>
      </c>
      <c r="AP583" s="6" t="inlineStr">
        <is>
          <t>KONTIK BUSINESS TRAVEL</t>
        </is>
      </c>
      <c r="AQ583" s="6" t="inlineStr">
        <is>
          <t>Suporte KCS</t>
        </is>
      </c>
    </row>
    <row r="584">
      <c r="A584" s="6" t="n">
        <v>23340070</v>
      </c>
      <c r="B584" s="6" t="n">
        <v>24067851</v>
      </c>
      <c r="C584" s="6" t="inlineStr">
        <is>
          <t>ACC01</t>
        </is>
      </c>
      <c r="D584" s="58" t="n">
        <v>45978.5981712963</v>
      </c>
      <c r="E584" s="58" t="n">
        <v>45986.08697916667</v>
      </c>
      <c r="F584" s="6" t="inlineStr">
        <is>
          <t>0 a 02 dias</t>
        </is>
      </c>
      <c r="G584" s="6" t="inlineStr">
        <is>
          <t>06 a 08 dias</t>
        </is>
      </c>
      <c r="H584" s="6" t="inlineStr">
        <is>
          <t>5TLDUG</t>
        </is>
      </c>
      <c r="I584" s="6" t="inlineStr">
        <is>
          <t>TMS</t>
        </is>
      </c>
      <c r="J584" s="6" t="inlineStr">
        <is>
          <t>MAIRA PORTELA</t>
        </is>
      </c>
      <c r="K584" s="6" t="inlineStr">
        <is>
          <t>Tms</t>
        </is>
      </c>
      <c r="L584" s="6" t="inlineStr">
        <is>
          <t>Tms</t>
        </is>
      </c>
      <c r="M584" s="58" t="n">
        <v>45978.57777777778</v>
      </c>
      <c r="N584" s="6" t="n">
        <v>6179</v>
      </c>
      <c r="O584" s="6" t="inlineStr">
        <is>
          <t>-</t>
        </is>
      </c>
      <c r="P584" s="6" t="inlineStr">
        <is>
          <t>OFF LINE</t>
        </is>
      </c>
      <c r="Q584" s="6" t="inlineStr">
        <is>
          <t>Invoice</t>
        </is>
      </c>
      <c r="R584" s="6" t="inlineStr">
        <is>
          <t>Faturado</t>
        </is>
      </c>
      <c r="S584" s="6" t="inlineStr">
        <is>
          <t>Serviço</t>
        </is>
      </c>
      <c r="T584" s="6" t="inlineStr">
        <is>
          <t>N</t>
        </is>
      </c>
      <c r="U584" s="6" t="inlineStr">
        <is>
          <t>Grupo Bernoulli Educacao</t>
        </is>
      </c>
      <c r="V584" s="6" t="inlineStr">
        <is>
          <t>Bernoulli Sistema de Ensino - Belo Horizonte</t>
        </is>
      </c>
      <c r="W584" s="6" t="inlineStr">
        <is>
          <t>-</t>
        </is>
      </c>
      <c r="X584" s="6" t="inlineStr">
        <is>
          <t>-</t>
        </is>
      </c>
      <c r="Y584" s="6" t="inlineStr">
        <is>
          <t>-</t>
        </is>
      </c>
      <c r="Z584" s="6" t="inlineStr">
        <is>
          <t>KON-OPE-SAO-PVI-BERNOULLI</t>
        </is>
      </c>
      <c r="AA584" s="6" t="inlineStr">
        <is>
          <t>-</t>
        </is>
      </c>
      <c r="AB584" s="6" t="n">
        <v>149.2</v>
      </c>
      <c r="AC584" s="6" t="n">
        <v>36.8</v>
      </c>
      <c r="AD584" s="6" t="n">
        <v>0</v>
      </c>
      <c r="AE584" s="6" t="n">
        <v>0</v>
      </c>
      <c r="AF584" s="6" t="n">
        <v>0</v>
      </c>
      <c r="AG584" s="6" t="n">
        <v>0</v>
      </c>
      <c r="AH584" s="6" t="n">
        <v>0</v>
      </c>
      <c r="AI584" s="6" t="inlineStr">
        <is>
          <t>Reserva importada do Sistema TMS. OS: 6179</t>
        </is>
      </c>
      <c r="AJ584" s="6" t="inlineStr">
        <is>
          <t>Fornecedor não preenchido! (ACC01)</t>
        </is>
      </c>
      <c r="AK584" s="6" t="inlineStr">
        <is>
          <t>ARGO(TMS)</t>
        </is>
      </c>
      <c r="AL584" s="6" t="inlineStr">
        <is>
          <t>Falta de Fornecedor</t>
        </is>
      </c>
      <c r="AM584" s="6" t="inlineStr">
        <is>
          <t>Campo Fornecedor</t>
        </is>
      </c>
      <c r="AN584" s="6" t="inlineStr">
        <is>
          <t>Dados do Fornecedor</t>
        </is>
      </c>
      <c r="AO584" s="6" t="inlineStr">
        <is>
          <t>Qualidade dos dados</t>
        </is>
      </c>
      <c r="AP584" s="6" t="inlineStr">
        <is>
          <t>KONTIK BUSINESS TRAVEL</t>
        </is>
      </c>
      <c r="AQ584" s="6" t="inlineStr">
        <is>
          <t>Suporte KCS</t>
        </is>
      </c>
    </row>
    <row r="585">
      <c r="A585" s="6" t="n">
        <v>23340071</v>
      </c>
      <c r="B585" s="6" t="n">
        <v>24067852</v>
      </c>
      <c r="C585" s="6" t="inlineStr">
        <is>
          <t>ACC01</t>
        </is>
      </c>
      <c r="D585" s="58" t="n">
        <v>45978.5981712963</v>
      </c>
      <c r="E585" s="58" t="n">
        <v>45986.08697916667</v>
      </c>
      <c r="F585" s="6" t="inlineStr">
        <is>
          <t>0 a 02 dias</t>
        </is>
      </c>
      <c r="G585" s="6" t="inlineStr">
        <is>
          <t>06 a 08 dias</t>
        </is>
      </c>
      <c r="H585" s="6" t="inlineStr">
        <is>
          <t>5T0VJG</t>
        </is>
      </c>
      <c r="I585" s="6" t="inlineStr">
        <is>
          <t>TMS</t>
        </is>
      </c>
      <c r="J585" s="6" t="inlineStr">
        <is>
          <t>MAIRA PORTELA</t>
        </is>
      </c>
      <c r="K585" s="6" t="inlineStr">
        <is>
          <t>Tms</t>
        </is>
      </c>
      <c r="L585" s="6" t="inlineStr">
        <is>
          <t>Tms</t>
        </is>
      </c>
      <c r="M585" s="58" t="n">
        <v>45978.57777777778</v>
      </c>
      <c r="N585" s="6" t="n">
        <v>6179</v>
      </c>
      <c r="O585" s="6" t="inlineStr">
        <is>
          <t>-</t>
        </is>
      </c>
      <c r="P585" s="6" t="inlineStr">
        <is>
          <t>OFF LINE</t>
        </is>
      </c>
      <c r="Q585" s="6" t="inlineStr">
        <is>
          <t>Invoice</t>
        </is>
      </c>
      <c r="R585" s="6" t="inlineStr">
        <is>
          <t>Faturado</t>
        </is>
      </c>
      <c r="S585" s="6" t="inlineStr">
        <is>
          <t>Serviço</t>
        </is>
      </c>
      <c r="T585" s="6" t="inlineStr">
        <is>
          <t>N</t>
        </is>
      </c>
      <c r="U585" s="6" t="inlineStr">
        <is>
          <t>Grupo Bernoulli Educacao</t>
        </is>
      </c>
      <c r="V585" s="6" t="inlineStr">
        <is>
          <t>Bernoulli Sistema de Ensino - Belo Horizonte</t>
        </is>
      </c>
      <c r="W585" s="6" t="inlineStr">
        <is>
          <t>-</t>
        </is>
      </c>
      <c r="X585" s="6" t="inlineStr">
        <is>
          <t>-</t>
        </is>
      </c>
      <c r="Y585" s="6" t="inlineStr">
        <is>
          <t>-</t>
        </is>
      </c>
      <c r="Z585" s="6" t="inlineStr">
        <is>
          <t>KON-OPE-SAO-PVI-BERNOULLI</t>
        </is>
      </c>
      <c r="AA585" s="6" t="inlineStr">
        <is>
          <t>-</t>
        </is>
      </c>
      <c r="AB585" s="6" t="n">
        <v>151.5</v>
      </c>
      <c r="AC585" s="6" t="n">
        <v>37.22</v>
      </c>
      <c r="AD585" s="6" t="n">
        <v>0</v>
      </c>
      <c r="AE585" s="6" t="n">
        <v>0</v>
      </c>
      <c r="AF585" s="6" t="n">
        <v>0</v>
      </c>
      <c r="AG585" s="6" t="n">
        <v>0</v>
      </c>
      <c r="AH585" s="6" t="n">
        <v>0</v>
      </c>
      <c r="AI585" s="6" t="inlineStr">
        <is>
          <t>Reserva importada do Sistema TMS. OS: 6179</t>
        </is>
      </c>
      <c r="AJ585" s="6" t="inlineStr">
        <is>
          <t>Fornecedor não preenchido! (ACC01)</t>
        </is>
      </c>
      <c r="AK585" s="6" t="inlineStr">
        <is>
          <t>ARGO(TMS)</t>
        </is>
      </c>
      <c r="AL585" s="6" t="inlineStr">
        <is>
          <t>Falta de Fornecedor</t>
        </is>
      </c>
      <c r="AM585" s="6" t="inlineStr">
        <is>
          <t>Campo Fornecedor</t>
        </is>
      </c>
      <c r="AN585" s="6" t="inlineStr">
        <is>
          <t>Dados do Fornecedor</t>
        </is>
      </c>
      <c r="AO585" s="6" t="inlineStr">
        <is>
          <t>Qualidade dos dados</t>
        </is>
      </c>
      <c r="AP585" s="6" t="inlineStr">
        <is>
          <t>KONTIK BUSINESS TRAVEL</t>
        </is>
      </c>
      <c r="AQ585" s="6" t="inlineStr">
        <is>
          <t>Suporte KCS</t>
        </is>
      </c>
    </row>
    <row r="586">
      <c r="A586" s="6" t="n">
        <v>23340073</v>
      </c>
      <c r="B586" s="6" t="n">
        <v>24067854</v>
      </c>
      <c r="C586" s="6" t="inlineStr">
        <is>
          <t>ACC01</t>
        </is>
      </c>
      <c r="D586" s="58" t="n">
        <v>45978.59821759259</v>
      </c>
      <c r="E586" s="58" t="n">
        <v>45986.08697916667</v>
      </c>
      <c r="F586" s="6" t="inlineStr">
        <is>
          <t>0 a 02 dias</t>
        </is>
      </c>
      <c r="G586" s="6" t="inlineStr">
        <is>
          <t>06 a 08 dias</t>
        </is>
      </c>
      <c r="H586" s="6" t="inlineStr">
        <is>
          <t>5TQVU5</t>
        </is>
      </c>
      <c r="I586" s="6" t="inlineStr">
        <is>
          <t>TMS</t>
        </is>
      </c>
      <c r="J586" s="6" t="inlineStr">
        <is>
          <t>MAIRA PORTELA</t>
        </is>
      </c>
      <c r="K586" s="6" t="inlineStr">
        <is>
          <t>Tms</t>
        </is>
      </c>
      <c r="L586" s="6" t="inlineStr">
        <is>
          <t>Tms</t>
        </is>
      </c>
      <c r="M586" s="58" t="n">
        <v>45978.57777777778</v>
      </c>
      <c r="N586" s="6" t="n">
        <v>6178</v>
      </c>
      <c r="O586" s="6" t="inlineStr">
        <is>
          <t>-</t>
        </is>
      </c>
      <c r="P586" s="6" t="inlineStr">
        <is>
          <t>OFF LINE</t>
        </is>
      </c>
      <c r="Q586" s="6" t="inlineStr">
        <is>
          <t>Invoice</t>
        </is>
      </c>
      <c r="R586" s="6" t="inlineStr">
        <is>
          <t>Faturado</t>
        </is>
      </c>
      <c r="S586" s="6" t="inlineStr">
        <is>
          <t>Serviço</t>
        </is>
      </c>
      <c r="T586" s="6" t="inlineStr">
        <is>
          <t>N</t>
        </is>
      </c>
      <c r="U586" s="6" t="inlineStr">
        <is>
          <t>Grupo Bernoulli Educacao</t>
        </is>
      </c>
      <c r="V586" s="6" t="inlineStr">
        <is>
          <t>Bernoulli Sistema de Ensino - Belo Horizonte</t>
        </is>
      </c>
      <c r="W586" s="6" t="inlineStr">
        <is>
          <t>-</t>
        </is>
      </c>
      <c r="X586" s="6" t="inlineStr">
        <is>
          <t>-</t>
        </is>
      </c>
      <c r="Y586" s="6" t="inlineStr">
        <is>
          <t>-</t>
        </is>
      </c>
      <c r="Z586" s="6" t="inlineStr">
        <is>
          <t>KON-OPE-SAO-PVI-BERNOULLI</t>
        </is>
      </c>
      <c r="AA586" s="6" t="inlineStr">
        <is>
          <t>-</t>
        </is>
      </c>
      <c r="AB586" s="6" t="n">
        <v>149.2</v>
      </c>
      <c r="AC586" s="6" t="n">
        <v>36.8</v>
      </c>
      <c r="AD586" s="6" t="n">
        <v>0</v>
      </c>
      <c r="AE586" s="6" t="n">
        <v>0</v>
      </c>
      <c r="AF586" s="6" t="n">
        <v>0</v>
      </c>
      <c r="AG586" s="6" t="n">
        <v>0</v>
      </c>
      <c r="AH586" s="6" t="n">
        <v>0</v>
      </c>
      <c r="AI586" s="6" t="inlineStr">
        <is>
          <t>Reserva importada do Sistema TMS. OS: 6178</t>
        </is>
      </c>
      <c r="AJ586" s="6" t="inlineStr">
        <is>
          <t>Fornecedor não preenchido! (ACC01)</t>
        </is>
      </c>
      <c r="AK586" s="6" t="inlineStr">
        <is>
          <t>ARGO(TMS)</t>
        </is>
      </c>
      <c r="AL586" s="6" t="inlineStr">
        <is>
          <t>Falta de Fornecedor</t>
        </is>
      </c>
      <c r="AM586" s="6" t="inlineStr">
        <is>
          <t>Campo Fornecedor</t>
        </is>
      </c>
      <c r="AN586" s="6" t="inlineStr">
        <is>
          <t>Dados do Fornecedor</t>
        </is>
      </c>
      <c r="AO586" s="6" t="inlineStr">
        <is>
          <t>Qualidade dos dados</t>
        </is>
      </c>
      <c r="AP586" s="6" t="inlineStr">
        <is>
          <t>KONTIK BUSINESS TRAVEL</t>
        </is>
      </c>
      <c r="AQ586" s="6" t="inlineStr">
        <is>
          <t>Suporte KCS</t>
        </is>
      </c>
    </row>
    <row r="587">
      <c r="A587" s="6" t="n">
        <v>23340074</v>
      </c>
      <c r="B587" s="6" t="n">
        <v>24067855</v>
      </c>
      <c r="C587" s="6" t="inlineStr">
        <is>
          <t>ACC01</t>
        </is>
      </c>
      <c r="D587" s="58" t="n">
        <v>45978.59822916667</v>
      </c>
      <c r="E587" s="58" t="n">
        <v>45986.08697916667</v>
      </c>
      <c r="F587" s="6" t="inlineStr">
        <is>
          <t>0 a 02 dias</t>
        </is>
      </c>
      <c r="G587" s="6" t="inlineStr">
        <is>
          <t>06 a 08 dias</t>
        </is>
      </c>
      <c r="H587" s="6" t="inlineStr">
        <is>
          <t>5TWFJT</t>
        </is>
      </c>
      <c r="I587" s="6" t="inlineStr">
        <is>
          <t>TMS</t>
        </is>
      </c>
      <c r="J587" s="6" t="inlineStr">
        <is>
          <t>MAIRA PORTELA</t>
        </is>
      </c>
      <c r="K587" s="6" t="inlineStr">
        <is>
          <t>Tms</t>
        </is>
      </c>
      <c r="L587" s="6" t="inlineStr">
        <is>
          <t>Tms</t>
        </is>
      </c>
      <c r="M587" s="58" t="n">
        <v>45978.57777777778</v>
      </c>
      <c r="N587" s="6" t="n">
        <v>6178</v>
      </c>
      <c r="O587" s="6" t="inlineStr">
        <is>
          <t>-</t>
        </is>
      </c>
      <c r="P587" s="6" t="inlineStr">
        <is>
          <t>OFF LINE</t>
        </is>
      </c>
      <c r="Q587" s="6" t="inlineStr">
        <is>
          <t>Invoice</t>
        </is>
      </c>
      <c r="R587" s="6" t="inlineStr">
        <is>
          <t>Faturado</t>
        </is>
      </c>
      <c r="S587" s="6" t="inlineStr">
        <is>
          <t>Serviço</t>
        </is>
      </c>
      <c r="T587" s="6" t="inlineStr">
        <is>
          <t>N</t>
        </is>
      </c>
      <c r="U587" s="6" t="inlineStr">
        <is>
          <t>Grupo Bernoulli Educacao</t>
        </is>
      </c>
      <c r="V587" s="6" t="inlineStr">
        <is>
          <t>Bernoulli Sistema de Ensino - Belo Horizonte</t>
        </is>
      </c>
      <c r="W587" s="6" t="inlineStr">
        <is>
          <t>-</t>
        </is>
      </c>
      <c r="X587" s="6" t="inlineStr">
        <is>
          <t>-</t>
        </is>
      </c>
      <c r="Y587" s="6" t="inlineStr">
        <is>
          <t>-</t>
        </is>
      </c>
      <c r="Z587" s="6" t="inlineStr">
        <is>
          <t>KON-OPE-SAO-PVI-BERNOULLI</t>
        </is>
      </c>
      <c r="AA587" s="6" t="inlineStr">
        <is>
          <t>-</t>
        </is>
      </c>
      <c r="AB587" s="6" t="n">
        <v>151.5</v>
      </c>
      <c r="AC587" s="6" t="n">
        <v>37.22</v>
      </c>
      <c r="AD587" s="6" t="n">
        <v>0</v>
      </c>
      <c r="AE587" s="6" t="n">
        <v>0</v>
      </c>
      <c r="AF587" s="6" t="n">
        <v>0</v>
      </c>
      <c r="AG587" s="6" t="n">
        <v>0</v>
      </c>
      <c r="AH587" s="6" t="n">
        <v>0</v>
      </c>
      <c r="AI587" s="6" t="inlineStr">
        <is>
          <t>Reserva importada do Sistema TMS. OS: 6178</t>
        </is>
      </c>
      <c r="AJ587" s="6" t="inlineStr">
        <is>
          <t>Fornecedor não preenchido! (ACC01)</t>
        </is>
      </c>
      <c r="AK587" s="6" t="inlineStr">
        <is>
          <t>ARGO(TMS)</t>
        </is>
      </c>
      <c r="AL587" s="6" t="inlineStr">
        <is>
          <t>Falta de Fornecedor</t>
        </is>
      </c>
      <c r="AM587" s="6" t="inlineStr">
        <is>
          <t>Campo Fornecedor</t>
        </is>
      </c>
      <c r="AN587" s="6" t="inlineStr">
        <is>
          <t>Dados do Fornecedor</t>
        </is>
      </c>
      <c r="AO587" s="6" t="inlineStr">
        <is>
          <t>Qualidade dos dados</t>
        </is>
      </c>
      <c r="AP587" s="6" t="inlineStr">
        <is>
          <t>KONTIK BUSINESS TRAVEL</t>
        </is>
      </c>
      <c r="AQ587" s="6" t="inlineStr">
        <is>
          <t>Suporte KCS</t>
        </is>
      </c>
    </row>
    <row r="588">
      <c r="A588" s="6" t="n">
        <v>23327631</v>
      </c>
      <c r="B588" s="6" t="n">
        <v>24057219</v>
      </c>
      <c r="C588" s="6" t="inlineStr">
        <is>
          <t>ACC01</t>
        </is>
      </c>
      <c r="D588" s="58" t="n">
        <v>45975.82579861111</v>
      </c>
      <c r="E588" s="58" t="n">
        <v>45978.25740740741</v>
      </c>
      <c r="F588" s="6" t="inlineStr">
        <is>
          <t>06 a 08 dias</t>
        </is>
      </c>
      <c r="G588" s="6" t="inlineStr">
        <is>
          <t>09 a 15 dias</t>
        </is>
      </c>
      <c r="H588" s="6" t="inlineStr">
        <is>
          <t>5TB1UR</t>
        </is>
      </c>
      <c r="I588" s="6" t="inlineStr">
        <is>
          <t>TMS</t>
        </is>
      </c>
      <c r="J588" s="6" t="inlineStr">
        <is>
          <t>TASSIA FRAGUAS</t>
        </is>
      </c>
      <c r="K588" s="6" t="inlineStr">
        <is>
          <t>Tms</t>
        </is>
      </c>
      <c r="L588" s="6" t="inlineStr">
        <is>
          <t>Tms</t>
        </is>
      </c>
      <c r="M588" s="58" t="n">
        <v>45975.69791666666</v>
      </c>
      <c r="N588" s="6" t="n">
        <v>48750</v>
      </c>
      <c r="O588" s="6" t="inlineStr">
        <is>
          <t>-</t>
        </is>
      </c>
      <c r="P588" s="6" t="inlineStr">
        <is>
          <t>ON LINE</t>
        </is>
      </c>
      <c r="Q588" s="6" t="inlineStr">
        <is>
          <t>Invoice</t>
        </is>
      </c>
      <c r="R588" s="6" t="inlineStr">
        <is>
          <t>Faturado</t>
        </is>
      </c>
      <c r="S588" s="6" t="inlineStr">
        <is>
          <t>Hotel</t>
        </is>
      </c>
      <c r="T588" s="6" t="inlineStr">
        <is>
          <t>N</t>
        </is>
      </c>
      <c r="U588" s="6" t="inlineStr">
        <is>
          <t>Grupo Motiva</t>
        </is>
      </c>
      <c r="V588" s="6" t="inlineStr">
        <is>
          <t>Bloco Central</t>
        </is>
      </c>
      <c r="W588" s="6" t="inlineStr">
        <is>
          <t>-</t>
        </is>
      </c>
      <c r="X588" s="6" t="inlineStr">
        <is>
          <t>Brasil 21 Convention Suites - Inativo</t>
        </is>
      </c>
      <c r="Y588" s="6" t="inlineStr">
        <is>
          <t>-</t>
        </is>
      </c>
      <c r="Z588" s="6" t="inlineStr">
        <is>
          <t>KON-OPE-SAO-PVI-CCR</t>
        </is>
      </c>
      <c r="AA588" s="6" t="inlineStr">
        <is>
          <t>-</t>
        </is>
      </c>
      <c r="AB588" s="6" t="n">
        <v>519</v>
      </c>
      <c r="AC588" s="6" t="n">
        <v>0</v>
      </c>
      <c r="AD588" s="6" t="n">
        <v>0</v>
      </c>
      <c r="AE588" s="6" t="n">
        <v>0</v>
      </c>
      <c r="AF588" s="6" t="n">
        <v>0</v>
      </c>
      <c r="AG588" s="6" t="n">
        <v>25.95</v>
      </c>
      <c r="AH588" s="6" t="n">
        <v>0</v>
      </c>
      <c r="AI588" s="6" t="inlineStr">
        <is>
          <t>Reserva importada do Sistema TMS. OS: 48750</t>
        </is>
      </c>
      <c r="AJ588" s="6" t="inlineStr">
        <is>
          <t xml:space="preserve">Não foi possível encontrar um contrato válido para o fornecedor 17987 (Código fornecedor) </t>
        </is>
      </c>
      <c r="AK588" s="6" t="inlineStr">
        <is>
          <t>ARGO(TMS)</t>
        </is>
      </c>
      <c r="AL588" s="6" t="inlineStr">
        <is>
          <t>Contrato de fornecedor</t>
        </is>
      </c>
      <c r="AM588" s="6" t="inlineStr">
        <is>
          <t>Análise Cadastro</t>
        </is>
      </c>
      <c r="AN588" s="6" t="inlineStr">
        <is>
          <t>Dados do Fornecedor</t>
        </is>
      </c>
      <c r="AO588" s="6" t="inlineStr">
        <is>
          <t>Qualidade dos dados</t>
        </is>
      </c>
      <c r="AP588" s="6" t="inlineStr">
        <is>
          <t>KONTIK BUSINESS TRAVEL</t>
        </is>
      </c>
      <c r="AQ588" s="6" t="inlineStr">
        <is>
          <t>Suporte KCS</t>
        </is>
      </c>
    </row>
    <row r="589">
      <c r="A589" s="6" t="n">
        <v>23383595</v>
      </c>
      <c r="B589" s="6" t="n">
        <v>24107059</v>
      </c>
      <c r="C589" s="6" t="inlineStr">
        <is>
          <t>ACC01</t>
        </is>
      </c>
      <c r="D589" s="58" t="n">
        <v>45986.20708333333</v>
      </c>
      <c r="E589" s="58" t="n">
        <v>45986.22789351852</v>
      </c>
      <c r="F589" s="6" t="inlineStr">
        <is>
          <t>0 a 02 dias</t>
        </is>
      </c>
      <c r="G589" s="6" t="inlineStr">
        <is>
          <t>0 a 02 dias</t>
        </is>
      </c>
      <c r="H589" s="6" t="inlineStr">
        <is>
          <t>5ULCFC</t>
        </is>
      </c>
      <c r="I589" s="6" t="inlineStr">
        <is>
          <t>TMS</t>
        </is>
      </c>
      <c r="J589" s="6" t="inlineStr">
        <is>
          <t>BRUNO DE ROSA GIMENEZ</t>
        </is>
      </c>
      <c r="K589" s="6" t="inlineStr">
        <is>
          <t>Tms</t>
        </is>
      </c>
      <c r="L589" s="6" t="inlineStr">
        <is>
          <t>Tms</t>
        </is>
      </c>
      <c r="M589" s="58" t="n">
        <v>45985.72430555556</v>
      </c>
      <c r="N589" s="6" t="n">
        <v>49349</v>
      </c>
      <c r="O589" s="6" t="inlineStr">
        <is>
          <t>São Paulo / SAO</t>
        </is>
      </c>
      <c r="P589" s="6" t="inlineStr">
        <is>
          <t>ON LINE</t>
        </is>
      </c>
      <c r="Q589" s="6" t="inlineStr">
        <is>
          <t>Invoice</t>
        </is>
      </c>
      <c r="R589" s="6" t="inlineStr">
        <is>
          <t>Faturado</t>
        </is>
      </c>
      <c r="S589" s="6" t="inlineStr">
        <is>
          <t>Carro</t>
        </is>
      </c>
      <c r="T589" s="6" t="inlineStr">
        <is>
          <t>N</t>
        </is>
      </c>
      <c r="U589" s="6" t="inlineStr">
        <is>
          <t>Grupo Motiva</t>
        </is>
      </c>
      <c r="V589" s="6" t="inlineStr">
        <is>
          <t>Motiva Filial</t>
        </is>
      </c>
      <c r="W589" s="6" t="inlineStr">
        <is>
          <t>-</t>
        </is>
      </c>
      <c r="X589" s="6" t="inlineStr">
        <is>
          <t>-</t>
        </is>
      </c>
      <c r="Y589" s="6" t="inlineStr">
        <is>
          <t>-</t>
        </is>
      </c>
      <c r="Z589" s="6" t="inlineStr">
        <is>
          <t>KON-OPE-SAO-PVI-CCR</t>
        </is>
      </c>
      <c r="AA589" s="6" t="inlineStr">
        <is>
          <t>-</t>
        </is>
      </c>
      <c r="AB589" s="6" t="n">
        <v>183.18</v>
      </c>
      <c r="AC589" s="6" t="n">
        <v>0</v>
      </c>
      <c r="AD589" s="6" t="n">
        <v>0</v>
      </c>
      <c r="AE589" s="6" t="n">
        <v>0</v>
      </c>
      <c r="AF589" s="6" t="n">
        <v>0</v>
      </c>
      <c r="AG589" s="6" t="n">
        <v>0</v>
      </c>
      <c r="AH589" s="6" t="n">
        <v>0</v>
      </c>
      <c r="AI589" s="6" t="inlineStr">
        <is>
          <t>Reserva importada do Sistema TMS. OS: 49349</t>
        </is>
      </c>
      <c r="AJ589" s="6" t="inlineStr">
        <is>
          <t>Fornecedor não preenchido! (ACC01)</t>
        </is>
      </c>
      <c r="AK589" s="6" t="inlineStr">
        <is>
          <t>ARGO(TMS)</t>
        </is>
      </c>
      <c r="AL589" s="6" t="inlineStr">
        <is>
          <t>Falta de Fornecedor</t>
        </is>
      </c>
      <c r="AM589" s="6" t="inlineStr">
        <is>
          <t>Campo Fornecedor</t>
        </is>
      </c>
      <c r="AN589" s="6" t="inlineStr">
        <is>
          <t>Dados do Fornecedor</t>
        </is>
      </c>
      <c r="AO589" s="6" t="inlineStr">
        <is>
          <t>Qualidade dos dados</t>
        </is>
      </c>
      <c r="AP589" s="6" t="inlineStr">
        <is>
          <t>KONTIK BUSINESS TRAVEL</t>
        </is>
      </c>
      <c r="AQ589" s="6" t="inlineStr">
        <is>
          <t>Suporte KCS</t>
        </is>
      </c>
    </row>
    <row r="590">
      <c r="A590" s="6" t="n">
        <v>23380578</v>
      </c>
      <c r="B590" s="6" t="n">
        <v>24104264</v>
      </c>
      <c r="C590" s="6" t="inlineStr">
        <is>
          <t>ACC01</t>
        </is>
      </c>
      <c r="D590" s="58" t="n">
        <v>45985.70753472222</v>
      </c>
      <c r="E590" s="58" t="n">
        <v>45985.76158564815</v>
      </c>
      <c r="F590" s="6" t="inlineStr">
        <is>
          <t>0 a 02 dias</t>
        </is>
      </c>
      <c r="G590" s="6" t="inlineStr">
        <is>
          <t>0 a 02 dias</t>
        </is>
      </c>
      <c r="H590" s="6" t="inlineStr">
        <is>
          <t>5UXZ62</t>
        </is>
      </c>
      <c r="I590" s="6" t="inlineStr">
        <is>
          <t>TMS</t>
        </is>
      </c>
      <c r="J590" s="6" t="inlineStr">
        <is>
          <t>PAULA CRUCIAK ARNOLDI</t>
        </is>
      </c>
      <c r="K590" s="6" t="inlineStr">
        <is>
          <t>Tms</t>
        </is>
      </c>
      <c r="L590" s="6" t="inlineStr">
        <is>
          <t>Tms</t>
        </is>
      </c>
      <c r="M590" s="58" t="n">
        <v>45985.47986111111</v>
      </c>
      <c r="N590" s="6" t="n">
        <v>49316</v>
      </c>
      <c r="O590" s="6" t="inlineStr">
        <is>
          <t>Campo Grande / CGR</t>
        </is>
      </c>
      <c r="P590" s="6" t="inlineStr">
        <is>
          <t>ON LINE</t>
        </is>
      </c>
      <c r="Q590" s="6" t="inlineStr">
        <is>
          <t>Invoice</t>
        </is>
      </c>
      <c r="R590" s="6" t="inlineStr">
        <is>
          <t>Faturado</t>
        </is>
      </c>
      <c r="S590" s="6" t="inlineStr">
        <is>
          <t>Carro</t>
        </is>
      </c>
      <c r="T590" s="6" t="inlineStr">
        <is>
          <t>N</t>
        </is>
      </c>
      <c r="U590" s="6" t="inlineStr">
        <is>
          <t>Grupo Motiva</t>
        </is>
      </c>
      <c r="V590" s="6" t="inlineStr">
        <is>
          <t>Motiva Filial</t>
        </is>
      </c>
      <c r="W590" s="6" t="inlineStr">
        <is>
          <t>-</t>
        </is>
      </c>
      <c r="X590" s="6" t="inlineStr">
        <is>
          <t>-</t>
        </is>
      </c>
      <c r="Y590" s="6" t="inlineStr">
        <is>
          <t>-</t>
        </is>
      </c>
      <c r="Z590" s="6" t="inlineStr">
        <is>
          <t>KON-OPE-SAO-PVI-CCR</t>
        </is>
      </c>
      <c r="AA590" s="6" t="inlineStr">
        <is>
          <t>-</t>
        </is>
      </c>
      <c r="AB590" s="6" t="n">
        <v>823.27</v>
      </c>
      <c r="AC590" s="6" t="n">
        <v>0</v>
      </c>
      <c r="AD590" s="6" t="n">
        <v>0</v>
      </c>
      <c r="AE590" s="6" t="n">
        <v>0</v>
      </c>
      <c r="AF590" s="6" t="n">
        <v>0</v>
      </c>
      <c r="AG590" s="6" t="n">
        <v>0</v>
      </c>
      <c r="AH590" s="6" t="n">
        <v>0</v>
      </c>
      <c r="AI590" s="6" t="inlineStr">
        <is>
          <t>Reserva importada do Sistema TMS. OS: 49316</t>
        </is>
      </c>
      <c r="AJ590" s="6" t="inlineStr">
        <is>
          <t>Fornecedor não preenchido! (ACC01)</t>
        </is>
      </c>
      <c r="AK590" s="6" t="inlineStr">
        <is>
          <t>ARGO(TMS)</t>
        </is>
      </c>
      <c r="AL590" s="6" t="inlineStr">
        <is>
          <t>Falta de Fornecedor</t>
        </is>
      </c>
      <c r="AM590" s="6" t="inlineStr">
        <is>
          <t>Campo Fornecedor</t>
        </is>
      </c>
      <c r="AN590" s="6" t="inlineStr">
        <is>
          <t>Dados do Fornecedor</t>
        </is>
      </c>
      <c r="AO590" s="6" t="inlineStr">
        <is>
          <t>Qualidade dos dados</t>
        </is>
      </c>
      <c r="AP590" s="6" t="inlineStr">
        <is>
          <t>KONTIK BUSINESS TRAVEL</t>
        </is>
      </c>
      <c r="AQ590" s="6" t="inlineStr">
        <is>
          <t>Suporte KCS</t>
        </is>
      </c>
    </row>
    <row r="591">
      <c r="A591" s="6" t="n">
        <v>23380587</v>
      </c>
      <c r="B591" s="6" t="n">
        <v>24104273</v>
      </c>
      <c r="C591" s="6" t="inlineStr">
        <is>
          <t>ACC01</t>
        </is>
      </c>
      <c r="D591" s="58" t="n">
        <v>45985.70777777778</v>
      </c>
      <c r="E591" s="58" t="n">
        <v>45985.76200231481</v>
      </c>
      <c r="F591" s="6" t="inlineStr">
        <is>
          <t>0 a 02 dias</t>
        </is>
      </c>
      <c r="G591" s="6" t="inlineStr">
        <is>
          <t>0 a 02 dias</t>
        </is>
      </c>
      <c r="H591" s="6" t="inlineStr">
        <is>
          <t>5U6ZYX</t>
        </is>
      </c>
      <c r="I591" s="6" t="inlineStr">
        <is>
          <t>TMS</t>
        </is>
      </c>
      <c r="J591" s="6" t="inlineStr">
        <is>
          <t>JESSICA MARTINS ROVE</t>
        </is>
      </c>
      <c r="K591" s="6" t="inlineStr">
        <is>
          <t>Tms</t>
        </is>
      </c>
      <c r="L591" s="6" t="inlineStr">
        <is>
          <t>Tms</t>
        </is>
      </c>
      <c r="M591" s="58" t="n">
        <v>45985.51666666667</v>
      </c>
      <c r="N591" s="6" t="n">
        <v>49302</v>
      </c>
      <c r="O591" s="6" t="inlineStr">
        <is>
          <t>Jundiaí / QDV</t>
        </is>
      </c>
      <c r="P591" s="6" t="inlineStr">
        <is>
          <t>ON LINE</t>
        </is>
      </c>
      <c r="Q591" s="6" t="inlineStr">
        <is>
          <t>Invoice</t>
        </is>
      </c>
      <c r="R591" s="6" t="inlineStr">
        <is>
          <t>Faturado</t>
        </is>
      </c>
      <c r="S591" s="6" t="inlineStr">
        <is>
          <t>Carro</t>
        </is>
      </c>
      <c r="T591" s="6" t="inlineStr">
        <is>
          <t>N</t>
        </is>
      </c>
      <c r="U591" s="6" t="inlineStr">
        <is>
          <t>Grupo Motiva</t>
        </is>
      </c>
      <c r="V591" s="6" t="inlineStr">
        <is>
          <t>Cpc</t>
        </is>
      </c>
      <c r="W591" s="6" t="inlineStr">
        <is>
          <t>-</t>
        </is>
      </c>
      <c r="X591" s="6" t="inlineStr">
        <is>
          <t>-</t>
        </is>
      </c>
      <c r="Y591" s="6" t="inlineStr">
        <is>
          <t>-</t>
        </is>
      </c>
      <c r="Z591" s="6" t="inlineStr">
        <is>
          <t>KON-OPE-SAO-PVI-CCR</t>
        </is>
      </c>
      <c r="AA591" s="6" t="inlineStr">
        <is>
          <t>-</t>
        </is>
      </c>
      <c r="AB591" s="6" t="n">
        <v>182.2</v>
      </c>
      <c r="AC591" s="6" t="n">
        <v>0</v>
      </c>
      <c r="AD591" s="6" t="n">
        <v>0</v>
      </c>
      <c r="AE591" s="6" t="n">
        <v>0</v>
      </c>
      <c r="AF591" s="6" t="n">
        <v>0</v>
      </c>
      <c r="AG591" s="6" t="n">
        <v>0</v>
      </c>
      <c r="AH591" s="6" t="n">
        <v>0</v>
      </c>
      <c r="AI591" s="6" t="inlineStr">
        <is>
          <t>Reserva importada do Sistema TMS. OS: 49302</t>
        </is>
      </c>
      <c r="AJ591" s="6" t="inlineStr">
        <is>
          <t>Fornecedor não preenchido! (ACC01)</t>
        </is>
      </c>
      <c r="AK591" s="6" t="inlineStr">
        <is>
          <t>ARGO(TMS)</t>
        </is>
      </c>
      <c r="AL591" s="6" t="inlineStr">
        <is>
          <t>Falta de Fornecedor</t>
        </is>
      </c>
      <c r="AM591" s="6" t="inlineStr">
        <is>
          <t>Campo Fornecedor</t>
        </is>
      </c>
      <c r="AN591" s="6" t="inlineStr">
        <is>
          <t>Dados do Fornecedor</t>
        </is>
      </c>
      <c r="AO591" s="6" t="inlineStr">
        <is>
          <t>Qualidade dos dados</t>
        </is>
      </c>
      <c r="AP591" s="6" t="inlineStr">
        <is>
          <t>KONTIK BUSINESS TRAVEL</t>
        </is>
      </c>
      <c r="AQ591" s="6" t="inlineStr">
        <is>
          <t>Suporte KCS</t>
        </is>
      </c>
    </row>
    <row r="592">
      <c r="A592" s="6" t="n">
        <v>23368881</v>
      </c>
      <c r="B592" s="6" t="n">
        <v>24094843</v>
      </c>
      <c r="C592" s="6" t="inlineStr">
        <is>
          <t>ACC01</t>
        </is>
      </c>
      <c r="D592" s="58" t="n">
        <v>45982.91733796296</v>
      </c>
      <c r="E592" s="58" t="n">
        <v>45982.9568287037</v>
      </c>
      <c r="F592" s="6" t="inlineStr">
        <is>
          <t>03 a 05 dias</t>
        </is>
      </c>
      <c r="G592" s="6" t="inlineStr">
        <is>
          <t>03 a 05 dias</t>
        </is>
      </c>
      <c r="H592" s="6" t="inlineStr">
        <is>
          <t>5UGZRZ</t>
        </is>
      </c>
      <c r="I592" s="6" t="inlineStr">
        <is>
          <t>TMS</t>
        </is>
      </c>
      <c r="J592" s="6" t="inlineStr">
        <is>
          <t>VINICIUS FERNANDO NEVOA</t>
        </is>
      </c>
      <c r="K592" s="6" t="inlineStr">
        <is>
          <t>Flavio Roberto Ferreira</t>
        </is>
      </c>
      <c r="L592" s="6" t="inlineStr">
        <is>
          <t>Flavio Roberto Ferreira</t>
        </is>
      </c>
      <c r="M592" s="58" t="n">
        <v>45982.77986111111</v>
      </c>
      <c r="N592" s="6" t="n">
        <v>48021</v>
      </c>
      <c r="O592" s="6" t="inlineStr">
        <is>
          <t>-</t>
        </is>
      </c>
      <c r="P592" s="6" t="inlineStr">
        <is>
          <t>OFF LINE</t>
        </is>
      </c>
      <c r="Q592" s="6" t="inlineStr">
        <is>
          <t>Invoice</t>
        </is>
      </c>
      <c r="R592" s="6" t="inlineStr">
        <is>
          <t>Faturado</t>
        </is>
      </c>
      <c r="S592" s="6" t="inlineStr">
        <is>
          <t>Hotel</t>
        </is>
      </c>
      <c r="T592" s="6" t="inlineStr">
        <is>
          <t>N</t>
        </is>
      </c>
      <c r="U592" s="6" t="inlineStr">
        <is>
          <t>Grupo Motiva</t>
        </is>
      </c>
      <c r="V592" s="6" t="inlineStr">
        <is>
          <t>Motiva Filial</t>
        </is>
      </c>
      <c r="W592" s="6" t="inlineStr">
        <is>
          <t>-</t>
        </is>
      </c>
      <c r="X592" s="6" t="inlineStr">
        <is>
          <t>-</t>
        </is>
      </c>
      <c r="Y592" s="6" t="inlineStr">
        <is>
          <t>-</t>
        </is>
      </c>
      <c r="Z592" s="6" t="inlineStr">
        <is>
          <t>KON-OPE-SAO-PVI-CCR</t>
        </is>
      </c>
      <c r="AA592" s="6" t="inlineStr">
        <is>
          <t>-</t>
        </is>
      </c>
      <c r="AB592" s="6" t="n">
        <v>2305.81</v>
      </c>
      <c r="AC592" s="6" t="n">
        <v>0</v>
      </c>
      <c r="AD592" s="6" t="n">
        <v>0</v>
      </c>
      <c r="AE592" s="6" t="n">
        <v>0</v>
      </c>
      <c r="AF592" s="6" t="n">
        <v>0</v>
      </c>
      <c r="AG592" s="6" t="n">
        <v>0</v>
      </c>
      <c r="AH592" s="6" t="n">
        <v>0</v>
      </c>
      <c r="AI592" s="6" t="inlineStr">
        <is>
          <t>Reserva importada do Sistema TMS. OS: 48021</t>
        </is>
      </c>
      <c r="AJ592" s="6" t="inlineStr">
        <is>
          <t>Fornecedor não preenchido! (ACC01)</t>
        </is>
      </c>
      <c r="AK592" s="6" t="inlineStr">
        <is>
          <t>ARGO(TMS)</t>
        </is>
      </c>
      <c r="AL592" s="6" t="inlineStr">
        <is>
          <t>Falta de Fornecedor</t>
        </is>
      </c>
      <c r="AM592" s="6" t="inlineStr">
        <is>
          <t>Campo Fornecedor</t>
        </is>
      </c>
      <c r="AN592" s="6" t="inlineStr">
        <is>
          <t>Dados do Fornecedor</t>
        </is>
      </c>
      <c r="AO592" s="6" t="inlineStr">
        <is>
          <t>Qualidade dos dados</t>
        </is>
      </c>
      <c r="AP592" s="6" t="inlineStr">
        <is>
          <t>KONTIK BUSINESS TRAVEL</t>
        </is>
      </c>
      <c r="AQ592" s="6" t="inlineStr">
        <is>
          <t>Suporte KCS</t>
        </is>
      </c>
    </row>
    <row r="593">
      <c r="A593" s="6" t="n">
        <v>23368888</v>
      </c>
      <c r="B593" s="6" t="n">
        <v>24094850</v>
      </c>
      <c r="C593" s="6" t="inlineStr">
        <is>
          <t>ACC01</t>
        </is>
      </c>
      <c r="D593" s="58" t="n">
        <v>45982.91751157407</v>
      </c>
      <c r="E593" s="58" t="n">
        <v>45982.95961805555</v>
      </c>
      <c r="F593" s="6" t="inlineStr">
        <is>
          <t>03 a 05 dias</t>
        </is>
      </c>
      <c r="G593" s="6" t="inlineStr">
        <is>
          <t>03 a 05 dias</t>
        </is>
      </c>
      <c r="H593" s="6" t="inlineStr">
        <is>
          <t>5UQ241</t>
        </is>
      </c>
      <c r="I593" s="6" t="inlineStr">
        <is>
          <t>TMS</t>
        </is>
      </c>
      <c r="J593" s="6" t="inlineStr">
        <is>
          <t>LEANDRO MOTTA QUEIROZ</t>
        </is>
      </c>
      <c r="K593" s="6" t="inlineStr">
        <is>
          <t>Flavio Roberto Ferreira</t>
        </is>
      </c>
      <c r="L593" s="6" t="inlineStr">
        <is>
          <t>Flavio Roberto Ferreira</t>
        </is>
      </c>
      <c r="M593" s="58" t="n">
        <v>45982.77708333333</v>
      </c>
      <c r="N593" s="6" t="n">
        <v>48020</v>
      </c>
      <c r="O593" s="6" t="inlineStr">
        <is>
          <t>-</t>
        </is>
      </c>
      <c r="P593" s="6" t="inlineStr">
        <is>
          <t>OFF LINE</t>
        </is>
      </c>
      <c r="Q593" s="6" t="inlineStr">
        <is>
          <t>Invoice</t>
        </is>
      </c>
      <c r="R593" s="6" t="inlineStr">
        <is>
          <t>Faturado</t>
        </is>
      </c>
      <c r="S593" s="6" t="inlineStr">
        <is>
          <t>Hotel</t>
        </is>
      </c>
      <c r="T593" s="6" t="inlineStr">
        <is>
          <t>N</t>
        </is>
      </c>
      <c r="U593" s="6" t="inlineStr">
        <is>
          <t>Grupo Motiva</t>
        </is>
      </c>
      <c r="V593" s="6" t="inlineStr">
        <is>
          <t>Motiva Filial</t>
        </is>
      </c>
      <c r="W593" s="6" t="inlineStr">
        <is>
          <t>-</t>
        </is>
      </c>
      <c r="X593" s="6" t="inlineStr">
        <is>
          <t>-</t>
        </is>
      </c>
      <c r="Y593" s="6" t="inlineStr">
        <is>
          <t>-</t>
        </is>
      </c>
      <c r="Z593" s="6" t="inlineStr">
        <is>
          <t>KON-OPE-SAO-PVI-CCR</t>
        </is>
      </c>
      <c r="AA593" s="6" t="inlineStr">
        <is>
          <t>-</t>
        </is>
      </c>
      <c r="AB593" s="6" t="n">
        <v>2305.81</v>
      </c>
      <c r="AC593" s="6" t="n">
        <v>0</v>
      </c>
      <c r="AD593" s="6" t="n">
        <v>0</v>
      </c>
      <c r="AE593" s="6" t="n">
        <v>0</v>
      </c>
      <c r="AF593" s="6" t="n">
        <v>0</v>
      </c>
      <c r="AG593" s="6" t="n">
        <v>0</v>
      </c>
      <c r="AH593" s="6" t="n">
        <v>0</v>
      </c>
      <c r="AI593" s="6" t="inlineStr">
        <is>
          <t>Reserva importada do Sistema TMS. OS: 48020</t>
        </is>
      </c>
      <c r="AJ593" s="6" t="inlineStr">
        <is>
          <t>Fornecedor não preenchido! (ACC01)</t>
        </is>
      </c>
      <c r="AK593" s="6" t="inlineStr">
        <is>
          <t>ARGO(TMS)</t>
        </is>
      </c>
      <c r="AL593" s="6" t="inlineStr">
        <is>
          <t>Falta de Fornecedor</t>
        </is>
      </c>
      <c r="AM593" s="6" t="inlineStr">
        <is>
          <t>Campo Fornecedor</t>
        </is>
      </c>
      <c r="AN593" s="6" t="inlineStr">
        <is>
          <t>Dados do Fornecedor</t>
        </is>
      </c>
      <c r="AO593" s="6" t="inlineStr">
        <is>
          <t>Qualidade dos dados</t>
        </is>
      </c>
      <c r="AP593" s="6" t="inlineStr">
        <is>
          <t>KONTIK BUSINESS TRAVEL</t>
        </is>
      </c>
      <c r="AQ593" s="6" t="inlineStr">
        <is>
          <t>Suporte KCS</t>
        </is>
      </c>
    </row>
    <row r="594">
      <c r="A594" s="6" t="n">
        <v>23368894</v>
      </c>
      <c r="B594" s="6" t="n">
        <v>24094856</v>
      </c>
      <c r="C594" s="6" t="inlineStr">
        <is>
          <t>ACC01</t>
        </is>
      </c>
      <c r="D594" s="58" t="n">
        <v>45982.91767361111</v>
      </c>
      <c r="E594" s="58" t="n">
        <v>45982.96030092592</v>
      </c>
      <c r="F594" s="6" t="inlineStr">
        <is>
          <t>03 a 05 dias</t>
        </is>
      </c>
      <c r="G594" s="6" t="inlineStr">
        <is>
          <t>03 a 05 dias</t>
        </is>
      </c>
      <c r="H594" s="6" t="inlineStr">
        <is>
          <t>5UJXF1</t>
        </is>
      </c>
      <c r="I594" s="6" t="inlineStr">
        <is>
          <t>TMS</t>
        </is>
      </c>
      <c r="J594" s="6" t="inlineStr">
        <is>
          <t>MARIO FERREIRA</t>
        </is>
      </c>
      <c r="K594" s="6" t="inlineStr">
        <is>
          <t>Flavio Roberto Ferreira</t>
        </is>
      </c>
      <c r="L594" s="6" t="inlineStr">
        <is>
          <t>Flavio Roberto Ferreira</t>
        </is>
      </c>
      <c r="M594" s="58" t="n">
        <v>45982.78125</v>
      </c>
      <c r="N594" s="6" t="n">
        <v>48019</v>
      </c>
      <c r="O594" s="6" t="inlineStr">
        <is>
          <t>-</t>
        </is>
      </c>
      <c r="P594" s="6" t="inlineStr">
        <is>
          <t>OFF LINE</t>
        </is>
      </c>
      <c r="Q594" s="6" t="inlineStr">
        <is>
          <t>Invoice</t>
        </is>
      </c>
      <c r="R594" s="6" t="inlineStr">
        <is>
          <t>Faturado</t>
        </is>
      </c>
      <c r="S594" s="6" t="inlineStr">
        <is>
          <t>Hotel</t>
        </is>
      </c>
      <c r="T594" s="6" t="inlineStr">
        <is>
          <t>N</t>
        </is>
      </c>
      <c r="U594" s="6" t="inlineStr">
        <is>
          <t>Grupo Motiva</t>
        </is>
      </c>
      <c r="V594" s="6" t="inlineStr">
        <is>
          <t>Motiva Filial</t>
        </is>
      </c>
      <c r="W594" s="6" t="inlineStr">
        <is>
          <t>-</t>
        </is>
      </c>
      <c r="X594" s="6" t="inlineStr">
        <is>
          <t>-</t>
        </is>
      </c>
      <c r="Y594" s="6" t="inlineStr">
        <is>
          <t>-</t>
        </is>
      </c>
      <c r="Z594" s="6" t="inlineStr">
        <is>
          <t>KON-OPE-SAO-PVI-CCR</t>
        </is>
      </c>
      <c r="AA594" s="6" t="inlineStr">
        <is>
          <t>-</t>
        </is>
      </c>
      <c r="AB594" s="6" t="n">
        <v>2305.81</v>
      </c>
      <c r="AC594" s="6" t="n">
        <v>0</v>
      </c>
      <c r="AD594" s="6" t="n">
        <v>0</v>
      </c>
      <c r="AE594" s="6" t="n">
        <v>0</v>
      </c>
      <c r="AF594" s="6" t="n">
        <v>0</v>
      </c>
      <c r="AG594" s="6" t="n">
        <v>0</v>
      </c>
      <c r="AH594" s="6" t="n">
        <v>0</v>
      </c>
      <c r="AI594" s="6" t="inlineStr">
        <is>
          <t>Reserva importada do Sistema TMS. OS: 48019</t>
        </is>
      </c>
      <c r="AJ594" s="6" t="inlineStr">
        <is>
          <t>Fornecedor não preenchido! (ACC01)</t>
        </is>
      </c>
      <c r="AK594" s="6" t="inlineStr">
        <is>
          <t>ARGO(TMS)</t>
        </is>
      </c>
      <c r="AL594" s="6" t="inlineStr">
        <is>
          <t>Falta de Fornecedor</t>
        </is>
      </c>
      <c r="AM594" s="6" t="inlineStr">
        <is>
          <t>Campo Fornecedor</t>
        </is>
      </c>
      <c r="AN594" s="6" t="inlineStr">
        <is>
          <t>Dados do Fornecedor</t>
        </is>
      </c>
      <c r="AO594" s="6" t="inlineStr">
        <is>
          <t>Qualidade dos dados</t>
        </is>
      </c>
      <c r="AP594" s="6" t="inlineStr">
        <is>
          <t>KONTIK BUSINESS TRAVEL</t>
        </is>
      </c>
      <c r="AQ594" s="6" t="inlineStr">
        <is>
          <t>Suporte KCS</t>
        </is>
      </c>
    </row>
    <row r="595">
      <c r="A595" s="6" t="n">
        <v>23362718</v>
      </c>
      <c r="B595" s="6" t="n">
        <v>24089227</v>
      </c>
      <c r="C595" s="6" t="inlineStr">
        <is>
          <t>ACC01</t>
        </is>
      </c>
      <c r="D595" s="58" t="n">
        <v>45981.89178240741</v>
      </c>
      <c r="E595" s="58" t="n">
        <v>45981.8945949074</v>
      </c>
      <c r="F595" s="6" t="inlineStr">
        <is>
          <t>03 a 05 dias</t>
        </is>
      </c>
      <c r="G595" s="6" t="inlineStr">
        <is>
          <t>03 a 05 dias</t>
        </is>
      </c>
      <c r="H595" s="6" t="inlineStr">
        <is>
          <t>5U2YBB</t>
        </is>
      </c>
      <c r="I595" s="6" t="inlineStr">
        <is>
          <t>TMS</t>
        </is>
      </c>
      <c r="J595" s="6" t="inlineStr">
        <is>
          <t>HERNAN RIOS</t>
        </is>
      </c>
      <c r="K595" s="6" t="inlineStr">
        <is>
          <t>Tms</t>
        </is>
      </c>
      <c r="L595" s="6" t="inlineStr">
        <is>
          <t>Tms</t>
        </is>
      </c>
      <c r="M595" s="58" t="n">
        <v>45981.67013888889</v>
      </c>
      <c r="N595" s="6" t="n">
        <v>17</v>
      </c>
      <c r="O595" s="6" t="inlineStr">
        <is>
          <t>-</t>
        </is>
      </c>
      <c r="P595" s="6" t="inlineStr">
        <is>
          <t>ON LINE</t>
        </is>
      </c>
      <c r="Q595" s="6" t="inlineStr">
        <is>
          <t>Cartão de crédito</t>
        </is>
      </c>
      <c r="R595" s="6" t="inlineStr">
        <is>
          <t>Cartão de crédito</t>
        </is>
      </c>
      <c r="S595" s="6" t="inlineStr">
        <is>
          <t>Hotel</t>
        </is>
      </c>
      <c r="T595" s="6" t="inlineStr">
        <is>
          <t>N</t>
        </is>
      </c>
      <c r="U595" s="6" t="inlineStr">
        <is>
          <t>Grupo Syngenta</t>
        </is>
      </c>
      <c r="V595" s="6" t="inlineStr">
        <is>
          <t>Syngenta Crop</t>
        </is>
      </c>
      <c r="W595" s="6" t="inlineStr">
        <is>
          <t>-</t>
        </is>
      </c>
      <c r="X595" s="6" t="inlineStr">
        <is>
          <t>-</t>
        </is>
      </c>
      <c r="Y595" s="6" t="inlineStr">
        <is>
          <t>-</t>
        </is>
      </c>
      <c r="Z595" s="6" t="inlineStr">
        <is>
          <t>FCM-OPE-POA-PVI-SYNGENTA</t>
        </is>
      </c>
      <c r="AA595" s="6" t="inlineStr">
        <is>
          <t>-</t>
        </is>
      </c>
      <c r="AB595" s="6" t="n">
        <v>571.33</v>
      </c>
      <c r="AC595" s="6" t="n">
        <v>0</v>
      </c>
      <c r="AD595" s="6" t="n">
        <v>0</v>
      </c>
      <c r="AE595" s="6" t="n">
        <v>0</v>
      </c>
      <c r="AF595" s="6" t="n">
        <v>0</v>
      </c>
      <c r="AG595" s="6" t="n">
        <v>74.26000000000001</v>
      </c>
      <c r="AH595" s="6" t="n">
        <v>0</v>
      </c>
      <c r="AI595" s="6" t="inlineStr">
        <is>
          <t>Reserva importada do Sistema TMS. OS: 17</t>
        </is>
      </c>
      <c r="AJ595" s="6" t="inlineStr">
        <is>
          <t>Fornecedor não preenchido! (ACC01)</t>
        </is>
      </c>
      <c r="AK595" s="6" t="inlineStr">
        <is>
          <t>ARGO(TMS)</t>
        </is>
      </c>
      <c r="AL595" s="6" t="inlineStr">
        <is>
          <t>Falta de Fornecedor</t>
        </is>
      </c>
      <c r="AM595" s="6" t="inlineStr">
        <is>
          <t>Campo Fornecedor</t>
        </is>
      </c>
      <c r="AN595" s="6" t="inlineStr">
        <is>
          <t>Dados do Fornecedor</t>
        </is>
      </c>
      <c r="AO595" s="6" t="inlineStr">
        <is>
          <t>Sistêmico</t>
        </is>
      </c>
      <c r="AP595" s="6" t="inlineStr">
        <is>
          <t>GRUPO KONTIK</t>
        </is>
      </c>
      <c r="AQ595" s="6" t="inlineStr">
        <is>
          <t>Suporte Benner</t>
        </is>
      </c>
    </row>
  </sheetData>
  <autoFilter ref="A1:AQ2062">
    <sortState ref="A2:AQ2062">
      <sortCondition descending="1" ref="D1:D2062"/>
    </sortState>
  </autoFilter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 codeName="Planilha3">
    <outlinePr summaryBelow="1" summaryRight="1"/>
    <pageSetUpPr/>
  </sheetPr>
  <dimension ref="A1:F41"/>
  <sheetViews>
    <sheetView workbookViewId="0">
      <selection activeCell="B2" sqref="B2:B47"/>
    </sheetView>
  </sheetViews>
  <sheetFormatPr baseColWidth="8" defaultRowHeight="15"/>
  <cols>
    <col width="16" customWidth="1" min="1" max="1"/>
    <col width="15" customWidth="1" min="2" max="2"/>
    <col width="40" customWidth="1" min="3" max="3"/>
    <col width="90" customWidth="1" min="4" max="5"/>
    <col width="25" customWidth="1" min="6" max="6"/>
  </cols>
  <sheetData>
    <row r="1">
      <c r="A1" s="10" t="inlineStr">
        <is>
          <t>OBTS</t>
        </is>
      </c>
      <c r="B1" s="10" t="inlineStr">
        <is>
          <t>QUANTIDADE</t>
        </is>
      </c>
      <c r="C1" s="11" t="inlineStr">
        <is>
          <t>TIPO DE ERRO</t>
        </is>
      </c>
      <c r="D1" s="11" t="inlineStr">
        <is>
          <t>CAUSA</t>
        </is>
      </c>
      <c r="E1" s="11" t="inlineStr">
        <is>
          <t>SOLUÇÃO</t>
        </is>
      </c>
      <c r="F1" s="11" t="inlineStr">
        <is>
          <t>RESPONSÁVEL</t>
        </is>
      </c>
    </row>
    <row r="2">
      <c r="A2" t="inlineStr">
        <is>
          <t>Gover</t>
        </is>
      </c>
      <c r="B2" t="n">
        <v>15</v>
      </c>
      <c r="C2" t="inlineStr">
        <is>
          <t>Bilhete duplicado</t>
        </is>
      </c>
      <c r="D2" t="inlineStr">
        <is>
          <t>OBT mandou bilhete duplicado e/ou venda alterada após contabilização</t>
        </is>
      </c>
      <c r="E2" t="inlineStr">
        <is>
          <t>Realizar analise dos bilhetes no sistema Benner</t>
        </is>
      </c>
      <c r="F2" t="inlineStr">
        <is>
          <t>Conciliação Aérea</t>
        </is>
      </c>
    </row>
    <row r="3">
      <c r="A3" t="inlineStr">
        <is>
          <t>Gover</t>
        </is>
      </c>
      <c r="B3" t="n">
        <v>1</v>
      </c>
      <c r="C3" t="inlineStr">
        <is>
          <t>Bilhete incompleto</t>
        </is>
      </c>
      <c r="D3" t="inlineStr">
        <is>
          <t>Companias aereas com tamanho de bilhete diferente do padrão e/ou não possuem bilhete</t>
        </is>
      </c>
      <c r="E3" t="inlineStr">
        <is>
          <t>Gerar bilhete via Benner</t>
        </is>
      </c>
      <c r="F3" t="inlineStr">
        <is>
          <t>Conciliação Aérea</t>
        </is>
      </c>
    </row>
    <row r="4">
      <c r="A4" t="inlineStr">
        <is>
          <t>Gover</t>
        </is>
      </c>
      <c r="B4" t="n">
        <v>1</v>
      </c>
      <c r="C4" t="inlineStr">
        <is>
          <t>Caractere inválido</t>
        </is>
      </c>
      <c r="D4" t="inlineStr">
        <is>
          <t>Inserido Caractere invalido na venda</t>
        </is>
      </c>
      <c r="E4" t="inlineStr">
        <is>
          <t>Correção e/ou exclusão de caractere do campo</t>
        </is>
      </c>
      <c r="F4" t="inlineStr">
        <is>
          <t>Operações Corp</t>
        </is>
      </c>
    </row>
    <row r="5">
      <c r="A5" t="inlineStr">
        <is>
          <t>Gover</t>
        </is>
      </c>
      <c r="B5" t="n">
        <v>1</v>
      </c>
      <c r="C5" t="inlineStr">
        <is>
          <t>Contrato de fornecedor Inspirado</t>
        </is>
      </c>
      <c r="D5" t="inlineStr">
        <is>
          <t>Fornecedor com CNPJ Baixado na receita</t>
        </is>
      </c>
      <c r="E5" t="inlineStr">
        <is>
          <t>Enviar  CNPJs ativos de fornecedores para alteração</t>
        </is>
      </c>
      <c r="F5" t="inlineStr">
        <is>
          <t>Suporte KCS</t>
        </is>
      </c>
    </row>
    <row r="6">
      <c r="A6" t="inlineStr">
        <is>
          <t>Gover</t>
        </is>
      </c>
      <c r="B6" t="n">
        <v>16</v>
      </c>
      <c r="C6" t="inlineStr">
        <is>
          <t>Duplicidade de RLOC</t>
        </is>
      </c>
      <c r="D6" t="inlineStr">
        <is>
          <t>Venda integrada manualmente após OBT ter integrado</t>
        </is>
      </c>
      <c r="E6" t="inlineStr">
        <is>
          <t>Exclusão de RLOC não contabilizado</t>
        </is>
      </c>
      <c r="F6" t="inlineStr">
        <is>
          <t>Operações Corp</t>
        </is>
      </c>
    </row>
    <row r="7">
      <c r="A7" t="inlineStr">
        <is>
          <t>Gover</t>
        </is>
      </c>
      <c r="B7" t="n">
        <v>71</v>
      </c>
      <c r="C7" t="inlineStr">
        <is>
          <t>Falta de Fornecedor</t>
        </is>
      </c>
      <c r="D7" t="inlineStr">
        <is>
          <t>Falta de Handle de fornecedores</t>
        </is>
      </c>
      <c r="E7" t="inlineStr">
        <is>
          <t>Novos fornecedores</t>
        </is>
      </c>
      <c r="F7" t="inlineStr">
        <is>
          <t>Suporte Benner</t>
        </is>
      </c>
    </row>
    <row r="8">
      <c r="A8" t="inlineStr">
        <is>
          <t>Gover</t>
        </is>
      </c>
      <c r="B8" t="n">
        <v>108</v>
      </c>
      <c r="C8" t="inlineStr">
        <is>
          <t>Falta de informação Gerencial</t>
        </is>
      </c>
      <c r="D8" t="inlineStr">
        <is>
          <t>Não digitado na OBT e/ou Benner não realizou a leitura</t>
        </is>
      </c>
      <c r="E8" t="inlineStr">
        <is>
          <t>Ajustar venda na OBT e/ou em paralelo preencher o campo no Portal</t>
        </is>
      </c>
      <c r="F8" t="inlineStr">
        <is>
          <t>Suporte KCS</t>
        </is>
      </c>
    </row>
    <row r="9">
      <c r="A9" t="inlineStr">
        <is>
          <t>Gover</t>
        </is>
      </c>
      <c r="B9" t="n">
        <v>2</v>
      </c>
      <c r="C9" t="inlineStr">
        <is>
          <t>Não identificado</t>
        </is>
      </c>
      <c r="D9" t="inlineStr">
        <is>
          <t>Reportar ao responsável</t>
        </is>
      </c>
      <c r="E9" t="inlineStr">
        <is>
          <t>Reportar ao responsável</t>
        </is>
      </c>
      <c r="F9" t="inlineStr">
        <is>
          <t>Suporte Benner</t>
        </is>
      </c>
    </row>
    <row r="10">
      <c r="A10" t="inlineStr">
        <is>
          <t>Gover</t>
        </is>
      </c>
      <c r="B10" t="n">
        <v>4</v>
      </c>
      <c r="C10" t="inlineStr">
        <is>
          <t>Pagamento não permitido para cobrança</t>
        </is>
      </c>
      <c r="D10" t="inlineStr">
        <is>
          <t>Venda inserida automaticamente no processado erro para alteração de pagamento</t>
        </is>
      </c>
      <c r="E10" t="inlineStr">
        <is>
          <t>Inserção da forma de pagamento/recebimento correta</t>
        </is>
      </c>
      <c r="F10" t="inlineStr">
        <is>
          <t>Suporte Benner</t>
        </is>
      </c>
    </row>
    <row r="11">
      <c r="A11" t="inlineStr">
        <is>
          <t>Gover</t>
        </is>
      </c>
      <c r="B11" t="n">
        <v>1</v>
      </c>
      <c r="C11" t="inlineStr">
        <is>
          <t>Valores da Tarifa</t>
        </is>
      </c>
      <c r="D11" t="inlineStr">
        <is>
          <t>Tarifa excede valor ou é menor que a tarifa do accounting</t>
        </is>
      </c>
      <c r="E11" t="inlineStr">
        <is>
          <t>Ajustar tarifa</t>
        </is>
      </c>
      <c r="F11" t="inlineStr">
        <is>
          <t>Suporte Benner</t>
        </is>
      </c>
    </row>
    <row r="12">
      <c r="A12" t="inlineStr">
        <is>
          <t>Argo</t>
        </is>
      </c>
      <c r="B12" t="n">
        <v>5</v>
      </c>
      <c r="C12" t="inlineStr">
        <is>
          <t>Bilhete duplicado</t>
        </is>
      </c>
      <c r="D12" t="inlineStr">
        <is>
          <t>OBT mandou bilhete duplicado e/ou venda alterada após contabilização</t>
        </is>
      </c>
      <c r="E12" t="inlineStr">
        <is>
          <t>Realizar analise dos bilhetes no sistema Benner</t>
        </is>
      </c>
      <c r="F12" t="inlineStr">
        <is>
          <t>Conciliação Aérea</t>
        </is>
      </c>
    </row>
    <row r="13">
      <c r="A13" t="inlineStr">
        <is>
          <t>Argo</t>
        </is>
      </c>
      <c r="B13" t="n">
        <v>78</v>
      </c>
      <c r="C13" t="inlineStr">
        <is>
          <t>Falta de Fornecedor</t>
        </is>
      </c>
      <c r="D13" t="inlineStr">
        <is>
          <t>Falta de Handle de fornecedores</t>
        </is>
      </c>
      <c r="E13" t="inlineStr">
        <is>
          <t>Novos fornecedores</t>
        </is>
      </c>
      <c r="F13" t="inlineStr">
        <is>
          <t>Suporte Benner</t>
        </is>
      </c>
    </row>
    <row r="14">
      <c r="A14" t="inlineStr">
        <is>
          <t>Argo</t>
        </is>
      </c>
      <c r="B14" t="n">
        <v>21</v>
      </c>
      <c r="C14" t="inlineStr">
        <is>
          <t>Falta de informação Gerencial</t>
        </is>
      </c>
      <c r="D14" t="inlineStr">
        <is>
          <t>Não digitado na OBT e/ou Benner não realizou a leitura</t>
        </is>
      </c>
      <c r="E14" t="inlineStr">
        <is>
          <t>Ajustar venda na OBT e/ou em paralelo preencher o campo no Portal</t>
        </is>
      </c>
      <c r="F14" t="inlineStr">
        <is>
          <t>Suporte KCS</t>
        </is>
      </c>
    </row>
    <row r="15">
      <c r="A15" t="inlineStr">
        <is>
          <t>HubTravel</t>
        </is>
      </c>
      <c r="B15" t="n">
        <v>13</v>
      </c>
      <c r="C15" t="inlineStr">
        <is>
          <t>Bilhete duplicado</t>
        </is>
      </c>
      <c r="D15" t="inlineStr">
        <is>
          <t>OBT mandou bilhete duplicado e/ou venda alterada após contabilização</t>
        </is>
      </c>
      <c r="E15" t="inlineStr">
        <is>
          <t>Realizar analise dos bilhetes no sistema Benner</t>
        </is>
      </c>
      <c r="F15" t="inlineStr">
        <is>
          <t>Conciliação Aérea</t>
        </is>
      </c>
    </row>
    <row r="16">
      <c r="A16" t="inlineStr">
        <is>
          <t>HubTravel</t>
        </is>
      </c>
      <c r="B16" t="n">
        <v>1</v>
      </c>
      <c r="C16" t="inlineStr">
        <is>
          <t>Bilhete incompleto</t>
        </is>
      </c>
      <c r="D16" t="inlineStr">
        <is>
          <t>Companias aereas com tamanho de bilhete diferente do padrão e/ou não possuem bilhete</t>
        </is>
      </c>
      <c r="E16" t="inlineStr">
        <is>
          <t>Gerar bilhete via Benner</t>
        </is>
      </c>
      <c r="F16" t="inlineStr">
        <is>
          <t>Conciliação Aérea</t>
        </is>
      </c>
    </row>
    <row r="17">
      <c r="A17" t="inlineStr">
        <is>
          <t>HubTravel</t>
        </is>
      </c>
      <c r="B17" t="n">
        <v>25</v>
      </c>
      <c r="C17" t="inlineStr">
        <is>
          <t>Falta de Fornecedor</t>
        </is>
      </c>
      <c r="D17" t="inlineStr">
        <is>
          <t>Falta de Handle de fornecedores</t>
        </is>
      </c>
      <c r="E17" t="inlineStr">
        <is>
          <t>Novos fornecedores</t>
        </is>
      </c>
      <c r="F17" t="inlineStr">
        <is>
          <t>Suporte Benner</t>
        </is>
      </c>
    </row>
    <row r="18">
      <c r="A18" t="inlineStr">
        <is>
          <t>HubTravel</t>
        </is>
      </c>
      <c r="B18" t="n">
        <v>311</v>
      </c>
      <c r="C18" t="inlineStr">
        <is>
          <t>Falta de informação Gerencial</t>
        </is>
      </c>
      <c r="D18" t="inlineStr">
        <is>
          <t>Não digitado na OBT e/ou Benner não realizou a leitura</t>
        </is>
      </c>
      <c r="E18" t="inlineStr">
        <is>
          <t>Ajustar venda na OBT e/ou em paralelo preencher o campo no Portal</t>
        </is>
      </c>
      <c r="F18" t="inlineStr">
        <is>
          <t>Suporte KCS</t>
        </is>
      </c>
    </row>
    <row r="19">
      <c r="A19" t="inlineStr">
        <is>
          <t>HubTravel</t>
        </is>
      </c>
      <c r="B19" t="n">
        <v>114</v>
      </c>
      <c r="C19" t="inlineStr">
        <is>
          <t>Forma de Pagamento indevida</t>
        </is>
      </c>
      <c r="D19" t="inlineStr">
        <is>
          <t>Benner efetua o bloqueio</t>
        </is>
      </c>
      <c r="E19" t="inlineStr">
        <is>
          <t>Inserir forma de pagamento e/ou recebimento correta</t>
        </is>
      </c>
      <c r="F19" t="inlineStr">
        <is>
          <t>Operações Corp</t>
        </is>
      </c>
    </row>
    <row r="20">
      <c r="A20" t="inlineStr">
        <is>
          <t>Lemontech</t>
        </is>
      </c>
      <c r="B20" t="n">
        <v>1</v>
      </c>
      <c r="C20" t="inlineStr">
        <is>
          <t>Bilhete duplicado</t>
        </is>
      </c>
      <c r="D20" t="inlineStr">
        <is>
          <t>OBT mandou bilhete duplicado e/ou venda alterada após contabilização</t>
        </is>
      </c>
      <c r="E20" t="inlineStr">
        <is>
          <t>Realizar analise dos bilhetes no sistema Benner</t>
        </is>
      </c>
      <c r="F20" t="inlineStr">
        <is>
          <t>Conciliação Aérea</t>
        </is>
      </c>
    </row>
    <row r="21">
      <c r="A21" t="inlineStr">
        <is>
          <t>Lemontech</t>
        </is>
      </c>
      <c r="B21" t="n">
        <v>3</v>
      </c>
      <c r="C21" t="inlineStr">
        <is>
          <t>Falta de Fornecedor</t>
        </is>
      </c>
      <c r="D21" t="inlineStr">
        <is>
          <t>Falta de Handle de fornecedores</t>
        </is>
      </c>
      <c r="E21" t="inlineStr">
        <is>
          <t>Novos fornecedores</t>
        </is>
      </c>
      <c r="F21" t="inlineStr">
        <is>
          <t>Suporte Benner</t>
        </is>
      </c>
    </row>
    <row r="22">
      <c r="A22" t="inlineStr">
        <is>
          <t>Lemontech</t>
        </is>
      </c>
      <c r="B22" t="n">
        <v>45</v>
      </c>
      <c r="C22" t="inlineStr">
        <is>
          <t>Falta de informação Gerencial</t>
        </is>
      </c>
      <c r="D22" t="inlineStr">
        <is>
          <t>Não digitado na OBT e/ou Benner não realizou a leitura</t>
        </is>
      </c>
      <c r="E22" t="inlineStr">
        <is>
          <t>Ajustar venda na OBT e/ou em paralelo preencher o campo no Portal</t>
        </is>
      </c>
      <c r="F22" t="inlineStr">
        <is>
          <t>Suporte KCS</t>
        </is>
      </c>
    </row>
    <row r="23">
      <c r="A23" t="inlineStr">
        <is>
          <t>Lemontech</t>
        </is>
      </c>
      <c r="B23" t="n">
        <v>3</v>
      </c>
      <c r="C23" t="inlineStr">
        <is>
          <t>Forma de Pagamento indevida</t>
        </is>
      </c>
      <c r="D23" t="inlineStr">
        <is>
          <t>Benner efetua o bloqueio</t>
        </is>
      </c>
      <c r="E23" t="inlineStr">
        <is>
          <t>Inserir forma de pagamento e/ou recebimento correta</t>
        </is>
      </c>
      <c r="F23" t="inlineStr">
        <is>
          <t>Operações Corp</t>
        </is>
      </c>
    </row>
    <row r="24">
      <c r="A24" t="inlineStr">
        <is>
          <t>Venda Manual</t>
        </is>
      </c>
      <c r="B24" t="n">
        <v>14</v>
      </c>
      <c r="C24" t="inlineStr">
        <is>
          <t>Accounting sem trecho</t>
        </is>
      </c>
      <c r="D24" t="inlineStr">
        <is>
          <t>Instabilidade na integração</t>
        </is>
      </c>
      <c r="E24" t="inlineStr">
        <is>
          <t>Excluir venda e reprocessar nova venda</t>
        </is>
      </c>
      <c r="F24" t="inlineStr">
        <is>
          <t>Suporte Benner</t>
        </is>
      </c>
    </row>
    <row r="25">
      <c r="A25" t="inlineStr">
        <is>
          <t>Venda Manual</t>
        </is>
      </c>
      <c r="B25" t="n">
        <v>24</v>
      </c>
      <c r="C25" t="inlineStr">
        <is>
          <t>Bilhete duplicado</t>
        </is>
      </c>
      <c r="D25" t="inlineStr">
        <is>
          <t>OBT mandou bilhete duplicado e/ou venda alterada após contabilização</t>
        </is>
      </c>
      <c r="E25" t="inlineStr">
        <is>
          <t>Realizar analise dos bilhetes no sistema Benner</t>
        </is>
      </c>
      <c r="F25" t="inlineStr">
        <is>
          <t>Conciliação Aérea</t>
        </is>
      </c>
    </row>
    <row r="26">
      <c r="A26" t="inlineStr">
        <is>
          <t>Venda Manual</t>
        </is>
      </c>
      <c r="B26" t="n">
        <v>3</v>
      </c>
      <c r="C26" t="inlineStr">
        <is>
          <t>Cliente sem contrato de fornecedor</t>
        </is>
      </c>
      <c r="D26" t="inlineStr">
        <is>
          <t>Não encontrado contrato para fornecedor e/ou contrato inspirado</t>
        </is>
      </c>
      <c r="E26" t="inlineStr">
        <is>
          <t>Enviar CNPJs ativos de clientes para alteração</t>
        </is>
      </c>
      <c r="F26" t="inlineStr">
        <is>
          <t>Suporte KCS</t>
        </is>
      </c>
    </row>
    <row r="27">
      <c r="A27" t="inlineStr">
        <is>
          <t>Venda Manual</t>
        </is>
      </c>
      <c r="B27" t="n">
        <v>4</v>
      </c>
      <c r="C27" t="inlineStr">
        <is>
          <t>Duplicidade de RLOC</t>
        </is>
      </c>
      <c r="D27" t="inlineStr">
        <is>
          <t>Venda integrada manualmente após OBT ter integrado</t>
        </is>
      </c>
      <c r="E27" t="inlineStr">
        <is>
          <t>Exclusão de RLOC não contabilizado</t>
        </is>
      </c>
      <c r="F27" t="inlineStr">
        <is>
          <t>Operações Corp</t>
        </is>
      </c>
    </row>
    <row r="28">
      <c r="A28" t="inlineStr">
        <is>
          <t>Venda Manual</t>
        </is>
      </c>
      <c r="B28" t="n">
        <v>6</v>
      </c>
      <c r="C28" t="inlineStr">
        <is>
          <t>Falta de informação Gerencial</t>
        </is>
      </c>
      <c r="D28" t="inlineStr">
        <is>
          <t>Não digitado na OBT e/ou Benner não realizou a leitura</t>
        </is>
      </c>
      <c r="E28" t="inlineStr">
        <is>
          <t>Ajustar venda na OBT e/ou em paralelo preencher o campo no Portal</t>
        </is>
      </c>
      <c r="F28" t="inlineStr">
        <is>
          <t>Suporte KCS</t>
        </is>
      </c>
    </row>
    <row r="29">
      <c r="A29" t="inlineStr">
        <is>
          <t>Venda Manual</t>
        </is>
      </c>
      <c r="B29" t="n">
        <v>6</v>
      </c>
      <c r="C29" t="inlineStr">
        <is>
          <t>Forma de Pagamento indevida</t>
        </is>
      </c>
      <c r="D29" t="inlineStr">
        <is>
          <t>Benner efetua o bloqueio</t>
        </is>
      </c>
      <c r="E29" t="inlineStr">
        <is>
          <t>Inserir forma de pagamento e/ou recebimento correta</t>
        </is>
      </c>
      <c r="F29" t="inlineStr">
        <is>
          <t>Operações Corp</t>
        </is>
      </c>
    </row>
    <row r="30">
      <c r="A30" t="inlineStr">
        <is>
          <t>Venda Manual</t>
        </is>
      </c>
      <c r="B30" t="n">
        <v>1</v>
      </c>
      <c r="C30" t="inlineStr">
        <is>
          <t>Não identificado</t>
        </is>
      </c>
      <c r="D30" t="inlineStr">
        <is>
          <t>Reportar ao responsável</t>
        </is>
      </c>
      <c r="E30" t="inlineStr">
        <is>
          <t>Reportar ao responsável</t>
        </is>
      </c>
      <c r="F30" t="inlineStr">
        <is>
          <t>Suporte Benner</t>
        </is>
      </c>
    </row>
    <row r="31">
      <c r="A31" t="inlineStr">
        <is>
          <t>Venda Manual</t>
        </is>
      </c>
      <c r="B31" t="n">
        <v>2</v>
      </c>
      <c r="C31" t="inlineStr">
        <is>
          <t>Pagamento não permitido para cobrança</t>
        </is>
      </c>
      <c r="D31" t="inlineStr">
        <is>
          <t>Venda inserida automaticamente no processado erro para alteração de pagamento</t>
        </is>
      </c>
      <c r="E31" t="inlineStr">
        <is>
          <t>Inserção da forma de pagamento/recebimento correta</t>
        </is>
      </c>
      <c r="F31" t="inlineStr">
        <is>
          <t>Suporte Benner</t>
        </is>
      </c>
    </row>
    <row r="32">
      <c r="A32" t="inlineStr">
        <is>
          <t>Zupper</t>
        </is>
      </c>
      <c r="B32" t="n">
        <v>8</v>
      </c>
      <c r="C32" t="inlineStr">
        <is>
          <t>Accounting sem trecho</t>
        </is>
      </c>
      <c r="D32" t="inlineStr">
        <is>
          <t>Instabilidade na integração</t>
        </is>
      </c>
      <c r="E32" t="inlineStr">
        <is>
          <t>Excluir venda e reprocessar nova venda</t>
        </is>
      </c>
      <c r="F32" t="inlineStr">
        <is>
          <t>Suporte Benner</t>
        </is>
      </c>
    </row>
    <row r="33">
      <c r="A33" t="inlineStr">
        <is>
          <t>Zupper</t>
        </is>
      </c>
      <c r="B33" t="n">
        <v>7</v>
      </c>
      <c r="C33" t="inlineStr">
        <is>
          <t>Bilhete duplicado</t>
        </is>
      </c>
      <c r="D33" t="inlineStr">
        <is>
          <t>OBT mandou bilhete duplicado e/ou venda alterada após contabilização</t>
        </is>
      </c>
      <c r="E33" t="inlineStr">
        <is>
          <t>Realizar analise dos bilhetes no sistema Benner</t>
        </is>
      </c>
      <c r="F33" t="inlineStr">
        <is>
          <t>Conciliação Aérea</t>
        </is>
      </c>
    </row>
    <row r="34">
      <c r="A34" t="inlineStr">
        <is>
          <t>Zupper</t>
        </is>
      </c>
      <c r="B34" t="n">
        <v>1</v>
      </c>
      <c r="C34" t="inlineStr">
        <is>
          <t>Conciliação de Cartão</t>
        </is>
      </c>
      <c r="D34" t="inlineStr">
        <is>
          <t>Tentativa de exclusão de venda com conciliação de cartão</t>
        </is>
      </c>
      <c r="E34" t="inlineStr">
        <is>
          <t>Em caso de venda com conciliação de cartão não é possível excluir a venda. É necessário desconciliar a venda e depois editar</t>
        </is>
      </c>
      <c r="F34" t="inlineStr">
        <is>
          <t>Conciliação Cartão</t>
        </is>
      </c>
    </row>
    <row r="35">
      <c r="A35" t="inlineStr">
        <is>
          <t>Zupper</t>
        </is>
      </c>
      <c r="B35" t="n">
        <v>2</v>
      </c>
      <c r="C35" t="inlineStr">
        <is>
          <t>Duplicidade de RLOC</t>
        </is>
      </c>
      <c r="D35" t="inlineStr">
        <is>
          <t>Venda integrada manualmente após OBT ter integrado</t>
        </is>
      </c>
      <c r="E35" t="inlineStr">
        <is>
          <t>Exclusão de RLOC não contabilizado</t>
        </is>
      </c>
      <c r="F35" t="inlineStr">
        <is>
          <t>Operações Corp</t>
        </is>
      </c>
    </row>
    <row r="36">
      <c r="A36" t="inlineStr">
        <is>
          <t>Zupper</t>
        </is>
      </c>
      <c r="B36" t="n">
        <v>40</v>
      </c>
      <c r="C36" t="inlineStr">
        <is>
          <t>Falta de informação Gerencial</t>
        </is>
      </c>
      <c r="D36" t="inlineStr">
        <is>
          <t>Não digitado na OBT e/ou Benner não realizou a leitura</t>
        </is>
      </c>
      <c r="E36" t="inlineStr">
        <is>
          <t>Ajustar venda na OBT e/ou em paralelo preencher o campo no Portal</t>
        </is>
      </c>
      <c r="F36" t="inlineStr">
        <is>
          <t>Suporte KCS</t>
        </is>
      </c>
    </row>
    <row r="37">
      <c r="A37" t="inlineStr">
        <is>
          <t>Zupper</t>
        </is>
      </c>
      <c r="B37" t="n">
        <v>21</v>
      </c>
      <c r="C37" t="inlineStr">
        <is>
          <t>Pagamento não permitido para cobrança</t>
        </is>
      </c>
      <c r="D37" t="inlineStr">
        <is>
          <t>Venda inserida automaticamente no processado erro para alteração de pagamento</t>
        </is>
      </c>
      <c r="E37" t="inlineStr">
        <is>
          <t>Inserção da forma de pagamento/recebimento correta</t>
        </is>
      </c>
      <c r="F37" t="inlineStr">
        <is>
          <t>Suporte Benner</t>
        </is>
      </c>
    </row>
    <row r="38">
      <c r="A38" t="inlineStr">
        <is>
          <t>Kontrip</t>
        </is>
      </c>
      <c r="B38" t="n">
        <v>4</v>
      </c>
      <c r="C38" t="inlineStr">
        <is>
          <t>Bilhete duplicado</t>
        </is>
      </c>
      <c r="D38" t="inlineStr">
        <is>
          <t>OBT mandou bilhete duplicado e/ou venda alterada após contabilização</t>
        </is>
      </c>
      <c r="E38" t="inlineStr">
        <is>
          <t>Realizar analise dos bilhetes no sistema Benner</t>
        </is>
      </c>
      <c r="F38" t="inlineStr">
        <is>
          <t>Conciliação Aérea</t>
        </is>
      </c>
    </row>
    <row r="39">
      <c r="A39" t="inlineStr">
        <is>
          <t>Kontrip</t>
        </is>
      </c>
      <c r="B39" t="n">
        <v>2</v>
      </c>
      <c r="C39" t="inlineStr">
        <is>
          <t>Cliente sem contrato de fornecedor</t>
        </is>
      </c>
      <c r="D39" t="inlineStr">
        <is>
          <t>Não encontrado contrato para fornecedor e/ou contrato inspirado</t>
        </is>
      </c>
      <c r="E39" t="inlineStr">
        <is>
          <t>Enviar CNPJs ativos de clientes para alteração</t>
        </is>
      </c>
      <c r="F39" t="inlineStr">
        <is>
          <t>Suporte KCS</t>
        </is>
      </c>
    </row>
    <row r="40">
      <c r="A40" t="inlineStr">
        <is>
          <t>Kontrip</t>
        </is>
      </c>
      <c r="B40" t="n">
        <v>1</v>
      </c>
      <c r="C40" t="inlineStr">
        <is>
          <t>Falta de informação Gerencial</t>
        </is>
      </c>
      <c r="D40" t="inlineStr">
        <is>
          <t>Não digitado na OBT e/ou Benner não realizou a leitura</t>
        </is>
      </c>
      <c r="E40" t="inlineStr">
        <is>
          <t>Ajustar venda na OBT e/ou em paralelo preencher o campo no Portal</t>
        </is>
      </c>
      <c r="F40" t="inlineStr">
        <is>
          <t>Suporte KCS</t>
        </is>
      </c>
    </row>
    <row r="41">
      <c r="A41" t="inlineStr">
        <is>
          <t>Kontrip</t>
        </is>
      </c>
      <c r="B41" t="n">
        <v>17</v>
      </c>
      <c r="C41" t="inlineStr">
        <is>
          <t>Forma de Pagamento indevida</t>
        </is>
      </c>
      <c r="D41" t="inlineStr">
        <is>
          <t>Benner efetua o bloqueio</t>
        </is>
      </c>
      <c r="E41" t="inlineStr">
        <is>
          <t>Inserir forma de pagamento e/ou recebimento correta</t>
        </is>
      </c>
      <c r="F41" t="inlineStr">
        <is>
          <t>Operações Corp</t>
        </is>
      </c>
    </row>
  </sheetData>
  <autoFilter ref="A1:F47">
    <sortState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2023-06-15T13:30:00Z</dcterms:created>
  <dcterms:modified xsi:type="dcterms:W3CDTF">2025-11-25T10:40:53Z</dcterms:modified>
  <cp:lastModifiedBy>Igor Freitas dos Santos</cp:lastModifiedBy>
  <cp:lastPrinted>2025-07-02T11:14:42Z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0x010100A0C64AEBC6938045854C56BA4D8C77CF</vt:lpwstr>
  </property>
</Properties>
</file>